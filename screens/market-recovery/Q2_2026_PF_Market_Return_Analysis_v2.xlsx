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2 2026 Summary" sheetId="1" state="visible" r:id="rId3"/>
    <sheet name="Realpage Data" sheetId="2" state="visible" r:id="rId4"/>
    <sheet name="Realpage - His. Rent Change" sheetId="3" state="visible" r:id="rId5"/>
    <sheet name="RP - Unit Starts" sheetId="4" state="visible" r:id="rId6"/>
    <sheet name="Fcst Wal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<sst xmlns="http://schemas.openxmlformats.org/spreadsheetml/2006/main" count="13781" uniqueCount="721">
  <si>
    <t xml:space="preserve">Multifamily Market Summary — Recovery Screen</t>
  </si>
  <si>
    <t xml:space="preserve">Effective RPSF | Rent Roll (Rev/OSF) — RealPage Q2 2026 actuals + RealPage same-store forecast through 2029Q4.  Rent roll held flat per CB spec (directional / conservative).  Sorted by forecast years back to even.</t>
  </si>
  <si>
    <t xml:space="preserve">#</t>
  </si>
  <si>
    <t xml:space="preserve">Market</t>
  </si>
  <si>
    <t xml:space="preserve">Rent Roll PSF</t>
  </si>
  <si>
    <t xml:space="preserve">Asking RPSF</t>
  </si>
  <si>
    <t xml:space="preserve">Effective RPSF</t>
  </si>
  <si>
    <t xml:space="preserve">Gross Embedded RR Mark to Market</t>
  </si>
  <si>
    <t xml:space="preserve">Effective Embedded RR Mark to Market</t>
  </si>
  <si>
    <t xml:space="preserve">TTM Unit Starts as % of Inv</t>
  </si>
  <si>
    <t xml:space="preserve">Fwd 12-Mo Inventory Growth (RP Fcst)</t>
  </si>
  <si>
    <t xml:space="preserve">Fcst Rent Growth Yr 1 (26Q2→27Q2)</t>
  </si>
  <si>
    <t xml:space="preserve">Fcst Rent Growth Yr 2 (27Q2→28Q2)</t>
  </si>
  <si>
    <t xml:space="preserve">Fcst Rent Growth Yr 3 (28Q2→29Q2)</t>
  </si>
  <si>
    <t xml:space="preserve">Fcst MtM +1 Yr</t>
  </si>
  <si>
    <t xml:space="preserve">Fcst MtM +2 Yrs</t>
  </si>
  <si>
    <t xml:space="preserve">Fcst MtM +3 Yrs</t>
  </si>
  <si>
    <t xml:space="preserve">Years to Rent Roll Even (RP Forecast)</t>
  </si>
  <si>
    <t xml:space="preserve">10-Yr Hist Avg Rent Growth (RP)</t>
  </si>
  <si>
    <t xml:space="preserve">10-Yr Hist Avg Rent Growth (GSA)</t>
  </si>
  <si>
    <t xml:space="preserve">10-Yr Avg Hist. Rent Growth (GSA &amp; RP)</t>
  </si>
  <si>
    <t xml:space="preserve">Years to Even (Old Method: 10-Yr Hist Avg)</t>
  </si>
  <si>
    <t xml:space="preserve">Madison, WI</t>
  </si>
  <si>
    <t xml:space="preserve">Sioux Falls, SD-MN</t>
  </si>
  <si>
    <t xml:space="preserve">Milwaukee-Waukesha/Racine, WI</t>
  </si>
  <si>
    <t xml:space="preserve">Reno, NV</t>
  </si>
  <si>
    <t xml:space="preserve">Wichita, KS</t>
  </si>
  <si>
    <t xml:space="preserve">Salt Lake City/Ogden/Brigham City, UT-ID</t>
  </si>
  <si>
    <t xml:space="preserve">Port St. Lucie/Sebastian-Vero Beach, FL</t>
  </si>
  <si>
    <t xml:space="preserve">Columbus, OH</t>
  </si>
  <si>
    <t xml:space="preserve">Boise City, ID</t>
  </si>
  <si>
    <t xml:space="preserve">Richmond, VA</t>
  </si>
  <si>
    <t xml:space="preserve">Virginia Beach-Chesapeake-Norfolk, VA-NC</t>
  </si>
  <si>
    <t xml:space="preserve">Miami-Miami Beach-Kendall, FL</t>
  </si>
  <si>
    <t xml:space="preserve">Omaha, NE-IA</t>
  </si>
  <si>
    <t xml:space="preserve">Wilmington, NC</t>
  </si>
  <si>
    <t xml:space="preserve">Fayetteville-Springdale-Rogers, AR</t>
  </si>
  <si>
    <t xml:space="preserve">Savannah, GA</t>
  </si>
  <si>
    <t xml:space="preserve">Cincinnati, OH-KY-IN</t>
  </si>
  <si>
    <t xml:space="preserve">Chattanooga, TN-GA</t>
  </si>
  <si>
    <t xml:space="preserve">Baton Rouge, LA</t>
  </si>
  <si>
    <t xml:space="preserve">Kansas City, MO-KS</t>
  </si>
  <si>
    <t xml:space="preserve">Minneapolis-St. Paul-Bloomington, MN-WI</t>
  </si>
  <si>
    <t xml:space="preserve">West Palm Beach-Boca Raton-Delray Beach, FL</t>
  </si>
  <si>
    <t xml:space="preserve">Myrtle Beach-Conway-North Myrtle Beach, SC</t>
  </si>
  <si>
    <t xml:space="preserve">Lakeland-Winter Haven, FL</t>
  </si>
  <si>
    <t xml:space="preserve">St. Louis, MO-IL</t>
  </si>
  <si>
    <t xml:space="preserve">Greensboro-High Point/Winston-Salem/Burlington, NC</t>
  </si>
  <si>
    <t xml:space="preserve">Charleston-North Charleston, SC</t>
  </si>
  <si>
    <t xml:space="preserve">Fort Collins-Loveland, CO</t>
  </si>
  <si>
    <t xml:space="preserve">Louisville/Jefferson County, KY-IN</t>
  </si>
  <si>
    <t xml:space="preserve">Columbia, SC</t>
  </si>
  <si>
    <t xml:space="preserve">Nashville-Davidson--Murfreesboro--Franklin, TN</t>
  </si>
  <si>
    <t xml:space="preserve">Birmingham, AL</t>
  </si>
  <si>
    <t xml:space="preserve">Fort Lauderdale-Pompano Beach-Sunrise, FL</t>
  </si>
  <si>
    <t xml:space="preserve">Tucson, AZ</t>
  </si>
  <si>
    <t xml:space="preserve">Albuquerque, NM</t>
  </si>
  <si>
    <t xml:space="preserve">Indianapolis-Carmel-Greenwood/Greencastle, IN</t>
  </si>
  <si>
    <t xml:space="preserve">Oklahoma City, OK</t>
  </si>
  <si>
    <t xml:space="preserve">Naples-Marco Island, FL</t>
  </si>
  <si>
    <t xml:space="preserve">Huntsville, AL</t>
  </si>
  <si>
    <t xml:space="preserve">Spokane-Spokane Valley, WA</t>
  </si>
  <si>
    <t xml:space="preserve">Jacksonville, FL</t>
  </si>
  <si>
    <t xml:space="preserve">Las Vegas-Henderson-North Las Vegas, NV</t>
  </si>
  <si>
    <t xml:space="preserve">Asheville/Waynesville, NC</t>
  </si>
  <si>
    <t xml:space="preserve">Orlando-Kissimmee-Sanford, FL</t>
  </si>
  <si>
    <t xml:space="preserve">Knoxville, TN</t>
  </si>
  <si>
    <t xml:space="preserve">Washington-Arlington-Alexandria, DC-VA-MD-WV</t>
  </si>
  <si>
    <t xml:space="preserve">Charlotte-Concord-Gastonia, NC-SC</t>
  </si>
  <si>
    <t xml:space="preserve">Palm Bay-Melbourne-Titusville, FL</t>
  </si>
  <si>
    <t xml:space="preserve">Tallahassee, FL</t>
  </si>
  <si>
    <t xml:space="preserve">Fort Worth-Arlington-Grapevine/Granbury, TX</t>
  </si>
  <si>
    <t xml:space="preserve">Colorado Springs, CO</t>
  </si>
  <si>
    <t xml:space="preserve">Raleigh/Durham, NC</t>
  </si>
  <si>
    <t xml:space="preserve">Tulsa, OK</t>
  </si>
  <si>
    <t xml:space="preserve">Phoenix-Mesa-Chandler, AZ</t>
  </si>
  <si>
    <t xml:space="preserve">Des Moines-West Des Moines, IA</t>
  </si>
  <si>
    <t xml:space="preserve">Tampa-St. Petersburg-Clearwater, FL</t>
  </si>
  <si>
    <t xml:space="preserve">Dallas-Plano-Irving, TX</t>
  </si>
  <si>
    <t xml:space="preserve">Cape Coral-Fort Myers, FL</t>
  </si>
  <si>
    <t xml:space="preserve">Greenville/Spartanburg, SC</t>
  </si>
  <si>
    <t xml:space="preserve">Atlanta-Sandy Springs-Roswell, GA</t>
  </si>
  <si>
    <t xml:space="preserve">Houston-Pasadena-The Woodlands, TX</t>
  </si>
  <si>
    <t xml:space="preserve">New Orleans-Metairie/Slidell, LA</t>
  </si>
  <si>
    <t xml:space="preserve">Austin-Round Rock-San Marcos, TX</t>
  </si>
  <si>
    <t xml:space="preserve">Denver-Aurora-Centennial, CO</t>
  </si>
  <si>
    <t xml:space="preserve">San Antonio-New Braunfels, TX</t>
  </si>
  <si>
    <t xml:space="preserve">Sources &amp; methodology</t>
  </si>
  <si>
    <t xml:space="preserve">RealPage DataDirect (datadirect_72.xlsx, Aug 2026 pull): actuals through 2026Q2; RealPage same-store YOY effective rent forecast 2026Q3–2029Q4; Existing Units forecast drives Fwd 12-Mo Inventory Growth.</t>
  </si>
  <si>
    <t xml:space="preserve">TTM Unit Starts (2025Q3–2026Q2) from datadirect_74 (Aug 2026 pull); 10-yr historical rent change carried from prior workbook (same Q2 2026 vintage). GSA = Green Street 10-yr avg — hardcoded inputs (blue), available for 23 of 50 markets.</t>
  </si>
  <si>
    <t xml:space="preserve">Years to Rent Roll Even (RP Forecast): Effective RPSF is walked forward quarterly — Path(t) = Path(t-4) × (1 + forecast YOY) — against a FLAT current rent roll PSF. Reported figure = time until the path recovers to the rent roll level and stays above it through the horizon (interpolated within the crossing quarter). See Fcst Walk tab.</t>
  </si>
  <si>
    <t xml:space="preserve">† = still below rent roll at 2029Q4 (3.5-yr forecast horizon); extended beyond the horizon at the terminal forecast growth rate.</t>
  </si>
  <si>
    <t xml:space="preserve">Old Method column = -Effective MtM ÷ 10-yr blended historical growth, shown for comparison. Note: the prior workbook’s RP 10-yr averages were mis-ranged (AVERAGEIF) and are corrected here (e.g. Charlotte: -0.2% → 5.3%).</t>
  </si>
  <si>
    <t xml:space="preserve">Directional tool per CB 8/17 spec — intentionally ignores renewal vs new-lease mix, retention, and rent roll drift. Q2 2026 levels reflect RealPage restatements and differ modestly from the prior pull.</t>
  </si>
  <si>
    <t xml:space="preserve">15 expansion markets added Aug 2026 (CB request). TTM Unit Starts are ACTUALS for all 65 markets from RealPage DataDirect (datadirect_74.xlsx: quarterly Unit Starts 2021Q2-2026Q2 + Existing Units, all 150 markets; ties out exactly to the prior pull on the 50 overlap markets). Lake Charles, LA is not in the RealPage DataDirect market set.</t>
  </si>
  <si>
    <t xml:space="preserve">Dropped from this version to keep focus: PF LIRR proforma engine (Cap Rate to IRR Map) — available in the prior workbook.</t>
  </si>
  <si>
    <t xml:space="preserve">Geography Name</t>
  </si>
  <si>
    <t xml:space="preserve">Geography Type</t>
  </si>
  <si>
    <t xml:space="preserve">Market Name</t>
  </si>
  <si>
    <t xml:space="preserve">Unique ID</t>
  </si>
  <si>
    <t xml:space="preserve">Metric Type</t>
  </si>
  <si>
    <t xml:space="preserve">Metric Name</t>
  </si>
  <si>
    <t xml:space="preserve">Category</t>
  </si>
  <si>
    <t xml:space="preserve">Niche</t>
  </si>
  <si>
    <t xml:space="preserve">Y2024Q1</t>
  </si>
  <si>
    <t xml:space="preserve">Y2024Q2</t>
  </si>
  <si>
    <t xml:space="preserve">Y2024Q3</t>
  </si>
  <si>
    <t xml:space="preserve">Y2024Q4</t>
  </si>
  <si>
    <t xml:space="preserve">Y2025Q1</t>
  </si>
  <si>
    <t xml:space="preserve">Y2025Q2</t>
  </si>
  <si>
    <t xml:space="preserve">Y2025Q3</t>
  </si>
  <si>
    <t xml:space="preserve">Y2025Q4</t>
  </si>
  <si>
    <t xml:space="preserve">Y2026Q1</t>
  </si>
  <si>
    <t xml:space="preserve">Y2026Q2</t>
  </si>
  <si>
    <t xml:space="preserve">Y2026Q3</t>
  </si>
  <si>
    <t xml:space="preserve">Y2026Q4</t>
  </si>
  <si>
    <t xml:space="preserve">Y2027Q1</t>
  </si>
  <si>
    <t xml:space="preserve">Y2027Q2</t>
  </si>
  <si>
    <t xml:space="preserve">Y2027Q3</t>
  </si>
  <si>
    <t xml:space="preserve">Y2027Q4</t>
  </si>
  <si>
    <t xml:space="preserve">Y2028Q1</t>
  </si>
  <si>
    <t xml:space="preserve">Y2028Q2</t>
  </si>
  <si>
    <t xml:space="preserve">Y2028Q3</t>
  </si>
  <si>
    <t xml:space="preserve">Y2028Q4</t>
  </si>
  <si>
    <t xml:space="preserve">Y2029Q1</t>
  </si>
  <si>
    <t xml:space="preserve">Y2029Q2</t>
  </si>
  <si>
    <t xml:space="preserve">Y2029Q3</t>
  </si>
  <si>
    <t xml:space="preserve">Y2029Q4</t>
  </si>
  <si>
    <t xml:space="preserve">Akron, OH</t>
  </si>
  <si>
    <t xml:space="preserve">Transaction Data - Operational</t>
  </si>
  <si>
    <t xml:space="preserve">Rent Roll (Rev/OSF)</t>
  </si>
  <si>
    <t xml:space="preserve">Totals</t>
  </si>
  <si>
    <t xml:space="preserve">Performance</t>
  </si>
  <si>
    <t xml:space="preserve">Existing Units</t>
  </si>
  <si>
    <t xml:space="preserve">Same-Store Performance</t>
  </si>
  <si>
    <t xml:space="preserve">YOY Effective Rent Change</t>
  </si>
  <si>
    <t xml:space="preserve">Supply &amp; Demand</t>
  </si>
  <si>
    <t xml:space="preserve">Annual Property Starts</t>
  </si>
  <si>
    <t xml:space="preserve">Albany-Schenectady-Troy, NY</t>
  </si>
  <si>
    <t xml:space="preserve">Allentown-Bethlehem-Easton, PA-NJ</t>
  </si>
  <si>
    <t xml:space="preserve">Anaheim-Santa Ana-Irvine, CA</t>
  </si>
  <si>
    <t xml:space="preserve">Ann Arbor, MI</t>
  </si>
  <si>
    <t xml:space="preserve">Atlantic City-Hammonton, NJ</t>
  </si>
  <si>
    <t xml:space="preserve">Augusta-Richmond County, GA-SC</t>
  </si>
  <si>
    <t xml:space="preserve">Bakersfield-Delano, CA</t>
  </si>
  <si>
    <t xml:space="preserve">Baltimore-Columbia-Towson, MD</t>
  </si>
  <si>
    <t xml:space="preserve">Boston-Cambridge-Newton, MA-NH</t>
  </si>
  <si>
    <t xml:space="preserve">Boulder, CO</t>
  </si>
  <si>
    <t xml:space="preserve">Bridgeport-Stamford-Danbury, CT</t>
  </si>
  <si>
    <t xml:space="preserve">Buffalo-Cheektowaga, NY</t>
  </si>
  <si>
    <t xml:space="preserve">Champaign-Urbana, IL</t>
  </si>
  <si>
    <t xml:space="preserve">Chicago-Naperville-Elgin/Kenosha, IL-IN-WI</t>
  </si>
  <si>
    <t xml:space="preserve">Cleveland, OH</t>
  </si>
  <si>
    <t xml:space="preserve">College Station-Bryan, TX</t>
  </si>
  <si>
    <t xml:space="preserve">Columbus, GA-AL</t>
  </si>
  <si>
    <t xml:space="preserve">Corpus Christi, TX</t>
  </si>
  <si>
    <t xml:space="preserve">Crestview-Fort Walton Beach-Destin, FL</t>
  </si>
  <si>
    <t xml:space="preserve">Dayton-Kettering-Beavercreek, OH</t>
  </si>
  <si>
    <t xml:space="preserve">Deltona-Daytona Beach-Ormond Beach, FL</t>
  </si>
  <si>
    <t xml:space="preserve">Detroit-Warren-Dearborn, MI</t>
  </si>
  <si>
    <t xml:space="preserve">El Paso, TX</t>
  </si>
  <si>
    <t xml:space="preserve">Eugene-Springfield, OR</t>
  </si>
  <si>
    <t xml:space="preserve">Fargo, ND-MN</t>
  </si>
  <si>
    <t xml:space="preserve">Fayetteville, NC</t>
  </si>
  <si>
    <t xml:space="preserve">Flint, MI</t>
  </si>
  <si>
    <t xml:space="preserve">Fort Wayne, IN</t>
  </si>
  <si>
    <t xml:space="preserve">Fresno, CA</t>
  </si>
  <si>
    <t xml:space="preserve">Gainesville, FL</t>
  </si>
  <si>
    <t xml:space="preserve">Grand Rapids/Muskegon/Holland, MI</t>
  </si>
  <si>
    <t xml:space="preserve">Harrisburg-Carlisle, PA</t>
  </si>
  <si>
    <t xml:space="preserve">Hartford-West Hartford-East Hartford, CT</t>
  </si>
  <si>
    <t xml:space="preserve">Jackson, MS</t>
  </si>
  <si>
    <t xml:space="preserve">Kalamazoo/Battle Creek, MI</t>
  </si>
  <si>
    <t xml:space="preserve">Lansing-East Lansing, MI</t>
  </si>
  <si>
    <t xml:space="preserve">Lexington-Fayette/Frankfort, KY</t>
  </si>
  <si>
    <t xml:space="preserve">Lincoln, NE</t>
  </si>
  <si>
    <t xml:space="preserve">Little Rock-North Little Rock-Conway, AR</t>
  </si>
  <si>
    <t xml:space="preserve">Los Angeles-Long Beach-Glendale, CA</t>
  </si>
  <si>
    <t xml:space="preserve">Lubbock, TX</t>
  </si>
  <si>
    <t xml:space="preserve">Macon/Warner Robins, GA</t>
  </si>
  <si>
    <t xml:space="preserve">Manchester-Nashua/Concord, NH</t>
  </si>
  <si>
    <t xml:space="preserve">McAllen/Brownsville, TX</t>
  </si>
  <si>
    <t xml:space="preserve">Memphis, TN-MS-AR</t>
  </si>
  <si>
    <t xml:space="preserve">Midland/Odessa, TX</t>
  </si>
  <si>
    <t xml:space="preserve">Mobile/Daphne, AL</t>
  </si>
  <si>
    <t xml:space="preserve">Nassau County-Suffolk County, NY</t>
  </si>
  <si>
    <t xml:space="preserve">Newark-Jersey City/Hemlock Farms, NJ-PA</t>
  </si>
  <si>
    <t xml:space="preserve">New Haven/Waterbury, CT</t>
  </si>
  <si>
    <t xml:space="preserve">New York-White Plains/Kiryas Joel-Poughkeepsie, NY</t>
  </si>
  <si>
    <t xml:space="preserve">North Port-Bradenton-Sarasota/Punta Gorda, FL</t>
  </si>
  <si>
    <t xml:space="preserve">Oakland-Fremont-Berkeley, CA</t>
  </si>
  <si>
    <t xml:space="preserve">Oxnard-Thousand Oaks-Ventura, CA</t>
  </si>
  <si>
    <t xml:space="preserve">Pensacola-Ferry Pass-Brent, FL</t>
  </si>
  <si>
    <t xml:space="preserve">Philadelphia-Camden-Wilmington, PA-NJ-DE-MD</t>
  </si>
  <si>
    <t xml:space="preserve">Pittsburgh, PA</t>
  </si>
  <si>
    <t xml:space="preserve">Portland-South Portland, ME</t>
  </si>
  <si>
    <t xml:space="preserve">Portland-Vancouver-Hillsboro, OR-WA</t>
  </si>
  <si>
    <t xml:space="preserve">Providence-Warwick, RI-MA</t>
  </si>
  <si>
    <t xml:space="preserve">Provo-Orem-Lehi, UT</t>
  </si>
  <si>
    <t xml:space="preserve">Riverside-San Bernardino-Ontario, CA</t>
  </si>
  <si>
    <t xml:space="preserve">Rochester, NY</t>
  </si>
  <si>
    <t xml:space="preserve">Sacramento-Roseville-Folsom, CA</t>
  </si>
  <si>
    <t xml:space="preserve">Salem, OR</t>
  </si>
  <si>
    <t xml:space="preserve">Salisbury/Seaford/Ocean Pines, MD-DE</t>
  </si>
  <si>
    <t xml:space="preserve">San Diego-Chula Vista-Carlsbad, CA</t>
  </si>
  <si>
    <t xml:space="preserve">San Francisco-San Mateo-Redwood City, CA</t>
  </si>
  <si>
    <t xml:space="preserve">San Jose-Sunnyvale-Santa Clara, CA</t>
  </si>
  <si>
    <t xml:space="preserve">Santa Maria-Santa Barbara, CA</t>
  </si>
  <si>
    <t xml:space="preserve">Santa Rosa-Petaluma, CA</t>
  </si>
  <si>
    <t xml:space="preserve">Seattle-Bellevue-Everett, WA</t>
  </si>
  <si>
    <t xml:space="preserve">Shreveport-Bossier City/Minden, LA</t>
  </si>
  <si>
    <t xml:space="preserve">Springfield/Greenfield/Amherst Town, MA</t>
  </si>
  <si>
    <t xml:space="preserve">Springfield, MO</t>
  </si>
  <si>
    <t xml:space="preserve">Stockton-Lodi, CA</t>
  </si>
  <si>
    <t xml:space="preserve">Syracuse, NY</t>
  </si>
  <si>
    <t xml:space="preserve">Tacoma-Lakewood, WA</t>
  </si>
  <si>
    <t xml:space="preserve">Toledo, OH</t>
  </si>
  <si>
    <t xml:space="preserve">Trenton-Princeton, NJ</t>
  </si>
  <si>
    <t xml:space="preserve">Urban Honolulu, HI</t>
  </si>
  <si>
    <t xml:space="preserve">Vallejo/Napa, CA</t>
  </si>
  <si>
    <t xml:space="preserve">Worcester/Putnam, MA-CT</t>
  </si>
  <si>
    <t xml:space="preserve">Youngstown-Warren/Hermitage, OH-PA</t>
  </si>
  <si>
    <t xml:space="preserve">Y2016Q1</t>
  </si>
  <si>
    <t xml:space="preserve">Y2016Q2</t>
  </si>
  <si>
    <t xml:space="preserve">Y2016Q3</t>
  </si>
  <si>
    <t xml:space="preserve">Y2016Q4</t>
  </si>
  <si>
    <t xml:space="preserve">Y2017Q1</t>
  </si>
  <si>
    <t xml:space="preserve">Y2017Q2</t>
  </si>
  <si>
    <t xml:space="preserve">Y2017Q3</t>
  </si>
  <si>
    <t xml:space="preserve">Y2017Q4</t>
  </si>
  <si>
    <t xml:space="preserve">Y2018Q1</t>
  </si>
  <si>
    <t xml:space="preserve">Y2018Q2</t>
  </si>
  <si>
    <t xml:space="preserve">Y2018Q3</t>
  </si>
  <si>
    <t xml:space="preserve">Y2018Q4</t>
  </si>
  <si>
    <t xml:space="preserve">Y2019Q1</t>
  </si>
  <si>
    <t xml:space="preserve">Y2019Q2</t>
  </si>
  <si>
    <t xml:space="preserve">Y2019Q3</t>
  </si>
  <si>
    <t xml:space="preserve">Y2019Q4</t>
  </si>
  <si>
    <t xml:space="preserve">Y2020Q1</t>
  </si>
  <si>
    <t xml:space="preserve">Y2020Q2</t>
  </si>
  <si>
    <t xml:space="preserve">Y2020Q3</t>
  </si>
  <si>
    <t xml:space="preserve">Y2020Q4</t>
  </si>
  <si>
    <t xml:space="preserve">Y2021Q1</t>
  </si>
  <si>
    <t xml:space="preserve">Y2021Q2</t>
  </si>
  <si>
    <t xml:space="preserve">Y2021Q3</t>
  </si>
  <si>
    <t xml:space="preserve">Y2021Q4</t>
  </si>
  <si>
    <t xml:space="preserve">Y2022Q1</t>
  </si>
  <si>
    <t xml:space="preserve">Y2022Q2</t>
  </si>
  <si>
    <t xml:space="preserve">Y2022Q3</t>
  </si>
  <si>
    <t xml:space="preserve">Y2022Q4</t>
  </si>
  <si>
    <t xml:space="preserve">Y2023Q1</t>
  </si>
  <si>
    <t xml:space="preserve">Y2023Q2</t>
  </si>
  <si>
    <t xml:space="preserve">Y2023Q3</t>
  </si>
  <si>
    <t xml:space="preserve">Y2023Q4</t>
  </si>
  <si>
    <t xml:space="preserve">Abilene, TX</t>
  </si>
  <si>
    <t xml:space="preserve">Alamogordo, NM</t>
  </si>
  <si>
    <t xml:space="preserve">Albany, GA</t>
  </si>
  <si>
    <t xml:space="preserve">Albany, OR</t>
  </si>
  <si>
    <t xml:space="preserve">Albert Lea, MN</t>
  </si>
  <si>
    <t xml:space="preserve">Alexandria, LA</t>
  </si>
  <si>
    <t xml:space="preserve">Alexandria, MN</t>
  </si>
  <si>
    <t xml:space="preserve">Alma, MI</t>
  </si>
  <si>
    <t xml:space="preserve">Altoona, PA</t>
  </si>
  <si>
    <t xml:space="preserve">Altus, OK</t>
  </si>
  <si>
    <t xml:space="preserve">Amarillo, TX</t>
  </si>
  <si>
    <t xml:space="preserve">Ames, IA</t>
  </si>
  <si>
    <t xml:space="preserve">Anchorage, AK</t>
  </si>
  <si>
    <t xml:space="preserve">Andrews, TX</t>
  </si>
  <si>
    <t xml:space="preserve">Angola, IN</t>
  </si>
  <si>
    <t xml:space="preserve">Anniston-Oxford, AL</t>
  </si>
  <si>
    <t xml:space="preserve">Appleton, WI</t>
  </si>
  <si>
    <t xml:space="preserve">Ardmore, OK</t>
  </si>
  <si>
    <t xml:space="preserve">Arkansas City-Winfield, KS</t>
  </si>
  <si>
    <t xml:space="preserve">Ashland, OH</t>
  </si>
  <si>
    <t xml:space="preserve">Astoria, OR</t>
  </si>
  <si>
    <t xml:space="preserve">Athens-Clarke County, GA</t>
  </si>
  <si>
    <t xml:space="preserve">Athens, OH</t>
  </si>
  <si>
    <t xml:space="preserve">Athens, TN</t>
  </si>
  <si>
    <t xml:space="preserve">Athens, TX</t>
  </si>
  <si>
    <t xml:space="preserve">Auburn, NY</t>
  </si>
  <si>
    <t xml:space="preserve">Auburn-Opelika, AL</t>
  </si>
  <si>
    <t xml:space="preserve">Austin, MN</t>
  </si>
  <si>
    <t xml:space="preserve">Bangor, ME</t>
  </si>
  <si>
    <t xml:space="preserve">Baraboo, WI</t>
  </si>
  <si>
    <t xml:space="preserve">Barnstable Town, MA</t>
  </si>
  <si>
    <t xml:space="preserve">Bartlesville, OK</t>
  </si>
  <si>
    <t xml:space="preserve">Batavia, NY</t>
  </si>
  <si>
    <t xml:space="preserve">Bay City, TX</t>
  </si>
  <si>
    <t xml:space="preserve">Beaumont-Port Arthur, TX</t>
  </si>
  <si>
    <t xml:space="preserve">Beaver Dam, WI</t>
  </si>
  <si>
    <t xml:space="preserve">Beckley, WV</t>
  </si>
  <si>
    <t xml:space="preserve">Beeville, TX</t>
  </si>
  <si>
    <t xml:space="preserve">Bellefontaine, OH</t>
  </si>
  <si>
    <t xml:space="preserve">Bellingham, WA</t>
  </si>
  <si>
    <t xml:space="preserve">Bend, OR</t>
  </si>
  <si>
    <t xml:space="preserve">Big Rapids, MI</t>
  </si>
  <si>
    <t xml:space="preserve">Big Spring, TX</t>
  </si>
  <si>
    <t xml:space="preserve">Billings, MT</t>
  </si>
  <si>
    <t xml:space="preserve">Binghamton, NY</t>
  </si>
  <si>
    <t xml:space="preserve">Bismarck, ND</t>
  </si>
  <si>
    <t xml:space="preserve">Blacksburg-Christiansburg-Radford, VA</t>
  </si>
  <si>
    <t xml:space="preserve">Bloomington, IL</t>
  </si>
  <si>
    <t xml:space="preserve">Bloomington, IN</t>
  </si>
  <si>
    <t xml:space="preserve">Bonham, TX</t>
  </si>
  <si>
    <t xml:space="preserve">Boone, NC</t>
  </si>
  <si>
    <t xml:space="preserve">Bowling Green, KY</t>
  </si>
  <si>
    <t xml:space="preserve">Bozeman, MT</t>
  </si>
  <si>
    <t xml:space="preserve">Brainerd, MN</t>
  </si>
  <si>
    <t xml:space="preserve">Branson, MO</t>
  </si>
  <si>
    <t xml:space="preserve">Breckenridge, CO</t>
  </si>
  <si>
    <t xml:space="preserve">Bremerton-Silverdale-Port Orchard, WA</t>
  </si>
  <si>
    <t xml:space="preserve">Brenham, TX</t>
  </si>
  <si>
    <t xml:space="preserve">Brookhaven, MS</t>
  </si>
  <si>
    <t xml:space="preserve">Brookings, SD</t>
  </si>
  <si>
    <t xml:space="preserve">Brownwood, TX</t>
  </si>
  <si>
    <t xml:space="preserve">Brunswick-St. Simons, GA</t>
  </si>
  <si>
    <t xml:space="preserve">Burlington, IA-IL</t>
  </si>
  <si>
    <t xml:space="preserve">Burlington-South Burlington, VT</t>
  </si>
  <si>
    <t xml:space="preserve">Canon City, CO</t>
  </si>
  <si>
    <t xml:space="preserve">Canton-Massillon, OH</t>
  </si>
  <si>
    <t xml:space="preserve">Carbondale/Marion-Herrin, IL</t>
  </si>
  <si>
    <t xml:space="preserve">Carlsbad-Artesia, NM</t>
  </si>
  <si>
    <t xml:space="preserve">Carson City, NV</t>
  </si>
  <si>
    <t xml:space="preserve">Casper, WY</t>
  </si>
  <si>
    <t xml:space="preserve">Cedar Rapids, IA</t>
  </si>
  <si>
    <t xml:space="preserve">Chambersburg, PA</t>
  </si>
  <si>
    <t xml:space="preserve">Charleston-Mattoon, IL</t>
  </si>
  <si>
    <t xml:space="preserve">Charleston, WV</t>
  </si>
  <si>
    <t xml:space="preserve">Charlottesville, VA</t>
  </si>
  <si>
    <t xml:space="preserve">Cheyenne, WY</t>
  </si>
  <si>
    <t xml:space="preserve">Chico, CA</t>
  </si>
  <si>
    <t xml:space="preserve">Chillicothe, OH</t>
  </si>
  <si>
    <t xml:space="preserve">Clarksville, TN-KY</t>
  </si>
  <si>
    <t xml:space="preserve">Cleveland, TN</t>
  </si>
  <si>
    <t xml:space="preserve">Clinton, IA</t>
  </si>
  <si>
    <t xml:space="preserve">Clovis, NM</t>
  </si>
  <si>
    <t xml:space="preserve">Coeur d'Alene, ID</t>
  </si>
  <si>
    <t xml:space="preserve">Coldwater, MI</t>
  </si>
  <si>
    <t xml:space="preserve">Columbia, MO</t>
  </si>
  <si>
    <t xml:space="preserve">Columbus, IN</t>
  </si>
  <si>
    <t xml:space="preserve">Columbus, MS</t>
  </si>
  <si>
    <t xml:space="preserve">Columbus, NE</t>
  </si>
  <si>
    <t xml:space="preserve">Cookeville, TN</t>
  </si>
  <si>
    <t xml:space="preserve">Cordele, GA</t>
  </si>
  <si>
    <t xml:space="preserve">Corning, NY</t>
  </si>
  <si>
    <t xml:space="preserve">Corsicana, TX</t>
  </si>
  <si>
    <t xml:space="preserve">Corvallis, OR</t>
  </si>
  <si>
    <t xml:space="preserve">Crawfordsville, IN</t>
  </si>
  <si>
    <t xml:space="preserve">Cullman, AL</t>
  </si>
  <si>
    <t xml:space="preserve">Dalton, GA</t>
  </si>
  <si>
    <t xml:space="preserve">Davenport-Moline-Rock Island, IA-IL</t>
  </si>
  <si>
    <t xml:space="preserve">Decatur, AL</t>
  </si>
  <si>
    <t xml:space="preserve">Decatur, IL</t>
  </si>
  <si>
    <t xml:space="preserve">Del Rio, TX</t>
  </si>
  <si>
    <t xml:space="preserve">DeRidder, LA</t>
  </si>
  <si>
    <t xml:space="preserve">Dickinson, ND</t>
  </si>
  <si>
    <t xml:space="preserve">Dothan, AL</t>
  </si>
  <si>
    <t xml:space="preserve">Dover, DE</t>
  </si>
  <si>
    <t xml:space="preserve">Duluth, MN-WI</t>
  </si>
  <si>
    <t xml:space="preserve">Durango, CO</t>
  </si>
  <si>
    <t xml:space="preserve">Durant, OK</t>
  </si>
  <si>
    <t xml:space="preserve">Eagle Pass, TX</t>
  </si>
  <si>
    <t xml:space="preserve">Easton, MD</t>
  </si>
  <si>
    <t xml:space="preserve">East Stroudsburg, PA</t>
  </si>
  <si>
    <t xml:space="preserve">Eau Claire, WI</t>
  </si>
  <si>
    <t xml:space="preserve">Edwards, CO</t>
  </si>
  <si>
    <t xml:space="preserve">El Campo, TX</t>
  </si>
  <si>
    <t xml:space="preserve">El Centro, CA</t>
  </si>
  <si>
    <t xml:space="preserve">El Dorado, AR</t>
  </si>
  <si>
    <t xml:space="preserve">Elizabeth City, NC</t>
  </si>
  <si>
    <t xml:space="preserve">Elizabethtown, KY</t>
  </si>
  <si>
    <t xml:space="preserve">Elk City, OK</t>
  </si>
  <si>
    <t xml:space="preserve">Elkhart-Goshen, IN</t>
  </si>
  <si>
    <t xml:space="preserve">Elko, NV</t>
  </si>
  <si>
    <t xml:space="preserve">Ellensburg, WA</t>
  </si>
  <si>
    <t xml:space="preserve">Elmira, NY</t>
  </si>
  <si>
    <t xml:space="preserve">Emporia, KS</t>
  </si>
  <si>
    <t xml:space="preserve">Enid, OK</t>
  </si>
  <si>
    <t xml:space="preserve">Enterprise, AL</t>
  </si>
  <si>
    <t xml:space="preserve">Erie, PA</t>
  </si>
  <si>
    <t xml:space="preserve">Evansville, IN</t>
  </si>
  <si>
    <t xml:space="preserve">Fairbanks-College, AK</t>
  </si>
  <si>
    <t xml:space="preserve">Fairmont, WV</t>
  </si>
  <si>
    <t xml:space="preserve">Faribault-Northfield, MN</t>
  </si>
  <si>
    <t xml:space="preserve">Farmington, MO</t>
  </si>
  <si>
    <t xml:space="preserve">Fergus Falls, MN</t>
  </si>
  <si>
    <t xml:space="preserve">Findlay, OH</t>
  </si>
  <si>
    <t xml:space="preserve">Flagstaff, AZ</t>
  </si>
  <si>
    <t xml:space="preserve">Florence-Muscle Shoals, AL</t>
  </si>
  <si>
    <t xml:space="preserve">Florence, SC</t>
  </si>
  <si>
    <t xml:space="preserve">Fond du Lac, WI</t>
  </si>
  <si>
    <t xml:space="preserve">Forrest City, AR</t>
  </si>
  <si>
    <t xml:space="preserve">Fort Dodge, IA</t>
  </si>
  <si>
    <t xml:space="preserve">Fort Leonard Wood, MO</t>
  </si>
  <si>
    <t xml:space="preserve">Fort Smith, AR-OK</t>
  </si>
  <si>
    <t xml:space="preserve">Frankfort, IN</t>
  </si>
  <si>
    <t xml:space="preserve">Fredericksburg, TX</t>
  </si>
  <si>
    <t xml:space="preserve">Fremont, OH</t>
  </si>
  <si>
    <t xml:space="preserve">Gadsden, AL</t>
  </si>
  <si>
    <t xml:space="preserve">Gaffney, SC</t>
  </si>
  <si>
    <t xml:space="preserve">Gainesville, GA</t>
  </si>
  <si>
    <t xml:space="preserve">Gainesville, TX</t>
  </si>
  <si>
    <t xml:space="preserve">Gillette, WY</t>
  </si>
  <si>
    <t xml:space="preserve">Glens Falls, NY</t>
  </si>
  <si>
    <t xml:space="preserve">Goldsboro, NC</t>
  </si>
  <si>
    <t xml:space="preserve">Grand Forks, ND-MN</t>
  </si>
  <si>
    <t xml:space="preserve">Grand Island, NE</t>
  </si>
  <si>
    <t xml:space="preserve">Grand Junction, CO</t>
  </si>
  <si>
    <t xml:space="preserve">Grants Pass, OR</t>
  </si>
  <si>
    <t xml:space="preserve">Great Falls, MT</t>
  </si>
  <si>
    <t xml:space="preserve">Greeley, CO</t>
  </si>
  <si>
    <t xml:space="preserve">Green Bay, WI</t>
  </si>
  <si>
    <t xml:space="preserve">Greensburg, IN</t>
  </si>
  <si>
    <t xml:space="preserve">Greenville, MS</t>
  </si>
  <si>
    <t xml:space="preserve">Greenville, NC</t>
  </si>
  <si>
    <t xml:space="preserve">Greenwood, SC</t>
  </si>
  <si>
    <t xml:space="preserve">Gulfport-Biloxi, MS</t>
  </si>
  <si>
    <t xml:space="preserve">Guymon, OK</t>
  </si>
  <si>
    <t xml:space="preserve">Hagerstown-Martinsburg, MD-WV</t>
  </si>
  <si>
    <t xml:space="preserve">Hailey, ID</t>
  </si>
  <si>
    <t xml:space="preserve">Hammond, LA</t>
  </si>
  <si>
    <t xml:space="preserve">Hanford-Corcoran, CA</t>
  </si>
  <si>
    <t xml:space="preserve">Harrison, AR</t>
  </si>
  <si>
    <t xml:space="preserve">Harrisonburg, VA</t>
  </si>
  <si>
    <t xml:space="preserve">Hattiesburg, MS</t>
  </si>
  <si>
    <t xml:space="preserve">Hays, KS</t>
  </si>
  <si>
    <t xml:space="preserve">Heber, UT</t>
  </si>
  <si>
    <t xml:space="preserve">Helena, MT</t>
  </si>
  <si>
    <t xml:space="preserve">Henderson, KY</t>
  </si>
  <si>
    <t xml:space="preserve">Henderson, NC</t>
  </si>
  <si>
    <t xml:space="preserve">Hermiston-Pendleton, OR</t>
  </si>
  <si>
    <t xml:space="preserve">Hickory-Lenoir-Morganton, NC</t>
  </si>
  <si>
    <t xml:space="preserve">Hilton Head Island-Bluffton-Port Royal, SC</t>
  </si>
  <si>
    <t xml:space="preserve">Hinesville, GA</t>
  </si>
  <si>
    <t xml:space="preserve">Hobbs, NM</t>
  </si>
  <si>
    <t xml:space="preserve">Hot Springs, AR</t>
  </si>
  <si>
    <t xml:space="preserve">Houma-Bayou Cane-Thibodaux, LA</t>
  </si>
  <si>
    <t xml:space="preserve">Huntington-Ashland, WV-KY-OH</t>
  </si>
  <si>
    <t xml:space="preserve">Huntsville, TX</t>
  </si>
  <si>
    <t xml:space="preserve">Hutchinson, KS</t>
  </si>
  <si>
    <t xml:space="preserve">Hutchinson, MN</t>
  </si>
  <si>
    <t xml:space="preserve">Idaho Falls, ID</t>
  </si>
  <si>
    <t xml:space="preserve">Indiana, PA</t>
  </si>
  <si>
    <t xml:space="preserve">Iowa City, IA</t>
  </si>
  <si>
    <t xml:space="preserve">Iron Mountain, MI-WI</t>
  </si>
  <si>
    <t xml:space="preserve">Ithaca, NY</t>
  </si>
  <si>
    <t xml:space="preserve">Jackson, MI</t>
  </si>
  <si>
    <t xml:space="preserve">Jackson, TN</t>
  </si>
  <si>
    <t xml:space="preserve">Jacksonville, NC</t>
  </si>
  <si>
    <t xml:space="preserve">Jacksonville, TX</t>
  </si>
  <si>
    <t xml:space="preserve">Jackson, WY-ID</t>
  </si>
  <si>
    <t xml:space="preserve">Jamestown, ND</t>
  </si>
  <si>
    <t xml:space="preserve">Janesville-Beloit, WI</t>
  </si>
  <si>
    <t xml:space="preserve">Jefferson City, MO</t>
  </si>
  <si>
    <t xml:space="preserve">Jefferson, GA</t>
  </si>
  <si>
    <t xml:space="preserve">Johnson City/Kingsport-Bristol, TN-VA</t>
  </si>
  <si>
    <t xml:space="preserve">Johnstown, PA</t>
  </si>
  <si>
    <t xml:space="preserve">Jonesboro, AR</t>
  </si>
  <si>
    <t xml:space="preserve">Joplin, MO-KS</t>
  </si>
  <si>
    <t xml:space="preserve">Juneau, AK</t>
  </si>
  <si>
    <t xml:space="preserve">Kahului-Wailuku, HI</t>
  </si>
  <si>
    <t xml:space="preserve">Kalispell, MT</t>
  </si>
  <si>
    <t xml:space="preserve">Kearney, NE</t>
  </si>
  <si>
    <t xml:space="preserve">Keene, NH</t>
  </si>
  <si>
    <t xml:space="preserve">Kennewick-Richland, WA</t>
  </si>
  <si>
    <t xml:space="preserve">Kerrville, TX</t>
  </si>
  <si>
    <t xml:space="preserve">Key West-Key Largo, FL</t>
  </si>
  <si>
    <t xml:space="preserve">Kill Devil Hills, NC</t>
  </si>
  <si>
    <t xml:space="preserve">Killeen-Temple, TX</t>
  </si>
  <si>
    <t xml:space="preserve">Kingsland, GA</t>
  </si>
  <si>
    <t xml:space="preserve">Kingston, NY</t>
  </si>
  <si>
    <t xml:space="preserve">Kingsville, TX</t>
  </si>
  <si>
    <t xml:space="preserve">Kokomo, IN</t>
  </si>
  <si>
    <t xml:space="preserve">La Crosse-Onalaska, WI-MN</t>
  </si>
  <si>
    <t xml:space="preserve">Lafayette/New Iberia, LA</t>
  </si>
  <si>
    <t xml:space="preserve">Lafayette-West Lafayette, IN</t>
  </si>
  <si>
    <t xml:space="preserve">LaGrange, GA-AL</t>
  </si>
  <si>
    <t xml:space="preserve">Lake Charles, LA</t>
  </si>
  <si>
    <t xml:space="preserve">Lake City, FL</t>
  </si>
  <si>
    <t xml:space="preserve">Lake Havasu City-Kingman, AZ</t>
  </si>
  <si>
    <t xml:space="preserve">Lake of the Woods, VA</t>
  </si>
  <si>
    <t xml:space="preserve">Lancaster, PA</t>
  </si>
  <si>
    <t xml:space="preserve">Laredo, TX</t>
  </si>
  <si>
    <t xml:space="preserve">Las Cruces, NM</t>
  </si>
  <si>
    <t xml:space="preserve">Laurel, MS</t>
  </si>
  <si>
    <t xml:space="preserve">Lawrence, KS</t>
  </si>
  <si>
    <t xml:space="preserve">Lawton, OK</t>
  </si>
  <si>
    <t xml:space="preserve">Lebanon-Claremont, NH-VT</t>
  </si>
  <si>
    <t xml:space="preserve">Lebanon, PA</t>
  </si>
  <si>
    <t xml:space="preserve">Lewisburg, TN</t>
  </si>
  <si>
    <t xml:space="preserve">Lewiston-Auburn, ME</t>
  </si>
  <si>
    <t xml:space="preserve">Lewiston, ID-WA</t>
  </si>
  <si>
    <t xml:space="preserve">Lexington Park, MD</t>
  </si>
  <si>
    <t xml:space="preserve">Lima, OH</t>
  </si>
  <si>
    <t xml:space="preserve">Logan, UT-ID</t>
  </si>
  <si>
    <t xml:space="preserve">Longview, TX</t>
  </si>
  <si>
    <t xml:space="preserve">Los Alamos, NM</t>
  </si>
  <si>
    <t xml:space="preserve">Ludington, MI</t>
  </si>
  <si>
    <t xml:space="preserve">Lufkin, TX</t>
  </si>
  <si>
    <t xml:space="preserve">Lumberton, NC</t>
  </si>
  <si>
    <t xml:space="preserve">Lynchburg, VA</t>
  </si>
  <si>
    <t xml:space="preserve">Manhattan, KS</t>
  </si>
  <si>
    <t xml:space="preserve">Mankato, MN</t>
  </si>
  <si>
    <t xml:space="preserve">Mansfield, OH</t>
  </si>
  <si>
    <t xml:space="preserve">Marietta, OH</t>
  </si>
  <si>
    <t xml:space="preserve">Marion, IN</t>
  </si>
  <si>
    <t xml:space="preserve">Marion, OH</t>
  </si>
  <si>
    <t xml:space="preserve">Marquette, MI</t>
  </si>
  <si>
    <t xml:space="preserve">Marshall, MN</t>
  </si>
  <si>
    <t xml:space="preserve">Martin, TN</t>
  </si>
  <si>
    <t xml:space="preserve">Mason City, IA</t>
  </si>
  <si>
    <t xml:space="preserve">Massena-Ogdensburg, NY</t>
  </si>
  <si>
    <t xml:space="preserve">McComb, MS</t>
  </si>
  <si>
    <t xml:space="preserve">McPherson, KS</t>
  </si>
  <si>
    <t xml:space="preserve">Meadville, PA</t>
  </si>
  <si>
    <t xml:space="preserve">Medford, OR</t>
  </si>
  <si>
    <t xml:space="preserve">Menomonie, WI</t>
  </si>
  <si>
    <t xml:space="preserve">Merced, CA</t>
  </si>
  <si>
    <t xml:space="preserve">Meridian, MS</t>
  </si>
  <si>
    <t xml:space="preserve">Michigan City-La Porte, IN</t>
  </si>
  <si>
    <t xml:space="preserve">Minot, ND</t>
  </si>
  <si>
    <t xml:space="preserve">Missoula, MT</t>
  </si>
  <si>
    <t xml:space="preserve">Mitchell, SD</t>
  </si>
  <si>
    <t xml:space="preserve">Modesto, CA</t>
  </si>
  <si>
    <t xml:space="preserve">Monroe, LA</t>
  </si>
  <si>
    <t xml:space="preserve">Monroe, MI</t>
  </si>
  <si>
    <t xml:space="preserve">Montgomery, AL</t>
  </si>
  <si>
    <t xml:space="preserve">Morehead City, NC</t>
  </si>
  <si>
    <t xml:space="preserve">Morgantown, WV</t>
  </si>
  <si>
    <t xml:space="preserve">Morristown, TN</t>
  </si>
  <si>
    <t xml:space="preserve">Moscow, ID</t>
  </si>
  <si>
    <t xml:space="preserve">Moses Lake, WA</t>
  </si>
  <si>
    <t xml:space="preserve">Mount Pleasant, MI</t>
  </si>
  <si>
    <t xml:space="preserve">Mount Pleasant, TX</t>
  </si>
  <si>
    <t xml:space="preserve">Mount Vernon-Anacortes, WA</t>
  </si>
  <si>
    <t xml:space="preserve">Mount Vernon, IL</t>
  </si>
  <si>
    <t xml:space="preserve">Mount Vernon, OH</t>
  </si>
  <si>
    <t xml:space="preserve">Muncie, IN</t>
  </si>
  <si>
    <t xml:space="preserve">Murrells Inlet, SC</t>
  </si>
  <si>
    <t xml:space="preserve">Muscatine, IA</t>
  </si>
  <si>
    <t xml:space="preserve">Nacogdoches, TX</t>
  </si>
  <si>
    <t xml:space="preserve">New Bern, NC</t>
  </si>
  <si>
    <t xml:space="preserve">New Castle, IN</t>
  </si>
  <si>
    <t xml:space="preserve">Niles, MI</t>
  </si>
  <si>
    <t xml:space="preserve">Norfolk, NE</t>
  </si>
  <si>
    <t xml:space="preserve">North Platte, NE</t>
  </si>
  <si>
    <t xml:space="preserve">Norwalk, OH</t>
  </si>
  <si>
    <t xml:space="preserve">Norwich-New London-Willimantic, CT</t>
  </si>
  <si>
    <t xml:space="preserve">Ocala, FL</t>
  </si>
  <si>
    <t xml:space="preserve">Olympia-Lacey-Tumwater, WA</t>
  </si>
  <si>
    <t xml:space="preserve">Orangeburg, SC</t>
  </si>
  <si>
    <t xml:space="preserve">Oshkosh-Neenah, WI</t>
  </si>
  <si>
    <t xml:space="preserve">Owatonna, MN</t>
  </si>
  <si>
    <t xml:space="preserve">Owensboro, KY</t>
  </si>
  <si>
    <t xml:space="preserve">Owosso, MI</t>
  </si>
  <si>
    <t xml:space="preserve">Oxford, MS</t>
  </si>
  <si>
    <t xml:space="preserve">Paducah, KY-IL</t>
  </si>
  <si>
    <t xml:space="preserve">Palatka, FL</t>
  </si>
  <si>
    <t xml:space="preserve">Panama City-Panama City Beach, FL</t>
  </si>
  <si>
    <t xml:space="preserve">Paris, TX</t>
  </si>
  <si>
    <t xml:space="preserve">Parkersburg-Vienna, WV</t>
  </si>
  <si>
    <t xml:space="preserve">Peoria, IL</t>
  </si>
  <si>
    <t xml:space="preserve">Peru, IN</t>
  </si>
  <si>
    <t xml:space="preserve">Pierre, SD</t>
  </si>
  <si>
    <t xml:space="preserve">Pine Bluff, AR</t>
  </si>
  <si>
    <t xml:space="preserve">Pinehurst-Southern Pines, NC</t>
  </si>
  <si>
    <t xml:space="preserve">Pocatello, ID</t>
  </si>
  <si>
    <t xml:space="preserve">Ponca City, OK</t>
  </si>
  <si>
    <t xml:space="preserve">Pottsville, PA</t>
  </si>
  <si>
    <t xml:space="preserve">Prescott Valley-Prescott, AZ</t>
  </si>
  <si>
    <t xml:space="preserve">Pueblo, CO</t>
  </si>
  <si>
    <t xml:space="preserve">Pullman, WA</t>
  </si>
  <si>
    <t xml:space="preserve">Rapid City, SD</t>
  </si>
  <si>
    <t xml:space="preserve">Reading, PA</t>
  </si>
  <si>
    <t xml:space="preserve">Red Bluff, CA</t>
  </si>
  <si>
    <t xml:space="preserve">Redding, CA</t>
  </si>
  <si>
    <t xml:space="preserve">Red Wing, MN</t>
  </si>
  <si>
    <t xml:space="preserve">Rexburg, ID</t>
  </si>
  <si>
    <t xml:space="preserve">Richmond-Berea, KY</t>
  </si>
  <si>
    <t xml:space="preserve">Richmond, IN</t>
  </si>
  <si>
    <t xml:space="preserve">Rifle, CO</t>
  </si>
  <si>
    <t xml:space="preserve">Roanoke, VA</t>
  </si>
  <si>
    <t xml:space="preserve">Rochester, MN</t>
  </si>
  <si>
    <t xml:space="preserve">Rockford, IL</t>
  </si>
  <si>
    <t xml:space="preserve">Rock Springs, WY</t>
  </si>
  <si>
    <t xml:space="preserve">Rocky Mount, NC</t>
  </si>
  <si>
    <t xml:space="preserve">Rome, GA</t>
  </si>
  <si>
    <t xml:space="preserve">Roswell, NM</t>
  </si>
  <si>
    <t xml:space="preserve">Russellville, AR</t>
  </si>
  <si>
    <t xml:space="preserve">Saginaw/Bay City/Midland, MI</t>
  </si>
  <si>
    <t xml:space="preserve">Salinas, CA</t>
  </si>
  <si>
    <t xml:space="preserve">San Angelo, TX</t>
  </si>
  <si>
    <t xml:space="preserve">Sandusky, OH</t>
  </si>
  <si>
    <t xml:space="preserve">Sanford, NC</t>
  </si>
  <si>
    <t xml:space="preserve">San Luis Obispo-Paso Robles, CA</t>
  </si>
  <si>
    <t xml:space="preserve">Santa Cruz-Watsonville, CA</t>
  </si>
  <si>
    <t xml:space="preserve">Santa Fe, NM</t>
  </si>
  <si>
    <t xml:space="preserve">Sault Ste. Marie, MI</t>
  </si>
  <si>
    <t xml:space="preserve">Scranton--Wilkes-Barre, PA</t>
  </si>
  <si>
    <t xml:space="preserve">Seneca Falls, NY</t>
  </si>
  <si>
    <t xml:space="preserve">Seneca, SC</t>
  </si>
  <si>
    <t xml:space="preserve">Sevierville, TN</t>
  </si>
  <si>
    <t xml:space="preserve">Seymour, IN</t>
  </si>
  <si>
    <t xml:space="preserve">Shawano, WI</t>
  </si>
  <si>
    <t xml:space="preserve">Sheboygan, WI</t>
  </si>
  <si>
    <t xml:space="preserve">Shelby-Kings Mountain, NC</t>
  </si>
  <si>
    <t xml:space="preserve">Shelton, WA</t>
  </si>
  <si>
    <t xml:space="preserve">Sherman-Denison, TX</t>
  </si>
  <si>
    <t xml:space="preserve">Sierra Vista-Douglas, AZ</t>
  </si>
  <si>
    <t xml:space="preserve">Sioux City/Le Mars, IA-NE-SD</t>
  </si>
  <si>
    <t xml:space="preserve">South Bend-Mishawaka, IN-MI</t>
  </si>
  <si>
    <t xml:space="preserve">Spencer, IA</t>
  </si>
  <si>
    <t xml:space="preserve">Springfield, IL</t>
  </si>
  <si>
    <t xml:space="preserve">Springfield, OH</t>
  </si>
  <si>
    <t xml:space="preserve">Starkville, MS</t>
  </si>
  <si>
    <t xml:space="preserve">State College, PA</t>
  </si>
  <si>
    <t xml:space="preserve">Statesboro, GA</t>
  </si>
  <si>
    <t xml:space="preserve">Staunton-Stuarts Draft, VA</t>
  </si>
  <si>
    <t xml:space="preserve">St. Cloud, MN</t>
  </si>
  <si>
    <t xml:space="preserve">Steamboat Springs, CO</t>
  </si>
  <si>
    <t xml:space="preserve">Stephenville, TX</t>
  </si>
  <si>
    <t xml:space="preserve">Stevens Point-Plover, WI</t>
  </si>
  <si>
    <t xml:space="preserve">St. George, UT</t>
  </si>
  <si>
    <t xml:space="preserve">Stillwater, OK</t>
  </si>
  <si>
    <t xml:space="preserve">St. Joseph, MO-KS</t>
  </si>
  <si>
    <t xml:space="preserve">Storm Lake, IA</t>
  </si>
  <si>
    <t xml:space="preserve">Sumter, SC</t>
  </si>
  <si>
    <t xml:space="preserve">Sunbury, PA</t>
  </si>
  <si>
    <t xml:space="preserve">Tahlequah, OK</t>
  </si>
  <si>
    <t xml:space="preserve">Talladega-Sylacauga, AL</t>
  </si>
  <si>
    <t xml:space="preserve">Terre Haute, IN</t>
  </si>
  <si>
    <t xml:space="preserve">Texarkana, TX-AR</t>
  </si>
  <si>
    <t xml:space="preserve">Thomasville, GA</t>
  </si>
  <si>
    <t xml:space="preserve">Tifton, GA</t>
  </si>
  <si>
    <t xml:space="preserve">Topeka, KS</t>
  </si>
  <si>
    <t xml:space="preserve">Town of Pecos, TX</t>
  </si>
  <si>
    <t xml:space="preserve">Traverse City, MI</t>
  </si>
  <si>
    <t xml:space="preserve">Troy, AL</t>
  </si>
  <si>
    <t xml:space="preserve">Truckee-Grass Valley, CA</t>
  </si>
  <si>
    <t xml:space="preserve">Tupelo, MS</t>
  </si>
  <si>
    <t xml:space="preserve">Tuscaloosa, AL</t>
  </si>
  <si>
    <t xml:space="preserve">Twin Falls, ID</t>
  </si>
  <si>
    <t xml:space="preserve">Tyler, TX</t>
  </si>
  <si>
    <t xml:space="preserve">Ukiah, CA</t>
  </si>
  <si>
    <t xml:space="preserve">Utica-Rome, NY</t>
  </si>
  <si>
    <t xml:space="preserve">Uvalde, TX</t>
  </si>
  <si>
    <t xml:space="preserve">Valdosta, GA</t>
  </si>
  <si>
    <t xml:space="preserve">Vernal, UT</t>
  </si>
  <si>
    <t xml:space="preserve">Vernon, TX</t>
  </si>
  <si>
    <t xml:space="preserve">Vicksburg, MS</t>
  </si>
  <si>
    <t xml:space="preserve">Victoria, TX</t>
  </si>
  <si>
    <t xml:space="preserve">Vineland, NJ</t>
  </si>
  <si>
    <t xml:space="preserve">Visalia, CA</t>
  </si>
  <si>
    <t xml:space="preserve">Waco, TX</t>
  </si>
  <si>
    <t xml:space="preserve">Walla Walla, WA</t>
  </si>
  <si>
    <t xml:space="preserve">Warrensburg, MO</t>
  </si>
  <si>
    <t xml:space="preserve">Warsaw, IN</t>
  </si>
  <si>
    <t xml:space="preserve">Waterloo-Cedar Falls, IA</t>
  </si>
  <si>
    <t xml:space="preserve">Watertown-Fort Atkinson, WI</t>
  </si>
  <si>
    <t xml:space="preserve">Watertown-Fort Drum, NY</t>
  </si>
  <si>
    <t xml:space="preserve">Watertown, SD</t>
  </si>
  <si>
    <t xml:space="preserve">Wausau, WI</t>
  </si>
  <si>
    <t xml:space="preserve">Weatherford, OK</t>
  </si>
  <si>
    <t xml:space="preserve">Wenatchee-East Wenatchee, WA</t>
  </si>
  <si>
    <t xml:space="preserve">Wheeling, WV-OH</t>
  </si>
  <si>
    <t xml:space="preserve">Whitewater-Elkhorn, WI</t>
  </si>
  <si>
    <t xml:space="preserve">Wichita Falls, TX</t>
  </si>
  <si>
    <t xml:space="preserve">Wildwood-The Villages, FL</t>
  </si>
  <si>
    <t xml:space="preserve">Williamsport, PA</t>
  </si>
  <si>
    <t xml:space="preserve">Williston, ND</t>
  </si>
  <si>
    <t xml:space="preserve">Willmar, MN</t>
  </si>
  <si>
    <t xml:space="preserve">Wilson, NC</t>
  </si>
  <si>
    <t xml:space="preserve">Winchester, VA-WV</t>
  </si>
  <si>
    <t xml:space="preserve">Winona, MN</t>
  </si>
  <si>
    <t xml:space="preserve">Wooster, OH</t>
  </si>
  <si>
    <t xml:space="preserve">Yakima, WA</t>
  </si>
  <si>
    <t xml:space="preserve">York-Hanover, PA</t>
  </si>
  <si>
    <t xml:space="preserve">Yuba City, CA</t>
  </si>
  <si>
    <t xml:space="preserve">Yuma, AZ</t>
  </si>
  <si>
    <t xml:space="preserve">Zanesville, OH</t>
  </si>
  <si>
    <t xml:space="preserve">Unit Starts</t>
  </si>
  <si>
    <t xml:space="preserve">Annual Unit Starts</t>
  </si>
  <si>
    <t xml:space="preserve">Forecast Walk — Effective RPSF path (same-store YOY chain), rent roll held flat</t>
  </si>
  <si>
    <t xml:space="preserve">Path(t) = Path(t-4) x (1 + RealPage same-store YOY fcst at t).  MtM(t) = Path(t) / Rent Roll PSF (Q2 26) - 1.</t>
  </si>
  <si>
    <t xml:space="preserve">Rent Roll PSF (Q2 26)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</si>
  <si>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</si>
  <si>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</si>
  <si>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</si>
  <si>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</si>
  <si>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</si>
  <si>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</si>
  <si>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</si>
  <si>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</si>
  <si>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</si>
  <si>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</si>
  <si>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</si>
  <si>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</si>
  <si>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</si>
  <si>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</si>
  <si>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</si>
  <si>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</si>
  <si>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</si>
  <si>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</si>
  <si>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MtM 2026 Q2</t>
  </si>
  <si>
    <t xml:space="preserve">MtM 2026 Q3</t>
  </si>
  <si>
    <t xml:space="preserve">MtM 2026 Q4</t>
  </si>
  <si>
    <t xml:space="preserve">MtM 2027 Q1</t>
  </si>
  <si>
    <t xml:space="preserve">MtM 2027 Q2</t>
  </si>
  <si>
    <t xml:space="preserve">MtM 2027 Q3</t>
  </si>
  <si>
    <t xml:space="preserve">MtM 2027 Q4</t>
  </si>
  <si>
    <t xml:space="preserve">MtM 2028 Q1</t>
  </si>
  <si>
    <t xml:space="preserve">MtM 2028 Q2</t>
  </si>
  <si>
    <t xml:space="preserve">MtM 2028 Q3</t>
  </si>
  <si>
    <t xml:space="preserve">MtM 2028 Q4</t>
  </si>
  <si>
    <t xml:space="preserve">MtM 2029 Q1</t>
  </si>
  <si>
    <t xml:space="preserve">MtM 2029 Q2</t>
  </si>
  <si>
    <t xml:space="preserve">MtM 2029 Q3</t>
  </si>
  <si>
    <t xml:space="preserve">MtM 2029 Q4</t>
  </si>
  <si>
    <t xml:space="preserve">Last UW Pos</t>
  </si>
  <si>
    <t xml:space="preserve">Years to Even</t>
  </si>
  <si>
    <t xml:space="preserve">Flag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</si>
</sst>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.000"/>
    <numFmt numFmtId="167" formatCode="0.0%"/>
    <numFmt numFmtId="168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8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7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3"/>
    <col collapsed="false" customWidth="true" hidden="false" outlineLevel="0" max="2" min="2" style="0" width="5.4"/>
    <col collapsed="false" customWidth="true" hidden="false" outlineLevel="0" max="3" min="3" style="0" width="46.9"/>
    <col collapsed="false" customWidth="true" hidden="false" outlineLevel="0" max="6" min="4" style="0" width="13.5"/>
    <col collapsed="false" customWidth="true" hidden="false" outlineLevel="0" max="17" min="7" style="0" width="14.5"/>
    <col collapsed="false" customWidth="true" hidden="false" outlineLevel="0" max="18" min="18" style="0" width="4"/>
    <col collapsed="false" customWidth="true" hidden="false" outlineLevel="0" max="22" min="19" style="0" width="14.5"/>
  </cols>
  <sheetData>
    <row r="2" customFormat="false" ht="16.15" hidden="false" customHeight="false" outlineLevel="0" collapsed="false">
      <c r="C2" s="1" t="s">
        <v>0</v>
      </c>
    </row>
    <row r="3" customFormat="false" ht="15" hidden="false" customHeight="false" outlineLevel="0" collapsed="false">
      <c r="C3" s="2" t="s">
        <v>1</v>
      </c>
    </row>
    <row r="4" customFormat="false" ht="54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/>
      <c r="S4" s="3" t="s">
        <v>18</v>
      </c>
      <c r="T4" s="3" t="s">
        <v>19</v>
      </c>
      <c r="U4" s="3" t="s">
        <v>20</v>
      </c>
      <c r="V4" s="3" t="s">
        <v>21</v>
      </c>
    </row>
    <row r="5" customFormat="false" ht="15" hidden="false" customHeight="false" outlineLevel="0" collapsed="false">
      <c r="B5" s="4" t="n">
        <f aca="false">ROW()-4</f>
        <v>1</v>
      </c>
      <c r="C5" s="5" t="s">
        <v>22</v>
      </c>
      <c r="D5" s="6" t="n">
        <f aca="false">SUMIFS('Realpage Data'!$R$2:$R$899,'Realpage Data'!$A$2:$A$899,$C5,'Realpage Data'!$F$2:$F$899,"Rent Roll (Rev/OSF)")</f>
        <v>1.56258378340267</v>
      </c>
      <c r="E5" s="6" t="n">
        <f aca="false">SUMIFS('Realpage Data'!$R$2:$R$899,'Realpage Data'!$A$2:$A$899,$C5,'Realpage Data'!$F$2:$F$899,"Asking RPSF")</f>
        <v>1.882</v>
      </c>
      <c r="F5" s="6" t="n">
        <f aca="false">SUMIFS('Realpage Data'!$R$2:$R$899,'Realpage Data'!$A$2:$A$899,$C5,'Realpage Data'!$F$2:$F$899,"Effective RPSF")</f>
        <v>1.861</v>
      </c>
      <c r="G5" s="7" t="n">
        <f aca="false">E5/$D5-1</f>
        <v>0.204415417585977</v>
      </c>
      <c r="H5" s="8" t="n">
        <f aca="false">F5/$D5-1</f>
        <v>0.190976138218652</v>
      </c>
      <c r="I5" s="7" t="n">
        <f aca="false">SUMIFS('RP - Unit Starts'!$AC$2:$AC$451,'RP - Unit Starts'!$A$2:$A$451,$C5,'RP - Unit Starts'!$F$2:$F$451,"Annual Unit Starts")/SUMIFS('RP - Unit Starts'!$AC$2:$AC$451,'RP - Unit Starts'!$A$2:$A$451,$C5,'RP - Unit Starts'!$F$2:$F$451,"Existing Units")</f>
        <v>0.0341178141869495</v>
      </c>
      <c r="J5" s="7" t="n">
        <f aca="false">SUMIFS('Realpage Data'!$V$2:$V$899,'Realpage Data'!$A$2:$A$899,$C5,'Realpage Data'!$F$2:$F$899,"Existing Units")/SUMIFS('Realpage Data'!$R$2:$R$899,'Realpage Data'!$A$2:$A$899,$C5,'Realpage Data'!$F$2:$F$899,"Existing Units")-1</f>
        <v>0.0353016384127285</v>
      </c>
      <c r="K5" s="7" t="n">
        <f aca="false">INDEX('Fcst Walk'!$J$5:$J$69,MATCH($C5,'Fcst Walk'!$A$5:$A$69,0))/INDEX('Fcst Walk'!$F$5:$F$69,MATCH($C5,'Fcst Walk'!$A$5:$A$69,0))-1</f>
        <v>0.0269999999999999</v>
      </c>
      <c r="L5" s="7" t="n">
        <f aca="false">INDEX('Fcst Walk'!$N$5:$N$69,MATCH($C5,'Fcst Walk'!$A$5:$A$69,0))/INDEX('Fcst Walk'!$J$5:$J$69,MATCH($C5,'Fcst Walk'!$A$5:$A$69,0))-1</f>
        <v>0.0269999999999999</v>
      </c>
      <c r="M5" s="7" t="n">
        <f aca="false">INDEX('Fcst Walk'!$R$5:$R$69,MATCH($C5,'Fcst Walk'!$A$5:$A$69,0))/INDEX('Fcst Walk'!$N$5:$N$69,MATCH($C5,'Fcst Walk'!$A$5:$A$69,0))-1</f>
        <v>0.028</v>
      </c>
      <c r="N5" s="7" t="n">
        <f aca="false">INDEX('Fcst Walk'!$J$5:$J$69,MATCH($C5,'Fcst Walk'!$A$5:$A$69,0))/$D5-1</f>
        <v>0.223132493950555</v>
      </c>
      <c r="O5" s="7" t="n">
        <f aca="false">INDEX('Fcst Walk'!$N$5:$N$69,MATCH($C5,'Fcst Walk'!$A$5:$A$69,0))/$D5-1</f>
        <v>0.256157071287221</v>
      </c>
      <c r="P5" s="7" t="n">
        <f aca="false">INDEX('Fcst Walk'!$R$5:$R$69,MATCH($C5,'Fcst Walk'!$A$5:$A$69,0))/$D5-1</f>
        <v>0.291329469283263</v>
      </c>
      <c r="Q5" s="9" t="n">
        <f aca="false">INDEX('Fcst Walk'!$AM$5:$AM$69,MATCH($C5,'Fcst Walk'!$A$5:$A$69,0))</f>
        <v>0</v>
      </c>
      <c r="R5" s="4" t="str">
        <f aca="false">INDEX('Fcst Walk'!$AN$5:$AN$69,MATCH($C5,'Fcst Walk'!$A$5:$A$69,0))</f>
        <v/>
      </c>
      <c r="S5" s="7" t="n">
        <f aca="false">AVERAGE(INDEX('Realpage - His. Rent Change'!$I$2:$AV$577,MATCH($C5,'Realpage - His. Rent Change'!$A$2:$A$577,0),0))</f>
        <v>0.051645</v>
      </c>
      <c r="T5" s="7"/>
      <c r="U5" s="7" t="n">
        <f aca="false">IF(T5="",S5,AVERAGE(S5,T5))</f>
        <v>0.051645</v>
      </c>
      <c r="V5" s="10" t="n">
        <f aca="false">IF(H5&gt;=0,0,-H5/U5)</f>
        <v>0</v>
      </c>
    </row>
    <row r="6" customFormat="false" ht="15" hidden="false" customHeight="false" outlineLevel="0" collapsed="false">
      <c r="B6" s="11" t="n">
        <f aca="false">ROW()-4</f>
        <v>2</v>
      </c>
      <c r="C6" s="12" t="s">
        <v>23</v>
      </c>
      <c r="D6" s="13" t="n">
        <f aca="false">SUMIFS('Realpage Data'!$R$2:$R$899,'Realpage Data'!$A$2:$A$899,$C6,'Realpage Data'!$F$2:$F$899,"Rent Roll (Rev/OSF)")</f>
        <v>1.11925917682504</v>
      </c>
      <c r="E6" s="13" t="n">
        <f aca="false">SUMIFS('Realpage Data'!$R$2:$R$899,'Realpage Data'!$A$2:$A$899,$C6,'Realpage Data'!$F$2:$F$899,"Asking RPSF")</f>
        <v>1.303</v>
      </c>
      <c r="F6" s="13" t="n">
        <f aca="false">SUMIFS('Realpage Data'!$R$2:$R$899,'Realpage Data'!$A$2:$A$899,$C6,'Realpage Data'!$F$2:$F$899,"Effective RPSF")</f>
        <v>1.284</v>
      </c>
      <c r="G6" s="14" t="n">
        <f aca="false">E6/$D6-1</f>
        <v>0.164162891830089</v>
      </c>
      <c r="H6" s="15" t="n">
        <f aca="false">F6/$D6-1</f>
        <v>0.14718737767447</v>
      </c>
      <c r="I6" s="14" t="n">
        <f aca="false">SUMIFS('RP - Unit Starts'!$AC$2:$AC$451,'RP - Unit Starts'!$A$2:$A$451,$C6,'RP - Unit Starts'!$F$2:$F$451,"Annual Unit Starts")/SUMIFS('RP - Unit Starts'!$AC$2:$AC$451,'RP - Unit Starts'!$A$2:$A$451,$C6,'RP - Unit Starts'!$F$2:$F$451,"Existing Units")</f>
        <v>0.00214276968287009</v>
      </c>
      <c r="J6" s="14" t="n">
        <f aca="false">SUMIFS('Realpage Data'!$V$2:$V$899,'Realpage Data'!$A$2:$A$899,$C6,'Realpage Data'!$F$2:$F$899,"Existing Units")/SUMIFS('Realpage Data'!$R$2:$R$899,'Realpage Data'!$A$2:$A$899,$C6,'Realpage Data'!$F$2:$F$899,"Existing Units")-1</f>
        <v>0.00655075303048847</v>
      </c>
      <c r="K6" s="14" t="n">
        <f aca="false">INDEX('Fcst Walk'!$J$5:$J$69,MATCH($C6,'Fcst Walk'!$A$5:$A$69,0))/INDEX('Fcst Walk'!$F$5:$F$69,MATCH($C6,'Fcst Walk'!$A$5:$A$69,0))-1</f>
        <v>0.028</v>
      </c>
      <c r="L6" s="14" t="n">
        <f aca="false">INDEX('Fcst Walk'!$N$5:$N$69,MATCH($C6,'Fcst Walk'!$A$5:$A$69,0))/INDEX('Fcst Walk'!$J$5:$J$69,MATCH($C6,'Fcst Walk'!$A$5:$A$69,0))-1</f>
        <v>0.022</v>
      </c>
      <c r="M6" s="14" t="n">
        <f aca="false">INDEX('Fcst Walk'!$R$5:$R$69,MATCH($C6,'Fcst Walk'!$A$5:$A$69,0))/INDEX('Fcst Walk'!$N$5:$N$69,MATCH($C6,'Fcst Walk'!$A$5:$A$69,0))-1</f>
        <v>0.0209999999999999</v>
      </c>
      <c r="N6" s="14" t="n">
        <f aca="false">INDEX('Fcst Walk'!$J$5:$J$69,MATCH($C6,'Fcst Walk'!$A$5:$A$69,0))/$D6-1</f>
        <v>0.179308624249355</v>
      </c>
      <c r="O6" s="14" t="n">
        <f aca="false">INDEX('Fcst Walk'!$N$5:$N$69,MATCH($C6,'Fcst Walk'!$A$5:$A$69,0))/$D6-1</f>
        <v>0.205253413982841</v>
      </c>
      <c r="P6" s="14" t="n">
        <f aca="false">INDEX('Fcst Walk'!$R$5:$R$69,MATCH($C6,'Fcst Walk'!$A$5:$A$69,0))/$D6-1</f>
        <v>0.23056373567648</v>
      </c>
      <c r="Q6" s="16" t="n">
        <f aca="false">INDEX('Fcst Walk'!$AM$5:$AM$69,MATCH($C6,'Fcst Walk'!$A$5:$A$69,0))</f>
        <v>0</v>
      </c>
      <c r="R6" s="11" t="str">
        <f aca="false">INDEX('Fcst Walk'!$AN$5:$AN$69,MATCH($C6,'Fcst Walk'!$A$5:$A$69,0))</f>
        <v/>
      </c>
      <c r="S6" s="14" t="n">
        <f aca="false">AVERAGE(INDEX('Realpage - His. Rent Change'!$I$2:$AV$577,MATCH($C6,'Realpage - His. Rent Change'!$A$2:$A$577,0),0))</f>
        <v>0.03717</v>
      </c>
      <c r="T6" s="14"/>
      <c r="U6" s="14" t="n">
        <f aca="false">IF(T6="",S6,AVERAGE(S6,T6))</f>
        <v>0.03717</v>
      </c>
      <c r="V6" s="17" t="n">
        <f aca="false">IF(H6&gt;=0,0,-H6/U6)</f>
        <v>0</v>
      </c>
    </row>
    <row r="7" customFormat="false" ht="15" hidden="false" customHeight="false" outlineLevel="0" collapsed="false">
      <c r="B7" s="4" t="n">
        <f aca="false">ROW()-4</f>
        <v>3</v>
      </c>
      <c r="C7" s="5" t="s">
        <v>24</v>
      </c>
      <c r="D7" s="6" t="n">
        <f aca="false">SUMIFS('Realpage Data'!$R$2:$R$899,'Realpage Data'!$A$2:$A$899,$C7,'Realpage Data'!$F$2:$F$899,"Rent Roll (Rev/OSF)")</f>
        <v>1.60177332888912</v>
      </c>
      <c r="E7" s="6" t="n">
        <f aca="false">SUMIFS('Realpage Data'!$R$2:$R$899,'Realpage Data'!$A$2:$A$899,$C7,'Realpage Data'!$F$2:$F$899,"Asking RPSF")</f>
        <v>1.819</v>
      </c>
      <c r="F7" s="6" t="n">
        <f aca="false">SUMIFS('Realpage Data'!$R$2:$R$899,'Realpage Data'!$A$2:$A$899,$C7,'Realpage Data'!$F$2:$F$899,"Effective RPSF")</f>
        <v>1.807</v>
      </c>
      <c r="G7" s="7" t="n">
        <f aca="false">E7/$D7-1</f>
        <v>0.135616361686787</v>
      </c>
      <c r="H7" s="8" t="n">
        <f aca="false">F7/$D7-1</f>
        <v>0.12812466496318</v>
      </c>
      <c r="I7" s="7" t="n">
        <f aca="false">SUMIFS('RP - Unit Starts'!$AC$2:$AC$451,'RP - Unit Starts'!$A$2:$A$451,$C7,'RP - Unit Starts'!$F$2:$F$451,"Annual Unit Starts")/SUMIFS('RP - Unit Starts'!$AC$2:$AC$451,'RP - Unit Starts'!$A$2:$A$451,$C7,'RP - Unit Starts'!$F$2:$F$451,"Existing Units")</f>
        <v>0.0111360831748568</v>
      </c>
      <c r="J7" s="7" t="n">
        <f aca="false">SUMIFS('Realpage Data'!$V$2:$V$899,'Realpage Data'!$A$2:$A$899,$C7,'Realpage Data'!$F$2:$F$899,"Existing Units")/SUMIFS('Realpage Data'!$R$2:$R$899,'Realpage Data'!$A$2:$A$899,$C7,'Realpage Data'!$F$2:$F$899,"Existing Units")-1</f>
        <v>0.0130318403748591</v>
      </c>
      <c r="K7" s="7" t="n">
        <f aca="false">INDEX('Fcst Walk'!$J$5:$J$69,MATCH($C7,'Fcst Walk'!$A$5:$A$69,0))/INDEX('Fcst Walk'!$F$5:$F$69,MATCH($C7,'Fcst Walk'!$A$5:$A$69,0))-1</f>
        <v>0.0349999999999999</v>
      </c>
      <c r="L7" s="7" t="n">
        <f aca="false">INDEX('Fcst Walk'!$N$5:$N$69,MATCH($C7,'Fcst Walk'!$A$5:$A$69,0))/INDEX('Fcst Walk'!$J$5:$J$69,MATCH($C7,'Fcst Walk'!$A$5:$A$69,0))-1</f>
        <v>0.0249999999999999</v>
      </c>
      <c r="M7" s="7" t="n">
        <f aca="false">INDEX('Fcst Walk'!$R$5:$R$69,MATCH($C7,'Fcst Walk'!$A$5:$A$69,0))/INDEX('Fcst Walk'!$N$5:$N$69,MATCH($C7,'Fcst Walk'!$A$5:$A$69,0))-1</f>
        <v>0.022</v>
      </c>
      <c r="N7" s="7" t="n">
        <f aca="false">INDEX('Fcst Walk'!$J$5:$J$69,MATCH($C7,'Fcst Walk'!$A$5:$A$69,0))/$D7-1</f>
        <v>0.167609028236891</v>
      </c>
      <c r="O7" s="7" t="n">
        <f aca="false">INDEX('Fcst Walk'!$N$5:$N$69,MATCH($C7,'Fcst Walk'!$A$5:$A$69,0))/$D7-1</f>
        <v>0.196799253942813</v>
      </c>
      <c r="P7" s="7" t="n">
        <f aca="false">INDEX('Fcst Walk'!$R$5:$R$69,MATCH($C7,'Fcst Walk'!$A$5:$A$69,0))/$D7-1</f>
        <v>0.223128837529555</v>
      </c>
      <c r="Q7" s="9" t="n">
        <f aca="false">INDEX('Fcst Walk'!$AM$5:$AM$69,MATCH($C7,'Fcst Walk'!$A$5:$A$69,0))</f>
        <v>0</v>
      </c>
      <c r="R7" s="4" t="str">
        <f aca="false">INDEX('Fcst Walk'!$AN$5:$AN$69,MATCH($C7,'Fcst Walk'!$A$5:$A$69,0))</f>
        <v/>
      </c>
      <c r="S7" s="7" t="n">
        <f aca="false">AVERAGE(INDEX('Realpage - His. Rent Change'!$I$2:$AV$577,MATCH($C7,'Realpage - His. Rent Change'!$A$2:$A$577,0),0))</f>
        <v>0.050155</v>
      </c>
      <c r="T7" s="7"/>
      <c r="U7" s="7" t="n">
        <f aca="false">IF(T7="",S7,AVERAGE(S7,T7))</f>
        <v>0.050155</v>
      </c>
      <c r="V7" s="10" t="n">
        <f aca="false">IF(H7&gt;=0,0,-H7/U7)</f>
        <v>0</v>
      </c>
    </row>
    <row r="8" customFormat="false" ht="15" hidden="false" customHeight="false" outlineLevel="0" collapsed="false">
      <c r="B8" s="11" t="n">
        <f aca="false">ROW()-4</f>
        <v>4</v>
      </c>
      <c r="C8" s="12" t="s">
        <v>25</v>
      </c>
      <c r="D8" s="13" t="n">
        <f aca="false">SUMIFS('Realpage Data'!$R$2:$R$899,'Realpage Data'!$A$2:$A$899,$C8,'Realpage Data'!$F$2:$F$899,"Rent Roll (Rev/OSF)")</f>
        <v>1.81967735778447</v>
      </c>
      <c r="E8" s="13" t="n">
        <f aca="false">SUMIFS('Realpage Data'!$R$2:$R$899,'Realpage Data'!$A$2:$A$899,$C8,'Realpage Data'!$F$2:$F$899,"Asking RPSF")</f>
        <v>2.025</v>
      </c>
      <c r="F8" s="13" t="n">
        <f aca="false">SUMIFS('Realpage Data'!$R$2:$R$899,'Realpage Data'!$A$2:$A$899,$C8,'Realpage Data'!$F$2:$F$899,"Effective RPSF")</f>
        <v>2.008</v>
      </c>
      <c r="G8" s="14" t="n">
        <f aca="false">E8/$D8-1</f>
        <v>0.112834641447385</v>
      </c>
      <c r="H8" s="15" t="n">
        <f aca="false">F8/$D8-1</f>
        <v>0.103492325938938</v>
      </c>
      <c r="I8" s="14" t="n">
        <f aca="false">SUMIFS('RP - Unit Starts'!$AC$2:$AC$451,'RP - Unit Starts'!$A$2:$A$451,$C8,'RP - Unit Starts'!$F$2:$F$451,"Annual Unit Starts")/SUMIFS('RP - Unit Starts'!$AC$2:$AC$451,'RP - Unit Starts'!$A$2:$A$451,$C8,'RP - Unit Starts'!$F$2:$F$451,"Existing Units")</f>
        <v>0.023921243904683</v>
      </c>
      <c r="J8" s="14" t="n">
        <f aca="false">SUMIFS('Realpage Data'!$V$2:$V$899,'Realpage Data'!$A$2:$A$899,$C8,'Realpage Data'!$F$2:$F$899,"Existing Units")/SUMIFS('Realpage Data'!$R$2:$R$899,'Realpage Data'!$A$2:$A$899,$C8,'Realpage Data'!$F$2:$F$899,"Existing Units")-1</f>
        <v>0.00563069279602546</v>
      </c>
      <c r="K8" s="14" t="n">
        <f aca="false">INDEX('Fcst Walk'!$J$5:$J$69,MATCH($C8,'Fcst Walk'!$A$5:$A$69,0))/INDEX('Fcst Walk'!$F$5:$F$69,MATCH($C8,'Fcst Walk'!$A$5:$A$69,0))-1</f>
        <v>0.034</v>
      </c>
      <c r="L8" s="14" t="n">
        <f aca="false">INDEX('Fcst Walk'!$N$5:$N$69,MATCH($C8,'Fcst Walk'!$A$5:$A$69,0))/INDEX('Fcst Walk'!$J$5:$J$69,MATCH($C8,'Fcst Walk'!$A$5:$A$69,0))-1</f>
        <v>0.0369999999999999</v>
      </c>
      <c r="M8" s="14" t="n">
        <f aca="false">INDEX('Fcst Walk'!$R$5:$R$69,MATCH($C8,'Fcst Walk'!$A$5:$A$69,0))/INDEX('Fcst Walk'!$N$5:$N$69,MATCH($C8,'Fcst Walk'!$A$5:$A$69,0))-1</f>
        <v>0.05</v>
      </c>
      <c r="N8" s="14" t="n">
        <f aca="false">INDEX('Fcst Walk'!$J$5:$J$69,MATCH($C8,'Fcst Walk'!$A$5:$A$69,0))/$D8-1</f>
        <v>0.141011065020862</v>
      </c>
      <c r="O8" s="14" t="n">
        <f aca="false">INDEX('Fcst Walk'!$N$5:$N$69,MATCH($C8,'Fcst Walk'!$A$5:$A$69,0))/$D8-1</f>
        <v>0.183228474426633</v>
      </c>
      <c r="P8" s="14" t="n">
        <f aca="false">INDEX('Fcst Walk'!$R$5:$R$69,MATCH($C8,'Fcst Walk'!$A$5:$A$69,0))/$D8-1</f>
        <v>0.242389898147965</v>
      </c>
      <c r="Q8" s="16" t="n">
        <f aca="false">INDEX('Fcst Walk'!$AM$5:$AM$69,MATCH($C8,'Fcst Walk'!$A$5:$A$69,0))</f>
        <v>0</v>
      </c>
      <c r="R8" s="11" t="str">
        <f aca="false">INDEX('Fcst Walk'!$AN$5:$AN$69,MATCH($C8,'Fcst Walk'!$A$5:$A$69,0))</f>
        <v/>
      </c>
      <c r="S8" s="14" t="n">
        <f aca="false">AVERAGE(INDEX('Realpage - His. Rent Change'!$I$2:$AV$577,MATCH($C8,'Realpage - His. Rent Change'!$A$2:$A$577,0),0))</f>
        <v>0.068635</v>
      </c>
      <c r="T8" s="14"/>
      <c r="U8" s="14" t="n">
        <f aca="false">IF(T8="",S8,AVERAGE(S8,T8))</f>
        <v>0.068635</v>
      </c>
      <c r="V8" s="17" t="n">
        <f aca="false">IF(H8&gt;=0,0,-H8/U8)</f>
        <v>0</v>
      </c>
    </row>
    <row r="9" customFormat="false" ht="15" hidden="false" customHeight="false" outlineLevel="0" collapsed="false">
      <c r="B9" s="4" t="n">
        <f aca="false">ROW()-4</f>
        <v>5</v>
      </c>
      <c r="C9" s="5" t="s">
        <v>26</v>
      </c>
      <c r="D9" s="6" t="n">
        <f aca="false">SUMIFS('Realpage Data'!$R$2:$R$899,'Realpage Data'!$A$2:$A$899,$C9,'Realpage Data'!$F$2:$F$899,"Rent Roll (Rev/OSF)")</f>
        <v>1.07233950025415</v>
      </c>
      <c r="E9" s="6" t="n">
        <f aca="false">SUMIFS('Realpage Data'!$R$2:$R$899,'Realpage Data'!$A$2:$A$899,$C9,'Realpage Data'!$F$2:$F$899,"Asking RPSF")</f>
        <v>1.176</v>
      </c>
      <c r="F9" s="6" t="n">
        <f aca="false">SUMIFS('Realpage Data'!$R$2:$R$899,'Realpage Data'!$A$2:$A$899,$C9,'Realpage Data'!$F$2:$F$899,"Effective RPSF")</f>
        <v>1.173</v>
      </c>
      <c r="G9" s="7" t="n">
        <f aca="false">E9/$D9-1</f>
        <v>0.0966676129353465</v>
      </c>
      <c r="H9" s="8" t="n">
        <f aca="false">F9/$D9-1</f>
        <v>0.0938699914737768</v>
      </c>
      <c r="I9" s="7" t="n">
        <f aca="false">SUMIFS('RP - Unit Starts'!$AC$2:$AC$451,'RP - Unit Starts'!$A$2:$A$451,$C9,'RP - Unit Starts'!$F$2:$F$451,"Annual Unit Starts")/SUMIFS('RP - Unit Starts'!$AC$2:$AC$451,'RP - Unit Starts'!$A$2:$A$451,$C9,'RP - Unit Starts'!$F$2:$F$451,"Existing Units")</f>
        <v>0.00388741638268333</v>
      </c>
      <c r="J9" s="7" t="n">
        <f aca="false">SUMIFS('Realpage Data'!$V$2:$V$899,'Realpage Data'!$A$2:$A$899,$C9,'Realpage Data'!$F$2:$F$899,"Existing Units")/SUMIFS('Realpage Data'!$R$2:$R$899,'Realpage Data'!$A$2:$A$899,$C9,'Realpage Data'!$F$2:$F$899,"Existing Units")-1</f>
        <v>0.00815347721822546</v>
      </c>
      <c r="K9" s="7" t="n">
        <f aca="false">INDEX('Fcst Walk'!$J$5:$J$69,MATCH($C9,'Fcst Walk'!$A$5:$A$69,0))/INDEX('Fcst Walk'!$F$5:$F$69,MATCH($C9,'Fcst Walk'!$A$5:$A$69,0))-1</f>
        <v>0.0249999999999999</v>
      </c>
      <c r="L9" s="7" t="n">
        <f aca="false">INDEX('Fcst Walk'!$N$5:$N$69,MATCH($C9,'Fcst Walk'!$A$5:$A$69,0))/INDEX('Fcst Walk'!$J$5:$J$69,MATCH($C9,'Fcst Walk'!$A$5:$A$69,0))-1</f>
        <v>0.026</v>
      </c>
      <c r="M9" s="7" t="n">
        <f aca="false">INDEX('Fcst Walk'!$R$5:$R$69,MATCH($C9,'Fcst Walk'!$A$5:$A$69,0))/INDEX('Fcst Walk'!$N$5:$N$69,MATCH($C9,'Fcst Walk'!$A$5:$A$69,0))-1</f>
        <v>0.026</v>
      </c>
      <c r="N9" s="7" t="n">
        <f aca="false">INDEX('Fcst Walk'!$J$5:$J$69,MATCH($C9,'Fcst Walk'!$A$5:$A$69,0))/$D9-1</f>
        <v>0.121216741260621</v>
      </c>
      <c r="O9" s="7" t="n">
        <f aca="false">INDEX('Fcst Walk'!$N$5:$N$69,MATCH($C9,'Fcst Walk'!$A$5:$A$69,0))/$D9-1</f>
        <v>0.150368376533397</v>
      </c>
      <c r="P9" s="7" t="n">
        <f aca="false">INDEX('Fcst Walk'!$R$5:$R$69,MATCH($C9,'Fcst Walk'!$A$5:$A$69,0))/$D9-1</f>
        <v>0.180277954323266</v>
      </c>
      <c r="Q9" s="9" t="n">
        <f aca="false">INDEX('Fcst Walk'!$AM$5:$AM$69,MATCH($C9,'Fcst Walk'!$A$5:$A$69,0))</f>
        <v>0</v>
      </c>
      <c r="R9" s="4" t="str">
        <f aca="false">INDEX('Fcst Walk'!$AN$5:$AN$69,MATCH($C9,'Fcst Walk'!$A$5:$A$69,0))</f>
        <v/>
      </c>
      <c r="S9" s="7" t="n">
        <f aca="false">AVERAGE(INDEX('Realpage - His. Rent Change'!$I$2:$AV$577,MATCH($C9,'Realpage - His. Rent Change'!$A$2:$A$577,0),0))</f>
        <v>0.0425925</v>
      </c>
      <c r="T9" s="7"/>
      <c r="U9" s="7" t="n">
        <f aca="false">IF(T9="",S9,AVERAGE(S9,T9))</f>
        <v>0.0425925</v>
      </c>
      <c r="V9" s="10" t="n">
        <f aca="false">IF(H9&gt;=0,0,-H9/U9)</f>
        <v>0</v>
      </c>
    </row>
    <row r="10" customFormat="false" ht="15" hidden="false" customHeight="false" outlineLevel="0" collapsed="false">
      <c r="B10" s="11" t="n">
        <f aca="false">ROW()-4</f>
        <v>6</v>
      </c>
      <c r="C10" s="12" t="s">
        <v>27</v>
      </c>
      <c r="D10" s="13" t="n">
        <f aca="false">SUMIFS('Realpage Data'!$R$2:$R$899,'Realpage Data'!$A$2:$A$899,$C10,'Realpage Data'!$F$2:$F$899,"Rent Roll (Rev/OSF)")</f>
        <v>1.57821759797185</v>
      </c>
      <c r="E10" s="13" t="n">
        <f aca="false">SUMIFS('Realpage Data'!$R$2:$R$899,'Realpage Data'!$A$2:$A$899,$C10,'Realpage Data'!$F$2:$F$899,"Asking RPSF")</f>
        <v>1.744</v>
      </c>
      <c r="F10" s="13" t="n">
        <f aca="false">SUMIFS('Realpage Data'!$R$2:$R$899,'Realpage Data'!$A$2:$A$899,$C10,'Realpage Data'!$F$2:$F$899,"Effective RPSF")</f>
        <v>1.695</v>
      </c>
      <c r="G10" s="14" t="n">
        <f aca="false">E10/$D10-1</f>
        <v>0.10504407138863</v>
      </c>
      <c r="H10" s="15" t="n">
        <f aca="false">F10/$D10-1</f>
        <v>0.0739963881902113</v>
      </c>
      <c r="I10" s="14" t="n">
        <f aca="false">SUMIFS('RP - Unit Starts'!$AC$2:$AC$451,'RP - Unit Starts'!$A$2:$A$451,$C10,'RP - Unit Starts'!$F$2:$F$451,"Annual Unit Starts")/SUMIFS('RP - Unit Starts'!$AC$2:$AC$451,'RP - Unit Starts'!$A$2:$A$451,$C10,'RP - Unit Starts'!$F$2:$F$451,"Existing Units")</f>
        <v>0.0114862955637186</v>
      </c>
      <c r="J10" s="14" t="n">
        <f aca="false">SUMIFS('Realpage Data'!$V$2:$V$899,'Realpage Data'!$A$2:$A$899,$C10,'Realpage Data'!$F$2:$F$899,"Existing Units")/SUMIFS('Realpage Data'!$R$2:$R$899,'Realpage Data'!$A$2:$A$899,$C10,'Realpage Data'!$F$2:$F$899,"Existing Units")-1</f>
        <v>0.0270274088725628</v>
      </c>
      <c r="K10" s="14" t="n">
        <f aca="false">INDEX('Fcst Walk'!$J$5:$J$69,MATCH($C10,'Fcst Walk'!$A$5:$A$69,0))/INDEX('Fcst Walk'!$F$5:$F$69,MATCH($C10,'Fcst Walk'!$A$5:$A$69,0))-1</f>
        <v>0.0209999999999999</v>
      </c>
      <c r="L10" s="14" t="n">
        <f aca="false">INDEX('Fcst Walk'!$N$5:$N$69,MATCH($C10,'Fcst Walk'!$A$5:$A$69,0))/INDEX('Fcst Walk'!$J$5:$J$69,MATCH($C10,'Fcst Walk'!$A$5:$A$69,0))-1</f>
        <v>0.0229999999999999</v>
      </c>
      <c r="M10" s="14" t="n">
        <f aca="false">INDEX('Fcst Walk'!$R$5:$R$69,MATCH($C10,'Fcst Walk'!$A$5:$A$69,0))/INDEX('Fcst Walk'!$N$5:$N$69,MATCH($C10,'Fcst Walk'!$A$5:$A$69,0))-1</f>
        <v>0.024</v>
      </c>
      <c r="N10" s="14" t="n">
        <f aca="false">INDEX('Fcst Walk'!$J$5:$J$69,MATCH($C10,'Fcst Walk'!$A$5:$A$69,0))/$D10-1</f>
        <v>0.0965503123422056</v>
      </c>
      <c r="O10" s="14" t="n">
        <f aca="false">INDEX('Fcst Walk'!$N$5:$N$69,MATCH($C10,'Fcst Walk'!$A$5:$A$69,0))/$D10-1</f>
        <v>0.121770969526076</v>
      </c>
      <c r="P10" s="14" t="n">
        <f aca="false">INDEX('Fcst Walk'!$R$5:$R$69,MATCH($C10,'Fcst Walk'!$A$5:$A$69,0))/$D10-1</f>
        <v>0.148693472794702</v>
      </c>
      <c r="Q10" s="16" t="n">
        <f aca="false">INDEX('Fcst Walk'!$AM$5:$AM$69,MATCH($C10,'Fcst Walk'!$A$5:$A$69,0))</f>
        <v>0</v>
      </c>
      <c r="R10" s="11" t="str">
        <f aca="false">INDEX('Fcst Walk'!$AN$5:$AN$69,MATCH($C10,'Fcst Walk'!$A$5:$A$69,0))</f>
        <v/>
      </c>
      <c r="S10" s="14" t="n">
        <f aca="false">AVERAGE(INDEX('Realpage - His. Rent Change'!$I$2:$AV$577,MATCH($C10,'Realpage - His. Rent Change'!$A$2:$A$577,0),0))</f>
        <v>0.05343</v>
      </c>
      <c r="T10" s="18" t="n">
        <v>0.0423</v>
      </c>
      <c r="U10" s="14" t="n">
        <f aca="false">IF(T10="",S10,AVERAGE(S10,T10))</f>
        <v>0.047865</v>
      </c>
      <c r="V10" s="17" t="n">
        <f aca="false">IF(H10&gt;=0,0,-H10/U10)</f>
        <v>0</v>
      </c>
    </row>
    <row r="11" customFormat="false" ht="15" hidden="false" customHeight="false" outlineLevel="0" collapsed="false">
      <c r="B11" s="4" t="n">
        <f aca="false">ROW()-4</f>
        <v>7</v>
      </c>
      <c r="C11" s="5" t="s">
        <v>28</v>
      </c>
      <c r="D11" s="6" t="n">
        <f aca="false">SUMIFS('Realpage Data'!$R$2:$R$899,'Realpage Data'!$A$2:$A$899,$C11,'Realpage Data'!$F$2:$F$899,"Rent Roll (Rev/OSF)")</f>
        <v>1.76337901828346</v>
      </c>
      <c r="E11" s="6" t="n">
        <f aca="false">SUMIFS('Realpage Data'!$R$2:$R$899,'Realpage Data'!$A$2:$A$899,$C11,'Realpage Data'!$F$2:$F$899,"Asking RPSF")</f>
        <v>1.923</v>
      </c>
      <c r="F11" s="6" t="n">
        <f aca="false">SUMIFS('Realpage Data'!$R$2:$R$899,'Realpage Data'!$A$2:$A$899,$C11,'Realpage Data'!$F$2:$F$899,"Effective RPSF")</f>
        <v>1.877</v>
      </c>
      <c r="G11" s="7" t="n">
        <f aca="false">E11/$D11-1</f>
        <v>0.090519950652423</v>
      </c>
      <c r="H11" s="8" t="n">
        <f aca="false">F11/$D11-1</f>
        <v>0.0644336699815902</v>
      </c>
      <c r="I11" s="7" t="n">
        <f aca="false">SUMIFS('RP - Unit Starts'!$AC$2:$AC$451,'RP - Unit Starts'!$A$2:$A$451,$C11,'RP - Unit Starts'!$F$2:$F$451,"Annual Unit Starts")/SUMIFS('RP - Unit Starts'!$AC$2:$AC$451,'RP - Unit Starts'!$A$2:$A$451,$C11,'RP - Unit Starts'!$F$2:$F$451,"Existing Units")</f>
        <v>0.00916234337550438</v>
      </c>
      <c r="J11" s="7" t="n">
        <f aca="false">SUMIFS('Realpage Data'!$V$2:$V$899,'Realpage Data'!$A$2:$A$899,$C11,'Realpage Data'!$F$2:$F$899,"Existing Units")/SUMIFS('Realpage Data'!$R$2:$R$899,'Realpage Data'!$A$2:$A$899,$C11,'Realpage Data'!$F$2:$F$899,"Existing Units")-1</f>
        <v>0.0118625041715967</v>
      </c>
      <c r="K11" s="7" t="n">
        <f aca="false">INDEX('Fcst Walk'!$J$5:$J$69,MATCH($C11,'Fcst Walk'!$A$5:$A$69,0))/INDEX('Fcst Walk'!$F$5:$F$69,MATCH($C11,'Fcst Walk'!$A$5:$A$69,0))-1</f>
        <v>0.02</v>
      </c>
      <c r="L11" s="7" t="n">
        <f aca="false">INDEX('Fcst Walk'!$N$5:$N$69,MATCH($C11,'Fcst Walk'!$A$5:$A$69,0))/INDEX('Fcst Walk'!$J$5:$J$69,MATCH($C11,'Fcst Walk'!$A$5:$A$69,0))-1</f>
        <v>0.0389999999999999</v>
      </c>
      <c r="M11" s="7" t="n">
        <f aca="false">INDEX('Fcst Walk'!$R$5:$R$69,MATCH($C11,'Fcst Walk'!$A$5:$A$69,0))/INDEX('Fcst Walk'!$N$5:$N$69,MATCH($C11,'Fcst Walk'!$A$5:$A$69,0))-1</f>
        <v>0.042</v>
      </c>
      <c r="N11" s="7" t="n">
        <f aca="false">INDEX('Fcst Walk'!$J$5:$J$69,MATCH($C11,'Fcst Walk'!$A$5:$A$69,0))/$D11-1</f>
        <v>0.085722343381222</v>
      </c>
      <c r="O11" s="7" t="n">
        <f aca="false">INDEX('Fcst Walk'!$N$5:$N$69,MATCH($C11,'Fcst Walk'!$A$5:$A$69,0))/$D11-1</f>
        <v>0.12806551477309</v>
      </c>
      <c r="P11" s="7" t="n">
        <f aca="false">INDEX('Fcst Walk'!$R$5:$R$69,MATCH($C11,'Fcst Walk'!$A$5:$A$69,0))/$D11-1</f>
        <v>0.175444266393559</v>
      </c>
      <c r="Q11" s="9" t="n">
        <f aca="false">INDEX('Fcst Walk'!$AM$5:$AM$69,MATCH($C11,'Fcst Walk'!$A$5:$A$69,0))</f>
        <v>0</v>
      </c>
      <c r="R11" s="4" t="str">
        <f aca="false">INDEX('Fcst Walk'!$AN$5:$AN$69,MATCH($C11,'Fcst Walk'!$A$5:$A$69,0))</f>
        <v/>
      </c>
      <c r="S11" s="7" t="n">
        <f aca="false">AVERAGE(INDEX('Realpage - His. Rent Change'!$I$2:$AV$577,MATCH($C11,'Realpage - His. Rent Change'!$A$2:$A$577,0),0))</f>
        <v>0.07217</v>
      </c>
      <c r="T11" s="7"/>
      <c r="U11" s="7" t="n">
        <f aca="false">IF(T11="",S11,AVERAGE(S11,T11))</f>
        <v>0.07217</v>
      </c>
      <c r="V11" s="10" t="n">
        <f aca="false">IF(H11&gt;=0,0,-H11/U11)</f>
        <v>0</v>
      </c>
    </row>
    <row r="12" customFormat="false" ht="15" hidden="false" customHeight="false" outlineLevel="0" collapsed="false">
      <c r="B12" s="11" t="n">
        <f aca="false">ROW()-4</f>
        <v>8</v>
      </c>
      <c r="C12" s="12" t="s">
        <v>29</v>
      </c>
      <c r="D12" s="13" t="n">
        <f aca="false">SUMIFS('Realpage Data'!$R$2:$R$899,'Realpage Data'!$A$2:$A$899,$C12,'Realpage Data'!$F$2:$F$899,"Rent Roll (Rev/OSF)")</f>
        <v>1.42323320809454</v>
      </c>
      <c r="E12" s="13" t="n">
        <f aca="false">SUMIFS('Realpage Data'!$R$2:$R$899,'Realpage Data'!$A$2:$A$899,$C12,'Realpage Data'!$F$2:$F$899,"Asking RPSF")</f>
        <v>1.511</v>
      </c>
      <c r="F12" s="13" t="n">
        <f aca="false">SUMIFS('Realpage Data'!$R$2:$R$899,'Realpage Data'!$A$2:$A$899,$C12,'Realpage Data'!$F$2:$F$899,"Effective RPSF")</f>
        <v>1.494</v>
      </c>
      <c r="G12" s="14" t="n">
        <f aca="false">E12/$D12-1</f>
        <v>0.0616671894713337</v>
      </c>
      <c r="H12" s="15" t="n">
        <f aca="false">F12/$D12-1</f>
        <v>0.0497225553078573</v>
      </c>
      <c r="I12" s="14" t="n">
        <f aca="false">SUMIFS('RP - Unit Starts'!$AC$2:$AC$451,'RP - Unit Starts'!$A$2:$A$451,$C12,'RP - Unit Starts'!$F$2:$F$451,"Annual Unit Starts")/SUMIFS('RP - Unit Starts'!$AC$2:$AC$451,'RP - Unit Starts'!$A$2:$A$451,$C12,'RP - Unit Starts'!$F$2:$F$451,"Existing Units")</f>
        <v>0.0181358460363081</v>
      </c>
      <c r="J12" s="14" t="n">
        <f aca="false">SUMIFS('Realpage Data'!$V$2:$V$899,'Realpage Data'!$A$2:$A$899,$C12,'Realpage Data'!$F$2:$F$899,"Existing Units")/SUMIFS('Realpage Data'!$R$2:$R$899,'Realpage Data'!$A$2:$A$899,$C12,'Realpage Data'!$F$2:$F$899,"Existing Units")-1</f>
        <v>0.0285498599337868</v>
      </c>
      <c r="K12" s="14" t="n">
        <f aca="false">INDEX('Fcst Walk'!$J$5:$J$69,MATCH($C12,'Fcst Walk'!$A$5:$A$69,0))/INDEX('Fcst Walk'!$F$5:$F$69,MATCH($C12,'Fcst Walk'!$A$5:$A$69,0))-1</f>
        <v>0.0209999999999999</v>
      </c>
      <c r="L12" s="14" t="n">
        <f aca="false">INDEX('Fcst Walk'!$N$5:$N$69,MATCH($C12,'Fcst Walk'!$A$5:$A$69,0))/INDEX('Fcst Walk'!$J$5:$J$69,MATCH($C12,'Fcst Walk'!$A$5:$A$69,0))-1</f>
        <v>0.0309999999999999</v>
      </c>
      <c r="M12" s="14" t="n">
        <f aca="false">INDEX('Fcst Walk'!$R$5:$R$69,MATCH($C12,'Fcst Walk'!$A$5:$A$69,0))/INDEX('Fcst Walk'!$N$5:$N$69,MATCH($C12,'Fcst Walk'!$A$5:$A$69,0))-1</f>
        <v>0.0309999999999999</v>
      </c>
      <c r="N12" s="14" t="n">
        <f aca="false">INDEX('Fcst Walk'!$J$5:$J$69,MATCH($C12,'Fcst Walk'!$A$5:$A$69,0))/$D12-1</f>
        <v>0.0717667289693222</v>
      </c>
      <c r="O12" s="14" t="n">
        <f aca="false">INDEX('Fcst Walk'!$N$5:$N$69,MATCH($C12,'Fcst Walk'!$A$5:$A$69,0))/$D12-1</f>
        <v>0.104991497567371</v>
      </c>
      <c r="P12" s="14" t="n">
        <f aca="false">INDEX('Fcst Walk'!$R$5:$R$69,MATCH($C12,'Fcst Walk'!$A$5:$A$69,0))/$D12-1</f>
        <v>0.139246233991959</v>
      </c>
      <c r="Q12" s="16" t="n">
        <f aca="false">INDEX('Fcst Walk'!$AM$5:$AM$69,MATCH($C12,'Fcst Walk'!$A$5:$A$69,0))</f>
        <v>0</v>
      </c>
      <c r="R12" s="11" t="str">
        <f aca="false">INDEX('Fcst Walk'!$AN$5:$AN$69,MATCH($C12,'Fcst Walk'!$A$5:$A$69,0))</f>
        <v/>
      </c>
      <c r="S12" s="14" t="n">
        <f aca="false">AVERAGE(INDEX('Realpage - His. Rent Change'!$I$2:$AV$577,MATCH($C12,'Realpage - His. Rent Change'!$A$2:$A$577,0),0))</f>
        <v>0.057095</v>
      </c>
      <c r="T12" s="18" t="n">
        <v>0.044</v>
      </c>
      <c r="U12" s="14" t="n">
        <f aca="false">IF(T12="",S12,AVERAGE(S12,T12))</f>
        <v>0.0505475</v>
      </c>
      <c r="V12" s="17" t="n">
        <f aca="false">IF(H12&gt;=0,0,-H12/U12)</f>
        <v>0</v>
      </c>
    </row>
    <row r="13" customFormat="false" ht="15" hidden="false" customHeight="false" outlineLevel="0" collapsed="false">
      <c r="B13" s="4" t="n">
        <f aca="false">ROW()-4</f>
        <v>9</v>
      </c>
      <c r="C13" s="5" t="s">
        <v>30</v>
      </c>
      <c r="D13" s="6" t="n">
        <f aca="false">SUMIFS('Realpage Data'!$R$2:$R$899,'Realpage Data'!$A$2:$A$899,$C13,'Realpage Data'!$F$2:$F$899,"Rent Roll (Rev/OSF)")</f>
        <v>1.74321933907364</v>
      </c>
      <c r="E13" s="6" t="n">
        <f aca="false">SUMIFS('Realpage Data'!$R$2:$R$899,'Realpage Data'!$A$2:$A$899,$C13,'Realpage Data'!$F$2:$F$899,"Asking RPSF")</f>
        <v>1.838</v>
      </c>
      <c r="F13" s="6" t="n">
        <f aca="false">SUMIFS('Realpage Data'!$R$2:$R$899,'Realpage Data'!$A$2:$A$899,$C13,'Realpage Data'!$F$2:$F$899,"Effective RPSF")</f>
        <v>1.824</v>
      </c>
      <c r="G13" s="7" t="n">
        <f aca="false">E13/$D13-1</f>
        <v>0.0543710471779928</v>
      </c>
      <c r="H13" s="8" t="n">
        <f aca="false">F13/$D13-1</f>
        <v>0.0463399292995967</v>
      </c>
      <c r="I13" s="7" t="n">
        <f aca="false">SUMIFS('RP - Unit Starts'!$AC$2:$AC$451,'RP - Unit Starts'!$A$2:$A$451,$C13,'RP - Unit Starts'!$F$2:$F$451,"Annual Unit Starts")/SUMIFS('RP - Unit Starts'!$AC$2:$AC$451,'RP - Unit Starts'!$A$2:$A$451,$C13,'RP - Unit Starts'!$F$2:$F$451,"Existing Units")</f>
        <v>0.0119812683704479</v>
      </c>
      <c r="J13" s="7" t="n">
        <f aca="false">SUMIFS('Realpage Data'!$V$2:$V$899,'Realpage Data'!$A$2:$A$899,$C13,'Realpage Data'!$F$2:$F$899,"Existing Units")/SUMIFS('Realpage Data'!$R$2:$R$899,'Realpage Data'!$A$2:$A$899,$C13,'Realpage Data'!$F$2:$F$899,"Existing Units")-1</f>
        <v>0.014347631146316</v>
      </c>
      <c r="K13" s="7" t="n">
        <f aca="false">INDEX('Fcst Walk'!$J$5:$J$69,MATCH($C13,'Fcst Walk'!$A$5:$A$69,0))/INDEX('Fcst Walk'!$F$5:$F$69,MATCH($C13,'Fcst Walk'!$A$5:$A$69,0))-1</f>
        <v>0.0549999999999999</v>
      </c>
      <c r="L13" s="7" t="n">
        <f aca="false">INDEX('Fcst Walk'!$N$5:$N$69,MATCH($C13,'Fcst Walk'!$A$5:$A$69,0))/INDEX('Fcst Walk'!$J$5:$J$69,MATCH($C13,'Fcst Walk'!$A$5:$A$69,0))-1</f>
        <v>0.044</v>
      </c>
      <c r="M13" s="7" t="n">
        <f aca="false">INDEX('Fcst Walk'!$R$5:$R$69,MATCH($C13,'Fcst Walk'!$A$5:$A$69,0))/INDEX('Fcst Walk'!$N$5:$N$69,MATCH($C13,'Fcst Walk'!$A$5:$A$69,0))-1</f>
        <v>0.044</v>
      </c>
      <c r="N13" s="7" t="n">
        <f aca="false">INDEX('Fcst Walk'!$J$5:$J$69,MATCH($C13,'Fcst Walk'!$A$5:$A$69,0))/$D13-1</f>
        <v>0.103888625411074</v>
      </c>
      <c r="O13" s="7" t="n">
        <f aca="false">INDEX('Fcst Walk'!$N$5:$N$69,MATCH($C13,'Fcst Walk'!$A$5:$A$69,0))/$D13-1</f>
        <v>0.152459724929162</v>
      </c>
      <c r="P13" s="7" t="n">
        <f aca="false">INDEX('Fcst Walk'!$R$5:$R$69,MATCH($C13,'Fcst Walk'!$A$5:$A$69,0))/$D13-1</f>
        <v>0.203167952826045</v>
      </c>
      <c r="Q13" s="9" t="n">
        <f aca="false">INDEX('Fcst Walk'!$AM$5:$AM$69,MATCH($C13,'Fcst Walk'!$A$5:$A$69,0))</f>
        <v>0</v>
      </c>
      <c r="R13" s="4" t="str">
        <f aca="false">INDEX('Fcst Walk'!$AN$5:$AN$69,MATCH($C13,'Fcst Walk'!$A$5:$A$69,0))</f>
        <v/>
      </c>
      <c r="S13" s="7" t="n">
        <f aca="false">AVERAGE(INDEX('Realpage - His. Rent Change'!$I$2:$AV$577,MATCH($C13,'Realpage - His. Rent Change'!$A$2:$A$577,0),0))</f>
        <v>0.0689675</v>
      </c>
      <c r="T13" s="7"/>
      <c r="U13" s="7" t="n">
        <f aca="false">IF(T13="",S13,AVERAGE(S13,T13))</f>
        <v>0.0689675</v>
      </c>
      <c r="V13" s="10" t="n">
        <f aca="false">IF(H13&gt;=0,0,-H13/U13)</f>
        <v>0</v>
      </c>
    </row>
    <row r="14" customFormat="false" ht="15" hidden="false" customHeight="false" outlineLevel="0" collapsed="false">
      <c r="B14" s="11" t="n">
        <f aca="false">ROW()-4</f>
        <v>10</v>
      </c>
      <c r="C14" s="12" t="s">
        <v>31</v>
      </c>
      <c r="D14" s="13" t="n">
        <f aca="false">SUMIFS('Realpage Data'!$R$2:$R$899,'Realpage Data'!$A$2:$A$899,$C14,'Realpage Data'!$F$2:$F$899,"Rent Roll (Rev/OSF)")</f>
        <v>1.71619874132329</v>
      </c>
      <c r="E14" s="13" t="n">
        <f aca="false">SUMIFS('Realpage Data'!$R$2:$R$899,'Realpage Data'!$A$2:$A$899,$C14,'Realpage Data'!$F$2:$F$899,"Asking RPSF")</f>
        <v>1.812</v>
      </c>
      <c r="F14" s="13" t="n">
        <f aca="false">SUMIFS('Realpage Data'!$R$2:$R$899,'Realpage Data'!$A$2:$A$899,$C14,'Realpage Data'!$F$2:$F$899,"Effective RPSF")</f>
        <v>1.793</v>
      </c>
      <c r="G14" s="14" t="n">
        <f aca="false">E14/$D14-1</f>
        <v>0.0558217742327696</v>
      </c>
      <c r="H14" s="15" t="n">
        <f aca="false">F14/$D14-1</f>
        <v>0.044750795363883</v>
      </c>
      <c r="I14" s="14" t="n">
        <f aca="false">SUMIFS('RP - Unit Starts'!$AC$2:$AC$451,'RP - Unit Starts'!$A$2:$A$451,$C14,'RP - Unit Starts'!$F$2:$F$451,"Annual Unit Starts")/SUMIFS('RP - Unit Starts'!$AC$2:$AC$451,'RP - Unit Starts'!$A$2:$A$451,$C14,'RP - Unit Starts'!$F$2:$F$451,"Existing Units")</f>
        <v>0.0137584226773326</v>
      </c>
      <c r="J14" s="14" t="n">
        <f aca="false">SUMIFS('Realpage Data'!$V$2:$V$899,'Realpage Data'!$A$2:$A$899,$C14,'Realpage Data'!$F$2:$F$899,"Existing Units")/SUMIFS('Realpage Data'!$R$2:$R$899,'Realpage Data'!$A$2:$A$899,$C14,'Realpage Data'!$F$2:$F$899,"Existing Units")-1</f>
        <v>0.0309357055133268</v>
      </c>
      <c r="K14" s="14" t="n">
        <f aca="false">INDEX('Fcst Walk'!$J$5:$J$69,MATCH($C14,'Fcst Walk'!$A$5:$A$69,0))/INDEX('Fcst Walk'!$F$5:$F$69,MATCH($C14,'Fcst Walk'!$A$5:$A$69,0))-1</f>
        <v>0.0209999999999999</v>
      </c>
      <c r="L14" s="14" t="n">
        <f aca="false">INDEX('Fcst Walk'!$N$5:$N$69,MATCH($C14,'Fcst Walk'!$A$5:$A$69,0))/INDEX('Fcst Walk'!$J$5:$J$69,MATCH($C14,'Fcst Walk'!$A$5:$A$69,0))-1</f>
        <v>0.036</v>
      </c>
      <c r="M14" s="14" t="n">
        <f aca="false">INDEX('Fcst Walk'!$R$5:$R$69,MATCH($C14,'Fcst Walk'!$A$5:$A$69,0))/INDEX('Fcst Walk'!$N$5:$N$69,MATCH($C14,'Fcst Walk'!$A$5:$A$69,0))-1</f>
        <v>0.0329999999999999</v>
      </c>
      <c r="N14" s="14" t="n">
        <f aca="false">INDEX('Fcst Walk'!$J$5:$J$69,MATCH($C14,'Fcst Walk'!$A$5:$A$69,0))/$D14-1</f>
        <v>0.0666905620665244</v>
      </c>
      <c r="O14" s="14" t="n">
        <f aca="false">INDEX('Fcst Walk'!$N$5:$N$69,MATCH($C14,'Fcst Walk'!$A$5:$A$69,0))/$D14-1</f>
        <v>0.105091422300919</v>
      </c>
      <c r="P14" s="14" t="n">
        <f aca="false">INDEX('Fcst Walk'!$R$5:$R$69,MATCH($C14,'Fcst Walk'!$A$5:$A$69,0))/$D14-1</f>
        <v>0.14155943923685</v>
      </c>
      <c r="Q14" s="16" t="n">
        <f aca="false">INDEX('Fcst Walk'!$AM$5:$AM$69,MATCH($C14,'Fcst Walk'!$A$5:$A$69,0))</f>
        <v>0</v>
      </c>
      <c r="R14" s="11" t="str">
        <f aca="false">INDEX('Fcst Walk'!$AN$5:$AN$69,MATCH($C14,'Fcst Walk'!$A$5:$A$69,0))</f>
        <v/>
      </c>
      <c r="S14" s="14" t="n">
        <f aca="false">AVERAGE(INDEX('Realpage - His. Rent Change'!$I$2:$AV$577,MATCH($C14,'Realpage - His. Rent Change'!$A$2:$A$577,0),0))</f>
        <v>0.0551825</v>
      </c>
      <c r="T14" s="18" t="n">
        <v>0.0451</v>
      </c>
      <c r="U14" s="14" t="n">
        <f aca="false">IF(T14="",S14,AVERAGE(S14,T14))</f>
        <v>0.05014125</v>
      </c>
      <c r="V14" s="17" t="n">
        <f aca="false">IF(H14&gt;=0,0,-H14/U14)</f>
        <v>0</v>
      </c>
    </row>
    <row r="15" customFormat="false" ht="15" hidden="false" customHeight="false" outlineLevel="0" collapsed="false">
      <c r="B15" s="4" t="n">
        <f aca="false">ROW()-4</f>
        <v>11</v>
      </c>
      <c r="C15" s="5" t="s">
        <v>32</v>
      </c>
      <c r="D15" s="6" t="n">
        <f aca="false">SUMIFS('Realpage Data'!$R$2:$R$899,'Realpage Data'!$A$2:$A$899,$C15,'Realpage Data'!$F$2:$F$899,"Rent Roll (Rev/OSF)")</f>
        <v>1.6742534436739</v>
      </c>
      <c r="E15" s="6" t="n">
        <f aca="false">SUMIFS('Realpage Data'!$R$2:$R$899,'Realpage Data'!$A$2:$A$899,$C15,'Realpage Data'!$F$2:$F$899,"Asking RPSF")</f>
        <v>1.752</v>
      </c>
      <c r="F15" s="6" t="n">
        <f aca="false">SUMIFS('Realpage Data'!$R$2:$R$899,'Realpage Data'!$A$2:$A$899,$C15,'Realpage Data'!$F$2:$F$899,"Effective RPSF")</f>
        <v>1.746</v>
      </c>
      <c r="G15" s="7" t="n">
        <f aca="false">E15/$D15-1</f>
        <v>0.046436551538753</v>
      </c>
      <c r="H15" s="8" t="n">
        <f aca="false">F15/$D15-1</f>
        <v>0.0428528647184148</v>
      </c>
      <c r="I15" s="7" t="n">
        <f aca="false">SUMIFS('RP - Unit Starts'!$AC$2:$AC$451,'RP - Unit Starts'!$A$2:$A$451,$C15,'RP - Unit Starts'!$F$2:$F$451,"Annual Unit Starts")/SUMIFS('RP - Unit Starts'!$AC$2:$AC$451,'RP - Unit Starts'!$A$2:$A$451,$C15,'RP - Unit Starts'!$F$2:$F$451,"Existing Units")</f>
        <v>0.00398636351288947</v>
      </c>
      <c r="J15" s="7" t="n">
        <f aca="false">SUMIFS('Realpage Data'!$V$2:$V$899,'Realpage Data'!$A$2:$A$899,$C15,'Realpage Data'!$F$2:$F$899,"Existing Units")/SUMIFS('Realpage Data'!$R$2:$R$899,'Realpage Data'!$A$2:$A$899,$C15,'Realpage Data'!$F$2:$F$899,"Existing Units")-1</f>
        <v>0.00268926737837183</v>
      </c>
      <c r="K15" s="7" t="n">
        <f aca="false">INDEX('Fcst Walk'!$J$5:$J$69,MATCH($C15,'Fcst Walk'!$A$5:$A$69,0))/INDEX('Fcst Walk'!$F$5:$F$69,MATCH($C15,'Fcst Walk'!$A$5:$A$69,0))-1</f>
        <v>0.0229999999999999</v>
      </c>
      <c r="L15" s="7" t="n">
        <f aca="false">INDEX('Fcst Walk'!$N$5:$N$69,MATCH($C15,'Fcst Walk'!$A$5:$A$69,0))/INDEX('Fcst Walk'!$J$5:$J$69,MATCH($C15,'Fcst Walk'!$A$5:$A$69,0))-1</f>
        <v>0.0209999999999999</v>
      </c>
      <c r="M15" s="7" t="n">
        <f aca="false">INDEX('Fcst Walk'!$R$5:$R$69,MATCH($C15,'Fcst Walk'!$A$5:$A$69,0))/INDEX('Fcst Walk'!$N$5:$N$69,MATCH($C15,'Fcst Walk'!$A$5:$A$69,0))-1</f>
        <v>0.0189999999999999</v>
      </c>
      <c r="N15" s="7" t="n">
        <f aca="false">INDEX('Fcst Walk'!$J$5:$J$69,MATCH($C15,'Fcst Walk'!$A$5:$A$69,0))/$D15-1</f>
        <v>0.0668384806069384</v>
      </c>
      <c r="O15" s="7" t="n">
        <f aca="false">INDEX('Fcst Walk'!$N$5:$N$69,MATCH($C15,'Fcst Walk'!$A$5:$A$69,0))/$D15-1</f>
        <v>0.0892420886996841</v>
      </c>
      <c r="P15" s="7" t="n">
        <f aca="false">INDEX('Fcst Walk'!$R$5:$R$69,MATCH($C15,'Fcst Walk'!$A$5:$A$69,0))/$D15-1</f>
        <v>0.109937688384978</v>
      </c>
      <c r="Q15" s="9" t="n">
        <f aca="false">INDEX('Fcst Walk'!$AM$5:$AM$69,MATCH($C15,'Fcst Walk'!$A$5:$A$69,0))</f>
        <v>0</v>
      </c>
      <c r="R15" s="4" t="str">
        <f aca="false">INDEX('Fcst Walk'!$AN$5:$AN$69,MATCH($C15,'Fcst Walk'!$A$5:$A$69,0))</f>
        <v/>
      </c>
      <c r="S15" s="7" t="n">
        <f aca="false">AVERAGE(INDEX('Realpage - His. Rent Change'!$I$2:$AV$577,MATCH($C15,'Realpage - His. Rent Change'!$A$2:$A$577,0),0))</f>
        <v>0.04796</v>
      </c>
      <c r="T15" s="7"/>
      <c r="U15" s="7" t="n">
        <f aca="false">IF(T15="",S15,AVERAGE(S15,T15))</f>
        <v>0.04796</v>
      </c>
      <c r="V15" s="10" t="n">
        <f aca="false">IF(H15&gt;=0,0,-H15/U15)</f>
        <v>0</v>
      </c>
    </row>
    <row r="16" customFormat="false" ht="15" hidden="false" customHeight="false" outlineLevel="0" collapsed="false">
      <c r="B16" s="11" t="n">
        <f aca="false">ROW()-4</f>
        <v>12</v>
      </c>
      <c r="C16" s="12" t="s">
        <v>33</v>
      </c>
      <c r="D16" s="13" t="n">
        <f aca="false">SUMIFS('Realpage Data'!$R$2:$R$899,'Realpage Data'!$A$2:$A$899,$C16,'Realpage Data'!$F$2:$F$899,"Rent Roll (Rev/OSF)")</f>
        <v>2.83465072372167</v>
      </c>
      <c r="E16" s="13" t="n">
        <f aca="false">SUMIFS('Realpage Data'!$R$2:$R$899,'Realpage Data'!$A$2:$A$899,$C16,'Realpage Data'!$F$2:$F$899,"Asking RPSF")</f>
        <v>3.003</v>
      </c>
      <c r="F16" s="13" t="n">
        <f aca="false">SUMIFS('Realpage Data'!$R$2:$R$899,'Realpage Data'!$A$2:$A$899,$C16,'Realpage Data'!$F$2:$F$899,"Effective RPSF")</f>
        <v>2.946</v>
      </c>
      <c r="G16" s="14" t="n">
        <f aca="false">E16/$D16-1</f>
        <v>0.0593897776786081</v>
      </c>
      <c r="H16" s="15" t="n">
        <f aca="false">F16/$D16-1</f>
        <v>0.0392814802001928</v>
      </c>
      <c r="I16" s="14" t="n">
        <f aca="false">SUMIFS('RP - Unit Starts'!$AC$2:$AC$451,'RP - Unit Starts'!$A$2:$A$451,$C16,'RP - Unit Starts'!$F$2:$F$451,"Annual Unit Starts")/SUMIFS('RP - Unit Starts'!$AC$2:$AC$451,'RP - Unit Starts'!$A$2:$A$451,$C16,'RP - Unit Starts'!$F$2:$F$451,"Existing Units")</f>
        <v>0.024001427765432</v>
      </c>
      <c r="J16" s="14" t="n">
        <f aca="false">SUMIFS('Realpage Data'!$V$2:$V$899,'Realpage Data'!$A$2:$A$899,$C16,'Realpage Data'!$F$2:$F$899,"Existing Units")/SUMIFS('Realpage Data'!$R$2:$R$899,'Realpage Data'!$A$2:$A$899,$C16,'Realpage Data'!$F$2:$F$899,"Existing Units")-1</f>
        <v>0.0192518048567054</v>
      </c>
      <c r="K16" s="14" t="n">
        <f aca="false">INDEX('Fcst Walk'!$J$5:$J$69,MATCH($C16,'Fcst Walk'!$A$5:$A$69,0))/INDEX('Fcst Walk'!$F$5:$F$69,MATCH($C16,'Fcst Walk'!$A$5:$A$69,0))-1</f>
        <v>0.034</v>
      </c>
      <c r="L16" s="14" t="n">
        <f aca="false">INDEX('Fcst Walk'!$N$5:$N$69,MATCH($C16,'Fcst Walk'!$A$5:$A$69,0))/INDEX('Fcst Walk'!$J$5:$J$69,MATCH($C16,'Fcst Walk'!$A$5:$A$69,0))-1</f>
        <v>0.032</v>
      </c>
      <c r="M16" s="14" t="n">
        <f aca="false">INDEX('Fcst Walk'!$R$5:$R$69,MATCH($C16,'Fcst Walk'!$A$5:$A$69,0))/INDEX('Fcst Walk'!$N$5:$N$69,MATCH($C16,'Fcst Walk'!$A$5:$A$69,0))-1</f>
        <v>0.038</v>
      </c>
      <c r="N16" s="14" t="n">
        <f aca="false">INDEX('Fcst Walk'!$J$5:$J$69,MATCH($C16,'Fcst Walk'!$A$5:$A$69,0))/$D16-1</f>
        <v>0.0746170505269994</v>
      </c>
      <c r="O16" s="14" t="n">
        <f aca="false">INDEX('Fcst Walk'!$N$5:$N$69,MATCH($C16,'Fcst Walk'!$A$5:$A$69,0))/$D16-1</f>
        <v>0.109004796143863</v>
      </c>
      <c r="P16" s="14" t="n">
        <f aca="false">INDEX('Fcst Walk'!$R$5:$R$69,MATCH($C16,'Fcst Walk'!$A$5:$A$69,0))/$D16-1</f>
        <v>0.15114697839733</v>
      </c>
      <c r="Q16" s="16" t="n">
        <f aca="false">INDEX('Fcst Walk'!$AM$5:$AM$69,MATCH($C16,'Fcst Walk'!$A$5:$A$69,0))</f>
        <v>0</v>
      </c>
      <c r="R16" s="11" t="str">
        <f aca="false">INDEX('Fcst Walk'!$AN$5:$AN$69,MATCH($C16,'Fcst Walk'!$A$5:$A$69,0))</f>
        <v/>
      </c>
      <c r="S16" s="14" t="n">
        <f aca="false">AVERAGE(INDEX('Realpage - His. Rent Change'!$I$2:$AV$577,MATCH($C16,'Realpage - His. Rent Change'!$A$2:$A$577,0),0))</f>
        <v>0.060015</v>
      </c>
      <c r="T16" s="14"/>
      <c r="U16" s="14" t="n">
        <f aca="false">IF(T16="",S16,AVERAGE(S16,T16))</f>
        <v>0.060015</v>
      </c>
      <c r="V16" s="17" t="n">
        <f aca="false">IF(H16&gt;=0,0,-H16/U16)</f>
        <v>0</v>
      </c>
    </row>
    <row r="17" customFormat="false" ht="15" hidden="false" customHeight="false" outlineLevel="0" collapsed="false">
      <c r="B17" s="4" t="n">
        <f aca="false">ROW()-4</f>
        <v>13</v>
      </c>
      <c r="C17" s="5" t="s">
        <v>34</v>
      </c>
      <c r="D17" s="6" t="n">
        <f aca="false">SUMIFS('Realpage Data'!$R$2:$R$899,'Realpage Data'!$A$2:$A$899,$C17,'Realpage Data'!$F$2:$F$899,"Rent Roll (Rev/OSF)")</f>
        <v>1.38387713635167</v>
      </c>
      <c r="E17" s="6" t="n">
        <f aca="false">SUMIFS('Realpage Data'!$R$2:$R$899,'Realpage Data'!$A$2:$A$899,$C17,'Realpage Data'!$F$2:$F$899,"Asking RPSF")</f>
        <v>1.445</v>
      </c>
      <c r="F17" s="6" t="n">
        <f aca="false">SUMIFS('Realpage Data'!$R$2:$R$899,'Realpage Data'!$A$2:$A$899,$C17,'Realpage Data'!$F$2:$F$899,"Effective RPSF")</f>
        <v>1.431</v>
      </c>
      <c r="G17" s="7" t="n">
        <f aca="false">E17/$D17-1</f>
        <v>0.0441678397906566</v>
      </c>
      <c r="H17" s="8" t="n">
        <f aca="false">F17/$D17-1</f>
        <v>0.0340513347684632</v>
      </c>
      <c r="I17" s="7" t="n">
        <f aca="false">SUMIFS('RP - Unit Starts'!$AC$2:$AC$451,'RP - Unit Starts'!$A$2:$A$451,$C17,'RP - Unit Starts'!$F$2:$F$451,"Annual Unit Starts")/SUMIFS('RP - Unit Starts'!$AC$2:$AC$451,'RP - Unit Starts'!$A$2:$A$451,$C17,'RP - Unit Starts'!$F$2:$F$451,"Existing Units")</f>
        <v>0.0311146496815287</v>
      </c>
      <c r="J17" s="7" t="n">
        <f aca="false">SUMIFS('Realpage Data'!$V$2:$V$899,'Realpage Data'!$A$2:$A$899,$C17,'Realpage Data'!$F$2:$F$899,"Existing Units")/SUMIFS('Realpage Data'!$R$2:$R$899,'Realpage Data'!$A$2:$A$899,$C17,'Realpage Data'!$F$2:$F$899,"Existing Units")-1</f>
        <v>0.035063694267516</v>
      </c>
      <c r="K17" s="7" t="n">
        <f aca="false">INDEX('Fcst Walk'!$J$5:$J$69,MATCH($C17,'Fcst Walk'!$A$5:$A$69,0))/INDEX('Fcst Walk'!$F$5:$F$69,MATCH($C17,'Fcst Walk'!$A$5:$A$69,0))-1</f>
        <v>0.028</v>
      </c>
      <c r="L17" s="7" t="n">
        <f aca="false">INDEX('Fcst Walk'!$N$5:$N$69,MATCH($C17,'Fcst Walk'!$A$5:$A$69,0))/INDEX('Fcst Walk'!$J$5:$J$69,MATCH($C17,'Fcst Walk'!$A$5:$A$69,0))-1</f>
        <v>0.0289999999999999</v>
      </c>
      <c r="M17" s="7" t="n">
        <f aca="false">INDEX('Fcst Walk'!$R$5:$R$69,MATCH($C17,'Fcst Walk'!$A$5:$A$69,0))/INDEX('Fcst Walk'!$N$5:$N$69,MATCH($C17,'Fcst Walk'!$A$5:$A$69,0))-1</f>
        <v>0.03</v>
      </c>
      <c r="N17" s="7" t="n">
        <f aca="false">INDEX('Fcst Walk'!$J$5:$J$69,MATCH($C17,'Fcst Walk'!$A$5:$A$69,0))/$D17-1</f>
        <v>0.0630047721419802</v>
      </c>
      <c r="O17" s="7" t="n">
        <f aca="false">INDEX('Fcst Walk'!$N$5:$N$69,MATCH($C17,'Fcst Walk'!$A$5:$A$69,0))/$D17-1</f>
        <v>0.0938319105340977</v>
      </c>
      <c r="P17" s="7" t="n">
        <f aca="false">INDEX('Fcst Walk'!$R$5:$R$69,MATCH($C17,'Fcst Walk'!$A$5:$A$69,0))/$D17-1</f>
        <v>0.126646867850121</v>
      </c>
      <c r="Q17" s="9" t="n">
        <f aca="false">INDEX('Fcst Walk'!$AM$5:$AM$69,MATCH($C17,'Fcst Walk'!$A$5:$A$69,0))</f>
        <v>0</v>
      </c>
      <c r="R17" s="4" t="str">
        <f aca="false">INDEX('Fcst Walk'!$AN$5:$AN$69,MATCH($C17,'Fcst Walk'!$A$5:$A$69,0))</f>
        <v/>
      </c>
      <c r="S17" s="7" t="n">
        <f aca="false">AVERAGE(INDEX('Realpage - His. Rent Change'!$I$2:$AV$577,MATCH($C17,'Realpage - His. Rent Change'!$A$2:$A$577,0),0))</f>
        <v>0.04881</v>
      </c>
      <c r="T17" s="7"/>
      <c r="U17" s="7" t="n">
        <f aca="false">IF(T17="",S17,AVERAGE(S17,T17))</f>
        <v>0.04881</v>
      </c>
      <c r="V17" s="10" t="n">
        <f aca="false">IF(H17&gt;=0,0,-H17/U17)</f>
        <v>0</v>
      </c>
    </row>
    <row r="18" customFormat="false" ht="15" hidden="false" customHeight="false" outlineLevel="0" collapsed="false">
      <c r="B18" s="11" t="n">
        <f aca="false">ROW()-4</f>
        <v>14</v>
      </c>
      <c r="C18" s="12" t="s">
        <v>35</v>
      </c>
      <c r="D18" s="13" t="n">
        <f aca="false">SUMIFS('Realpage Data'!$R$2:$R$899,'Realpage Data'!$A$2:$A$899,$C18,'Realpage Data'!$F$2:$F$899,"Rent Roll (Rev/OSF)")</f>
        <v>1.51487926825002</v>
      </c>
      <c r="E18" s="13" t="n">
        <f aca="false">SUMIFS('Realpage Data'!$R$2:$R$899,'Realpage Data'!$A$2:$A$899,$C18,'Realpage Data'!$F$2:$F$899,"Asking RPSF")</f>
        <v>1.596</v>
      </c>
      <c r="F18" s="13" t="n">
        <f aca="false">SUMIFS('Realpage Data'!$R$2:$R$899,'Realpage Data'!$A$2:$A$899,$C18,'Realpage Data'!$F$2:$F$899,"Effective RPSF")</f>
        <v>1.559</v>
      </c>
      <c r="G18" s="14" t="n">
        <f aca="false">E18/$D18-1</f>
        <v>0.0535493048523175</v>
      </c>
      <c r="H18" s="15" t="n">
        <f aca="false">F18/$D18-1</f>
        <v>0.0291249162059917</v>
      </c>
      <c r="I18" s="14" t="n">
        <f aca="false">SUMIFS('RP - Unit Starts'!$AC$2:$AC$451,'RP - Unit Starts'!$A$2:$A$451,$C18,'RP - Unit Starts'!$F$2:$F$451,"Annual Unit Starts")/SUMIFS('RP - Unit Starts'!$AC$2:$AC$451,'RP - Unit Starts'!$A$2:$A$451,$C18,'RP - Unit Starts'!$F$2:$F$451,"Existing Units")</f>
        <v>0.0185940070085103</v>
      </c>
      <c r="J18" s="14" t="n">
        <f aca="false">SUMIFS('Realpage Data'!$V$2:$V$899,'Realpage Data'!$A$2:$A$899,$C18,'Realpage Data'!$F$2:$F$899,"Existing Units")/SUMIFS('Realpage Data'!$R$2:$R$899,'Realpage Data'!$A$2:$A$899,$C18,'Realpage Data'!$F$2:$F$899,"Existing Units")-1</f>
        <v>0.0543040358530598</v>
      </c>
      <c r="K18" s="14" t="n">
        <f aca="false">INDEX('Fcst Walk'!$J$5:$J$69,MATCH($C18,'Fcst Walk'!$A$5:$A$69,0))/INDEX('Fcst Walk'!$F$5:$F$69,MATCH($C18,'Fcst Walk'!$A$5:$A$69,0))-1</f>
        <v>0.0209999999999999</v>
      </c>
      <c r="L18" s="14" t="n">
        <f aca="false">INDEX('Fcst Walk'!$N$5:$N$69,MATCH($C18,'Fcst Walk'!$A$5:$A$69,0))/INDEX('Fcst Walk'!$J$5:$J$69,MATCH($C18,'Fcst Walk'!$A$5:$A$69,0))-1</f>
        <v>0.028</v>
      </c>
      <c r="M18" s="14" t="n">
        <f aca="false">INDEX('Fcst Walk'!$R$5:$R$69,MATCH($C18,'Fcst Walk'!$A$5:$A$69,0))/INDEX('Fcst Walk'!$N$5:$N$69,MATCH($C18,'Fcst Walk'!$A$5:$A$69,0))-1</f>
        <v>0.0309999999999999</v>
      </c>
      <c r="N18" s="14" t="n">
        <f aca="false">INDEX('Fcst Walk'!$J$5:$J$69,MATCH($C18,'Fcst Walk'!$A$5:$A$69,0))/$D18-1</f>
        <v>0.0507365394463173</v>
      </c>
      <c r="O18" s="14" t="n">
        <f aca="false">INDEX('Fcst Walk'!$N$5:$N$69,MATCH($C18,'Fcst Walk'!$A$5:$A$69,0))/$D18-1</f>
        <v>0.0801571625508144</v>
      </c>
      <c r="P18" s="14" t="n">
        <f aca="false">INDEX('Fcst Walk'!$R$5:$R$69,MATCH($C18,'Fcst Walk'!$A$5:$A$69,0))/$D18-1</f>
        <v>0.113642034589889</v>
      </c>
      <c r="Q18" s="16" t="n">
        <f aca="false">INDEX('Fcst Walk'!$AM$5:$AM$69,MATCH($C18,'Fcst Walk'!$A$5:$A$69,0))</f>
        <v>0</v>
      </c>
      <c r="R18" s="11" t="str">
        <f aca="false">INDEX('Fcst Walk'!$AN$5:$AN$69,MATCH($C18,'Fcst Walk'!$A$5:$A$69,0))</f>
        <v/>
      </c>
      <c r="S18" s="14" t="n">
        <f aca="false">AVERAGE(INDEX('Realpage - His. Rent Change'!$I$2:$AV$577,MATCH($C18,'Realpage - His. Rent Change'!$A$2:$A$577,0),0))</f>
        <v>0.060755</v>
      </c>
      <c r="T18" s="14"/>
      <c r="U18" s="14" t="n">
        <f aca="false">IF(T18="",S18,AVERAGE(S18,T18))</f>
        <v>0.060755</v>
      </c>
      <c r="V18" s="17" t="n">
        <f aca="false">IF(H18&gt;=0,0,-H18/U18)</f>
        <v>0</v>
      </c>
    </row>
    <row r="19" customFormat="false" ht="15" hidden="false" customHeight="false" outlineLevel="0" collapsed="false">
      <c r="B19" s="4" t="n">
        <f aca="false">ROW()-4</f>
        <v>15</v>
      </c>
      <c r="C19" s="5" t="s">
        <v>36</v>
      </c>
      <c r="D19" s="6" t="n">
        <f aca="false">SUMIFS('Realpage Data'!$R$2:$R$899,'Realpage Data'!$A$2:$A$899,$C19,'Realpage Data'!$F$2:$F$899,"Rent Roll (Rev/OSF)")</f>
        <v>1.33611136636906</v>
      </c>
      <c r="E19" s="6" t="n">
        <f aca="false">SUMIFS('Realpage Data'!$R$2:$R$899,'Realpage Data'!$A$2:$A$899,$C19,'Realpage Data'!$F$2:$F$899,"Asking RPSF")</f>
        <v>1.392</v>
      </c>
      <c r="F19" s="6" t="n">
        <f aca="false">SUMIFS('Realpage Data'!$R$2:$R$899,'Realpage Data'!$A$2:$A$899,$C19,'Realpage Data'!$F$2:$F$899,"Effective RPSF")</f>
        <v>1.372</v>
      </c>
      <c r="G19" s="7" t="n">
        <f aca="false">E19/$D19-1</f>
        <v>0.041829322792772</v>
      </c>
      <c r="H19" s="8" t="n">
        <f aca="false">F19/$D19-1</f>
        <v>0.0268605106836806</v>
      </c>
      <c r="I19" s="7" t="n">
        <f aca="false">SUMIFS('RP - Unit Starts'!$AC$2:$AC$451,'RP - Unit Starts'!$A$2:$A$451,$C19,'RP - Unit Starts'!$F$2:$F$451,"Annual Unit Starts")/SUMIFS('RP - Unit Starts'!$AC$2:$AC$451,'RP - Unit Starts'!$A$2:$A$451,$C19,'RP - Unit Starts'!$F$2:$F$451,"Existing Units")</f>
        <v>0.0206685960394686</v>
      </c>
      <c r="J19" s="7" t="n">
        <f aca="false">SUMIFS('Realpage Data'!$V$2:$V$899,'Realpage Data'!$A$2:$A$899,$C19,'Realpage Data'!$F$2:$F$899,"Existing Units")/SUMIFS('Realpage Data'!$R$2:$R$899,'Realpage Data'!$A$2:$A$899,$C19,'Realpage Data'!$F$2:$F$899,"Existing Units")-1</f>
        <v>0.041747373698243</v>
      </c>
      <c r="K19" s="7" t="n">
        <f aca="false">INDEX('Fcst Walk'!$J$5:$J$69,MATCH($C19,'Fcst Walk'!$A$5:$A$69,0))/INDEX('Fcst Walk'!$F$5:$F$69,MATCH($C19,'Fcst Walk'!$A$5:$A$69,0))-1</f>
        <v>0</v>
      </c>
      <c r="L19" s="7" t="n">
        <f aca="false">INDEX('Fcst Walk'!$N$5:$N$69,MATCH($C19,'Fcst Walk'!$A$5:$A$69,0))/INDEX('Fcst Walk'!$J$5:$J$69,MATCH($C19,'Fcst Walk'!$A$5:$A$69,0))-1</f>
        <v>0.024</v>
      </c>
      <c r="M19" s="7" t="n">
        <f aca="false">INDEX('Fcst Walk'!$R$5:$R$69,MATCH($C19,'Fcst Walk'!$A$5:$A$69,0))/INDEX('Fcst Walk'!$N$5:$N$69,MATCH($C19,'Fcst Walk'!$A$5:$A$69,0))-1</f>
        <v>0.024</v>
      </c>
      <c r="N19" s="7" t="n">
        <f aca="false">INDEX('Fcst Walk'!$J$5:$J$69,MATCH($C19,'Fcst Walk'!$A$5:$A$69,0))/$D19-1</f>
        <v>0.0268605106836806</v>
      </c>
      <c r="O19" s="7" t="n">
        <f aca="false">INDEX('Fcst Walk'!$N$5:$N$69,MATCH($C19,'Fcst Walk'!$A$5:$A$69,0))/$D19-1</f>
        <v>0.0515051629400891</v>
      </c>
      <c r="P19" s="7" t="n">
        <f aca="false">INDEX('Fcst Walk'!$R$5:$R$69,MATCH($C19,'Fcst Walk'!$A$5:$A$69,0))/$D19-1</f>
        <v>0.0767412868506512</v>
      </c>
      <c r="Q19" s="9" t="n">
        <f aca="false">INDEX('Fcst Walk'!$AM$5:$AM$69,MATCH($C19,'Fcst Walk'!$A$5:$A$69,0))</f>
        <v>0</v>
      </c>
      <c r="R19" s="4" t="str">
        <f aca="false">INDEX('Fcst Walk'!$AN$5:$AN$69,MATCH($C19,'Fcst Walk'!$A$5:$A$69,0))</f>
        <v/>
      </c>
      <c r="S19" s="7" t="n">
        <f aca="false">AVERAGE(INDEX('Realpage - His. Rent Change'!$I$2:$AV$577,MATCH($C19,'Realpage - His. Rent Change'!$A$2:$A$577,0),0))</f>
        <v>0.069365</v>
      </c>
      <c r="T19" s="7"/>
      <c r="U19" s="7" t="n">
        <f aca="false">IF(T19="",S19,AVERAGE(S19,T19))</f>
        <v>0.069365</v>
      </c>
      <c r="V19" s="10" t="n">
        <f aca="false">IF(H19&gt;=0,0,-H19/U19)</f>
        <v>0</v>
      </c>
    </row>
    <row r="20" customFormat="false" ht="15" hidden="false" customHeight="false" outlineLevel="0" collapsed="false">
      <c r="B20" s="11" t="n">
        <f aca="false">ROW()-4</f>
        <v>16</v>
      </c>
      <c r="C20" s="12" t="s">
        <v>37</v>
      </c>
      <c r="D20" s="13" t="n">
        <f aca="false">SUMIFS('Realpage Data'!$R$2:$R$899,'Realpage Data'!$A$2:$A$899,$C20,'Realpage Data'!$F$2:$F$899,"Rent Roll (Rev/OSF)")</f>
        <v>1.49825073340951</v>
      </c>
      <c r="E20" s="13" t="n">
        <f aca="false">SUMIFS('Realpage Data'!$R$2:$R$899,'Realpage Data'!$A$2:$A$899,$C20,'Realpage Data'!$F$2:$F$899,"Asking RPSF")</f>
        <v>1.593</v>
      </c>
      <c r="F20" s="13" t="n">
        <f aca="false">SUMIFS('Realpage Data'!$R$2:$R$899,'Realpage Data'!$A$2:$A$899,$C20,'Realpage Data'!$F$2:$F$899,"Effective RPSF")</f>
        <v>1.538</v>
      </c>
      <c r="G20" s="14" t="n">
        <f aca="false">E20/$D20-1</f>
        <v>0.0632399267209955</v>
      </c>
      <c r="H20" s="15" t="n">
        <f aca="false">F20/$D20-1</f>
        <v>0.0265304502805344</v>
      </c>
      <c r="I20" s="14" t="n">
        <f aca="false">SUMIFS('RP - Unit Starts'!$AC$2:$AC$451,'RP - Unit Starts'!$A$2:$A$451,$C20,'RP - Unit Starts'!$F$2:$F$451,"Annual Unit Starts")/SUMIFS('RP - Unit Starts'!$AC$2:$AC$451,'RP - Unit Starts'!$A$2:$A$451,$C20,'RP - Unit Starts'!$F$2:$F$451,"Existing Units")</f>
        <v>0.0182187721918848</v>
      </c>
      <c r="J20" s="14" t="n">
        <f aca="false">SUMIFS('Realpage Data'!$V$2:$V$899,'Realpage Data'!$A$2:$A$899,$C20,'Realpage Data'!$F$2:$F$899,"Existing Units")/SUMIFS('Realpage Data'!$R$2:$R$899,'Realpage Data'!$A$2:$A$899,$C20,'Realpage Data'!$F$2:$F$899,"Existing Units")-1</f>
        <v>0.0381761637730489</v>
      </c>
      <c r="K20" s="14" t="n">
        <f aca="false">INDEX('Fcst Walk'!$J$5:$J$69,MATCH($C20,'Fcst Walk'!$A$5:$A$69,0))/INDEX('Fcst Walk'!$F$5:$F$69,MATCH($C20,'Fcst Walk'!$A$5:$A$69,0))-1</f>
        <v>0.004</v>
      </c>
      <c r="L20" s="14" t="n">
        <f aca="false">INDEX('Fcst Walk'!$N$5:$N$69,MATCH($C20,'Fcst Walk'!$A$5:$A$69,0))/INDEX('Fcst Walk'!$J$5:$J$69,MATCH($C20,'Fcst Walk'!$A$5:$A$69,0))-1</f>
        <v>0.03</v>
      </c>
      <c r="M20" s="14" t="n">
        <f aca="false">INDEX('Fcst Walk'!$R$5:$R$69,MATCH($C20,'Fcst Walk'!$A$5:$A$69,0))/INDEX('Fcst Walk'!$N$5:$N$69,MATCH($C20,'Fcst Walk'!$A$5:$A$69,0))-1</f>
        <v>0.0369999999999999</v>
      </c>
      <c r="N20" s="14" t="n">
        <f aca="false">INDEX('Fcst Walk'!$J$5:$J$69,MATCH($C20,'Fcst Walk'!$A$5:$A$69,0))/$D20-1</f>
        <v>0.0306365720816564</v>
      </c>
      <c r="O20" s="14" t="n">
        <f aca="false">INDEX('Fcst Walk'!$N$5:$N$69,MATCH($C20,'Fcst Walk'!$A$5:$A$69,0))/$D20-1</f>
        <v>0.0615556692441062</v>
      </c>
      <c r="P20" s="14" t="n">
        <f aca="false">INDEX('Fcst Walk'!$R$5:$R$69,MATCH($C20,'Fcst Walk'!$A$5:$A$69,0))/$D20-1</f>
        <v>0.100833229006138</v>
      </c>
      <c r="Q20" s="16" t="n">
        <f aca="false">INDEX('Fcst Walk'!$AM$5:$AM$69,MATCH($C20,'Fcst Walk'!$A$5:$A$69,0))</f>
        <v>0</v>
      </c>
      <c r="R20" s="11" t="str">
        <f aca="false">INDEX('Fcst Walk'!$AN$5:$AN$69,MATCH($C20,'Fcst Walk'!$A$5:$A$69,0))</f>
        <v/>
      </c>
      <c r="S20" s="14" t="n">
        <f aca="false">AVERAGE(INDEX('Realpage - His. Rent Change'!$I$2:$AV$577,MATCH($C20,'Realpage - His. Rent Change'!$A$2:$A$577,0),0))</f>
        <v>0.058045</v>
      </c>
      <c r="T20" s="14"/>
      <c r="U20" s="14" t="n">
        <f aca="false">IF(T20="",S20,AVERAGE(S20,T20))</f>
        <v>0.058045</v>
      </c>
      <c r="V20" s="17" t="n">
        <f aca="false">IF(H20&gt;=0,0,-H20/U20)</f>
        <v>0</v>
      </c>
    </row>
    <row r="21" customFormat="false" ht="15" hidden="false" customHeight="false" outlineLevel="0" collapsed="false">
      <c r="B21" s="4" t="n">
        <f aca="false">ROW()-4</f>
        <v>17</v>
      </c>
      <c r="C21" s="5" t="s">
        <v>38</v>
      </c>
      <c r="D21" s="6" t="n">
        <f aca="false">SUMIFS('Realpage Data'!$R$2:$R$899,'Realpage Data'!$A$2:$A$899,$C21,'Realpage Data'!$F$2:$F$899,"Rent Roll (Rev/OSF)")</f>
        <v>1.57863297389861</v>
      </c>
      <c r="E21" s="6" t="n">
        <f aca="false">SUMIFS('Realpage Data'!$R$2:$R$899,'Realpage Data'!$A$2:$A$899,$C21,'Realpage Data'!$F$2:$F$899,"Asking RPSF")</f>
        <v>1.63</v>
      </c>
      <c r="F21" s="6" t="n">
        <f aca="false">SUMIFS('Realpage Data'!$R$2:$R$899,'Realpage Data'!$A$2:$A$899,$C21,'Realpage Data'!$F$2:$F$899,"Effective RPSF")</f>
        <v>1.619</v>
      </c>
      <c r="G21" s="7" t="n">
        <f aca="false">E21/$D21-1</f>
        <v>0.0325389289028559</v>
      </c>
      <c r="H21" s="8" t="n">
        <f aca="false">F21/$D21-1</f>
        <v>0.0255708747814258</v>
      </c>
      <c r="I21" s="7" t="n">
        <f aca="false">SUMIFS('RP - Unit Starts'!$AC$2:$AC$451,'RP - Unit Starts'!$A$2:$A$451,$C21,'RP - Unit Starts'!$F$2:$F$451,"Annual Unit Starts")/SUMIFS('RP - Unit Starts'!$AC$2:$AC$451,'RP - Unit Starts'!$A$2:$A$451,$C21,'RP - Unit Starts'!$F$2:$F$451,"Existing Units")</f>
        <v>0.0143316591009775</v>
      </c>
      <c r="J21" s="7" t="n">
        <f aca="false">SUMIFS('Realpage Data'!$V$2:$V$899,'Realpage Data'!$A$2:$A$899,$C21,'Realpage Data'!$F$2:$F$899,"Existing Units")/SUMIFS('Realpage Data'!$R$2:$R$899,'Realpage Data'!$A$2:$A$899,$C21,'Realpage Data'!$F$2:$F$899,"Existing Units")-1</f>
        <v>0.0143489192283572</v>
      </c>
      <c r="K21" s="7" t="n">
        <f aca="false">INDEX('Fcst Walk'!$J$5:$J$69,MATCH($C21,'Fcst Walk'!$A$5:$A$69,0))/INDEX('Fcst Walk'!$F$5:$F$69,MATCH($C21,'Fcst Walk'!$A$5:$A$69,0))-1</f>
        <v>0.0289999999999999</v>
      </c>
      <c r="L21" s="7" t="n">
        <f aca="false">INDEX('Fcst Walk'!$N$5:$N$69,MATCH($C21,'Fcst Walk'!$A$5:$A$69,0))/INDEX('Fcst Walk'!$J$5:$J$69,MATCH($C21,'Fcst Walk'!$A$5:$A$69,0))-1</f>
        <v>0.0269999999999999</v>
      </c>
      <c r="M21" s="7" t="n">
        <f aca="false">INDEX('Fcst Walk'!$R$5:$R$69,MATCH($C21,'Fcst Walk'!$A$5:$A$69,0))/INDEX('Fcst Walk'!$N$5:$N$69,MATCH($C21,'Fcst Walk'!$A$5:$A$69,0))-1</f>
        <v>0.028</v>
      </c>
      <c r="N21" s="7" t="n">
        <f aca="false">INDEX('Fcst Walk'!$J$5:$J$69,MATCH($C21,'Fcst Walk'!$A$5:$A$69,0))/$D21-1</f>
        <v>0.0553124301500871</v>
      </c>
      <c r="O21" s="7" t="n">
        <f aca="false">INDEX('Fcst Walk'!$N$5:$N$69,MATCH($C21,'Fcst Walk'!$A$5:$A$69,0))/$D21-1</f>
        <v>0.0838058657641394</v>
      </c>
      <c r="P21" s="7" t="n">
        <f aca="false">INDEX('Fcst Walk'!$R$5:$R$69,MATCH($C21,'Fcst Walk'!$A$5:$A$69,0))/$D21-1</f>
        <v>0.114152430005535</v>
      </c>
      <c r="Q21" s="9" t="n">
        <f aca="false">INDEX('Fcst Walk'!$AM$5:$AM$69,MATCH($C21,'Fcst Walk'!$A$5:$A$69,0))</f>
        <v>0</v>
      </c>
      <c r="R21" s="4" t="str">
        <f aca="false">INDEX('Fcst Walk'!$AN$5:$AN$69,MATCH($C21,'Fcst Walk'!$A$5:$A$69,0))</f>
        <v/>
      </c>
      <c r="S21" s="7" t="n">
        <f aca="false">AVERAGE(INDEX('Realpage - His. Rent Change'!$I$2:$AV$577,MATCH($C21,'Realpage - His. Rent Change'!$A$2:$A$577,0),0))</f>
        <v>0.060255</v>
      </c>
      <c r="T21" s="7"/>
      <c r="U21" s="7" t="n">
        <f aca="false">IF(T21="",S21,AVERAGE(S21,T21))</f>
        <v>0.060255</v>
      </c>
      <c r="V21" s="10" t="n">
        <f aca="false">IF(H21&gt;=0,0,-H21/U21)</f>
        <v>0</v>
      </c>
    </row>
    <row r="22" customFormat="false" ht="15" hidden="false" customHeight="false" outlineLevel="0" collapsed="false">
      <c r="B22" s="11" t="n">
        <f aca="false">ROW()-4</f>
        <v>18</v>
      </c>
      <c r="C22" s="12" t="s">
        <v>39</v>
      </c>
      <c r="D22" s="13" t="n">
        <f aca="false">SUMIFS('Realpage Data'!$R$2:$R$899,'Realpage Data'!$A$2:$A$899,$C22,'Realpage Data'!$F$2:$F$899,"Rent Roll (Rev/OSF)")</f>
        <v>1.36063194653437</v>
      </c>
      <c r="E22" s="13" t="n">
        <f aca="false">SUMIFS('Realpage Data'!$R$2:$R$899,'Realpage Data'!$A$2:$A$899,$C22,'Realpage Data'!$F$2:$F$899,"Asking RPSF")</f>
        <v>1.44</v>
      </c>
      <c r="F22" s="13" t="n">
        <f aca="false">SUMIFS('Realpage Data'!$R$2:$R$899,'Realpage Data'!$A$2:$A$899,$C22,'Realpage Data'!$F$2:$F$899,"Effective RPSF")</f>
        <v>1.395</v>
      </c>
      <c r="G22" s="14" t="n">
        <f aca="false">E22/$D22-1</f>
        <v>0.0583317580244858</v>
      </c>
      <c r="H22" s="15" t="n">
        <f aca="false">F22/$D22-1</f>
        <v>0.0252588905862206</v>
      </c>
      <c r="I22" s="14" t="n">
        <f aca="false">SUMIFS('RP - Unit Starts'!$AC$2:$AC$451,'RP - Unit Starts'!$A$2:$A$451,$C22,'RP - Unit Starts'!$F$2:$F$451,"Annual Unit Starts")/SUMIFS('RP - Unit Starts'!$AC$2:$AC$451,'RP - Unit Starts'!$A$2:$A$451,$C22,'RP - Unit Starts'!$F$2:$F$451,"Existing Units")</f>
        <v>0.0143556831616281</v>
      </c>
      <c r="J22" s="14" t="n">
        <f aca="false">SUMIFS('Realpage Data'!$V$2:$V$899,'Realpage Data'!$A$2:$A$899,$C22,'Realpage Data'!$F$2:$F$899,"Existing Units")/SUMIFS('Realpage Data'!$R$2:$R$899,'Realpage Data'!$A$2:$A$899,$C22,'Realpage Data'!$F$2:$F$899,"Existing Units")-1</f>
        <v>0.0063052412317739</v>
      </c>
      <c r="K22" s="14" t="n">
        <f aca="false">INDEX('Fcst Walk'!$J$5:$J$69,MATCH($C22,'Fcst Walk'!$A$5:$A$69,0))/INDEX('Fcst Walk'!$F$5:$F$69,MATCH($C22,'Fcst Walk'!$A$5:$A$69,0))-1</f>
        <v>0.0229999999999999</v>
      </c>
      <c r="L22" s="14" t="n">
        <f aca="false">INDEX('Fcst Walk'!$N$5:$N$69,MATCH($C22,'Fcst Walk'!$A$5:$A$69,0))/INDEX('Fcst Walk'!$J$5:$J$69,MATCH($C22,'Fcst Walk'!$A$5:$A$69,0))-1</f>
        <v>0.026</v>
      </c>
      <c r="M22" s="14" t="n">
        <f aca="false">INDEX('Fcst Walk'!$R$5:$R$69,MATCH($C22,'Fcst Walk'!$A$5:$A$69,0))/INDEX('Fcst Walk'!$N$5:$N$69,MATCH($C22,'Fcst Walk'!$A$5:$A$69,0))-1</f>
        <v>0.0189999999999999</v>
      </c>
      <c r="N22" s="14" t="n">
        <f aca="false">INDEX('Fcst Walk'!$J$5:$J$69,MATCH($C22,'Fcst Walk'!$A$5:$A$69,0))/$D22-1</f>
        <v>0.0488398450697036</v>
      </c>
      <c r="O22" s="14" t="n">
        <f aca="false">INDEX('Fcst Walk'!$N$5:$N$69,MATCH($C22,'Fcst Walk'!$A$5:$A$69,0))/$D22-1</f>
        <v>0.0761096810415161</v>
      </c>
      <c r="P22" s="14" t="n">
        <f aca="false">INDEX('Fcst Walk'!$R$5:$R$69,MATCH($C22,'Fcst Walk'!$A$5:$A$69,0))/$D22-1</f>
        <v>0.0965557649813047</v>
      </c>
      <c r="Q22" s="16" t="n">
        <f aca="false">INDEX('Fcst Walk'!$AM$5:$AM$69,MATCH($C22,'Fcst Walk'!$A$5:$A$69,0))</f>
        <v>0</v>
      </c>
      <c r="R22" s="11" t="str">
        <f aca="false">INDEX('Fcst Walk'!$AN$5:$AN$69,MATCH($C22,'Fcst Walk'!$A$5:$A$69,0))</f>
        <v/>
      </c>
      <c r="S22" s="14" t="n">
        <f aca="false">AVERAGE(INDEX('Realpage - His. Rent Change'!$I$2:$AV$577,MATCH($C22,'Realpage - His. Rent Change'!$A$2:$A$577,0),0))</f>
        <v>0.0574675</v>
      </c>
      <c r="T22" s="14"/>
      <c r="U22" s="14" t="n">
        <f aca="false">IF(T22="",S22,AVERAGE(S22,T22))</f>
        <v>0.0574675</v>
      </c>
      <c r="V22" s="17" t="n">
        <f aca="false">IF(H22&gt;=0,0,-H22/U22)</f>
        <v>0</v>
      </c>
    </row>
    <row r="23" customFormat="false" ht="15" hidden="false" customHeight="false" outlineLevel="0" collapsed="false">
      <c r="B23" s="4" t="n">
        <f aca="false">ROW()-4</f>
        <v>19</v>
      </c>
      <c r="C23" s="5" t="s">
        <v>40</v>
      </c>
      <c r="D23" s="6" t="n">
        <f aca="false">SUMIFS('Realpage Data'!$R$2:$R$899,'Realpage Data'!$A$2:$A$899,$C23,'Realpage Data'!$F$2:$F$899,"Rent Roll (Rev/OSF)")</f>
        <v>1.26819012269437</v>
      </c>
      <c r="E23" s="6" t="n">
        <f aca="false">SUMIFS('Realpage Data'!$R$2:$R$899,'Realpage Data'!$A$2:$A$899,$C23,'Realpage Data'!$F$2:$F$899,"Asking RPSF")</f>
        <v>1.316</v>
      </c>
      <c r="F23" s="6" t="n">
        <f aca="false">SUMIFS('Realpage Data'!$R$2:$R$899,'Realpage Data'!$A$2:$A$899,$C23,'Realpage Data'!$F$2:$F$899,"Effective RPSF")</f>
        <v>1.3</v>
      </c>
      <c r="G23" s="7" t="n">
        <f aca="false">E23/$D23-1</f>
        <v>0.037699297960198</v>
      </c>
      <c r="H23" s="8" t="n">
        <f aca="false">F23/$D23-1</f>
        <v>0.0250828931217761</v>
      </c>
      <c r="I23" s="7" t="n">
        <f aca="false">SUMIFS('RP - Unit Starts'!$AC$2:$AC$451,'RP - Unit Starts'!$A$2:$A$451,$C23,'RP - Unit Starts'!$F$2:$F$451,"Annual Unit Starts")/SUMIFS('RP - Unit Starts'!$AC$2:$AC$451,'RP - Unit Starts'!$A$2:$A$451,$C23,'RP - Unit Starts'!$F$2:$F$451,"Existing Units")</f>
        <v>0.00599711677078328</v>
      </c>
      <c r="J23" s="7" t="n">
        <f aca="false">SUMIFS('Realpage Data'!$V$2:$V$899,'Realpage Data'!$A$2:$A$899,$C23,'Realpage Data'!$F$2:$F$899,"Existing Units")/SUMIFS('Realpage Data'!$R$2:$R$899,'Realpage Data'!$A$2:$A$899,$C23,'Realpage Data'!$F$2:$F$899,"Existing Units")-1</f>
        <v>0.0059971167707833</v>
      </c>
      <c r="K23" s="7" t="n">
        <f aca="false">INDEX('Fcst Walk'!$J$5:$J$69,MATCH($C23,'Fcst Walk'!$A$5:$A$69,0))/INDEX('Fcst Walk'!$F$5:$F$69,MATCH($C23,'Fcst Walk'!$A$5:$A$69,0))-1</f>
        <v>0.03</v>
      </c>
      <c r="L23" s="7" t="n">
        <f aca="false">INDEX('Fcst Walk'!$N$5:$N$69,MATCH($C23,'Fcst Walk'!$A$5:$A$69,0))/INDEX('Fcst Walk'!$J$5:$J$69,MATCH($C23,'Fcst Walk'!$A$5:$A$69,0))-1</f>
        <v>0.0229999999999999</v>
      </c>
      <c r="M23" s="7" t="n">
        <f aca="false">INDEX('Fcst Walk'!$R$5:$R$69,MATCH($C23,'Fcst Walk'!$A$5:$A$69,0))/INDEX('Fcst Walk'!$N$5:$N$69,MATCH($C23,'Fcst Walk'!$A$5:$A$69,0))-1</f>
        <v>0.016</v>
      </c>
      <c r="N23" s="7" t="n">
        <f aca="false">INDEX('Fcst Walk'!$J$5:$J$69,MATCH($C23,'Fcst Walk'!$A$5:$A$69,0))/$D23-1</f>
        <v>0.0558353799154296</v>
      </c>
      <c r="O23" s="7" t="n">
        <f aca="false">INDEX('Fcst Walk'!$N$5:$N$69,MATCH($C23,'Fcst Walk'!$A$5:$A$69,0))/$D23-1</f>
        <v>0.0801195936534844</v>
      </c>
      <c r="P23" s="7" t="n">
        <f aca="false">INDEX('Fcst Walk'!$R$5:$R$69,MATCH($C23,'Fcst Walk'!$A$5:$A$69,0))/$D23-1</f>
        <v>0.0974015071519403</v>
      </c>
      <c r="Q23" s="9" t="n">
        <f aca="false">INDEX('Fcst Walk'!$AM$5:$AM$69,MATCH($C23,'Fcst Walk'!$A$5:$A$69,0))</f>
        <v>0</v>
      </c>
      <c r="R23" s="4" t="str">
        <f aca="false">INDEX('Fcst Walk'!$AN$5:$AN$69,MATCH($C23,'Fcst Walk'!$A$5:$A$69,0))</f>
        <v/>
      </c>
      <c r="S23" s="7" t="n">
        <f aca="false">AVERAGE(INDEX('Realpage - His. Rent Change'!$I$2:$AV$577,MATCH($C23,'Realpage - His. Rent Change'!$A$2:$A$577,0),0))</f>
        <v>0.032635</v>
      </c>
      <c r="T23" s="7"/>
      <c r="U23" s="7" t="n">
        <f aca="false">IF(T23="",S23,AVERAGE(S23,T23))</f>
        <v>0.032635</v>
      </c>
      <c r="V23" s="10" t="n">
        <f aca="false">IF(H23&gt;=0,0,-H23/U23)</f>
        <v>0</v>
      </c>
    </row>
    <row r="24" customFormat="false" ht="15" hidden="false" customHeight="false" outlineLevel="0" collapsed="false">
      <c r="B24" s="11" t="n">
        <f aca="false">ROW()-4</f>
        <v>20</v>
      </c>
      <c r="C24" s="12" t="s">
        <v>41</v>
      </c>
      <c r="D24" s="13" t="n">
        <f aca="false">SUMIFS('Realpage Data'!$R$2:$R$899,'Realpage Data'!$A$2:$A$899,$C24,'Realpage Data'!$F$2:$F$899,"Rent Roll (Rev/OSF)")</f>
        <v>1.49116256746376</v>
      </c>
      <c r="E24" s="13" t="n">
        <f aca="false">SUMIFS('Realpage Data'!$R$2:$R$899,'Realpage Data'!$A$2:$A$899,$C24,'Realpage Data'!$F$2:$F$899,"Asking RPSF")</f>
        <v>1.536</v>
      </c>
      <c r="F24" s="13" t="n">
        <f aca="false">SUMIFS('Realpage Data'!$R$2:$R$899,'Realpage Data'!$A$2:$A$899,$C24,'Realpage Data'!$F$2:$F$899,"Effective RPSF")</f>
        <v>1.523</v>
      </c>
      <c r="G24" s="14" t="n">
        <f aca="false">E24/$D24-1</f>
        <v>0.0300687755410201</v>
      </c>
      <c r="H24" s="15" t="n">
        <f aca="false">F24/$D24-1</f>
        <v>0.0213507455396962</v>
      </c>
      <c r="I24" s="14" t="n">
        <f aca="false">SUMIFS('RP - Unit Starts'!$AC$2:$AC$451,'RP - Unit Starts'!$A$2:$A$451,$C24,'RP - Unit Starts'!$F$2:$F$451,"Annual Unit Starts")/SUMIFS('RP - Unit Starts'!$AC$2:$AC$451,'RP - Unit Starts'!$A$2:$A$451,$C24,'RP - Unit Starts'!$F$2:$F$451,"Existing Units")</f>
        <v>0.0254794663331249</v>
      </c>
      <c r="J24" s="14" t="n">
        <f aca="false">SUMIFS('Realpage Data'!$V$2:$V$899,'Realpage Data'!$A$2:$A$899,$C24,'Realpage Data'!$F$2:$F$899,"Existing Units")/SUMIFS('Realpage Data'!$R$2:$R$899,'Realpage Data'!$A$2:$A$899,$C24,'Realpage Data'!$F$2:$F$899,"Existing Units")-1</f>
        <v>0.0198509485094851</v>
      </c>
      <c r="K24" s="14" t="n">
        <f aca="false">INDEX('Fcst Walk'!$J$5:$J$69,MATCH($C24,'Fcst Walk'!$A$5:$A$69,0))/INDEX('Fcst Walk'!$F$5:$F$69,MATCH($C24,'Fcst Walk'!$A$5:$A$69,0))-1</f>
        <v>0.022</v>
      </c>
      <c r="L24" s="14" t="n">
        <f aca="false">INDEX('Fcst Walk'!$N$5:$N$69,MATCH($C24,'Fcst Walk'!$A$5:$A$69,0))/INDEX('Fcst Walk'!$J$5:$J$69,MATCH($C24,'Fcst Walk'!$A$5:$A$69,0))-1</f>
        <v>0.02</v>
      </c>
      <c r="M24" s="14" t="n">
        <f aca="false">INDEX('Fcst Walk'!$R$5:$R$69,MATCH($C24,'Fcst Walk'!$A$5:$A$69,0))/INDEX('Fcst Walk'!$N$5:$N$69,MATCH($C24,'Fcst Walk'!$A$5:$A$69,0))-1</f>
        <v>0.0189999999999999</v>
      </c>
      <c r="N24" s="14" t="n">
        <f aca="false">INDEX('Fcst Walk'!$J$5:$J$69,MATCH($C24,'Fcst Walk'!$A$5:$A$69,0))/$D24-1</f>
        <v>0.0438204619415696</v>
      </c>
      <c r="O24" s="14" t="n">
        <f aca="false">INDEX('Fcst Walk'!$N$5:$N$69,MATCH($C24,'Fcst Walk'!$A$5:$A$69,0))/$D24-1</f>
        <v>0.064696871180401</v>
      </c>
      <c r="P24" s="14" t="n">
        <f aca="false">INDEX('Fcst Walk'!$R$5:$R$69,MATCH($C24,'Fcst Walk'!$A$5:$A$69,0))/$D24-1</f>
        <v>0.0849261117328286</v>
      </c>
      <c r="Q24" s="16" t="n">
        <f aca="false">INDEX('Fcst Walk'!$AM$5:$AM$69,MATCH($C24,'Fcst Walk'!$A$5:$A$69,0))</f>
        <v>0</v>
      </c>
      <c r="R24" s="11" t="str">
        <f aca="false">INDEX('Fcst Walk'!$AN$5:$AN$69,MATCH($C24,'Fcst Walk'!$A$5:$A$69,0))</f>
        <v/>
      </c>
      <c r="S24" s="14" t="n">
        <f aca="false">AVERAGE(INDEX('Realpage - His. Rent Change'!$I$2:$AV$577,MATCH($C24,'Realpage - His. Rent Change'!$A$2:$A$577,0),0))</f>
        <v>0.05285</v>
      </c>
      <c r="T24" s="18" t="n">
        <v>0.0367</v>
      </c>
      <c r="U24" s="14" t="n">
        <f aca="false">IF(T24="",S24,AVERAGE(S24,T24))</f>
        <v>0.044775</v>
      </c>
      <c r="V24" s="17" t="n">
        <f aca="false">IF(H24&gt;=0,0,-H24/U24)</f>
        <v>0</v>
      </c>
    </row>
    <row r="25" customFormat="false" ht="15" hidden="false" customHeight="false" outlineLevel="0" collapsed="false">
      <c r="B25" s="4" t="n">
        <f aca="false">ROW()-4</f>
        <v>21</v>
      </c>
      <c r="C25" s="5" t="s">
        <v>42</v>
      </c>
      <c r="D25" s="6" t="n">
        <f aca="false">SUMIFS('Realpage Data'!$R$2:$R$899,'Realpage Data'!$A$2:$A$899,$C25,'Realpage Data'!$F$2:$F$899,"Rent Roll (Rev/OSF)")</f>
        <v>1.85544037279929</v>
      </c>
      <c r="E25" s="6" t="n">
        <f aca="false">SUMIFS('Realpage Data'!$R$2:$R$899,'Realpage Data'!$A$2:$A$899,$C25,'Realpage Data'!$F$2:$F$899,"Asking RPSF")</f>
        <v>1.911</v>
      </c>
      <c r="F25" s="6" t="n">
        <f aca="false">SUMIFS('Realpage Data'!$R$2:$R$899,'Realpage Data'!$A$2:$A$899,$C25,'Realpage Data'!$F$2:$F$899,"Effective RPSF")</f>
        <v>1.884</v>
      </c>
      <c r="G25" s="7" t="n">
        <f aca="false">E25/$D25-1</f>
        <v>0.029944172830999</v>
      </c>
      <c r="H25" s="8" t="n">
        <f aca="false">F25/$D25-1</f>
        <v>0.015392371331032</v>
      </c>
      <c r="I25" s="7" t="n">
        <f aca="false">SUMIFS('RP - Unit Starts'!$AC$2:$AC$451,'RP - Unit Starts'!$A$2:$A$451,$C25,'RP - Unit Starts'!$F$2:$F$451,"Annual Unit Starts")/SUMIFS('RP - Unit Starts'!$AC$2:$AC$451,'RP - Unit Starts'!$A$2:$A$451,$C25,'RP - Unit Starts'!$F$2:$F$451,"Existing Units")</f>
        <v>0.00939662391467231</v>
      </c>
      <c r="J25" s="7" t="n">
        <f aca="false">SUMIFS('Realpage Data'!$V$2:$V$899,'Realpage Data'!$A$2:$A$899,$C25,'Realpage Data'!$F$2:$F$899,"Existing Units")/SUMIFS('Realpage Data'!$R$2:$R$899,'Realpage Data'!$A$2:$A$899,$C25,'Realpage Data'!$F$2:$F$899,"Existing Units")-1</f>
        <v>0.0072399253676525</v>
      </c>
      <c r="K25" s="7" t="n">
        <f aca="false">INDEX('Fcst Walk'!$J$5:$J$69,MATCH($C25,'Fcst Walk'!$A$5:$A$69,0))/INDEX('Fcst Walk'!$F$5:$F$69,MATCH($C25,'Fcst Walk'!$A$5:$A$69,0))-1</f>
        <v>0.0189999999999999</v>
      </c>
      <c r="L25" s="7" t="n">
        <f aca="false">INDEX('Fcst Walk'!$N$5:$N$69,MATCH($C25,'Fcst Walk'!$A$5:$A$69,0))/INDEX('Fcst Walk'!$J$5:$J$69,MATCH($C25,'Fcst Walk'!$A$5:$A$69,0))-1</f>
        <v>0.0209999999999999</v>
      </c>
      <c r="M25" s="7" t="n">
        <f aca="false">INDEX('Fcst Walk'!$R$5:$R$69,MATCH($C25,'Fcst Walk'!$A$5:$A$69,0))/INDEX('Fcst Walk'!$N$5:$N$69,MATCH($C25,'Fcst Walk'!$A$5:$A$69,0))-1</f>
        <v>0.0209999999999999</v>
      </c>
      <c r="N25" s="7" t="n">
        <f aca="false">INDEX('Fcst Walk'!$J$5:$J$69,MATCH($C25,'Fcst Walk'!$A$5:$A$69,0))/$D25-1</f>
        <v>0.0346848263863213</v>
      </c>
      <c r="O25" s="7" t="n">
        <f aca="false">INDEX('Fcst Walk'!$N$5:$N$69,MATCH($C25,'Fcst Walk'!$A$5:$A$69,0))/$D25-1</f>
        <v>0.056413207740434</v>
      </c>
      <c r="P25" s="7" t="n">
        <f aca="false">INDEX('Fcst Walk'!$R$5:$R$69,MATCH($C25,'Fcst Walk'!$A$5:$A$69,0))/$D25-1</f>
        <v>0.0785978851029832</v>
      </c>
      <c r="Q25" s="9" t="n">
        <f aca="false">INDEX('Fcst Walk'!$AM$5:$AM$69,MATCH($C25,'Fcst Walk'!$A$5:$A$69,0))</f>
        <v>0</v>
      </c>
      <c r="R25" s="4" t="str">
        <f aca="false">INDEX('Fcst Walk'!$AN$5:$AN$69,MATCH($C25,'Fcst Walk'!$A$5:$A$69,0))</f>
        <v/>
      </c>
      <c r="S25" s="7" t="n">
        <f aca="false">AVERAGE(INDEX('Realpage - His. Rent Change'!$I$2:$AV$577,MATCH($C25,'Realpage - His. Rent Change'!$A$2:$A$577,0),0))</f>
        <v>0.0401575</v>
      </c>
      <c r="T25" s="19" t="n">
        <v>0.0264</v>
      </c>
      <c r="U25" s="7" t="n">
        <f aca="false">IF(T25="",S25,AVERAGE(S25,T25))</f>
        <v>0.03327875</v>
      </c>
      <c r="V25" s="10" t="n">
        <f aca="false">IF(H25&gt;=0,0,-H25/U25)</f>
        <v>0</v>
      </c>
    </row>
    <row r="26" customFormat="false" ht="15" hidden="false" customHeight="false" outlineLevel="0" collapsed="false">
      <c r="B26" s="11" t="n">
        <f aca="false">ROW()-4</f>
        <v>22</v>
      </c>
      <c r="C26" s="12" t="s">
        <v>43</v>
      </c>
      <c r="D26" s="13" t="n">
        <f aca="false">SUMIFS('Realpage Data'!$R$2:$R$899,'Realpage Data'!$A$2:$A$899,$C26,'Realpage Data'!$F$2:$F$899,"Rent Roll (Rev/OSF)")</f>
        <v>2.43196458652125</v>
      </c>
      <c r="E26" s="13" t="n">
        <f aca="false">SUMIFS('Realpage Data'!$R$2:$R$899,'Realpage Data'!$A$2:$A$899,$C26,'Realpage Data'!$F$2:$F$899,"Asking RPSF")</f>
        <v>2.461</v>
      </c>
      <c r="F26" s="13" t="n">
        <f aca="false">SUMIFS('Realpage Data'!$R$2:$R$899,'Realpage Data'!$A$2:$A$899,$C26,'Realpage Data'!$F$2:$F$899,"Effective RPSF")</f>
        <v>2.449</v>
      </c>
      <c r="G26" s="14" t="n">
        <f aca="false">E26/$D26-1</f>
        <v>0.0119390774190047</v>
      </c>
      <c r="H26" s="15" t="n">
        <f aca="false">F26/$D26-1</f>
        <v>0.0070047950423171</v>
      </c>
      <c r="I26" s="14" t="n">
        <f aca="false">SUMIFS('RP - Unit Starts'!$AC$2:$AC$451,'RP - Unit Starts'!$A$2:$A$451,$C26,'RP - Unit Starts'!$F$2:$F$451,"Annual Unit Starts")/SUMIFS('RP - Unit Starts'!$AC$2:$AC$451,'RP - Unit Starts'!$A$2:$A$451,$C26,'RP - Unit Starts'!$F$2:$F$451,"Existing Units")</f>
        <v>0.0222180266586112</v>
      </c>
      <c r="J26" s="14" t="n">
        <f aca="false">SUMIFS('Realpage Data'!$V$2:$V$899,'Realpage Data'!$A$2:$A$899,$C26,'Realpage Data'!$F$2:$F$899,"Existing Units")/SUMIFS('Realpage Data'!$R$2:$R$899,'Realpage Data'!$A$2:$A$899,$C26,'Realpage Data'!$F$2:$F$899,"Existing Units")-1</f>
        <v>0.0240909262545783</v>
      </c>
      <c r="K26" s="14" t="n">
        <f aca="false">INDEX('Fcst Walk'!$J$5:$J$69,MATCH($C26,'Fcst Walk'!$A$5:$A$69,0))/INDEX('Fcst Walk'!$F$5:$F$69,MATCH($C26,'Fcst Walk'!$A$5:$A$69,0))-1</f>
        <v>0.0269999999999999</v>
      </c>
      <c r="L26" s="14" t="n">
        <f aca="false">INDEX('Fcst Walk'!$N$5:$N$69,MATCH($C26,'Fcst Walk'!$A$5:$A$69,0))/INDEX('Fcst Walk'!$J$5:$J$69,MATCH($C26,'Fcst Walk'!$A$5:$A$69,0))-1</f>
        <v>0.0309999999999999</v>
      </c>
      <c r="M26" s="14" t="n">
        <f aca="false">INDEX('Fcst Walk'!$R$5:$R$69,MATCH($C26,'Fcst Walk'!$A$5:$A$69,0))/INDEX('Fcst Walk'!$N$5:$N$69,MATCH($C26,'Fcst Walk'!$A$5:$A$69,0))-1</f>
        <v>0.036</v>
      </c>
      <c r="N26" s="14" t="n">
        <f aca="false">INDEX('Fcst Walk'!$J$5:$J$69,MATCH($C26,'Fcst Walk'!$A$5:$A$69,0))/$D26-1</f>
        <v>0.0341939245084595</v>
      </c>
      <c r="O26" s="14" t="n">
        <f aca="false">INDEX('Fcst Walk'!$N$5:$N$69,MATCH($C26,'Fcst Walk'!$A$5:$A$69,0))/$D26-1</f>
        <v>0.0662539361682215</v>
      </c>
      <c r="P26" s="14" t="n">
        <f aca="false">INDEX('Fcst Walk'!$R$5:$R$69,MATCH($C26,'Fcst Walk'!$A$5:$A$69,0))/$D26-1</f>
        <v>0.104639077870277</v>
      </c>
      <c r="Q26" s="16" t="n">
        <f aca="false">INDEX('Fcst Walk'!$AM$5:$AM$69,MATCH($C26,'Fcst Walk'!$A$5:$A$69,0))</f>
        <v>0</v>
      </c>
      <c r="R26" s="11" t="str">
        <f aca="false">INDEX('Fcst Walk'!$AN$5:$AN$69,MATCH($C26,'Fcst Walk'!$A$5:$A$69,0))</f>
        <v/>
      </c>
      <c r="S26" s="14" t="n">
        <f aca="false">AVERAGE(INDEX('Realpage - His. Rent Change'!$I$2:$AV$577,MATCH($C26,'Realpage - His. Rent Change'!$A$2:$A$577,0),0))</f>
        <v>0.0611375</v>
      </c>
      <c r="T26" s="18" t="n">
        <v>0.0503</v>
      </c>
      <c r="U26" s="14" t="n">
        <f aca="false">IF(T26="",S26,AVERAGE(S26,T26))</f>
        <v>0.05571875</v>
      </c>
      <c r="V26" s="17" t="n">
        <f aca="false">IF(H26&gt;=0,0,-H26/U26)</f>
        <v>0</v>
      </c>
    </row>
    <row r="27" customFormat="false" ht="15" hidden="false" customHeight="false" outlineLevel="0" collapsed="false">
      <c r="B27" s="4" t="n">
        <f aca="false">ROW()-4</f>
        <v>23</v>
      </c>
      <c r="C27" s="5" t="s">
        <v>44</v>
      </c>
      <c r="D27" s="6" t="n">
        <f aca="false">SUMIFS('Realpage Data'!$R$2:$R$899,'Realpage Data'!$A$2:$A$899,$C27,'Realpage Data'!$F$2:$F$899,"Rent Roll (Rev/OSF)")</f>
        <v>1.46088091619272</v>
      </c>
      <c r="E27" s="6" t="n">
        <f aca="false">SUMIFS('Realpage Data'!$R$2:$R$899,'Realpage Data'!$A$2:$A$899,$C27,'Realpage Data'!$F$2:$F$899,"Asking RPSF")</f>
        <v>1.531</v>
      </c>
      <c r="F27" s="6" t="n">
        <f aca="false">SUMIFS('Realpage Data'!$R$2:$R$899,'Realpage Data'!$A$2:$A$899,$C27,'Realpage Data'!$F$2:$F$899,"Effective RPSF")</f>
        <v>1.466</v>
      </c>
      <c r="G27" s="7" t="n">
        <f aca="false">E27/$D27-1</f>
        <v>0.04799780942448</v>
      </c>
      <c r="H27" s="8" t="n">
        <f aca="false">F27/$D27-1</f>
        <v>0.00350410752206898</v>
      </c>
      <c r="I27" s="7" t="n">
        <f aca="false">SUMIFS('RP - Unit Starts'!$AC$2:$AC$451,'RP - Unit Starts'!$A$2:$A$451,$C27,'RP - Unit Starts'!$F$2:$F$451,"Annual Unit Starts")/SUMIFS('RP - Unit Starts'!$AC$2:$AC$451,'RP - Unit Starts'!$A$2:$A$451,$C27,'RP - Unit Starts'!$F$2:$F$451,"Existing Units")</f>
        <v>0.0106208628652917</v>
      </c>
      <c r="J27" s="7" t="n">
        <f aca="false">SUMIFS('Realpage Data'!$V$2:$V$899,'Realpage Data'!$A$2:$A$899,$C27,'Realpage Data'!$F$2:$F$899,"Existing Units")/SUMIFS('Realpage Data'!$R$2:$R$899,'Realpage Data'!$A$2:$A$899,$C27,'Realpage Data'!$F$2:$F$899,"Existing Units")-1</f>
        <v>0.00559776940595524</v>
      </c>
      <c r="K27" s="7" t="n">
        <f aca="false">INDEX('Fcst Walk'!$J$5:$J$69,MATCH($C27,'Fcst Walk'!$A$5:$A$69,0))/INDEX('Fcst Walk'!$F$5:$F$69,MATCH($C27,'Fcst Walk'!$A$5:$A$69,0))-1</f>
        <v>0.016</v>
      </c>
      <c r="L27" s="7" t="n">
        <f aca="false">INDEX('Fcst Walk'!$N$5:$N$69,MATCH($C27,'Fcst Walk'!$A$5:$A$69,0))/INDEX('Fcst Walk'!$J$5:$J$69,MATCH($C27,'Fcst Walk'!$A$5:$A$69,0))-1</f>
        <v>0.0249999999999999</v>
      </c>
      <c r="M27" s="7" t="n">
        <f aca="false">INDEX('Fcst Walk'!$R$5:$R$69,MATCH($C27,'Fcst Walk'!$A$5:$A$69,0))/INDEX('Fcst Walk'!$N$5:$N$69,MATCH($C27,'Fcst Walk'!$A$5:$A$69,0))-1</f>
        <v>0.032</v>
      </c>
      <c r="N27" s="7" t="n">
        <f aca="false">INDEX('Fcst Walk'!$J$5:$J$69,MATCH($C27,'Fcst Walk'!$A$5:$A$69,0))/$D27-1</f>
        <v>0.019560173242422</v>
      </c>
      <c r="O27" s="7" t="n">
        <f aca="false">INDEX('Fcst Walk'!$N$5:$N$69,MATCH($C27,'Fcst Walk'!$A$5:$A$69,0))/$D27-1</f>
        <v>0.0450491775734825</v>
      </c>
      <c r="P27" s="7" t="n">
        <f aca="false">INDEX('Fcst Walk'!$R$5:$R$69,MATCH($C27,'Fcst Walk'!$A$5:$A$69,0))/$D27-1</f>
        <v>0.0784907512558339</v>
      </c>
      <c r="Q27" s="9" t="n">
        <f aca="false">INDEX('Fcst Walk'!$AM$5:$AM$69,MATCH($C27,'Fcst Walk'!$A$5:$A$69,0))</f>
        <v>0</v>
      </c>
      <c r="R27" s="4" t="str">
        <f aca="false">INDEX('Fcst Walk'!$AN$5:$AN$69,MATCH($C27,'Fcst Walk'!$A$5:$A$69,0))</f>
        <v/>
      </c>
      <c r="S27" s="7" t="n">
        <f aca="false">AVERAGE(INDEX('Realpage - His. Rent Change'!$I$2:$AV$577,MATCH($C27,'Realpage - His. Rent Change'!$A$2:$A$577,0),0))</f>
        <v>0.061405</v>
      </c>
      <c r="T27" s="7"/>
      <c r="U27" s="7" t="n">
        <f aca="false">IF(T27="",S27,AVERAGE(S27,T27))</f>
        <v>0.061405</v>
      </c>
      <c r="V27" s="10" t="n">
        <f aca="false">IF(H27&gt;=0,0,-H27/U27)</f>
        <v>0</v>
      </c>
    </row>
    <row r="28" customFormat="false" ht="15" hidden="false" customHeight="false" outlineLevel="0" collapsed="false">
      <c r="B28" s="11" t="n">
        <f aca="false">ROW()-4</f>
        <v>24</v>
      </c>
      <c r="C28" s="12" t="s">
        <v>45</v>
      </c>
      <c r="D28" s="13" t="n">
        <f aca="false">SUMIFS('Realpage Data'!$R$2:$R$899,'Realpage Data'!$A$2:$A$899,$C28,'Realpage Data'!$F$2:$F$899,"Rent Roll (Rev/OSF)")</f>
        <v>1.48765276756357</v>
      </c>
      <c r="E28" s="13" t="n">
        <f aca="false">SUMIFS('Realpage Data'!$R$2:$R$899,'Realpage Data'!$A$2:$A$899,$C28,'Realpage Data'!$F$2:$F$899,"Asking RPSF")</f>
        <v>1.539</v>
      </c>
      <c r="F28" s="13" t="n">
        <f aca="false">SUMIFS('Realpage Data'!$R$2:$R$899,'Realpage Data'!$A$2:$A$899,$C28,'Realpage Data'!$F$2:$F$899,"Effective RPSF")</f>
        <v>1.485</v>
      </c>
      <c r="G28" s="14" t="n">
        <f aca="false">E28/$D28-1</f>
        <v>0.0345156030735088</v>
      </c>
      <c r="H28" s="15" t="n">
        <f aca="false">F28/$D28-1</f>
        <v>-0.00178319001678962</v>
      </c>
      <c r="I28" s="14" t="n">
        <f aca="false">SUMIFS('RP - Unit Starts'!$AC$2:$AC$451,'RP - Unit Starts'!$A$2:$A$451,$C28,'RP - Unit Starts'!$F$2:$F$451,"Annual Unit Starts")/SUMIFS('RP - Unit Starts'!$AC$2:$AC$451,'RP - Unit Starts'!$A$2:$A$451,$C28,'RP - Unit Starts'!$F$2:$F$451,"Existing Units")</f>
        <v>0.00437192598953861</v>
      </c>
      <c r="J28" s="14" t="n">
        <f aca="false">SUMIFS('Realpage Data'!$V$2:$V$899,'Realpage Data'!$A$2:$A$899,$C28,'Realpage Data'!$F$2:$F$899,"Existing Units")/SUMIFS('Realpage Data'!$R$2:$R$899,'Realpage Data'!$A$2:$A$899,$C28,'Realpage Data'!$F$2:$F$899,"Existing Units")-1</f>
        <v>0.0387487964191844</v>
      </c>
      <c r="K28" s="14" t="n">
        <f aca="false">INDEX('Fcst Walk'!$J$5:$J$69,MATCH($C28,'Fcst Walk'!$A$5:$A$69,0))/INDEX('Fcst Walk'!$F$5:$F$69,MATCH($C28,'Fcst Walk'!$A$5:$A$69,0))-1</f>
        <v>0.016</v>
      </c>
      <c r="L28" s="14" t="n">
        <f aca="false">INDEX('Fcst Walk'!$N$5:$N$69,MATCH($C28,'Fcst Walk'!$A$5:$A$69,0))/INDEX('Fcst Walk'!$J$5:$J$69,MATCH($C28,'Fcst Walk'!$A$5:$A$69,0))-1</f>
        <v>0.02</v>
      </c>
      <c r="M28" s="14" t="n">
        <f aca="false">INDEX('Fcst Walk'!$R$5:$R$69,MATCH($C28,'Fcst Walk'!$A$5:$A$69,0))/INDEX('Fcst Walk'!$N$5:$N$69,MATCH($C28,'Fcst Walk'!$A$5:$A$69,0))-1</f>
        <v>0.0209999999999999</v>
      </c>
      <c r="N28" s="14" t="n">
        <f aca="false">INDEX('Fcst Walk'!$J$5:$J$69,MATCH($C28,'Fcst Walk'!$A$5:$A$69,0))/$D28-1</f>
        <v>0.0141882789429417</v>
      </c>
      <c r="O28" s="14" t="n">
        <f aca="false">INDEX('Fcst Walk'!$N$5:$N$69,MATCH($C28,'Fcst Walk'!$A$5:$A$69,0))/$D28-1</f>
        <v>0.0344720445218005</v>
      </c>
      <c r="P28" s="14" t="n">
        <f aca="false">INDEX('Fcst Walk'!$R$5:$R$69,MATCH($C28,'Fcst Walk'!$A$5:$A$69,0))/$D28-1</f>
        <v>0.0561959574567581</v>
      </c>
      <c r="Q28" s="16" t="n">
        <f aca="false">INDEX('Fcst Walk'!$AM$5:$AM$69,MATCH($C28,'Fcst Walk'!$A$5:$A$69,0))</f>
        <v>0.0493556516255272</v>
      </c>
      <c r="R28" s="11" t="str">
        <f aca="false">INDEX('Fcst Walk'!$AN$5:$AN$69,MATCH($C28,'Fcst Walk'!$A$5:$A$69,0))</f>
        <v/>
      </c>
      <c r="S28" s="14" t="n">
        <f aca="false">AVERAGE(INDEX('Realpage - His. Rent Change'!$I$2:$AV$577,MATCH($C28,'Realpage - His. Rent Change'!$A$2:$A$577,0),0))</f>
        <v>0.061055</v>
      </c>
      <c r="T28" s="14"/>
      <c r="U28" s="14" t="n">
        <f aca="false">IF(T28="",S28,AVERAGE(S28,T28))</f>
        <v>0.061055</v>
      </c>
      <c r="V28" s="17" t="n">
        <f aca="false">IF(H28&gt;=0,0,-H28/U28)</f>
        <v>0.0292062896861783</v>
      </c>
    </row>
    <row r="29" customFormat="false" ht="15" hidden="false" customHeight="false" outlineLevel="0" collapsed="false">
      <c r="B29" s="4" t="n">
        <f aca="false">ROW()-4</f>
        <v>25</v>
      </c>
      <c r="C29" s="5" t="s">
        <v>46</v>
      </c>
      <c r="D29" s="6" t="n">
        <f aca="false">SUMIFS('Realpage Data'!$R$2:$R$899,'Realpage Data'!$A$2:$A$899,$C29,'Realpage Data'!$F$2:$F$899,"Rent Roll (Rev/OSF)")</f>
        <v>1.55595083043019</v>
      </c>
      <c r="E29" s="6" t="n">
        <f aca="false">SUMIFS('Realpage Data'!$R$2:$R$899,'Realpage Data'!$A$2:$A$899,$C29,'Realpage Data'!$F$2:$F$899,"Asking RPSF")</f>
        <v>1.573</v>
      </c>
      <c r="F29" s="6" t="n">
        <f aca="false">SUMIFS('Realpage Data'!$R$2:$R$899,'Realpage Data'!$A$2:$A$899,$C29,'Realpage Data'!$F$2:$F$899,"Effective RPSF")</f>
        <v>1.559</v>
      </c>
      <c r="G29" s="7" t="n">
        <f aca="false">E29/$D29-1</f>
        <v>0.010957396105566</v>
      </c>
      <c r="H29" s="8" t="n">
        <f aca="false">F29/$D29-1</f>
        <v>0.00195968247207712</v>
      </c>
      <c r="I29" s="7" t="n">
        <f aca="false">SUMIFS('RP - Unit Starts'!$AC$2:$AC$451,'RP - Unit Starts'!$A$2:$A$451,$C29,'RP - Unit Starts'!$F$2:$F$451,"Annual Unit Starts")/SUMIFS('RP - Unit Starts'!$AC$2:$AC$451,'RP - Unit Starts'!$A$2:$A$451,$C29,'RP - Unit Starts'!$F$2:$F$451,"Existing Units")</f>
        <v>0.0110466343712377</v>
      </c>
      <c r="J29" s="7" t="n">
        <f aca="false">SUMIFS('Realpage Data'!$V$2:$V$899,'Realpage Data'!$A$2:$A$899,$C29,'Realpage Data'!$F$2:$F$899,"Existing Units")/SUMIFS('Realpage Data'!$R$2:$R$899,'Realpage Data'!$A$2:$A$899,$C29,'Realpage Data'!$F$2:$F$899,"Existing Units")-1</f>
        <v>0.00851891793195136</v>
      </c>
      <c r="K29" s="7" t="n">
        <f aca="false">INDEX('Fcst Walk'!$J$5:$J$69,MATCH($C29,'Fcst Walk'!$A$5:$A$69,0))/INDEX('Fcst Walk'!$F$5:$F$69,MATCH($C29,'Fcst Walk'!$A$5:$A$69,0))-1</f>
        <v>0.0229999999999999</v>
      </c>
      <c r="L29" s="7" t="n">
        <f aca="false">INDEX('Fcst Walk'!$N$5:$N$69,MATCH($C29,'Fcst Walk'!$A$5:$A$69,0))/INDEX('Fcst Walk'!$J$5:$J$69,MATCH($C29,'Fcst Walk'!$A$5:$A$69,0))-1</f>
        <v>0.0229999999999999</v>
      </c>
      <c r="M29" s="7" t="n">
        <f aca="false">INDEX('Fcst Walk'!$R$5:$R$69,MATCH($C29,'Fcst Walk'!$A$5:$A$69,0))/INDEX('Fcst Walk'!$N$5:$N$69,MATCH($C29,'Fcst Walk'!$A$5:$A$69,0))-1</f>
        <v>0.0249999999999999</v>
      </c>
      <c r="N29" s="7" t="n">
        <f aca="false">INDEX('Fcst Walk'!$J$5:$J$69,MATCH($C29,'Fcst Walk'!$A$5:$A$69,0))/$D29-1</f>
        <v>0.025004755168935</v>
      </c>
      <c r="O29" s="7" t="n">
        <f aca="false">INDEX('Fcst Walk'!$N$5:$N$69,MATCH($C29,'Fcst Walk'!$A$5:$A$69,0))/$D29-1</f>
        <v>0.0485798645378204</v>
      </c>
      <c r="P29" s="7" t="n">
        <f aca="false">INDEX('Fcst Walk'!$R$5:$R$69,MATCH($C29,'Fcst Walk'!$A$5:$A$69,0))/$D29-1</f>
        <v>0.0747943611512658</v>
      </c>
      <c r="Q29" s="9" t="n">
        <f aca="false">INDEX('Fcst Walk'!$AM$5:$AM$69,MATCH($C29,'Fcst Walk'!$A$5:$A$69,0))</f>
        <v>0.534694967146531</v>
      </c>
      <c r="R29" s="4" t="str">
        <f aca="false">INDEX('Fcst Walk'!$AN$5:$AN$69,MATCH($C29,'Fcst Walk'!$A$5:$A$69,0))</f>
        <v/>
      </c>
      <c r="S29" s="7" t="n">
        <f aca="false">AVERAGE(INDEX('Realpage - His. Rent Change'!$I$2:$AV$577,MATCH($C29,'Realpage - His. Rent Change'!$A$2:$A$577,0),0))</f>
        <v>0.0515725</v>
      </c>
      <c r="T29" s="7"/>
      <c r="U29" s="7" t="n">
        <f aca="false">IF(T29="",S29,AVERAGE(S29,T29))</f>
        <v>0.0515725</v>
      </c>
      <c r="V29" s="10" t="n">
        <f aca="false">IF(H29&gt;=0,0,-H29/U29)</f>
        <v>0</v>
      </c>
    </row>
    <row r="30" customFormat="false" ht="15" hidden="false" customHeight="false" outlineLevel="0" collapsed="false">
      <c r="B30" s="11" t="n">
        <f aca="false">ROW()-4</f>
        <v>26</v>
      </c>
      <c r="C30" s="12" t="s">
        <v>47</v>
      </c>
      <c r="D30" s="13" t="n">
        <f aca="false">SUMIFS('Realpage Data'!$R$2:$R$899,'Realpage Data'!$A$2:$A$899,$C30,'Realpage Data'!$F$2:$F$899,"Rent Roll (Rev/OSF)")</f>
        <v>1.31735643350318</v>
      </c>
      <c r="E30" s="13" t="n">
        <f aca="false">SUMIFS('Realpage Data'!$R$2:$R$899,'Realpage Data'!$A$2:$A$899,$C30,'Realpage Data'!$F$2:$F$899,"Asking RPSF")</f>
        <v>1.34</v>
      </c>
      <c r="F30" s="13" t="n">
        <f aca="false">SUMIFS('Realpage Data'!$R$2:$R$899,'Realpage Data'!$A$2:$A$899,$C30,'Realpage Data'!$F$2:$F$899,"Effective RPSF")</f>
        <v>1.323</v>
      </c>
      <c r="G30" s="14" t="n">
        <f aca="false">E30/$D30-1</f>
        <v>0.0171886407664204</v>
      </c>
      <c r="H30" s="15" t="n">
        <f aca="false">F30/$D30-1</f>
        <v>0.0042840087566971</v>
      </c>
      <c r="I30" s="14" t="n">
        <f aca="false">SUMIFS('RP - Unit Starts'!$AC$2:$AC$451,'RP - Unit Starts'!$A$2:$A$451,$C30,'RP - Unit Starts'!$F$2:$F$451,"Annual Unit Starts")/SUMIFS('RP - Unit Starts'!$AC$2:$AC$451,'RP - Unit Starts'!$A$2:$A$451,$C30,'RP - Unit Starts'!$F$2:$F$451,"Existing Units")</f>
        <v>0.0158797173875582</v>
      </c>
      <c r="J30" s="14" t="n">
        <f aca="false">SUMIFS('Realpage Data'!$V$2:$V$899,'Realpage Data'!$A$2:$A$899,$C30,'Realpage Data'!$F$2:$F$899,"Existing Units")/SUMIFS('Realpage Data'!$R$2:$R$899,'Realpage Data'!$A$2:$A$899,$C30,'Realpage Data'!$F$2:$F$899,"Existing Units")-1</f>
        <v>0.0117525417887299</v>
      </c>
      <c r="K30" s="14" t="n">
        <f aca="false">INDEX('Fcst Walk'!$J$5:$J$69,MATCH($C30,'Fcst Walk'!$A$5:$A$69,0))/INDEX('Fcst Walk'!$F$5:$F$69,MATCH($C30,'Fcst Walk'!$A$5:$A$69,0))-1</f>
        <v>0.026</v>
      </c>
      <c r="L30" s="14" t="n">
        <f aca="false">INDEX('Fcst Walk'!$N$5:$N$69,MATCH($C30,'Fcst Walk'!$A$5:$A$69,0))/INDEX('Fcst Walk'!$J$5:$J$69,MATCH($C30,'Fcst Walk'!$A$5:$A$69,0))-1</f>
        <v>0.028</v>
      </c>
      <c r="M30" s="14" t="n">
        <f aca="false">INDEX('Fcst Walk'!$R$5:$R$69,MATCH($C30,'Fcst Walk'!$A$5:$A$69,0))/INDEX('Fcst Walk'!$N$5:$N$69,MATCH($C30,'Fcst Walk'!$A$5:$A$69,0))-1</f>
        <v>0.0269999999999999</v>
      </c>
      <c r="N30" s="14" t="n">
        <f aca="false">INDEX('Fcst Walk'!$J$5:$J$69,MATCH($C30,'Fcst Walk'!$A$5:$A$69,0))/$D30-1</f>
        <v>0.0303953929843712</v>
      </c>
      <c r="O30" s="14" t="n">
        <f aca="false">INDEX('Fcst Walk'!$N$5:$N$69,MATCH($C30,'Fcst Walk'!$A$5:$A$69,0))/$D30-1</f>
        <v>0.0592464639879335</v>
      </c>
      <c r="P30" s="14" t="n">
        <f aca="false">INDEX('Fcst Walk'!$R$5:$R$69,MATCH($C30,'Fcst Walk'!$A$5:$A$69,0))/$D30-1</f>
        <v>0.0878461185156076</v>
      </c>
      <c r="Q30" s="16" t="n">
        <f aca="false">INDEX('Fcst Walk'!$AM$5:$AM$69,MATCH($C30,'Fcst Walk'!$A$5:$A$69,0))</f>
        <v>0.605849007173115</v>
      </c>
      <c r="R30" s="11" t="str">
        <f aca="false">INDEX('Fcst Walk'!$AN$5:$AN$69,MATCH($C30,'Fcst Walk'!$A$5:$A$69,0))</f>
        <v/>
      </c>
      <c r="S30" s="14" t="n">
        <f aca="false">AVERAGE(INDEX('Realpage - His. Rent Change'!$I$2:$AV$577,MATCH($C30,'Realpage - His. Rent Change'!$A$2:$A$577,0),0))</f>
        <v>0.05962</v>
      </c>
      <c r="T30" s="14"/>
      <c r="U30" s="14" t="n">
        <f aca="false">IF(T30="",S30,AVERAGE(S30,T30))</f>
        <v>0.05962</v>
      </c>
      <c r="V30" s="17" t="n">
        <f aca="false">IF(H30&gt;=0,0,-H30/U30)</f>
        <v>0</v>
      </c>
    </row>
    <row r="31" customFormat="false" ht="15" hidden="false" customHeight="false" outlineLevel="0" collapsed="false">
      <c r="B31" s="4" t="n">
        <f aca="false">ROW()-4</f>
        <v>27</v>
      </c>
      <c r="C31" s="5" t="s">
        <v>48</v>
      </c>
      <c r="D31" s="6" t="n">
        <f aca="false">SUMIFS('Realpage Data'!$R$2:$R$899,'Realpage Data'!$A$2:$A$899,$C31,'Realpage Data'!$F$2:$F$899,"Rent Roll (Rev/OSF)")</f>
        <v>1.81987165732411</v>
      </c>
      <c r="E31" s="6" t="n">
        <f aca="false">SUMIFS('Realpage Data'!$R$2:$R$899,'Realpage Data'!$A$2:$A$899,$C31,'Realpage Data'!$F$2:$F$899,"Asking RPSF")</f>
        <v>1.867</v>
      </c>
      <c r="F31" s="6" t="n">
        <f aca="false">SUMIFS('Realpage Data'!$R$2:$R$899,'Realpage Data'!$A$2:$A$899,$C31,'Realpage Data'!$F$2:$F$899,"Effective RPSF")</f>
        <v>1.83</v>
      </c>
      <c r="G31" s="7" t="n">
        <f aca="false">E31/$D31-1</f>
        <v>0.0258965199475585</v>
      </c>
      <c r="H31" s="8" t="n">
        <f aca="false">F31/$D31-1</f>
        <v>0.00556541591003312</v>
      </c>
      <c r="I31" s="7" t="n">
        <f aca="false">SUMIFS('RP - Unit Starts'!$AC$2:$AC$451,'RP - Unit Starts'!$A$2:$A$451,$C31,'RP - Unit Starts'!$F$2:$F$451,"Annual Unit Starts")/SUMIFS('RP - Unit Starts'!$AC$2:$AC$451,'RP - Unit Starts'!$A$2:$A$451,$C31,'RP - Unit Starts'!$F$2:$F$451,"Existing Units")</f>
        <v>0.0293107229003728</v>
      </c>
      <c r="J31" s="7" t="n">
        <f aca="false">SUMIFS('Realpage Data'!$V$2:$V$899,'Realpage Data'!$A$2:$A$899,$C31,'Realpage Data'!$F$2:$F$899,"Existing Units")/SUMIFS('Realpage Data'!$R$2:$R$899,'Realpage Data'!$A$2:$A$899,$C31,'Realpage Data'!$F$2:$F$899,"Existing Units")-1</f>
        <v>0.0239748556392077</v>
      </c>
      <c r="K31" s="7" t="n">
        <f aca="false">INDEX('Fcst Walk'!$J$5:$J$69,MATCH($C31,'Fcst Walk'!$A$5:$A$69,0))/INDEX('Fcst Walk'!$F$5:$F$69,MATCH($C31,'Fcst Walk'!$A$5:$A$69,0))-1</f>
        <v>0.0249999999999999</v>
      </c>
      <c r="L31" s="7" t="n">
        <f aca="false">INDEX('Fcst Walk'!$N$5:$N$69,MATCH($C31,'Fcst Walk'!$A$5:$A$69,0))/INDEX('Fcst Walk'!$J$5:$J$69,MATCH($C31,'Fcst Walk'!$A$5:$A$69,0))-1</f>
        <v>0.024</v>
      </c>
      <c r="M31" s="7" t="n">
        <f aca="false">INDEX('Fcst Walk'!$R$5:$R$69,MATCH($C31,'Fcst Walk'!$A$5:$A$69,0))/INDEX('Fcst Walk'!$N$5:$N$69,MATCH($C31,'Fcst Walk'!$A$5:$A$69,0))-1</f>
        <v>0.022</v>
      </c>
      <c r="N31" s="7" t="n">
        <f aca="false">INDEX('Fcst Walk'!$J$5:$J$69,MATCH($C31,'Fcst Walk'!$A$5:$A$69,0))/$D31-1</f>
        <v>0.0307045513077839</v>
      </c>
      <c r="O31" s="7" t="n">
        <f aca="false">INDEX('Fcst Walk'!$N$5:$N$69,MATCH($C31,'Fcst Walk'!$A$5:$A$69,0))/$D31-1</f>
        <v>0.0554414605391707</v>
      </c>
      <c r="P31" s="7" t="n">
        <f aca="false">INDEX('Fcst Walk'!$R$5:$R$69,MATCH($C31,'Fcst Walk'!$A$5:$A$69,0))/$D31-1</f>
        <v>0.0786611726710325</v>
      </c>
      <c r="Q31" s="9" t="n">
        <f aca="false">INDEX('Fcst Walk'!$AM$5:$AM$69,MATCH($C31,'Fcst Walk'!$A$5:$A$69,0))</f>
        <v>0.612896897355108</v>
      </c>
      <c r="R31" s="4" t="str">
        <f aca="false">INDEX('Fcst Walk'!$AN$5:$AN$69,MATCH($C31,'Fcst Walk'!$A$5:$A$69,0))</f>
        <v/>
      </c>
      <c r="S31" s="7" t="n">
        <f aca="false">AVERAGE(INDEX('Realpage - His. Rent Change'!$I$2:$AV$577,MATCH($C31,'Realpage - His. Rent Change'!$A$2:$A$577,0),0))</f>
        <v>0.06082</v>
      </c>
      <c r="T31" s="7"/>
      <c r="U31" s="7" t="n">
        <f aca="false">IF(T31="",S31,AVERAGE(S31,T31))</f>
        <v>0.06082</v>
      </c>
      <c r="V31" s="10" t="n">
        <f aca="false">IF(H31&gt;=0,0,-H31/U31)</f>
        <v>0</v>
      </c>
    </row>
    <row r="32" customFormat="false" ht="15" hidden="false" customHeight="false" outlineLevel="0" collapsed="false">
      <c r="B32" s="11" t="n">
        <f aca="false">ROW()-4</f>
        <v>28</v>
      </c>
      <c r="C32" s="12" t="s">
        <v>49</v>
      </c>
      <c r="D32" s="13" t="n">
        <f aca="false">SUMIFS('Realpage Data'!$R$2:$R$899,'Realpage Data'!$A$2:$A$899,$C32,'Realpage Data'!$F$2:$F$899,"Rent Roll (Rev/OSF)")</f>
        <v>1.91999554539251</v>
      </c>
      <c r="E32" s="13" t="n">
        <f aca="false">SUMIFS('Realpage Data'!$R$2:$R$899,'Realpage Data'!$A$2:$A$899,$C32,'Realpage Data'!$F$2:$F$899,"Asking RPSF")</f>
        <v>2.045</v>
      </c>
      <c r="F32" s="13" t="n">
        <f aca="false">SUMIFS('Realpage Data'!$R$2:$R$899,'Realpage Data'!$A$2:$A$899,$C32,'Realpage Data'!$F$2:$F$899,"Effective RPSF")</f>
        <v>2.024</v>
      </c>
      <c r="G32" s="14" t="n">
        <f aca="false">E32/$D32-1</f>
        <v>0.0651066378291689</v>
      </c>
      <c r="H32" s="15" t="n">
        <f aca="false">F32/$D32-1</f>
        <v>0.0541691124529282</v>
      </c>
      <c r="I32" s="14" t="n">
        <f aca="false">SUMIFS('RP - Unit Starts'!$AC$2:$AC$451,'RP - Unit Starts'!$A$2:$A$451,$C32,'RP - Unit Starts'!$F$2:$F$451,"Annual Unit Starts")/SUMIFS('RP - Unit Starts'!$AC$2:$AC$451,'RP - Unit Starts'!$A$2:$A$451,$C32,'RP - Unit Starts'!$F$2:$F$451,"Existing Units")</f>
        <v>0.0286761448306416</v>
      </c>
      <c r="J32" s="14" t="n">
        <f aca="false">SUMIFS('Realpage Data'!$V$2:$V$899,'Realpage Data'!$A$2:$A$899,$C32,'Realpage Data'!$F$2:$F$899,"Existing Units")/SUMIFS('Realpage Data'!$R$2:$R$899,'Realpage Data'!$A$2:$A$899,$C32,'Realpage Data'!$F$2:$F$899,"Existing Units")-1</f>
        <v>0.0468403882556687</v>
      </c>
      <c r="K32" s="14" t="n">
        <f aca="false">INDEX('Fcst Walk'!$J$5:$J$69,MATCH($C32,'Fcst Walk'!$A$5:$A$69,0))/INDEX('Fcst Walk'!$F$5:$F$69,MATCH($C32,'Fcst Walk'!$A$5:$A$69,0))-1</f>
        <v>0.0149999999999999</v>
      </c>
      <c r="L32" s="14" t="n">
        <f aca="false">INDEX('Fcst Walk'!$N$5:$N$69,MATCH($C32,'Fcst Walk'!$A$5:$A$69,0))/INDEX('Fcst Walk'!$J$5:$J$69,MATCH($C32,'Fcst Walk'!$A$5:$A$69,0))-1</f>
        <v>0.018</v>
      </c>
      <c r="M32" s="14" t="n">
        <f aca="false">INDEX('Fcst Walk'!$R$5:$R$69,MATCH($C32,'Fcst Walk'!$A$5:$A$69,0))/INDEX('Fcst Walk'!$N$5:$N$69,MATCH($C32,'Fcst Walk'!$A$5:$A$69,0))-1</f>
        <v>0.0189999999999999</v>
      </c>
      <c r="N32" s="14" t="n">
        <f aca="false">INDEX('Fcst Walk'!$J$5:$J$69,MATCH($C32,'Fcst Walk'!$A$5:$A$69,0))/$D32-1</f>
        <v>0.0699816491397221</v>
      </c>
      <c r="O32" s="14" t="n">
        <f aca="false">INDEX('Fcst Walk'!$N$5:$N$69,MATCH($C32,'Fcst Walk'!$A$5:$A$69,0))/$D32-1</f>
        <v>0.0892413188242371</v>
      </c>
      <c r="P32" s="14" t="n">
        <f aca="false">INDEX('Fcst Walk'!$R$5:$R$69,MATCH($C32,'Fcst Walk'!$A$5:$A$69,0))/$D32-1</f>
        <v>0.109936903881898</v>
      </c>
      <c r="Q32" s="16" t="n">
        <f aca="false">INDEX('Fcst Walk'!$AM$5:$AM$69,MATCH($C32,'Fcst Walk'!$A$5:$A$69,0))</f>
        <v>0.628773496915221</v>
      </c>
      <c r="R32" s="11" t="str">
        <f aca="false">INDEX('Fcst Walk'!$AN$5:$AN$69,MATCH($C32,'Fcst Walk'!$A$5:$A$69,0))</f>
        <v/>
      </c>
      <c r="S32" s="14" t="n">
        <f aca="false">AVERAGE(INDEX('Realpage - His. Rent Change'!$I$2:$AV$577,MATCH($C32,'Realpage - His. Rent Change'!$A$2:$A$577,0),0))</f>
        <v>0.037485</v>
      </c>
      <c r="T32" s="14"/>
      <c r="U32" s="14" t="n">
        <f aca="false">IF(T32="",S32,AVERAGE(S32,T32))</f>
        <v>0.037485</v>
      </c>
      <c r="V32" s="17" t="n">
        <f aca="false">IF(H32&gt;=0,0,-H32/U32)</f>
        <v>0</v>
      </c>
    </row>
    <row r="33" customFormat="false" ht="15" hidden="false" customHeight="false" outlineLevel="0" collapsed="false">
      <c r="B33" s="4" t="n">
        <f aca="false">ROW()-4</f>
        <v>29</v>
      </c>
      <c r="C33" s="5" t="s">
        <v>50</v>
      </c>
      <c r="D33" s="6" t="n">
        <f aca="false">SUMIFS('Realpage Data'!$R$2:$R$899,'Realpage Data'!$A$2:$A$899,$C33,'Realpage Data'!$F$2:$F$899,"Rent Roll (Rev/OSF)")</f>
        <v>1.32464330772284</v>
      </c>
      <c r="E33" s="6" t="n">
        <f aca="false">SUMIFS('Realpage Data'!$R$2:$R$899,'Realpage Data'!$A$2:$A$899,$C33,'Realpage Data'!$F$2:$F$899,"Asking RPSF")</f>
        <v>1.36</v>
      </c>
      <c r="F33" s="6" t="n">
        <f aca="false">SUMIFS('Realpage Data'!$R$2:$R$899,'Realpage Data'!$A$2:$A$899,$C33,'Realpage Data'!$F$2:$F$899,"Effective RPSF")</f>
        <v>1.335</v>
      </c>
      <c r="G33" s="7" t="n">
        <f aca="false">E33/$D33-1</f>
        <v>0.0266914814509167</v>
      </c>
      <c r="H33" s="8" t="n">
        <f aca="false">F33/$D33-1</f>
        <v>0.00781847627718668</v>
      </c>
      <c r="I33" s="7" t="n">
        <f aca="false">SUMIFS('RP - Unit Starts'!$AC$2:$AC$451,'RP - Unit Starts'!$A$2:$A$451,$C33,'RP - Unit Starts'!$F$2:$F$451,"Annual Unit Starts")/SUMIFS('RP - Unit Starts'!$AC$2:$AC$451,'RP - Unit Starts'!$A$2:$A$451,$C33,'RP - Unit Starts'!$F$2:$F$451,"Existing Units")</f>
        <v>0.0210783374832408</v>
      </c>
      <c r="J33" s="7" t="n">
        <f aca="false">SUMIFS('Realpage Data'!$V$2:$V$899,'Realpage Data'!$A$2:$A$899,$C33,'Realpage Data'!$F$2:$F$899,"Existing Units")/SUMIFS('Realpage Data'!$R$2:$R$899,'Realpage Data'!$A$2:$A$899,$C33,'Realpage Data'!$F$2:$F$899,"Existing Units")-1</f>
        <v>0.027456425972036</v>
      </c>
      <c r="K33" s="7" t="n">
        <f aca="false">INDEX('Fcst Walk'!$J$5:$J$69,MATCH($C33,'Fcst Walk'!$A$5:$A$69,0))/INDEX('Fcst Walk'!$F$5:$F$69,MATCH($C33,'Fcst Walk'!$A$5:$A$69,0))-1</f>
        <v>0.0149999999999999</v>
      </c>
      <c r="L33" s="7" t="n">
        <f aca="false">INDEX('Fcst Walk'!$N$5:$N$69,MATCH($C33,'Fcst Walk'!$A$5:$A$69,0))/INDEX('Fcst Walk'!$J$5:$J$69,MATCH($C33,'Fcst Walk'!$A$5:$A$69,0))-1</f>
        <v>0.016</v>
      </c>
      <c r="M33" s="7" t="n">
        <f aca="false">INDEX('Fcst Walk'!$R$5:$R$69,MATCH($C33,'Fcst Walk'!$A$5:$A$69,0))/INDEX('Fcst Walk'!$N$5:$N$69,MATCH($C33,'Fcst Walk'!$A$5:$A$69,0))-1</f>
        <v>0.0169999999999999</v>
      </c>
      <c r="N33" s="7" t="n">
        <f aca="false">INDEX('Fcst Walk'!$J$5:$J$69,MATCH($C33,'Fcst Walk'!$A$5:$A$69,0))/$D33-1</f>
        <v>0.0229357534213444</v>
      </c>
      <c r="O33" s="7" t="n">
        <f aca="false">INDEX('Fcst Walk'!$N$5:$N$69,MATCH($C33,'Fcst Walk'!$A$5:$A$69,0))/$D33-1</f>
        <v>0.0393027254760858</v>
      </c>
      <c r="P33" s="7" t="n">
        <f aca="false">INDEX('Fcst Walk'!$R$5:$R$69,MATCH($C33,'Fcst Walk'!$A$5:$A$69,0))/$D33-1</f>
        <v>0.0569708718091793</v>
      </c>
      <c r="Q33" s="9" t="n">
        <f aca="false">INDEX('Fcst Walk'!$AM$5:$AM$69,MATCH($C33,'Fcst Walk'!$A$5:$A$69,0))</f>
        <v>0.659442626533393</v>
      </c>
      <c r="R33" s="4" t="str">
        <f aca="false">INDEX('Fcst Walk'!$AN$5:$AN$69,MATCH($C33,'Fcst Walk'!$A$5:$A$69,0))</f>
        <v/>
      </c>
      <c r="S33" s="7" t="n">
        <f aca="false">AVERAGE(INDEX('Realpage - His. Rent Change'!$I$2:$AV$577,MATCH($C33,'Realpage - His. Rent Change'!$A$2:$A$577,0),0))</f>
        <v>0.0499425</v>
      </c>
      <c r="T33" s="7"/>
      <c r="U33" s="7" t="n">
        <f aca="false">IF(T33="",S33,AVERAGE(S33,T33))</f>
        <v>0.0499425</v>
      </c>
      <c r="V33" s="10" t="n">
        <f aca="false">IF(H33&gt;=0,0,-H33/U33)</f>
        <v>0</v>
      </c>
    </row>
    <row r="34" customFormat="false" ht="15" hidden="false" customHeight="false" outlineLevel="0" collapsed="false">
      <c r="B34" s="11" t="n">
        <f aca="false">ROW()-4</f>
        <v>30</v>
      </c>
      <c r="C34" s="12" t="s">
        <v>51</v>
      </c>
      <c r="D34" s="13" t="n">
        <f aca="false">SUMIFS('Realpage Data'!$R$2:$R$899,'Realpage Data'!$A$2:$A$899,$C34,'Realpage Data'!$F$2:$F$899,"Rent Roll (Rev/OSF)")</f>
        <v>1.35488193683636</v>
      </c>
      <c r="E34" s="13" t="n">
        <f aca="false">SUMIFS('Realpage Data'!$R$2:$R$899,'Realpage Data'!$A$2:$A$899,$C34,'Realpage Data'!$F$2:$F$899,"Asking RPSF")</f>
        <v>1.375</v>
      </c>
      <c r="F34" s="13" t="n">
        <f aca="false">SUMIFS('Realpage Data'!$R$2:$R$899,'Realpage Data'!$A$2:$A$899,$C34,'Realpage Data'!$F$2:$F$899,"Effective RPSF")</f>
        <v>1.364</v>
      </c>
      <c r="G34" s="14" t="n">
        <f aca="false">E34/$D34-1</f>
        <v>0.014848572865775</v>
      </c>
      <c r="H34" s="15" t="n">
        <f aca="false">F34/$D34-1</f>
        <v>0.00672978428284887</v>
      </c>
      <c r="I34" s="14" t="n">
        <f aca="false">SUMIFS('RP - Unit Starts'!$AC$2:$AC$451,'RP - Unit Starts'!$A$2:$A$451,$C34,'RP - Unit Starts'!$F$2:$F$451,"Annual Unit Starts")/SUMIFS('RP - Unit Starts'!$AC$2:$AC$451,'RP - Unit Starts'!$A$2:$A$451,$C34,'RP - Unit Starts'!$F$2:$F$451,"Existing Units")</f>
        <v>0.0162254823792059</v>
      </c>
      <c r="J34" s="14" t="n">
        <f aca="false">SUMIFS('Realpage Data'!$V$2:$V$899,'Realpage Data'!$A$2:$A$899,$C34,'Realpage Data'!$F$2:$F$899,"Existing Units")/SUMIFS('Realpage Data'!$R$2:$R$899,'Realpage Data'!$A$2:$A$899,$C34,'Realpage Data'!$F$2:$F$899,"Existing Units")-1</f>
        <v>0.00982698134268856</v>
      </c>
      <c r="K34" s="14" t="n">
        <f aca="false">INDEX('Fcst Walk'!$J$5:$J$69,MATCH($C34,'Fcst Walk'!$A$5:$A$69,0))/INDEX('Fcst Walk'!$F$5:$F$69,MATCH($C34,'Fcst Walk'!$A$5:$A$69,0))-1</f>
        <v>0.00499999999999989</v>
      </c>
      <c r="L34" s="14" t="n">
        <f aca="false">INDEX('Fcst Walk'!$N$5:$N$69,MATCH($C34,'Fcst Walk'!$A$5:$A$69,0))/INDEX('Fcst Walk'!$J$5:$J$69,MATCH($C34,'Fcst Walk'!$A$5:$A$69,0))-1</f>
        <v>0.0169999999999999</v>
      </c>
      <c r="M34" s="14" t="n">
        <f aca="false">INDEX('Fcst Walk'!$R$5:$R$69,MATCH($C34,'Fcst Walk'!$A$5:$A$69,0))/INDEX('Fcst Walk'!$N$5:$N$69,MATCH($C34,'Fcst Walk'!$A$5:$A$69,0))-1</f>
        <v>0.0229999999999999</v>
      </c>
      <c r="N34" s="14" t="n">
        <f aca="false">INDEX('Fcst Walk'!$J$5:$J$69,MATCH($C34,'Fcst Walk'!$A$5:$A$69,0))/$D34-1</f>
        <v>0.0117634332042629</v>
      </c>
      <c r="O34" s="14" t="n">
        <f aca="false">INDEX('Fcst Walk'!$N$5:$N$69,MATCH($C34,'Fcst Walk'!$A$5:$A$69,0))/$D34-1</f>
        <v>0.0289634115687354</v>
      </c>
      <c r="P34" s="14" t="n">
        <f aca="false">INDEX('Fcst Walk'!$R$5:$R$69,MATCH($C34,'Fcst Walk'!$A$5:$A$69,0))/$D34-1</f>
        <v>0.0526295700348163</v>
      </c>
      <c r="Q34" s="16" t="n">
        <f aca="false">INDEX('Fcst Walk'!$AM$5:$AM$69,MATCH($C34,'Fcst Walk'!$A$5:$A$69,0))</f>
        <v>0.752021670966561</v>
      </c>
      <c r="R34" s="11" t="str">
        <f aca="false">INDEX('Fcst Walk'!$AN$5:$AN$69,MATCH($C34,'Fcst Walk'!$A$5:$A$69,0))</f>
        <v/>
      </c>
      <c r="S34" s="14" t="n">
        <f aca="false">AVERAGE(INDEX('Realpage - His. Rent Change'!$I$2:$AV$577,MATCH($C34,'Realpage - His. Rent Change'!$A$2:$A$577,0),0))</f>
        <v>0.0495175</v>
      </c>
      <c r="T34" s="14"/>
      <c r="U34" s="14" t="n">
        <f aca="false">IF(T34="",S34,AVERAGE(S34,T34))</f>
        <v>0.0495175</v>
      </c>
      <c r="V34" s="17" t="n">
        <f aca="false">IF(H34&gt;=0,0,-H34/U34)</f>
        <v>0</v>
      </c>
    </row>
    <row r="35" customFormat="false" ht="15" hidden="false" customHeight="false" outlineLevel="0" collapsed="false">
      <c r="B35" s="4" t="n">
        <f aca="false">ROW()-4</f>
        <v>31</v>
      </c>
      <c r="C35" s="5" t="s">
        <v>52</v>
      </c>
      <c r="D35" s="6" t="n">
        <f aca="false">SUMIFS('Realpage Data'!$R$2:$R$899,'Realpage Data'!$A$2:$A$899,$C35,'Realpage Data'!$F$2:$F$899,"Rent Roll (Rev/OSF)")</f>
        <v>1.68552299010675</v>
      </c>
      <c r="E35" s="6" t="n">
        <f aca="false">SUMIFS('Realpage Data'!$R$2:$R$899,'Realpage Data'!$A$2:$A$899,$C35,'Realpage Data'!$F$2:$F$899,"Asking RPSF")</f>
        <v>1.763</v>
      </c>
      <c r="F35" s="6" t="n">
        <f aca="false">SUMIFS('Realpage Data'!$R$2:$R$899,'Realpage Data'!$A$2:$A$899,$C35,'Realpage Data'!$F$2:$F$899,"Effective RPSF")</f>
        <v>1.693</v>
      </c>
      <c r="G35" s="7" t="n">
        <f aca="false">E35/$D35-1</f>
        <v>0.0459661543319241</v>
      </c>
      <c r="H35" s="8" t="n">
        <f aca="false">F35/$D35-1</f>
        <v>0.00443601774472358</v>
      </c>
      <c r="I35" s="7" t="n">
        <f aca="false">SUMIFS('RP - Unit Starts'!$AC$2:$AC$451,'RP - Unit Starts'!$A$2:$A$451,$C35,'RP - Unit Starts'!$F$2:$F$451,"Annual Unit Starts")/SUMIFS('RP - Unit Starts'!$AC$2:$AC$451,'RP - Unit Starts'!$A$2:$A$451,$C35,'RP - Unit Starts'!$F$2:$F$451,"Existing Units")</f>
        <v>0.0280133949989445</v>
      </c>
      <c r="J35" s="7" t="n">
        <f aca="false">SUMIFS('Realpage Data'!$V$2:$V$899,'Realpage Data'!$A$2:$A$899,$C35,'Realpage Data'!$F$2:$F$899,"Existing Units")/SUMIFS('Realpage Data'!$R$2:$R$899,'Realpage Data'!$A$2:$A$899,$C35,'Realpage Data'!$F$2:$F$899,"Existing Units")-1</f>
        <v>0.0244631445623598</v>
      </c>
      <c r="K35" s="7" t="n">
        <f aca="false">INDEX('Fcst Walk'!$J$5:$J$69,MATCH($C35,'Fcst Walk'!$A$5:$A$69,0))/INDEX('Fcst Walk'!$F$5:$F$69,MATCH($C35,'Fcst Walk'!$A$5:$A$69,0))-1</f>
        <v>0.0229999999999999</v>
      </c>
      <c r="L35" s="7" t="n">
        <f aca="false">INDEX('Fcst Walk'!$N$5:$N$69,MATCH($C35,'Fcst Walk'!$A$5:$A$69,0))/INDEX('Fcst Walk'!$J$5:$J$69,MATCH($C35,'Fcst Walk'!$A$5:$A$69,0))-1</f>
        <v>0.0269999999999999</v>
      </c>
      <c r="M35" s="7" t="n">
        <f aca="false">INDEX('Fcst Walk'!$R$5:$R$69,MATCH($C35,'Fcst Walk'!$A$5:$A$69,0))/INDEX('Fcst Walk'!$N$5:$N$69,MATCH($C35,'Fcst Walk'!$A$5:$A$69,0))-1</f>
        <v>0.0289999999999999</v>
      </c>
      <c r="N35" s="7" t="n">
        <f aca="false">INDEX('Fcst Walk'!$J$5:$J$69,MATCH($C35,'Fcst Walk'!$A$5:$A$69,0))/$D35-1</f>
        <v>0.027538046152852</v>
      </c>
      <c r="O35" s="7" t="n">
        <f aca="false">INDEX('Fcst Walk'!$N$5:$N$69,MATCH($C35,'Fcst Walk'!$A$5:$A$69,0))/$D35-1</f>
        <v>0.0552815733989791</v>
      </c>
      <c r="P35" s="7" t="n">
        <f aca="false">INDEX('Fcst Walk'!$R$5:$R$69,MATCH($C35,'Fcst Walk'!$A$5:$A$69,0))/$D35-1</f>
        <v>0.0858847390275495</v>
      </c>
      <c r="Q35" s="9" t="n">
        <f aca="false">INDEX('Fcst Walk'!$AM$5:$AM$69,MATCH($C35,'Fcst Walk'!$A$5:$A$69,0))</f>
        <v>0.7610575225823</v>
      </c>
      <c r="R35" s="4" t="str">
        <f aca="false">INDEX('Fcst Walk'!$AN$5:$AN$69,MATCH($C35,'Fcst Walk'!$A$5:$A$69,0))</f>
        <v/>
      </c>
      <c r="S35" s="7" t="n">
        <f aca="false">AVERAGE(INDEX('Realpage - His. Rent Change'!$I$2:$AV$577,MATCH($C35,'Realpage - His. Rent Change'!$A$2:$A$577,0),0))</f>
        <v>0.04817</v>
      </c>
      <c r="T35" s="19" t="n">
        <v>0.0365</v>
      </c>
      <c r="U35" s="7" t="n">
        <f aca="false">IF(T35="",S35,AVERAGE(S35,T35))</f>
        <v>0.042335</v>
      </c>
      <c r="V35" s="10" t="n">
        <f aca="false">IF(H35&gt;=0,0,-H35/U35)</f>
        <v>0</v>
      </c>
    </row>
    <row r="36" customFormat="false" ht="15" hidden="false" customHeight="false" outlineLevel="0" collapsed="false">
      <c r="B36" s="11" t="n">
        <f aca="false">ROW()-4</f>
        <v>32</v>
      </c>
      <c r="C36" s="12" t="s">
        <v>53</v>
      </c>
      <c r="D36" s="13" t="n">
        <f aca="false">SUMIFS('Realpage Data'!$R$2:$R$899,'Realpage Data'!$A$2:$A$899,$C36,'Realpage Data'!$F$2:$F$899,"Rent Roll (Rev/OSF)")</f>
        <v>1.26711214909089</v>
      </c>
      <c r="E36" s="13" t="n">
        <f aca="false">SUMIFS('Realpage Data'!$R$2:$R$899,'Realpage Data'!$A$2:$A$899,$C36,'Realpage Data'!$F$2:$F$899,"Asking RPSF")</f>
        <v>1.303</v>
      </c>
      <c r="F36" s="13" t="n">
        <f aca="false">SUMIFS('Realpage Data'!$R$2:$R$899,'Realpage Data'!$A$2:$A$899,$C36,'Realpage Data'!$F$2:$F$899,"Effective RPSF")</f>
        <v>1.273</v>
      </c>
      <c r="G36" s="14" t="n">
        <f aca="false">E36/$D36-1</f>
        <v>0.028322552928608</v>
      </c>
      <c r="H36" s="15" t="n">
        <f aca="false">F36/$D36-1</f>
        <v>0.00464666913132605</v>
      </c>
      <c r="I36" s="14" t="n">
        <f aca="false">SUMIFS('RP - Unit Starts'!$AC$2:$AC$451,'RP - Unit Starts'!$A$2:$A$451,$C36,'RP - Unit Starts'!$F$2:$F$451,"Annual Unit Starts")/SUMIFS('RP - Unit Starts'!$AC$2:$AC$451,'RP - Unit Starts'!$A$2:$A$451,$C36,'RP - Unit Starts'!$F$2:$F$451,"Existing Units")</f>
        <v>0.00163632396790381</v>
      </c>
      <c r="J36" s="14" t="n">
        <f aca="false">SUMIFS('Realpage Data'!$V$2:$V$899,'Realpage Data'!$A$2:$A$899,$C36,'Realpage Data'!$F$2:$F$899,"Existing Units")/SUMIFS('Realpage Data'!$R$2:$R$899,'Realpage Data'!$A$2:$A$899,$C36,'Realpage Data'!$F$2:$F$899,"Existing Units")-1</f>
        <v>0.00530896220697685</v>
      </c>
      <c r="K36" s="14" t="n">
        <f aca="false">INDEX('Fcst Walk'!$J$5:$J$69,MATCH($C36,'Fcst Walk'!$A$5:$A$69,0))/INDEX('Fcst Walk'!$F$5:$F$69,MATCH($C36,'Fcst Walk'!$A$5:$A$69,0))-1</f>
        <v>0.012</v>
      </c>
      <c r="L36" s="14" t="n">
        <f aca="false">INDEX('Fcst Walk'!$N$5:$N$69,MATCH($C36,'Fcst Walk'!$A$5:$A$69,0))/INDEX('Fcst Walk'!$J$5:$J$69,MATCH($C36,'Fcst Walk'!$A$5:$A$69,0))-1</f>
        <v>0.0289999999999999</v>
      </c>
      <c r="M36" s="14" t="n">
        <f aca="false">INDEX('Fcst Walk'!$R$5:$R$69,MATCH($C36,'Fcst Walk'!$A$5:$A$69,0))/INDEX('Fcst Walk'!$N$5:$N$69,MATCH($C36,'Fcst Walk'!$A$5:$A$69,0))-1</f>
        <v>0.022</v>
      </c>
      <c r="N36" s="14" t="n">
        <f aca="false">INDEX('Fcst Walk'!$J$5:$J$69,MATCH($C36,'Fcst Walk'!$A$5:$A$69,0))/$D36-1</f>
        <v>0.0167024291609021</v>
      </c>
      <c r="O36" s="14" t="n">
        <f aca="false">INDEX('Fcst Walk'!$N$5:$N$69,MATCH($C36,'Fcst Walk'!$A$5:$A$69,0))/$D36-1</f>
        <v>0.0461867996065681</v>
      </c>
      <c r="P36" s="14" t="n">
        <f aca="false">INDEX('Fcst Walk'!$R$5:$R$69,MATCH($C36,'Fcst Walk'!$A$5:$A$69,0))/$D36-1</f>
        <v>0.0692029091979127</v>
      </c>
      <c r="Q36" s="16" t="n">
        <f aca="false">INDEX('Fcst Walk'!$AM$5:$AM$69,MATCH($C36,'Fcst Walk'!$A$5:$A$69,0))</f>
        <v>0.769767950599312</v>
      </c>
      <c r="R36" s="11" t="str">
        <f aca="false">INDEX('Fcst Walk'!$AN$5:$AN$69,MATCH($C36,'Fcst Walk'!$A$5:$A$69,0))</f>
        <v/>
      </c>
      <c r="S36" s="14" t="n">
        <f aca="false">AVERAGE(INDEX('Realpage - His. Rent Change'!$I$2:$AV$577,MATCH($C36,'Realpage - His. Rent Change'!$A$2:$A$577,0),0))</f>
        <v>0.04618</v>
      </c>
      <c r="T36" s="14"/>
      <c r="U36" s="14" t="n">
        <f aca="false">IF(T36="",S36,AVERAGE(S36,T36))</f>
        <v>0.04618</v>
      </c>
      <c r="V36" s="17" t="n">
        <f aca="false">IF(H36&gt;=0,0,-H36/U36)</f>
        <v>0</v>
      </c>
    </row>
    <row r="37" customFormat="false" ht="15" hidden="false" customHeight="false" outlineLevel="0" collapsed="false">
      <c r="B37" s="4" t="n">
        <f aca="false">ROW()-4</f>
        <v>33</v>
      </c>
      <c r="C37" s="5" t="s">
        <v>54</v>
      </c>
      <c r="D37" s="6" t="n">
        <f aca="false">SUMIFS('Realpage Data'!$R$2:$R$899,'Realpage Data'!$A$2:$A$899,$C37,'Realpage Data'!$F$2:$F$899,"Rent Roll (Rev/OSF)")</f>
        <v>2.44790670860986</v>
      </c>
      <c r="E37" s="6" t="n">
        <f aca="false">SUMIFS('Realpage Data'!$R$2:$R$899,'Realpage Data'!$A$2:$A$899,$C37,'Realpage Data'!$F$2:$F$899,"Asking RPSF")</f>
        <v>2.461</v>
      </c>
      <c r="F37" s="6" t="n">
        <f aca="false">SUMIFS('Realpage Data'!$R$2:$R$899,'Realpage Data'!$A$2:$A$899,$C37,'Realpage Data'!$F$2:$F$899,"Effective RPSF")</f>
        <v>2.43</v>
      </c>
      <c r="G37" s="7" t="n">
        <f aca="false">E37/$D37-1</f>
        <v>0.0053487705818569</v>
      </c>
      <c r="H37" s="8" t="n">
        <f aca="false">F37/$D37-1</f>
        <v>-0.00731511072169333</v>
      </c>
      <c r="I37" s="7" t="n">
        <f aca="false">SUMIFS('RP - Unit Starts'!$AC$2:$AC$451,'RP - Unit Starts'!$A$2:$A$451,$C37,'RP - Unit Starts'!$F$2:$F$451,"Annual Unit Starts")/SUMIFS('RP - Unit Starts'!$AC$2:$AC$451,'RP - Unit Starts'!$A$2:$A$451,$C37,'RP - Unit Starts'!$F$2:$F$451,"Existing Units")</f>
        <v>0.00974160724861384</v>
      </c>
      <c r="J37" s="7" t="n">
        <f aca="false">SUMIFS('Realpage Data'!$V$2:$V$899,'Realpage Data'!$A$2:$A$899,$C37,'Realpage Data'!$F$2:$F$899,"Existing Units")/SUMIFS('Realpage Data'!$R$2:$R$899,'Realpage Data'!$A$2:$A$899,$C37,'Realpage Data'!$F$2:$F$899,"Existing Units")-1</f>
        <v>0.0204112086774451</v>
      </c>
      <c r="K37" s="7" t="n">
        <f aca="false">INDEX('Fcst Walk'!$J$5:$J$69,MATCH($C37,'Fcst Walk'!$A$5:$A$69,0))/INDEX('Fcst Walk'!$F$5:$F$69,MATCH($C37,'Fcst Walk'!$A$5:$A$69,0))-1</f>
        <v>0.028</v>
      </c>
      <c r="L37" s="7" t="n">
        <f aca="false">INDEX('Fcst Walk'!$N$5:$N$69,MATCH($C37,'Fcst Walk'!$A$5:$A$69,0))/INDEX('Fcst Walk'!$J$5:$J$69,MATCH($C37,'Fcst Walk'!$A$5:$A$69,0))-1</f>
        <v>0.026</v>
      </c>
      <c r="M37" s="7" t="n">
        <f aca="false">INDEX('Fcst Walk'!$R$5:$R$69,MATCH($C37,'Fcst Walk'!$A$5:$A$69,0))/INDEX('Fcst Walk'!$N$5:$N$69,MATCH($C37,'Fcst Walk'!$A$5:$A$69,0))-1</f>
        <v>0.02</v>
      </c>
      <c r="N37" s="7" t="n">
        <f aca="false">INDEX('Fcst Walk'!$J$5:$J$69,MATCH($C37,'Fcst Walk'!$A$5:$A$69,0))/$D37-1</f>
        <v>0.0204800661780993</v>
      </c>
      <c r="O37" s="7" t="n">
        <f aca="false">INDEX('Fcst Walk'!$N$5:$N$69,MATCH($C37,'Fcst Walk'!$A$5:$A$69,0))/$D37-1</f>
        <v>0.0470125478987298</v>
      </c>
      <c r="P37" s="7" t="n">
        <f aca="false">INDEX('Fcst Walk'!$R$5:$R$69,MATCH($C37,'Fcst Walk'!$A$5:$A$69,0))/$D37-1</f>
        <v>0.0679527988567046</v>
      </c>
      <c r="Q37" s="9" t="n">
        <f aca="false">INDEX('Fcst Walk'!$AM$5:$AM$69,MATCH($C37,'Fcst Walk'!$A$5:$A$69,0))</f>
        <v>0.786615996194232</v>
      </c>
      <c r="R37" s="4" t="str">
        <f aca="false">INDEX('Fcst Walk'!$AN$5:$AN$69,MATCH($C37,'Fcst Walk'!$A$5:$A$69,0))</f>
        <v/>
      </c>
      <c r="S37" s="7" t="n">
        <f aca="false">AVERAGE(INDEX('Realpage - His. Rent Change'!$I$2:$AV$577,MATCH($C37,'Realpage - His. Rent Change'!$A$2:$A$577,0),0))</f>
        <v>0.05794</v>
      </c>
      <c r="T37" s="19" t="n">
        <v>0.0444</v>
      </c>
      <c r="U37" s="7" t="n">
        <f aca="false">IF(T37="",S37,AVERAGE(S37,T37))</f>
        <v>0.05117</v>
      </c>
      <c r="V37" s="10" t="n">
        <f aca="false">IF(H37&gt;=0,0,-H37/U37)</f>
        <v>0.142957020162074</v>
      </c>
    </row>
    <row r="38" customFormat="false" ht="15" hidden="false" customHeight="false" outlineLevel="0" collapsed="false">
      <c r="B38" s="11" t="n">
        <f aca="false">ROW()-4</f>
        <v>34</v>
      </c>
      <c r="C38" s="12" t="s">
        <v>55</v>
      </c>
      <c r="D38" s="13" t="n">
        <f aca="false">SUMIFS('Realpage Data'!$R$2:$R$899,'Realpage Data'!$A$2:$A$899,$C38,'Realpage Data'!$F$2:$F$899,"Rent Roll (Rev/OSF)")</f>
        <v>1.47139286153313</v>
      </c>
      <c r="E38" s="13" t="n">
        <f aca="false">SUMIFS('Realpage Data'!$R$2:$R$899,'Realpage Data'!$A$2:$A$899,$C38,'Realpage Data'!$F$2:$F$899,"Asking RPSF")</f>
        <v>1.506</v>
      </c>
      <c r="F38" s="13" t="n">
        <f aca="false">SUMIFS('Realpage Data'!$R$2:$R$899,'Realpage Data'!$A$2:$A$899,$C38,'Realpage Data'!$F$2:$F$899,"Effective RPSF")</f>
        <v>1.474</v>
      </c>
      <c r="G38" s="14" t="n">
        <f aca="false">E38/$D38-1</f>
        <v>0.0235199852953043</v>
      </c>
      <c r="H38" s="15" t="n">
        <f aca="false">F38/$D38-1</f>
        <v>0.00177188467813982</v>
      </c>
      <c r="I38" s="14" t="n">
        <f aca="false">SUMIFS('RP - Unit Starts'!$AC$2:$AC$451,'RP - Unit Starts'!$A$2:$A$451,$C38,'RP - Unit Starts'!$F$2:$F$451,"Annual Unit Starts")/SUMIFS('RP - Unit Starts'!$AC$2:$AC$451,'RP - Unit Starts'!$A$2:$A$451,$C38,'RP - Unit Starts'!$F$2:$F$451,"Existing Units")</f>
        <v>0.00504827554982059</v>
      </c>
      <c r="J38" s="14" t="n">
        <f aca="false">SUMIFS('Realpage Data'!$V$2:$V$899,'Realpage Data'!$A$2:$A$899,$C38,'Realpage Data'!$F$2:$F$899,"Existing Units")/SUMIFS('Realpage Data'!$R$2:$R$899,'Realpage Data'!$A$2:$A$899,$C38,'Realpage Data'!$F$2:$F$899,"Existing Units")-1</f>
        <v>0.00982489501624273</v>
      </c>
      <c r="K38" s="14" t="n">
        <f aca="false">INDEX('Fcst Walk'!$J$5:$J$69,MATCH($C38,'Fcst Walk'!$A$5:$A$69,0))/INDEX('Fcst Walk'!$F$5:$F$69,MATCH($C38,'Fcst Walk'!$A$5:$A$69,0))-1</f>
        <v>0.0289999999999999</v>
      </c>
      <c r="L38" s="14" t="n">
        <f aca="false">INDEX('Fcst Walk'!$N$5:$N$69,MATCH($C38,'Fcst Walk'!$A$5:$A$69,0))/INDEX('Fcst Walk'!$J$5:$J$69,MATCH($C38,'Fcst Walk'!$A$5:$A$69,0))-1</f>
        <v>0.0389999999999999</v>
      </c>
      <c r="M38" s="14" t="n">
        <f aca="false">INDEX('Fcst Walk'!$R$5:$R$69,MATCH($C38,'Fcst Walk'!$A$5:$A$69,0))/INDEX('Fcst Walk'!$N$5:$N$69,MATCH($C38,'Fcst Walk'!$A$5:$A$69,0))-1</f>
        <v>0.0389999999999999</v>
      </c>
      <c r="N38" s="14" t="n">
        <f aca="false">INDEX('Fcst Walk'!$J$5:$J$69,MATCH($C38,'Fcst Walk'!$A$5:$A$69,0))/$D38-1</f>
        <v>0.030823269333806</v>
      </c>
      <c r="O38" s="14" t="n">
        <f aca="false">INDEX('Fcst Walk'!$N$5:$N$69,MATCH($C38,'Fcst Walk'!$A$5:$A$69,0))/$D38-1</f>
        <v>0.0710253768378242</v>
      </c>
      <c r="P38" s="14" t="n">
        <f aca="false">INDEX('Fcst Walk'!$R$5:$R$69,MATCH($C38,'Fcst Walk'!$A$5:$A$69,0))/$D38-1</f>
        <v>0.112795366534499</v>
      </c>
      <c r="Q38" s="16" t="n">
        <f aca="false">INDEX('Fcst Walk'!$AM$5:$AM$69,MATCH($C38,'Fcst Walk'!$A$5:$A$69,0))</f>
        <v>0.824269856066727</v>
      </c>
      <c r="R38" s="11" t="str">
        <f aca="false">INDEX('Fcst Walk'!$AN$5:$AN$69,MATCH($C38,'Fcst Walk'!$A$5:$A$69,0))</f>
        <v/>
      </c>
      <c r="S38" s="14" t="n">
        <f aca="false">AVERAGE(INDEX('Realpage - His. Rent Change'!$I$2:$AV$577,MATCH($C38,'Realpage - His. Rent Change'!$A$2:$A$577,0),0))</f>
        <v>0.0635425</v>
      </c>
      <c r="T38" s="14"/>
      <c r="U38" s="14" t="n">
        <f aca="false">IF(T38="",S38,AVERAGE(S38,T38))</f>
        <v>0.0635425</v>
      </c>
      <c r="V38" s="17" t="n">
        <f aca="false">IF(H38&gt;=0,0,-H38/U38)</f>
        <v>0</v>
      </c>
    </row>
    <row r="39" customFormat="false" ht="15" hidden="false" customHeight="false" outlineLevel="0" collapsed="false">
      <c r="B39" s="4" t="n">
        <f aca="false">ROW()-4</f>
        <v>35</v>
      </c>
      <c r="C39" s="5" t="s">
        <v>56</v>
      </c>
      <c r="D39" s="6" t="n">
        <f aca="false">SUMIFS('Realpage Data'!$R$2:$R$899,'Realpage Data'!$A$2:$A$899,$C39,'Realpage Data'!$F$2:$F$899,"Rent Roll (Rev/OSF)")</f>
        <v>1.62799800912372</v>
      </c>
      <c r="E39" s="6" t="n">
        <f aca="false">SUMIFS('Realpage Data'!$R$2:$R$899,'Realpage Data'!$A$2:$A$899,$C39,'Realpage Data'!$F$2:$F$899,"Asking RPSF")</f>
        <v>1.628</v>
      </c>
      <c r="F39" s="6" t="n">
        <f aca="false">SUMIFS('Realpage Data'!$R$2:$R$899,'Realpage Data'!$A$2:$A$899,$C39,'Realpage Data'!$F$2:$F$899,"Effective RPSF")</f>
        <v>1.612</v>
      </c>
      <c r="G39" s="7" t="n">
        <f aca="false">E39/$D39-1</f>
        <v>1.2228984733742E-006</v>
      </c>
      <c r="H39" s="8" t="n">
        <f aca="false">F39/$D39-1</f>
        <v>-0.0098267989481946</v>
      </c>
      <c r="I39" s="7" t="n">
        <f aca="false">SUMIFS('RP - Unit Starts'!$AC$2:$AC$451,'RP - Unit Starts'!$A$2:$A$451,$C39,'RP - Unit Starts'!$F$2:$F$451,"Annual Unit Starts")/SUMIFS('RP - Unit Starts'!$AC$2:$AC$451,'RP - Unit Starts'!$A$2:$A$451,$C39,'RP - Unit Starts'!$F$2:$F$451,"Existing Units")</f>
        <v>0.00465478427190711</v>
      </c>
      <c r="J39" s="7" t="n">
        <f aca="false">SUMIFS('Realpage Data'!$V$2:$V$899,'Realpage Data'!$A$2:$A$899,$C39,'Realpage Data'!$F$2:$F$899,"Existing Units")/SUMIFS('Realpage Data'!$R$2:$R$899,'Realpage Data'!$A$2:$A$899,$C39,'Realpage Data'!$F$2:$F$899,"Existing Units")-1</f>
        <v>0.00568730005585749</v>
      </c>
      <c r="K39" s="7" t="n">
        <f aca="false">INDEX('Fcst Walk'!$J$5:$J$69,MATCH($C39,'Fcst Walk'!$A$5:$A$69,0))/INDEX('Fcst Walk'!$F$5:$F$69,MATCH($C39,'Fcst Walk'!$A$5:$A$69,0))-1</f>
        <v>0.018</v>
      </c>
      <c r="L39" s="7" t="n">
        <f aca="false">INDEX('Fcst Walk'!$N$5:$N$69,MATCH($C39,'Fcst Walk'!$A$5:$A$69,0))/INDEX('Fcst Walk'!$J$5:$J$69,MATCH($C39,'Fcst Walk'!$A$5:$A$69,0))-1</f>
        <v>0.036</v>
      </c>
      <c r="M39" s="7" t="n">
        <f aca="false">INDEX('Fcst Walk'!$R$5:$R$69,MATCH($C39,'Fcst Walk'!$A$5:$A$69,0))/INDEX('Fcst Walk'!$N$5:$N$69,MATCH($C39,'Fcst Walk'!$A$5:$A$69,0))-1</f>
        <v>0.0369999999999999</v>
      </c>
      <c r="N39" s="7" t="n">
        <f aca="false">INDEX('Fcst Walk'!$J$5:$J$69,MATCH($C39,'Fcst Walk'!$A$5:$A$69,0))/$D39-1</f>
        <v>0.00799631867073791</v>
      </c>
      <c r="O39" s="7" t="n">
        <f aca="false">INDEX('Fcst Walk'!$N$5:$N$69,MATCH($C39,'Fcst Walk'!$A$5:$A$69,0))/$D39-1</f>
        <v>0.0442841861428844</v>
      </c>
      <c r="P39" s="7" t="n">
        <f aca="false">INDEX('Fcst Walk'!$R$5:$R$69,MATCH($C39,'Fcst Walk'!$A$5:$A$69,0))/$D39-1</f>
        <v>0.082922701030171</v>
      </c>
      <c r="Q39" s="9" t="n">
        <f aca="false">INDEX('Fcst Walk'!$AM$5:$AM$69,MATCH($C39,'Fcst Walk'!$A$5:$A$69,0))</f>
        <v>0.9266079352546</v>
      </c>
      <c r="R39" s="4" t="str">
        <f aca="false">INDEX('Fcst Walk'!$AN$5:$AN$69,MATCH($C39,'Fcst Walk'!$A$5:$A$69,0))</f>
        <v/>
      </c>
      <c r="S39" s="7" t="n">
        <f aca="false">AVERAGE(INDEX('Realpage - His. Rent Change'!$I$2:$AV$577,MATCH($C39,'Realpage - His. Rent Change'!$A$2:$A$577,0),0))</f>
        <v>0.060935</v>
      </c>
      <c r="T39" s="7"/>
      <c r="U39" s="7" t="n">
        <f aca="false">IF(T39="",S39,AVERAGE(S39,T39))</f>
        <v>0.060935</v>
      </c>
      <c r="V39" s="10" t="n">
        <f aca="false">IF(H39&gt;=0,0,-H39/U39)</f>
        <v>0.161266906510127</v>
      </c>
    </row>
    <row r="40" customFormat="false" ht="15" hidden="false" customHeight="false" outlineLevel="0" collapsed="false">
      <c r="B40" s="11" t="n">
        <f aca="false">ROW()-4</f>
        <v>36</v>
      </c>
      <c r="C40" s="12" t="s">
        <v>57</v>
      </c>
      <c r="D40" s="13" t="n">
        <f aca="false">SUMIFS('Realpage Data'!$R$2:$R$899,'Realpage Data'!$A$2:$A$899,$C40,'Realpage Data'!$F$2:$F$899,"Rent Roll (Rev/OSF)")</f>
        <v>1.46555798365679</v>
      </c>
      <c r="E40" s="13" t="n">
        <f aca="false">SUMIFS('Realpage Data'!$R$2:$R$899,'Realpage Data'!$A$2:$A$899,$C40,'Realpage Data'!$F$2:$F$899,"Asking RPSF")</f>
        <v>1.449</v>
      </c>
      <c r="F40" s="13" t="n">
        <f aca="false">SUMIFS('Realpage Data'!$R$2:$R$899,'Realpage Data'!$A$2:$A$899,$C40,'Realpage Data'!$F$2:$F$899,"Effective RPSF")</f>
        <v>1.435</v>
      </c>
      <c r="G40" s="14" t="n">
        <f aca="false">E40/$D40-1</f>
        <v>-0.0112980747547615</v>
      </c>
      <c r="H40" s="15" t="n">
        <f aca="false">F40/$D40-1</f>
        <v>-0.0208507503609957</v>
      </c>
      <c r="I40" s="14" t="n">
        <f aca="false">SUMIFS('RP - Unit Starts'!$AC$2:$AC$451,'RP - Unit Starts'!$A$2:$A$451,$C40,'RP - Unit Starts'!$F$2:$F$451,"Annual Unit Starts")/SUMIFS('RP - Unit Starts'!$AC$2:$AC$451,'RP - Unit Starts'!$A$2:$A$451,$C40,'RP - Unit Starts'!$F$2:$F$451,"Existing Units")</f>
        <v>0.0166653423387631</v>
      </c>
      <c r="J40" s="14" t="n">
        <f aca="false">SUMIFS('Realpage Data'!$V$2:$V$899,'Realpage Data'!$A$2:$A$899,$C40,'Realpage Data'!$F$2:$F$899,"Existing Units")/SUMIFS('Realpage Data'!$R$2:$R$899,'Realpage Data'!$A$2:$A$899,$C40,'Realpage Data'!$F$2:$F$899,"Existing Units")-1</f>
        <v>0.0188213481658059</v>
      </c>
      <c r="K40" s="14" t="n">
        <f aca="false">INDEX('Fcst Walk'!$J$5:$J$69,MATCH($C40,'Fcst Walk'!$A$5:$A$69,0))/INDEX('Fcst Walk'!$F$5:$F$69,MATCH($C40,'Fcst Walk'!$A$5:$A$69,0))-1</f>
        <v>0.028</v>
      </c>
      <c r="L40" s="14" t="n">
        <f aca="false">INDEX('Fcst Walk'!$N$5:$N$69,MATCH($C40,'Fcst Walk'!$A$5:$A$69,0))/INDEX('Fcst Walk'!$J$5:$J$69,MATCH($C40,'Fcst Walk'!$A$5:$A$69,0))-1</f>
        <v>0.0309999999999999</v>
      </c>
      <c r="M40" s="14" t="n">
        <f aca="false">INDEX('Fcst Walk'!$R$5:$R$69,MATCH($C40,'Fcst Walk'!$A$5:$A$69,0))/INDEX('Fcst Walk'!$N$5:$N$69,MATCH($C40,'Fcst Walk'!$A$5:$A$69,0))-1</f>
        <v>0.032</v>
      </c>
      <c r="N40" s="14" t="n">
        <f aca="false">INDEX('Fcst Walk'!$J$5:$J$69,MATCH($C40,'Fcst Walk'!$A$5:$A$69,0))/$D40-1</f>
        <v>0.00656542862889653</v>
      </c>
      <c r="O40" s="14" t="n">
        <f aca="false">INDEX('Fcst Walk'!$N$5:$N$69,MATCH($C40,'Fcst Walk'!$A$5:$A$69,0))/$D40-1</f>
        <v>0.0377689569163922</v>
      </c>
      <c r="P40" s="14" t="n">
        <f aca="false">INDEX('Fcst Walk'!$R$5:$R$69,MATCH($C40,'Fcst Walk'!$A$5:$A$69,0))/$D40-1</f>
        <v>0.0709775635377168</v>
      </c>
      <c r="Q40" s="16" t="n">
        <f aca="false">INDEX('Fcst Walk'!$AM$5:$AM$69,MATCH($C40,'Fcst Walk'!$A$5:$A$69,0))</f>
        <v>0.929438734979847</v>
      </c>
      <c r="R40" s="11" t="str">
        <f aca="false">INDEX('Fcst Walk'!$AN$5:$AN$69,MATCH($C40,'Fcst Walk'!$A$5:$A$69,0))</f>
        <v/>
      </c>
      <c r="S40" s="14" t="n">
        <f aca="false">AVERAGE(INDEX('Realpage - His. Rent Change'!$I$2:$AV$577,MATCH($C40,'Realpage - His. Rent Change'!$A$2:$A$577,0),0))</f>
        <v>0.055975</v>
      </c>
      <c r="T40" s="18" t="n">
        <v>0.0459</v>
      </c>
      <c r="U40" s="14" t="n">
        <f aca="false">IF(T40="",S40,AVERAGE(S40,T40))</f>
        <v>0.0509375</v>
      </c>
      <c r="V40" s="17" t="n">
        <f aca="false">IF(H40&gt;=0,0,-H40/U40)</f>
        <v>0.409339884387646</v>
      </c>
    </row>
    <row r="41" customFormat="false" ht="15" hidden="false" customHeight="false" outlineLevel="0" collapsed="false">
      <c r="B41" s="4" t="n">
        <f aca="false">ROW()-4</f>
        <v>37</v>
      </c>
      <c r="C41" s="5" t="s">
        <v>58</v>
      </c>
      <c r="D41" s="6" t="n">
        <f aca="false">SUMIFS('Realpage Data'!$R$2:$R$899,'Realpage Data'!$A$2:$A$899,$C41,'Realpage Data'!$F$2:$F$899,"Rent Roll (Rev/OSF)")</f>
        <v>1.27461304398897</v>
      </c>
      <c r="E41" s="6" t="n">
        <f aca="false">SUMIFS('Realpage Data'!$R$2:$R$899,'Realpage Data'!$A$2:$A$899,$C41,'Realpage Data'!$F$2:$F$899,"Asking RPSF")</f>
        <v>1.244</v>
      </c>
      <c r="F41" s="6" t="n">
        <f aca="false">SUMIFS('Realpage Data'!$R$2:$R$899,'Realpage Data'!$A$2:$A$899,$C41,'Realpage Data'!$F$2:$F$899,"Effective RPSF")</f>
        <v>1.232</v>
      </c>
      <c r="G41" s="7" t="n">
        <f aca="false">E41/$D41-1</f>
        <v>-0.0240175197745999</v>
      </c>
      <c r="H41" s="8" t="n">
        <f aca="false">F41/$D41-1</f>
        <v>-0.0334321417703434</v>
      </c>
      <c r="I41" s="7" t="n">
        <f aca="false">SUMIFS('RP - Unit Starts'!$AC$2:$AC$451,'RP - Unit Starts'!$A$2:$A$451,$C41,'RP - Unit Starts'!$F$2:$F$451,"Annual Unit Starts")/SUMIFS('RP - Unit Starts'!$AC$2:$AC$451,'RP - Unit Starts'!$A$2:$A$451,$C41,'RP - Unit Starts'!$F$2:$F$451,"Existing Units")</f>
        <v>0</v>
      </c>
      <c r="J41" s="7" t="n">
        <f aca="false">SUMIFS('Realpage Data'!$V$2:$V$899,'Realpage Data'!$A$2:$A$899,$C41,'Realpage Data'!$F$2:$F$899,"Existing Units")/SUMIFS('Realpage Data'!$R$2:$R$899,'Realpage Data'!$A$2:$A$899,$C41,'Realpage Data'!$F$2:$F$899,"Existing Units")-1</f>
        <v>0.0023471714675547</v>
      </c>
      <c r="K41" s="7" t="n">
        <f aca="false">INDEX('Fcst Walk'!$J$5:$J$69,MATCH($C41,'Fcst Walk'!$A$5:$A$69,0))/INDEX('Fcst Walk'!$F$5:$F$69,MATCH($C41,'Fcst Walk'!$A$5:$A$69,0))-1</f>
        <v>0.032</v>
      </c>
      <c r="L41" s="7" t="n">
        <f aca="false">INDEX('Fcst Walk'!$N$5:$N$69,MATCH($C41,'Fcst Walk'!$A$5:$A$69,0))/INDEX('Fcst Walk'!$J$5:$J$69,MATCH($C41,'Fcst Walk'!$A$5:$A$69,0))-1</f>
        <v>0.034</v>
      </c>
      <c r="M41" s="7" t="n">
        <f aca="false">INDEX('Fcst Walk'!$R$5:$R$69,MATCH($C41,'Fcst Walk'!$A$5:$A$69,0))/INDEX('Fcst Walk'!$N$5:$N$69,MATCH($C41,'Fcst Walk'!$A$5:$A$69,0))-1</f>
        <v>0.0369999999999999</v>
      </c>
      <c r="N41" s="7" t="n">
        <f aca="false">INDEX('Fcst Walk'!$J$5:$J$69,MATCH($C41,'Fcst Walk'!$A$5:$A$69,0))/$D41-1</f>
        <v>-0.00250197030699417</v>
      </c>
      <c r="O41" s="7" t="n">
        <f aca="false">INDEX('Fcst Walk'!$N$5:$N$69,MATCH($C41,'Fcst Walk'!$A$5:$A$69,0))/$D41-1</f>
        <v>0.0314129627025681</v>
      </c>
      <c r="P41" s="7" t="n">
        <f aca="false">INDEX('Fcst Walk'!$R$5:$R$69,MATCH($C41,'Fcst Walk'!$A$5:$A$69,0))/$D41-1</f>
        <v>0.0695752423225629</v>
      </c>
      <c r="Q41" s="9" t="n">
        <f aca="false">INDEX('Fcst Walk'!$AM$5:$AM$69,MATCH($C41,'Fcst Walk'!$A$5:$A$69,0))</f>
        <v>1.04928199776121</v>
      </c>
      <c r="R41" s="4" t="str">
        <f aca="false">INDEX('Fcst Walk'!$AN$5:$AN$69,MATCH($C41,'Fcst Walk'!$A$5:$A$69,0))</f>
        <v/>
      </c>
      <c r="S41" s="7" t="n">
        <f aca="false">AVERAGE(INDEX('Realpage - His. Rent Change'!$I$2:$AV$577,MATCH($C41,'Realpage - His. Rent Change'!$A$2:$A$577,0),0))</f>
        <v>0.0419075</v>
      </c>
      <c r="T41" s="7"/>
      <c r="U41" s="7" t="n">
        <f aca="false">IF(T41="",S41,AVERAGE(S41,T41))</f>
        <v>0.0419075</v>
      </c>
      <c r="V41" s="10" t="n">
        <f aca="false">IF(H41&gt;=0,0,-H41/U41)</f>
        <v>0.797760347678658</v>
      </c>
    </row>
    <row r="42" customFormat="false" ht="15" hidden="false" customHeight="false" outlineLevel="0" collapsed="false">
      <c r="B42" s="11" t="n">
        <f aca="false">ROW()-4</f>
        <v>38</v>
      </c>
      <c r="C42" s="12" t="s">
        <v>59</v>
      </c>
      <c r="D42" s="13" t="n">
        <f aca="false">SUMIFS('Realpage Data'!$R$2:$R$899,'Realpage Data'!$A$2:$A$899,$C42,'Realpage Data'!$F$2:$F$899,"Rent Roll (Rev/OSF)")</f>
        <v>1.92601239694968</v>
      </c>
      <c r="E42" s="13" t="n">
        <f aca="false">SUMIFS('Realpage Data'!$R$2:$R$899,'Realpage Data'!$A$2:$A$899,$C42,'Realpage Data'!$F$2:$F$899,"Asking RPSF")</f>
        <v>1.991</v>
      </c>
      <c r="F42" s="13" t="n">
        <f aca="false">SUMIFS('Realpage Data'!$R$2:$R$899,'Realpage Data'!$A$2:$A$899,$C42,'Realpage Data'!$F$2:$F$899,"Effective RPSF")</f>
        <v>1.899</v>
      </c>
      <c r="G42" s="14" t="n">
        <f aca="false">E42/$D42-1</f>
        <v>0.0337420481577613</v>
      </c>
      <c r="H42" s="15" t="n">
        <f aca="false">F42/$D42-1</f>
        <v>-0.0140250379449581</v>
      </c>
      <c r="I42" s="14" t="n">
        <f aca="false">SUMIFS('RP - Unit Starts'!$AC$2:$AC$451,'RP - Unit Starts'!$A$2:$A$451,$C42,'RP - Unit Starts'!$F$2:$F$451,"Annual Unit Starts")/SUMIFS('RP - Unit Starts'!$AC$2:$AC$451,'RP - Unit Starts'!$A$2:$A$451,$C42,'RP - Unit Starts'!$F$2:$F$451,"Existing Units")</f>
        <v>0.0157778295295762</v>
      </c>
      <c r="J42" s="14" t="n">
        <f aca="false">SUMIFS('Realpage Data'!$V$2:$V$899,'Realpage Data'!$A$2:$A$899,$C42,'Realpage Data'!$F$2:$F$899,"Existing Units")/SUMIFS('Realpage Data'!$R$2:$R$899,'Realpage Data'!$A$2:$A$899,$C42,'Realpage Data'!$F$2:$F$899,"Existing Units")-1</f>
        <v>0.0438984629715882</v>
      </c>
      <c r="K42" s="14" t="n">
        <f aca="false">INDEX('Fcst Walk'!$J$5:$J$69,MATCH($C42,'Fcst Walk'!$A$5:$A$69,0))/INDEX('Fcst Walk'!$F$5:$F$69,MATCH($C42,'Fcst Walk'!$A$5:$A$69,0))-1</f>
        <v>0.0169999999999999</v>
      </c>
      <c r="L42" s="14" t="n">
        <f aca="false">INDEX('Fcst Walk'!$N$5:$N$69,MATCH($C42,'Fcst Walk'!$A$5:$A$69,0))/INDEX('Fcst Walk'!$J$5:$J$69,MATCH($C42,'Fcst Walk'!$A$5:$A$69,0))-1</f>
        <v>0.026</v>
      </c>
      <c r="M42" s="14" t="n">
        <f aca="false">INDEX('Fcst Walk'!$R$5:$R$69,MATCH($C42,'Fcst Walk'!$A$5:$A$69,0))/INDEX('Fcst Walk'!$N$5:$N$69,MATCH($C42,'Fcst Walk'!$A$5:$A$69,0))-1</f>
        <v>0.03</v>
      </c>
      <c r="N42" s="14" t="n">
        <f aca="false">INDEX('Fcst Walk'!$J$5:$J$69,MATCH($C42,'Fcst Walk'!$A$5:$A$69,0))/$D42-1</f>
        <v>0.00273653640997762</v>
      </c>
      <c r="O42" s="14" t="n">
        <f aca="false">INDEX('Fcst Walk'!$N$5:$N$69,MATCH($C42,'Fcst Walk'!$A$5:$A$69,0))/$D42-1</f>
        <v>0.0288076863566369</v>
      </c>
      <c r="P42" s="14" t="n">
        <f aca="false">INDEX('Fcst Walk'!$R$5:$R$69,MATCH($C42,'Fcst Walk'!$A$5:$A$69,0))/$D42-1</f>
        <v>0.0596719169473361</v>
      </c>
      <c r="Q42" s="16" t="n">
        <f aca="false">INDEX('Fcst Walk'!$AM$5:$AM$69,MATCH($C42,'Fcst Walk'!$A$5:$A$69,0))</f>
        <v>1.41012870419287</v>
      </c>
      <c r="R42" s="11" t="str">
        <f aca="false">INDEX('Fcst Walk'!$AN$5:$AN$69,MATCH($C42,'Fcst Walk'!$A$5:$A$69,0))</f>
        <v/>
      </c>
      <c r="S42" s="14" t="n">
        <f aca="false">AVERAGE(INDEX('Realpage - His. Rent Change'!$I$2:$AV$577,MATCH($C42,'Realpage - His. Rent Change'!$A$2:$A$577,0),0))</f>
        <v>0.0683875</v>
      </c>
      <c r="T42" s="14"/>
      <c r="U42" s="14" t="n">
        <f aca="false">IF(T42="",S42,AVERAGE(S42,T42))</f>
        <v>0.0683875</v>
      </c>
      <c r="V42" s="17" t="n">
        <f aca="false">IF(H42&gt;=0,0,-H42/U42)</f>
        <v>0.205081892816057</v>
      </c>
    </row>
    <row r="43" customFormat="false" ht="15" hidden="false" customHeight="false" outlineLevel="0" collapsed="false">
      <c r="B43" s="4" t="n">
        <f aca="false">ROW()-4</f>
        <v>39</v>
      </c>
      <c r="C43" s="5" t="s">
        <v>60</v>
      </c>
      <c r="D43" s="6" t="n">
        <f aca="false">SUMIFS('Realpage Data'!$R$2:$R$899,'Realpage Data'!$A$2:$A$899,$C43,'Realpage Data'!$F$2:$F$899,"Rent Roll (Rev/OSF)")</f>
        <v>1.16079665760795</v>
      </c>
      <c r="E43" s="6" t="n">
        <f aca="false">SUMIFS('Realpage Data'!$R$2:$R$899,'Realpage Data'!$A$2:$A$899,$C43,'Realpage Data'!$F$2:$F$899,"Asking RPSF")</f>
        <v>1.233</v>
      </c>
      <c r="F43" s="6" t="n">
        <f aca="false">SUMIFS('Realpage Data'!$R$2:$R$899,'Realpage Data'!$A$2:$A$899,$C43,'Realpage Data'!$F$2:$F$899,"Effective RPSF")</f>
        <v>1.175</v>
      </c>
      <c r="G43" s="7" t="n">
        <f aca="false">E43/$D43-1</f>
        <v>0.0622015422932396</v>
      </c>
      <c r="H43" s="8" t="n">
        <f aca="false">F43/$D43-1</f>
        <v>0.0122358574165098</v>
      </c>
      <c r="I43" s="7" t="n">
        <f aca="false">SUMIFS('RP - Unit Starts'!$AC$2:$AC$451,'RP - Unit Starts'!$A$2:$A$451,$C43,'RP - Unit Starts'!$F$2:$F$451,"Annual Unit Starts")/SUMIFS('RP - Unit Starts'!$AC$2:$AC$451,'RP - Unit Starts'!$A$2:$A$451,$C43,'RP - Unit Starts'!$F$2:$F$451,"Existing Units")</f>
        <v>0.0284011152773772</v>
      </c>
      <c r="J43" s="7" t="n">
        <f aca="false">SUMIFS('Realpage Data'!$V$2:$V$899,'Realpage Data'!$A$2:$A$899,$C43,'Realpage Data'!$F$2:$F$899,"Existing Units")/SUMIFS('Realpage Data'!$R$2:$R$899,'Realpage Data'!$A$2:$A$899,$C43,'Realpage Data'!$F$2:$F$899,"Existing Units")-1</f>
        <v>0.021171041246034</v>
      </c>
      <c r="K43" s="7" t="n">
        <f aca="false">INDEX('Fcst Walk'!$J$5:$J$69,MATCH($C43,'Fcst Walk'!$A$5:$A$69,0))/INDEX('Fcst Walk'!$F$5:$F$69,MATCH($C43,'Fcst Walk'!$A$5:$A$69,0))-1</f>
        <v>0.0209999999999999</v>
      </c>
      <c r="L43" s="7" t="n">
        <f aca="false">INDEX('Fcst Walk'!$N$5:$N$69,MATCH($C43,'Fcst Walk'!$A$5:$A$69,0))/INDEX('Fcst Walk'!$J$5:$J$69,MATCH($C43,'Fcst Walk'!$A$5:$A$69,0))-1</f>
        <v>0.026</v>
      </c>
      <c r="M43" s="7" t="n">
        <f aca="false">INDEX('Fcst Walk'!$R$5:$R$69,MATCH($C43,'Fcst Walk'!$A$5:$A$69,0))/INDEX('Fcst Walk'!$N$5:$N$69,MATCH($C43,'Fcst Walk'!$A$5:$A$69,0))-1</f>
        <v>0.0209999999999999</v>
      </c>
      <c r="N43" s="7" t="n">
        <f aca="false">INDEX('Fcst Walk'!$J$5:$J$69,MATCH($C43,'Fcst Walk'!$A$5:$A$69,0))/$D43-1</f>
        <v>0.0334928104222565</v>
      </c>
      <c r="O43" s="7" t="n">
        <f aca="false">INDEX('Fcst Walk'!$N$5:$N$69,MATCH($C43,'Fcst Walk'!$A$5:$A$69,0))/$D43-1</f>
        <v>0.0603636234932352</v>
      </c>
      <c r="P43" s="7" t="n">
        <f aca="false">INDEX('Fcst Walk'!$R$5:$R$69,MATCH($C43,'Fcst Walk'!$A$5:$A$69,0))/$D43-1</f>
        <v>0.082631259586593</v>
      </c>
      <c r="Q43" s="9" t="n">
        <f aca="false">INDEX('Fcst Walk'!$AM$5:$AM$69,MATCH($C43,'Fcst Walk'!$A$5:$A$69,0))</f>
        <v>1.50592570979542</v>
      </c>
      <c r="R43" s="4" t="str">
        <f aca="false">INDEX('Fcst Walk'!$AN$5:$AN$69,MATCH($C43,'Fcst Walk'!$A$5:$A$69,0))</f>
        <v/>
      </c>
      <c r="S43" s="7" t="n">
        <f aca="false">AVERAGE(INDEX('Realpage - His. Rent Change'!$I$2:$AV$577,MATCH($C43,'Realpage - His. Rent Change'!$A$2:$A$577,0),0))</f>
        <v>0.0543775</v>
      </c>
      <c r="T43" s="7"/>
      <c r="U43" s="7" t="n">
        <f aca="false">IF(T43="",S43,AVERAGE(S43,T43))</f>
        <v>0.0543775</v>
      </c>
      <c r="V43" s="10" t="n">
        <f aca="false">IF(H43&gt;=0,0,-H43/U43)</f>
        <v>0</v>
      </c>
    </row>
    <row r="44" customFormat="false" ht="15" hidden="false" customHeight="false" outlineLevel="0" collapsed="false">
      <c r="B44" s="11" t="n">
        <f aca="false">ROW()-4</f>
        <v>40</v>
      </c>
      <c r="C44" s="12" t="s">
        <v>61</v>
      </c>
      <c r="D44" s="13" t="n">
        <f aca="false">SUMIFS('Realpage Data'!$R$2:$R$899,'Realpage Data'!$A$2:$A$899,$C44,'Realpage Data'!$F$2:$F$899,"Rent Roll (Rev/OSF)")</f>
        <v>1.63322688103979</v>
      </c>
      <c r="E44" s="13" t="n">
        <f aca="false">SUMIFS('Realpage Data'!$R$2:$R$899,'Realpage Data'!$A$2:$A$899,$C44,'Realpage Data'!$F$2:$F$899,"Asking RPSF")</f>
        <v>1.592</v>
      </c>
      <c r="F44" s="13" t="n">
        <f aca="false">SUMIFS('Realpage Data'!$R$2:$R$899,'Realpage Data'!$A$2:$A$899,$C44,'Realpage Data'!$F$2:$F$899,"Effective RPSF")</f>
        <v>1.562</v>
      </c>
      <c r="G44" s="14" t="n">
        <f aca="false">E44/$D44-1</f>
        <v>-0.025242592758174</v>
      </c>
      <c r="H44" s="15" t="n">
        <f aca="false">F44/$D44-1</f>
        <v>-0.0436111368644898</v>
      </c>
      <c r="I44" s="14" t="n">
        <f aca="false">SUMIFS('RP - Unit Starts'!$AC$2:$AC$451,'RP - Unit Starts'!$A$2:$A$451,$C44,'RP - Unit Starts'!$F$2:$F$451,"Annual Unit Starts")/SUMIFS('RP - Unit Starts'!$AC$2:$AC$451,'RP - Unit Starts'!$A$2:$A$451,$C44,'RP - Unit Starts'!$F$2:$F$451,"Existing Units")</f>
        <v>0.00188926340196226</v>
      </c>
      <c r="J44" s="14" t="n">
        <f aca="false">SUMIFS('Realpage Data'!$V$2:$V$899,'Realpage Data'!$A$2:$A$899,$C44,'Realpage Data'!$F$2:$F$899,"Existing Units")/SUMIFS('Realpage Data'!$R$2:$R$899,'Realpage Data'!$A$2:$A$899,$C44,'Realpage Data'!$F$2:$F$899,"Existing Units")-1</f>
        <v>0.00575366581506698</v>
      </c>
      <c r="K44" s="14" t="n">
        <f aca="false">INDEX('Fcst Walk'!$J$5:$J$69,MATCH($C44,'Fcst Walk'!$A$5:$A$69,0))/INDEX('Fcst Walk'!$F$5:$F$69,MATCH($C44,'Fcst Walk'!$A$5:$A$69,0))-1</f>
        <v>0.026</v>
      </c>
      <c r="L44" s="14" t="n">
        <f aca="false">INDEX('Fcst Walk'!$N$5:$N$69,MATCH($C44,'Fcst Walk'!$A$5:$A$69,0))/INDEX('Fcst Walk'!$J$5:$J$69,MATCH($C44,'Fcst Walk'!$A$5:$A$69,0))-1</f>
        <v>0.026</v>
      </c>
      <c r="M44" s="14" t="n">
        <f aca="false">INDEX('Fcst Walk'!$R$5:$R$69,MATCH($C44,'Fcst Walk'!$A$5:$A$69,0))/INDEX('Fcst Walk'!$N$5:$N$69,MATCH($C44,'Fcst Walk'!$A$5:$A$69,0))-1</f>
        <v>0.026</v>
      </c>
      <c r="N44" s="14" t="n">
        <f aca="false">INDEX('Fcst Walk'!$J$5:$J$69,MATCH($C44,'Fcst Walk'!$A$5:$A$69,0))/$D44-1</f>
        <v>-0.0187450264229665</v>
      </c>
      <c r="O44" s="14" t="n">
        <f aca="false">INDEX('Fcst Walk'!$N$5:$N$69,MATCH($C44,'Fcst Walk'!$A$5:$A$69,0))/$D44-1</f>
        <v>0.00676760289003653</v>
      </c>
      <c r="P44" s="14" t="n">
        <f aca="false">INDEX('Fcst Walk'!$R$5:$R$69,MATCH($C44,'Fcst Walk'!$A$5:$A$69,0))/$D44-1</f>
        <v>0.0329435605651776</v>
      </c>
      <c r="Q44" s="16" t="n">
        <f aca="false">INDEX('Fcst Walk'!$AM$5:$AM$69,MATCH($C44,'Fcst Walk'!$A$5:$A$69,0))</f>
        <v>1.73995890156138</v>
      </c>
      <c r="R44" s="11" t="str">
        <f aca="false">INDEX('Fcst Walk'!$AN$5:$AN$69,MATCH($C44,'Fcst Walk'!$A$5:$A$69,0))</f>
        <v/>
      </c>
      <c r="S44" s="14" t="n">
        <f aca="false">AVERAGE(INDEX('Realpage - His. Rent Change'!$I$2:$AV$577,MATCH($C44,'Realpage - His. Rent Change'!$A$2:$A$577,0),0))</f>
        <v>0.0634375</v>
      </c>
      <c r="T44" s="14"/>
      <c r="U44" s="14" t="n">
        <f aca="false">IF(T44="",S44,AVERAGE(S44,T44))</f>
        <v>0.0634375</v>
      </c>
      <c r="V44" s="17" t="n">
        <f aca="false">IF(H44&gt;=0,0,-H44/U44)</f>
        <v>0.687466196878657</v>
      </c>
    </row>
    <row r="45" customFormat="false" ht="15" hidden="false" customHeight="false" outlineLevel="0" collapsed="false">
      <c r="B45" s="4" t="n">
        <f aca="false">ROW()-4</f>
        <v>41</v>
      </c>
      <c r="C45" s="5" t="s">
        <v>62</v>
      </c>
      <c r="D45" s="6" t="n">
        <f aca="false">SUMIFS('Realpage Data'!$R$2:$R$899,'Realpage Data'!$A$2:$A$899,$C45,'Realpage Data'!$F$2:$F$899,"Rent Roll (Rev/OSF)")</f>
        <v>1.49205073471381</v>
      </c>
      <c r="E45" s="6" t="n">
        <f aca="false">SUMIFS('Realpage Data'!$R$2:$R$899,'Realpage Data'!$A$2:$A$899,$C45,'Realpage Data'!$F$2:$F$899,"Asking RPSF")</f>
        <v>1.503</v>
      </c>
      <c r="F45" s="6" t="n">
        <f aca="false">SUMIFS('Realpage Data'!$R$2:$R$899,'Realpage Data'!$A$2:$A$899,$C45,'Realpage Data'!$F$2:$F$899,"Effective RPSF")</f>
        <v>1.464</v>
      </c>
      <c r="G45" s="7" t="n">
        <f aca="false">E45/$D45-1</f>
        <v>0.00733840011699671</v>
      </c>
      <c r="H45" s="8" t="n">
        <f aca="false">F45/$D45-1</f>
        <v>-0.0188001212433245</v>
      </c>
      <c r="I45" s="7" t="n">
        <f aca="false">SUMIFS('RP - Unit Starts'!$AC$2:$AC$451,'RP - Unit Starts'!$A$2:$A$451,$C45,'RP - Unit Starts'!$F$2:$F$451,"Annual Unit Starts")/SUMIFS('RP - Unit Starts'!$AC$2:$AC$451,'RP - Unit Starts'!$A$2:$A$451,$C45,'RP - Unit Starts'!$F$2:$F$451,"Existing Units")</f>
        <v>0.0109895108985274</v>
      </c>
      <c r="J45" s="7" t="n">
        <f aca="false">SUMIFS('Realpage Data'!$V$2:$V$899,'Realpage Data'!$A$2:$A$899,$C45,'Realpage Data'!$F$2:$F$899,"Existing Units")/SUMIFS('Realpage Data'!$R$2:$R$899,'Realpage Data'!$A$2:$A$899,$C45,'Realpage Data'!$F$2:$F$899,"Existing Units")-1</f>
        <v>0.0156686639718211</v>
      </c>
      <c r="K45" s="7" t="n">
        <f aca="false">INDEX('Fcst Walk'!$J$5:$J$69,MATCH($C45,'Fcst Walk'!$A$5:$A$69,0))/INDEX('Fcst Walk'!$F$5:$F$69,MATCH($C45,'Fcst Walk'!$A$5:$A$69,0))-1</f>
        <v>0.01</v>
      </c>
      <c r="L45" s="7" t="n">
        <f aca="false">INDEX('Fcst Walk'!$N$5:$N$69,MATCH($C45,'Fcst Walk'!$A$5:$A$69,0))/INDEX('Fcst Walk'!$J$5:$J$69,MATCH($C45,'Fcst Walk'!$A$5:$A$69,0))-1</f>
        <v>0.03</v>
      </c>
      <c r="M45" s="7" t="n">
        <f aca="false">INDEX('Fcst Walk'!$R$5:$R$69,MATCH($C45,'Fcst Walk'!$A$5:$A$69,0))/INDEX('Fcst Walk'!$N$5:$N$69,MATCH($C45,'Fcst Walk'!$A$5:$A$69,0))-1</f>
        <v>0.0349999999999999</v>
      </c>
      <c r="N45" s="7" t="n">
        <f aca="false">INDEX('Fcst Walk'!$J$5:$J$69,MATCH($C45,'Fcst Walk'!$A$5:$A$69,0))/$D45-1</f>
        <v>-0.00898812245575775</v>
      </c>
      <c r="O45" s="7" t="n">
        <f aca="false">INDEX('Fcst Walk'!$N$5:$N$69,MATCH($C45,'Fcst Walk'!$A$5:$A$69,0))/$D45-1</f>
        <v>0.0207422338705694</v>
      </c>
      <c r="P45" s="7" t="n">
        <f aca="false">INDEX('Fcst Walk'!$R$5:$R$69,MATCH($C45,'Fcst Walk'!$A$5:$A$69,0))/$D45-1</f>
        <v>0.0564682120560394</v>
      </c>
      <c r="Q45" s="9" t="n">
        <f aca="false">INDEX('Fcst Walk'!$AM$5:$AM$69,MATCH($C45,'Fcst Walk'!$A$5:$A$69,0))</f>
        <v>1.78641147067868</v>
      </c>
      <c r="R45" s="4" t="str">
        <f aca="false">INDEX('Fcst Walk'!$AN$5:$AN$69,MATCH($C45,'Fcst Walk'!$A$5:$A$69,0))</f>
        <v/>
      </c>
      <c r="S45" s="7" t="n">
        <f aca="false">AVERAGE(INDEX('Realpage - His. Rent Change'!$I$2:$AV$577,MATCH($C45,'Realpage - His. Rent Change'!$A$2:$A$577,0),0))</f>
        <v>0.0546025</v>
      </c>
      <c r="T45" s="19" t="n">
        <v>0.0435</v>
      </c>
      <c r="U45" s="7" t="n">
        <f aca="false">IF(T45="",S45,AVERAGE(S45,T45))</f>
        <v>0.04905125</v>
      </c>
      <c r="V45" s="10" t="n">
        <f aca="false">IF(H45&gt;=0,0,-H45/U45)</f>
        <v>0.383275069306583</v>
      </c>
    </row>
    <row r="46" customFormat="false" ht="15" hidden="false" customHeight="false" outlineLevel="0" collapsed="false">
      <c r="B46" s="11" t="n">
        <f aca="false">ROW()-4</f>
        <v>42</v>
      </c>
      <c r="C46" s="12" t="s">
        <v>63</v>
      </c>
      <c r="D46" s="13" t="n">
        <f aca="false">SUMIFS('Realpage Data'!$R$2:$R$899,'Realpage Data'!$A$2:$A$899,$C46,'Realpage Data'!$F$2:$F$899,"Rent Roll (Rev/OSF)")</f>
        <v>1.59385839724802</v>
      </c>
      <c r="E46" s="13" t="n">
        <f aca="false">SUMIFS('Realpage Data'!$R$2:$R$899,'Realpage Data'!$A$2:$A$899,$C46,'Realpage Data'!$F$2:$F$899,"Asking RPSF")</f>
        <v>1.588</v>
      </c>
      <c r="F46" s="13" t="n">
        <f aca="false">SUMIFS('Realpage Data'!$R$2:$R$899,'Realpage Data'!$A$2:$A$899,$C46,'Realpage Data'!$F$2:$F$899,"Effective RPSF")</f>
        <v>1.541</v>
      </c>
      <c r="G46" s="14" t="n">
        <f aca="false">E46/$D46-1</f>
        <v>-0.00367560710420645</v>
      </c>
      <c r="H46" s="15" t="n">
        <f aca="false">F46/$D46-1</f>
        <v>-0.0331637975740443</v>
      </c>
      <c r="I46" s="14" t="n">
        <f aca="false">SUMIFS('RP - Unit Starts'!$AC$2:$AC$451,'RP - Unit Starts'!$A$2:$A$451,$C46,'RP - Unit Starts'!$F$2:$F$451,"Annual Unit Starts")/SUMIFS('RP - Unit Starts'!$AC$2:$AC$451,'RP - Unit Starts'!$A$2:$A$451,$C46,'RP - Unit Starts'!$F$2:$F$451,"Existing Units")</f>
        <v>0.00637873207267639</v>
      </c>
      <c r="J46" s="14" t="n">
        <f aca="false">SUMIFS('Realpage Data'!$V$2:$V$899,'Realpage Data'!$A$2:$A$899,$C46,'Realpage Data'!$F$2:$F$899,"Existing Units")/SUMIFS('Realpage Data'!$R$2:$R$899,'Realpage Data'!$A$2:$A$899,$C46,'Realpage Data'!$F$2:$F$899,"Existing Units")-1</f>
        <v>0.0107533076812281</v>
      </c>
      <c r="K46" s="14" t="n">
        <f aca="false">INDEX('Fcst Walk'!$J$5:$J$69,MATCH($C46,'Fcst Walk'!$A$5:$A$69,0))/INDEX('Fcst Walk'!$F$5:$F$69,MATCH($C46,'Fcst Walk'!$A$5:$A$69,0))-1</f>
        <v>0.026</v>
      </c>
      <c r="L46" s="14" t="n">
        <f aca="false">INDEX('Fcst Walk'!$N$5:$N$69,MATCH($C46,'Fcst Walk'!$A$5:$A$69,0))/INDEX('Fcst Walk'!$J$5:$J$69,MATCH($C46,'Fcst Walk'!$A$5:$A$69,0))-1</f>
        <v>0.0249999999999999</v>
      </c>
      <c r="M46" s="14" t="n">
        <f aca="false">INDEX('Fcst Walk'!$R$5:$R$69,MATCH($C46,'Fcst Walk'!$A$5:$A$69,0))/INDEX('Fcst Walk'!$N$5:$N$69,MATCH($C46,'Fcst Walk'!$A$5:$A$69,0))-1</f>
        <v>0.0269999999999999</v>
      </c>
      <c r="N46" s="14" t="n">
        <f aca="false">INDEX('Fcst Walk'!$J$5:$J$69,MATCH($C46,'Fcst Walk'!$A$5:$A$69,0))/$D46-1</f>
        <v>-0.00802605631096942</v>
      </c>
      <c r="O46" s="14" t="n">
        <f aca="false">INDEX('Fcst Walk'!$N$5:$N$69,MATCH($C46,'Fcst Walk'!$A$5:$A$69,0))/$D46-1</f>
        <v>0.0167732922812562</v>
      </c>
      <c r="P46" s="14" t="n">
        <f aca="false">INDEX('Fcst Walk'!$R$5:$R$69,MATCH($C46,'Fcst Walk'!$A$5:$A$69,0))/$D46-1</f>
        <v>0.04422617117285</v>
      </c>
      <c r="Q46" s="16" t="n">
        <f aca="false">INDEX('Fcst Walk'!$AM$5:$AM$69,MATCH($C46,'Fcst Walk'!$A$5:$A$69,0))</f>
        <v>1.8008141052144</v>
      </c>
      <c r="R46" s="11" t="str">
        <f aca="false">INDEX('Fcst Walk'!$AN$5:$AN$69,MATCH($C46,'Fcst Walk'!$A$5:$A$69,0))</f>
        <v/>
      </c>
      <c r="S46" s="14" t="n">
        <f aca="false">AVERAGE(INDEX('Realpage - His. Rent Change'!$I$2:$AV$577,MATCH($C46,'Realpage - His. Rent Change'!$A$2:$A$577,0),0))</f>
        <v>0.06004</v>
      </c>
      <c r="T46" s="18" t="n">
        <v>0.0492</v>
      </c>
      <c r="U46" s="14" t="n">
        <f aca="false">IF(T46="",S46,AVERAGE(S46,T46))</f>
        <v>0.05462</v>
      </c>
      <c r="V46" s="17" t="n">
        <f aca="false">IF(H46&gt;=0,0,-H46/U46)</f>
        <v>0.607173152216117</v>
      </c>
    </row>
    <row r="47" customFormat="false" ht="15" hidden="false" customHeight="false" outlineLevel="0" collapsed="false">
      <c r="B47" s="4" t="n">
        <f aca="false">ROW()-4</f>
        <v>43</v>
      </c>
      <c r="C47" s="5" t="s">
        <v>64</v>
      </c>
      <c r="D47" s="6" t="n">
        <f aca="false">SUMIFS('Realpage Data'!$R$2:$R$899,'Realpage Data'!$A$2:$A$899,$C47,'Realpage Data'!$F$2:$F$899,"Rent Roll (Rev/OSF)")</f>
        <v>1.56648100010992</v>
      </c>
      <c r="E47" s="6" t="n">
        <f aca="false">SUMIFS('Realpage Data'!$R$2:$R$899,'Realpage Data'!$A$2:$A$899,$C47,'Realpage Data'!$F$2:$F$899,"Asking RPSF")</f>
        <v>1.564</v>
      </c>
      <c r="F47" s="6" t="n">
        <f aca="false">SUMIFS('Realpage Data'!$R$2:$R$899,'Realpage Data'!$A$2:$A$899,$C47,'Realpage Data'!$F$2:$F$899,"Effective RPSF")</f>
        <v>1.513</v>
      </c>
      <c r="G47" s="7" t="n">
        <f aca="false">E47/$D47-1</f>
        <v>-0.00158380478904552</v>
      </c>
      <c r="H47" s="8" t="n">
        <f aca="false">F47/$D47-1</f>
        <v>-0.0341408546328811</v>
      </c>
      <c r="I47" s="7" t="n">
        <f aca="false">SUMIFS('RP - Unit Starts'!$AC$2:$AC$451,'RP - Unit Starts'!$A$2:$A$451,$C47,'RP - Unit Starts'!$F$2:$F$451,"Annual Unit Starts")/SUMIFS('RP - Unit Starts'!$AC$2:$AC$451,'RP - Unit Starts'!$A$2:$A$451,$C47,'RP - Unit Starts'!$F$2:$F$451,"Existing Units")</f>
        <v>0.0703821970569839</v>
      </c>
      <c r="J47" s="7" t="n">
        <f aca="false">SUMIFS('Realpage Data'!$V$2:$V$899,'Realpage Data'!$A$2:$A$899,$C47,'Realpage Data'!$F$2:$F$899,"Existing Units")/SUMIFS('Realpage Data'!$R$2:$R$899,'Realpage Data'!$A$2:$A$899,$C47,'Realpage Data'!$F$2:$F$899,"Existing Units")-1</f>
        <v>0.0486881522204299</v>
      </c>
      <c r="K47" s="7" t="n">
        <f aca="false">INDEX('Fcst Walk'!$J$5:$J$69,MATCH($C47,'Fcst Walk'!$A$5:$A$69,0))/INDEX('Fcst Walk'!$F$5:$F$69,MATCH($C47,'Fcst Walk'!$A$5:$A$69,0))-1</f>
        <v>0.00800000000000001</v>
      </c>
      <c r="L47" s="7" t="n">
        <f aca="false">INDEX('Fcst Walk'!$N$5:$N$69,MATCH($C47,'Fcst Walk'!$A$5:$A$69,0))/INDEX('Fcst Walk'!$J$5:$J$69,MATCH($C47,'Fcst Walk'!$A$5:$A$69,0))-1</f>
        <v>0.0329999999999999</v>
      </c>
      <c r="M47" s="7" t="n">
        <f aca="false">INDEX('Fcst Walk'!$R$5:$R$69,MATCH($C47,'Fcst Walk'!$A$5:$A$69,0))/INDEX('Fcst Walk'!$N$5:$N$69,MATCH($C47,'Fcst Walk'!$A$5:$A$69,0))-1</f>
        <v>0.036</v>
      </c>
      <c r="N47" s="7" t="n">
        <f aca="false">INDEX('Fcst Walk'!$J$5:$J$69,MATCH($C47,'Fcst Walk'!$A$5:$A$69,0))/$D47-1</f>
        <v>-0.0264139814699441</v>
      </c>
      <c r="O47" s="7" t="n">
        <f aca="false">INDEX('Fcst Walk'!$N$5:$N$69,MATCH($C47,'Fcst Walk'!$A$5:$A$69,0))/$D47-1</f>
        <v>0.00571435714154767</v>
      </c>
      <c r="P47" s="7" t="n">
        <f aca="false">INDEX('Fcst Walk'!$R$5:$R$69,MATCH($C47,'Fcst Walk'!$A$5:$A$69,0))/$D47-1</f>
        <v>0.0419200739986436</v>
      </c>
      <c r="Q47" s="9" t="n">
        <f aca="false">INDEX('Fcst Walk'!$AM$5:$AM$69,MATCH($C47,'Fcst Walk'!$A$5:$A$69,0))</f>
        <v>1.81110249517372</v>
      </c>
      <c r="R47" s="4" t="str">
        <f aca="false">INDEX('Fcst Walk'!$AN$5:$AN$69,MATCH($C47,'Fcst Walk'!$A$5:$A$69,0))</f>
        <v/>
      </c>
      <c r="S47" s="7" t="n">
        <f aca="false">AVERAGE(INDEX('Realpage - His. Rent Change'!$I$2:$AV$577,MATCH($C47,'Realpage - His. Rent Change'!$A$2:$A$577,0),0))</f>
        <v>0.04735</v>
      </c>
      <c r="T47" s="7"/>
      <c r="U47" s="7" t="n">
        <f aca="false">IF(T47="",S47,AVERAGE(S47,T47))</f>
        <v>0.04735</v>
      </c>
      <c r="V47" s="10" t="n">
        <f aca="false">IF(H47&gt;=0,0,-H47/U47)</f>
        <v>0.72103177682959</v>
      </c>
    </row>
    <row r="48" customFormat="false" ht="15" hidden="false" customHeight="false" outlineLevel="0" collapsed="false">
      <c r="B48" s="11" t="n">
        <f aca="false">ROW()-4</f>
        <v>44</v>
      </c>
      <c r="C48" s="12" t="s">
        <v>65</v>
      </c>
      <c r="D48" s="13" t="n">
        <f aca="false">SUMIFS('Realpage Data'!$R$2:$R$899,'Realpage Data'!$A$2:$A$899,$C48,'Realpage Data'!$F$2:$F$899,"Rent Roll (Rev/OSF)")</f>
        <v>1.81163277224696</v>
      </c>
      <c r="E48" s="13" t="n">
        <f aca="false">SUMIFS('Realpage Data'!$R$2:$R$899,'Realpage Data'!$A$2:$A$899,$C48,'Realpage Data'!$F$2:$F$899,"Asking RPSF")</f>
        <v>1.819</v>
      </c>
      <c r="F48" s="13" t="n">
        <f aca="false">SUMIFS('Realpage Data'!$R$2:$R$899,'Realpage Data'!$A$2:$A$899,$C48,'Realpage Data'!$F$2:$F$899,"Effective RPSF")</f>
        <v>1.776</v>
      </c>
      <c r="G48" s="14" t="n">
        <f aca="false">E48/$D48-1</f>
        <v>0.00406662314013095</v>
      </c>
      <c r="H48" s="15" t="n">
        <f aca="false">F48/$D48-1</f>
        <v>-0.019668871524534</v>
      </c>
      <c r="I48" s="14" t="n">
        <f aca="false">SUMIFS('RP - Unit Starts'!$AC$2:$AC$451,'RP - Unit Starts'!$A$2:$A$451,$C48,'RP - Unit Starts'!$F$2:$F$451,"Annual Unit Starts")/SUMIFS('RP - Unit Starts'!$AC$2:$AC$451,'RP - Unit Starts'!$A$2:$A$451,$C48,'RP - Unit Starts'!$F$2:$F$451,"Existing Units")</f>
        <v>0.0195733309999697</v>
      </c>
      <c r="J48" s="14" t="n">
        <f aca="false">SUMIFS('Realpage Data'!$V$2:$V$899,'Realpage Data'!$A$2:$A$899,$C48,'Realpage Data'!$F$2:$F$899,"Existing Units")/SUMIFS('Realpage Data'!$R$2:$R$899,'Realpage Data'!$A$2:$A$899,$C48,'Realpage Data'!$F$2:$F$899,"Existing Units")-1</f>
        <v>0.0253955219611024</v>
      </c>
      <c r="K48" s="14" t="n">
        <f aca="false">INDEX('Fcst Walk'!$J$5:$J$69,MATCH($C48,'Fcst Walk'!$A$5:$A$69,0))/INDEX('Fcst Walk'!$F$5:$F$69,MATCH($C48,'Fcst Walk'!$A$5:$A$69,0))-1</f>
        <v>0.0149999999999999</v>
      </c>
      <c r="L48" s="14" t="n">
        <f aca="false">INDEX('Fcst Walk'!$N$5:$N$69,MATCH($C48,'Fcst Walk'!$A$5:$A$69,0))/INDEX('Fcst Walk'!$J$5:$J$69,MATCH($C48,'Fcst Walk'!$A$5:$A$69,0))-1</f>
        <v>0.0229999999999999</v>
      </c>
      <c r="M48" s="14" t="n">
        <f aca="false">INDEX('Fcst Walk'!$R$5:$R$69,MATCH($C48,'Fcst Walk'!$A$5:$A$69,0))/INDEX('Fcst Walk'!$N$5:$N$69,MATCH($C48,'Fcst Walk'!$A$5:$A$69,0))-1</f>
        <v>0.03</v>
      </c>
      <c r="N48" s="14" t="n">
        <f aca="false">INDEX('Fcst Walk'!$J$5:$J$69,MATCH($C48,'Fcst Walk'!$A$5:$A$69,0))/$D48-1</f>
        <v>-0.00496390459740215</v>
      </c>
      <c r="O48" s="14" t="n">
        <f aca="false">INDEX('Fcst Walk'!$N$5:$N$69,MATCH($C48,'Fcst Walk'!$A$5:$A$69,0))/$D48-1</f>
        <v>0.0179219255968575</v>
      </c>
      <c r="P48" s="14" t="n">
        <f aca="false">INDEX('Fcst Walk'!$R$5:$R$69,MATCH($C48,'Fcst Walk'!$A$5:$A$69,0))/$D48-1</f>
        <v>0.0484595833647632</v>
      </c>
      <c r="Q48" s="16" t="n">
        <f aca="false">INDEX('Fcst Walk'!$AM$5:$AM$69,MATCH($C48,'Fcst Walk'!$A$5:$A$69,0))</f>
        <v>1.83591677855704</v>
      </c>
      <c r="R48" s="11" t="str">
        <f aca="false">INDEX('Fcst Walk'!$AN$5:$AN$69,MATCH($C48,'Fcst Walk'!$A$5:$A$69,0))</f>
        <v/>
      </c>
      <c r="S48" s="14" t="n">
        <f aca="false">AVERAGE(INDEX('Realpage - His. Rent Change'!$I$2:$AV$577,MATCH($C48,'Realpage - His. Rent Change'!$A$2:$A$577,0),0))</f>
        <v>0.05637</v>
      </c>
      <c r="T48" s="18" t="n">
        <v>0.047</v>
      </c>
      <c r="U48" s="14" t="n">
        <f aca="false">IF(T48="",S48,AVERAGE(S48,T48))</f>
        <v>0.051685</v>
      </c>
      <c r="V48" s="17" t="n">
        <f aca="false">IF(H48&gt;=0,0,-H48/U48)</f>
        <v>0.380552801093818</v>
      </c>
    </row>
    <row r="49" customFormat="false" ht="15" hidden="false" customHeight="false" outlineLevel="0" collapsed="false">
      <c r="B49" s="4" t="n">
        <f aca="false">ROW()-4</f>
        <v>45</v>
      </c>
      <c r="C49" s="5" t="s">
        <v>66</v>
      </c>
      <c r="D49" s="6" t="n">
        <f aca="false">SUMIFS('Realpage Data'!$R$2:$R$899,'Realpage Data'!$A$2:$A$899,$C49,'Realpage Data'!$F$2:$F$899,"Rent Roll (Rev/OSF)")</f>
        <v>1.5906892696677</v>
      </c>
      <c r="E49" s="6" t="n">
        <f aca="false">SUMIFS('Realpage Data'!$R$2:$R$899,'Realpage Data'!$A$2:$A$899,$C49,'Realpage Data'!$F$2:$F$899,"Asking RPSF")</f>
        <v>1.557</v>
      </c>
      <c r="F49" s="6" t="n">
        <f aca="false">SUMIFS('Realpage Data'!$R$2:$R$899,'Realpage Data'!$A$2:$A$899,$C49,'Realpage Data'!$F$2:$F$899,"Effective RPSF")</f>
        <v>1.534</v>
      </c>
      <c r="G49" s="7" t="n">
        <f aca="false">E49/$D49-1</f>
        <v>-0.0211790387413261</v>
      </c>
      <c r="H49" s="8" t="n">
        <f aca="false">F49/$D49-1</f>
        <v>-0.035638179466406</v>
      </c>
      <c r="I49" s="7" t="n">
        <f aca="false">SUMIFS('RP - Unit Starts'!$AC$2:$AC$451,'RP - Unit Starts'!$A$2:$A$451,$C49,'RP - Unit Starts'!$F$2:$F$451,"Annual Unit Starts")/SUMIFS('RP - Unit Starts'!$AC$2:$AC$451,'RP - Unit Starts'!$A$2:$A$451,$C49,'RP - Unit Starts'!$F$2:$F$451,"Existing Units")</f>
        <v>0</v>
      </c>
      <c r="J49" s="7" t="n">
        <f aca="false">SUMIFS('Realpage Data'!$V$2:$V$899,'Realpage Data'!$A$2:$A$899,$C49,'Realpage Data'!$F$2:$F$899,"Existing Units")/SUMIFS('Realpage Data'!$R$2:$R$899,'Realpage Data'!$A$2:$A$899,$C49,'Realpage Data'!$F$2:$F$899,"Existing Units")-1</f>
        <v>0.00590376343149712</v>
      </c>
      <c r="K49" s="7" t="n">
        <f aca="false">INDEX('Fcst Walk'!$J$5:$J$69,MATCH($C49,'Fcst Walk'!$A$5:$A$69,0))/INDEX('Fcst Walk'!$F$5:$F$69,MATCH($C49,'Fcst Walk'!$A$5:$A$69,0))-1</f>
        <v>0.016</v>
      </c>
      <c r="L49" s="7" t="n">
        <f aca="false">INDEX('Fcst Walk'!$N$5:$N$69,MATCH($C49,'Fcst Walk'!$A$5:$A$69,0))/INDEX('Fcst Walk'!$J$5:$J$69,MATCH($C49,'Fcst Walk'!$A$5:$A$69,0))-1</f>
        <v>0.034</v>
      </c>
      <c r="M49" s="7" t="n">
        <f aca="false">INDEX('Fcst Walk'!$R$5:$R$69,MATCH($C49,'Fcst Walk'!$A$5:$A$69,0))/INDEX('Fcst Walk'!$N$5:$N$69,MATCH($C49,'Fcst Walk'!$A$5:$A$69,0))-1</f>
        <v>0.036</v>
      </c>
      <c r="N49" s="7" t="n">
        <f aca="false">INDEX('Fcst Walk'!$J$5:$J$69,MATCH($C49,'Fcst Walk'!$A$5:$A$69,0))/$D49-1</f>
        <v>-0.0202083903378685</v>
      </c>
      <c r="O49" s="7" t="n">
        <f aca="false">INDEX('Fcst Walk'!$N$5:$N$69,MATCH($C49,'Fcst Walk'!$A$5:$A$69,0))/$D49-1</f>
        <v>0.013104524390644</v>
      </c>
      <c r="P49" s="7" t="n">
        <f aca="false">INDEX('Fcst Walk'!$R$5:$R$69,MATCH($C49,'Fcst Walk'!$A$5:$A$69,0))/$D49-1</f>
        <v>0.0495762872687073</v>
      </c>
      <c r="Q49" s="9" t="n">
        <f aca="false">INDEX('Fcst Walk'!$AM$5:$AM$69,MATCH($C49,'Fcst Walk'!$A$5:$A$69,0))</f>
        <v>1.88310131697487</v>
      </c>
      <c r="R49" s="4" t="str">
        <f aca="false">INDEX('Fcst Walk'!$AN$5:$AN$69,MATCH($C49,'Fcst Walk'!$A$5:$A$69,0))</f>
        <v/>
      </c>
      <c r="S49" s="7" t="n">
        <f aca="false">AVERAGE(INDEX('Realpage - His. Rent Change'!$I$2:$AV$577,MATCH($C49,'Realpage - His. Rent Change'!$A$2:$A$577,0),0))</f>
        <v>0.0715925</v>
      </c>
      <c r="T49" s="7"/>
      <c r="U49" s="7" t="n">
        <f aca="false">IF(T49="",S49,AVERAGE(S49,T49))</f>
        <v>0.0715925</v>
      </c>
      <c r="V49" s="10" t="n">
        <f aca="false">IF(H49&gt;=0,0,-H49/U49)</f>
        <v>0.497792079706757</v>
      </c>
    </row>
    <row r="50" customFormat="false" ht="15" hidden="false" customHeight="false" outlineLevel="0" collapsed="false">
      <c r="B50" s="11" t="n">
        <f aca="false">ROW()-4</f>
        <v>46</v>
      </c>
      <c r="C50" s="12" t="s">
        <v>67</v>
      </c>
      <c r="D50" s="13" t="n">
        <f aca="false">SUMIFS('Realpage Data'!$R$2:$R$899,'Realpage Data'!$A$2:$A$899,$C50,'Realpage Data'!$F$2:$F$899,"Rent Roll (Rev/OSF)")</f>
        <v>2.60369078145546</v>
      </c>
      <c r="E50" s="13" t="n">
        <f aca="false">SUMIFS('Realpage Data'!$R$2:$R$899,'Realpage Data'!$A$2:$A$899,$C50,'Realpage Data'!$F$2:$F$899,"Asking RPSF")</f>
        <v>2.576</v>
      </c>
      <c r="F50" s="13" t="n">
        <f aca="false">SUMIFS('Realpage Data'!$R$2:$R$899,'Realpage Data'!$A$2:$A$899,$C50,'Realpage Data'!$F$2:$F$899,"Effective RPSF")</f>
        <v>2.531</v>
      </c>
      <c r="G50" s="14" t="n">
        <f aca="false">E50/$D50-1</f>
        <v>-0.0106352035551541</v>
      </c>
      <c r="H50" s="15" t="n">
        <f aca="false">F50/$D50-1</f>
        <v>-0.0279183618781425</v>
      </c>
      <c r="I50" s="14" t="n">
        <f aca="false">SUMIFS('RP - Unit Starts'!$AC$2:$AC$451,'RP - Unit Starts'!$A$2:$A$451,$C50,'RP - Unit Starts'!$F$2:$F$451,"Annual Unit Starts")/SUMIFS('RP - Unit Starts'!$AC$2:$AC$451,'RP - Unit Starts'!$A$2:$A$451,$C50,'RP - Unit Starts'!$F$2:$F$451,"Existing Units")</f>
        <v>0.0104762698433998</v>
      </c>
      <c r="J50" s="14" t="n">
        <f aca="false">SUMIFS('Realpage Data'!$V$2:$V$899,'Realpage Data'!$A$2:$A$899,$C50,'Realpage Data'!$F$2:$F$899,"Existing Units")/SUMIFS('Realpage Data'!$R$2:$R$899,'Realpage Data'!$A$2:$A$899,$C50,'Realpage Data'!$F$2:$F$899,"Existing Units")-1</f>
        <v>0.00718804600688427</v>
      </c>
      <c r="K50" s="14" t="n">
        <f aca="false">INDEX('Fcst Walk'!$J$5:$J$69,MATCH($C50,'Fcst Walk'!$A$5:$A$69,0))/INDEX('Fcst Walk'!$F$5:$F$69,MATCH($C50,'Fcst Walk'!$A$5:$A$69,0))-1</f>
        <v>0.0109999999999999</v>
      </c>
      <c r="L50" s="14" t="n">
        <f aca="false">INDEX('Fcst Walk'!$N$5:$N$69,MATCH($C50,'Fcst Walk'!$A$5:$A$69,0))/INDEX('Fcst Walk'!$J$5:$J$69,MATCH($C50,'Fcst Walk'!$A$5:$A$69,0))-1</f>
        <v>0.026</v>
      </c>
      <c r="M50" s="14" t="n">
        <f aca="false">INDEX('Fcst Walk'!$R$5:$R$69,MATCH($C50,'Fcst Walk'!$A$5:$A$69,0))/INDEX('Fcst Walk'!$N$5:$N$69,MATCH($C50,'Fcst Walk'!$A$5:$A$69,0))-1</f>
        <v>0.0249999999999999</v>
      </c>
      <c r="N50" s="14" t="n">
        <f aca="false">INDEX('Fcst Walk'!$J$5:$J$69,MATCH($C50,'Fcst Walk'!$A$5:$A$69,0))/$D50-1</f>
        <v>-0.0172254638588022</v>
      </c>
      <c r="O50" s="14" t="n">
        <f aca="false">INDEX('Fcst Walk'!$N$5:$N$69,MATCH($C50,'Fcst Walk'!$A$5:$A$69,0))/$D50-1</f>
        <v>0.00832667408086896</v>
      </c>
      <c r="P50" s="14" t="n">
        <f aca="false">INDEX('Fcst Walk'!$R$5:$R$69,MATCH($C50,'Fcst Walk'!$A$5:$A$69,0))/$D50-1</f>
        <v>0.0335348409328906</v>
      </c>
      <c r="Q50" s="16" t="n">
        <f aca="false">INDEX('Fcst Walk'!$AM$5:$AM$69,MATCH($C50,'Fcst Walk'!$A$5:$A$69,0))</f>
        <v>1.89198548290281</v>
      </c>
      <c r="R50" s="11" t="str">
        <f aca="false">INDEX('Fcst Walk'!$AN$5:$AN$69,MATCH($C50,'Fcst Walk'!$A$5:$A$69,0))</f>
        <v/>
      </c>
      <c r="S50" s="14" t="n">
        <f aca="false">AVERAGE(INDEX('Realpage - His. Rent Change'!$I$2:$AV$577,MATCH($C50,'Realpage - His. Rent Change'!$A$2:$A$577,0),0))</f>
        <v>0.0328</v>
      </c>
      <c r="T50" s="18" t="n">
        <v>0.0275</v>
      </c>
      <c r="U50" s="14" t="n">
        <f aca="false">IF(T50="",S50,AVERAGE(S50,T50))</f>
        <v>0.03015</v>
      </c>
      <c r="V50" s="17" t="n">
        <f aca="false">IF(H50&gt;=0,0,-H50/U50)</f>
        <v>0.925982151845521</v>
      </c>
    </row>
    <row r="51" customFormat="false" ht="15" hidden="false" customHeight="false" outlineLevel="0" collapsed="false">
      <c r="B51" s="4" t="n">
        <f aca="false">ROW()-4</f>
        <v>47</v>
      </c>
      <c r="C51" s="5" t="s">
        <v>68</v>
      </c>
      <c r="D51" s="6" t="n">
        <f aca="false">SUMIFS('Realpage Data'!$R$2:$R$899,'Realpage Data'!$A$2:$A$899,$C51,'Realpage Data'!$F$2:$F$899,"Rent Roll (Rev/OSF)")</f>
        <v>1.66057800708159</v>
      </c>
      <c r="E51" s="6" t="n">
        <f aca="false">SUMIFS('Realpage Data'!$R$2:$R$899,'Realpage Data'!$A$2:$A$899,$C51,'Realpage Data'!$F$2:$F$899,"Asking RPSF")</f>
        <v>1.642</v>
      </c>
      <c r="F51" s="6" t="n">
        <f aca="false">SUMIFS('Realpage Data'!$R$2:$R$899,'Realpage Data'!$A$2:$A$899,$C51,'Realpage Data'!$F$2:$F$899,"Effective RPSF")</f>
        <v>1.585</v>
      </c>
      <c r="G51" s="7" t="n">
        <f aca="false">E51/$D51-1</f>
        <v>-0.0111876750157828</v>
      </c>
      <c r="H51" s="8" t="n">
        <f aca="false">F51/$D51-1</f>
        <v>-0.0455130724117027</v>
      </c>
      <c r="I51" s="7" t="n">
        <f aca="false">SUMIFS('RP - Unit Starts'!$AC$2:$AC$451,'RP - Unit Starts'!$A$2:$A$451,$C51,'RP - Unit Starts'!$F$2:$F$451,"Annual Unit Starts")/SUMIFS('RP - Unit Starts'!$AC$2:$AC$451,'RP - Unit Starts'!$A$2:$A$451,$C51,'RP - Unit Starts'!$F$2:$F$451,"Existing Units")</f>
        <v>0.0199429109303376</v>
      </c>
      <c r="J51" s="7" t="n">
        <f aca="false">SUMIFS('Realpage Data'!$V$2:$V$899,'Realpage Data'!$A$2:$A$899,$C51,'Realpage Data'!$F$2:$F$899,"Existing Units")/SUMIFS('Realpage Data'!$R$2:$R$899,'Realpage Data'!$A$2:$A$899,$C51,'Realpage Data'!$F$2:$F$899,"Existing Units")-1</f>
        <v>0.0441751547756615</v>
      </c>
      <c r="K51" s="7" t="n">
        <f aca="false">INDEX('Fcst Walk'!$J$5:$J$69,MATCH($C51,'Fcst Walk'!$A$5:$A$69,0))/INDEX('Fcst Walk'!$F$5:$F$69,MATCH($C51,'Fcst Walk'!$A$5:$A$69,0))-1</f>
        <v>0.0189999999999999</v>
      </c>
      <c r="L51" s="7" t="n">
        <f aca="false">INDEX('Fcst Walk'!$N$5:$N$69,MATCH($C51,'Fcst Walk'!$A$5:$A$69,0))/INDEX('Fcst Walk'!$J$5:$J$69,MATCH($C51,'Fcst Walk'!$A$5:$A$69,0))-1</f>
        <v>0.0369999999999999</v>
      </c>
      <c r="M51" s="7" t="n">
        <f aca="false">INDEX('Fcst Walk'!$R$5:$R$69,MATCH($C51,'Fcst Walk'!$A$5:$A$69,0))/INDEX('Fcst Walk'!$N$5:$N$69,MATCH($C51,'Fcst Walk'!$A$5:$A$69,0))-1</f>
        <v>0.0449999999999999</v>
      </c>
      <c r="N51" s="7" t="n">
        <f aca="false">INDEX('Fcst Walk'!$J$5:$J$69,MATCH($C51,'Fcst Walk'!$A$5:$A$69,0))/$D51-1</f>
        <v>-0.027377820787525</v>
      </c>
      <c r="O51" s="7" t="n">
        <f aca="false">INDEX('Fcst Walk'!$N$5:$N$69,MATCH($C51,'Fcst Walk'!$A$5:$A$69,0))/$D51-1</f>
        <v>0.00860919984333641</v>
      </c>
      <c r="P51" s="7" t="n">
        <f aca="false">INDEX('Fcst Walk'!$R$5:$R$69,MATCH($C51,'Fcst Walk'!$A$5:$A$69,0))/$D51-1</f>
        <v>0.0539966138362866</v>
      </c>
      <c r="Q51" s="9" t="n">
        <f aca="false">INDEX('Fcst Walk'!$AM$5:$AM$69,MATCH($C51,'Fcst Walk'!$A$5:$A$69,0))</f>
        <v>1.93639390596553</v>
      </c>
      <c r="R51" s="4" t="str">
        <f aca="false">INDEX('Fcst Walk'!$AN$5:$AN$69,MATCH($C51,'Fcst Walk'!$A$5:$A$69,0))</f>
        <v/>
      </c>
      <c r="S51" s="7" t="n">
        <f aca="false">AVERAGE(INDEX('Realpage - His. Rent Change'!$I$2:$AV$577,MATCH($C51,'Realpage - His. Rent Change'!$A$2:$A$577,0),0))</f>
        <v>0.052925</v>
      </c>
      <c r="T51" s="19" t="n">
        <v>0.0361</v>
      </c>
      <c r="U51" s="7" t="n">
        <f aca="false">IF(T51="",S51,AVERAGE(S51,T51))</f>
        <v>0.0445125</v>
      </c>
      <c r="V51" s="10" t="n">
        <f aca="false">IF(H51&gt;=0,0,-H51/U51)</f>
        <v>1.02247845912278</v>
      </c>
    </row>
    <row r="52" customFormat="false" ht="15" hidden="false" customHeight="false" outlineLevel="0" collapsed="false">
      <c r="B52" s="11" t="n">
        <f aca="false">ROW()-4</f>
        <v>48</v>
      </c>
      <c r="C52" s="12" t="s">
        <v>69</v>
      </c>
      <c r="D52" s="13" t="n">
        <f aca="false">SUMIFS('Realpage Data'!$R$2:$R$899,'Realpage Data'!$A$2:$A$899,$C52,'Realpage Data'!$F$2:$F$899,"Rent Roll (Rev/OSF)")</f>
        <v>1.66829754025293</v>
      </c>
      <c r="E52" s="13" t="n">
        <f aca="false">SUMIFS('Realpage Data'!$R$2:$R$899,'Realpage Data'!$A$2:$A$899,$C52,'Realpage Data'!$F$2:$F$899,"Asking RPSF")</f>
        <v>1.66</v>
      </c>
      <c r="F52" s="13" t="n">
        <f aca="false">SUMIFS('Realpage Data'!$R$2:$R$899,'Realpage Data'!$A$2:$A$899,$C52,'Realpage Data'!$F$2:$F$899,"Effective RPSF")</f>
        <v>1.612</v>
      </c>
      <c r="G52" s="14" t="n">
        <f aca="false">E52/$D52-1</f>
        <v>-0.00497365730795973</v>
      </c>
      <c r="H52" s="15" t="n">
        <f aca="false">F52/$D52-1</f>
        <v>-0.0337455033617053</v>
      </c>
      <c r="I52" s="14" t="n">
        <f aca="false">SUMIFS('RP - Unit Starts'!$AC$2:$AC$451,'RP - Unit Starts'!$A$2:$A$451,$C52,'RP - Unit Starts'!$F$2:$F$451,"Annual Unit Starts")/SUMIFS('RP - Unit Starts'!$AC$2:$AC$451,'RP - Unit Starts'!$A$2:$A$451,$C52,'RP - Unit Starts'!$F$2:$F$451,"Existing Units")</f>
        <v>0</v>
      </c>
      <c r="J52" s="14" t="n">
        <f aca="false">SUMIFS('Realpage Data'!$V$2:$V$899,'Realpage Data'!$A$2:$A$899,$C52,'Realpage Data'!$F$2:$F$899,"Existing Units")/SUMIFS('Realpage Data'!$R$2:$R$899,'Realpage Data'!$A$2:$A$899,$C52,'Realpage Data'!$F$2:$F$899,"Existing Units")-1</f>
        <v>0.0395488988345816</v>
      </c>
      <c r="K52" s="14" t="n">
        <f aca="false">INDEX('Fcst Walk'!$J$5:$J$69,MATCH($C52,'Fcst Walk'!$A$5:$A$69,0))/INDEX('Fcst Walk'!$F$5:$F$69,MATCH($C52,'Fcst Walk'!$A$5:$A$69,0))-1</f>
        <v>0.0069999999999999</v>
      </c>
      <c r="L52" s="14" t="n">
        <f aca="false">INDEX('Fcst Walk'!$N$5:$N$69,MATCH($C52,'Fcst Walk'!$A$5:$A$69,0))/INDEX('Fcst Walk'!$J$5:$J$69,MATCH($C52,'Fcst Walk'!$A$5:$A$69,0))-1</f>
        <v>0.0289999999999999</v>
      </c>
      <c r="M52" s="14" t="n">
        <f aca="false">INDEX('Fcst Walk'!$R$5:$R$69,MATCH($C52,'Fcst Walk'!$A$5:$A$69,0))/INDEX('Fcst Walk'!$N$5:$N$69,MATCH($C52,'Fcst Walk'!$A$5:$A$69,0))-1</f>
        <v>0.0369999999999999</v>
      </c>
      <c r="N52" s="14" t="n">
        <f aca="false">INDEX('Fcst Walk'!$J$5:$J$69,MATCH($C52,'Fcst Walk'!$A$5:$A$69,0))/$D52-1</f>
        <v>-0.0269817218852374</v>
      </c>
      <c r="O52" s="14" t="n">
        <f aca="false">INDEX('Fcst Walk'!$N$5:$N$69,MATCH($C52,'Fcst Walk'!$A$5:$A$69,0))/$D52-1</f>
        <v>0.00123580818009073</v>
      </c>
      <c r="P52" s="14" t="n">
        <f aca="false">INDEX('Fcst Walk'!$R$5:$R$69,MATCH($C52,'Fcst Walk'!$A$5:$A$69,0))/$D52-1</f>
        <v>0.0382815330827542</v>
      </c>
      <c r="Q52" s="16" t="n">
        <f aca="false">INDEX('Fcst Walk'!$AM$5:$AM$69,MATCH($C52,'Fcst Walk'!$A$5:$A$69,0))</f>
        <v>1.95583885849458</v>
      </c>
      <c r="R52" s="11" t="str">
        <f aca="false">INDEX('Fcst Walk'!$AN$5:$AN$69,MATCH($C52,'Fcst Walk'!$A$5:$A$69,0))</f>
        <v/>
      </c>
      <c r="S52" s="14" t="n">
        <f aca="false">AVERAGE(INDEX('Realpage - His. Rent Change'!$I$2:$AV$577,MATCH($C52,'Realpage - His. Rent Change'!$A$2:$A$577,0),0))</f>
        <v>0.0674325</v>
      </c>
      <c r="T52" s="14"/>
      <c r="U52" s="14" t="n">
        <f aca="false">IF(T52="",S52,AVERAGE(S52,T52))</f>
        <v>0.0674325</v>
      </c>
      <c r="V52" s="17" t="n">
        <f aca="false">IF(H52&gt;=0,0,-H52/U52)</f>
        <v>0.500433816953329</v>
      </c>
    </row>
    <row r="53" customFormat="false" ht="15" hidden="false" customHeight="false" outlineLevel="0" collapsed="false">
      <c r="B53" s="4" t="n">
        <f aca="false">ROW()-4</f>
        <v>49</v>
      </c>
      <c r="C53" s="5" t="s">
        <v>70</v>
      </c>
      <c r="D53" s="6" t="n">
        <f aca="false">SUMIFS('Realpage Data'!$R$2:$R$899,'Realpage Data'!$A$2:$A$899,$C53,'Realpage Data'!$F$2:$F$899,"Rent Roll (Rev/OSF)")</f>
        <v>1.39998118153695</v>
      </c>
      <c r="E53" s="6" t="n">
        <f aca="false">SUMIFS('Realpage Data'!$R$2:$R$899,'Realpage Data'!$A$2:$A$899,$C53,'Realpage Data'!$F$2:$F$899,"Asking RPSF")</f>
        <v>1.376</v>
      </c>
      <c r="F53" s="6" t="n">
        <f aca="false">SUMIFS('Realpage Data'!$R$2:$R$899,'Realpage Data'!$A$2:$A$899,$C53,'Realpage Data'!$F$2:$F$899,"Effective RPSF")</f>
        <v>1.358</v>
      </c>
      <c r="G53" s="7" t="n">
        <f aca="false">E53/$D53-1</f>
        <v>-0.0171296456361117</v>
      </c>
      <c r="H53" s="8" t="n">
        <f aca="false">F53/$D53-1</f>
        <v>-0.0299869613181973</v>
      </c>
      <c r="I53" s="7" t="n">
        <f aca="false">SUMIFS('RP - Unit Starts'!$AC$2:$AC$451,'RP - Unit Starts'!$A$2:$A$451,$C53,'RP - Unit Starts'!$F$2:$F$451,"Annual Unit Starts")/SUMIFS('RP - Unit Starts'!$AC$2:$AC$451,'RP - Unit Starts'!$A$2:$A$451,$C53,'RP - Unit Starts'!$F$2:$F$451,"Existing Units")</f>
        <v>0.0232892107892108</v>
      </c>
      <c r="J53" s="7" t="n">
        <f aca="false">SUMIFS('Realpage Data'!$V$2:$V$899,'Realpage Data'!$A$2:$A$899,$C53,'Realpage Data'!$F$2:$F$899,"Existing Units")/SUMIFS('Realpage Data'!$R$2:$R$899,'Realpage Data'!$A$2:$A$899,$C53,'Realpage Data'!$F$2:$F$899,"Existing Units")-1</f>
        <v>0.0237262737262738</v>
      </c>
      <c r="K53" s="7" t="n">
        <f aca="false">INDEX('Fcst Walk'!$J$5:$J$69,MATCH($C53,'Fcst Walk'!$A$5:$A$69,0))/INDEX('Fcst Walk'!$F$5:$F$69,MATCH($C53,'Fcst Walk'!$A$5:$A$69,0))-1</f>
        <v>0.014</v>
      </c>
      <c r="L53" s="7" t="n">
        <f aca="false">INDEX('Fcst Walk'!$N$5:$N$69,MATCH($C53,'Fcst Walk'!$A$5:$A$69,0))/INDEX('Fcst Walk'!$J$5:$J$69,MATCH($C53,'Fcst Walk'!$A$5:$A$69,0))-1</f>
        <v>0.016</v>
      </c>
      <c r="M53" s="7" t="n">
        <f aca="false">INDEX('Fcst Walk'!$R$5:$R$69,MATCH($C53,'Fcst Walk'!$A$5:$A$69,0))/INDEX('Fcst Walk'!$N$5:$N$69,MATCH($C53,'Fcst Walk'!$A$5:$A$69,0))-1</f>
        <v>0.0169999999999999</v>
      </c>
      <c r="N53" s="7" t="n">
        <f aca="false">INDEX('Fcst Walk'!$J$5:$J$69,MATCH($C53,'Fcst Walk'!$A$5:$A$69,0))/$D53-1</f>
        <v>-0.0164067787766521</v>
      </c>
      <c r="O53" s="7" t="n">
        <f aca="false">INDEX('Fcst Walk'!$N$5:$N$69,MATCH($C53,'Fcst Walk'!$A$5:$A$69,0))/$D53-1</f>
        <v>-0.000669287237078597</v>
      </c>
      <c r="P53" s="7" t="n">
        <f aca="false">INDEX('Fcst Walk'!$R$5:$R$69,MATCH($C53,'Fcst Walk'!$A$5:$A$69,0))/$D53-1</f>
        <v>0.0163193348798909</v>
      </c>
      <c r="Q53" s="9" t="n">
        <f aca="false">INDEX('Fcst Walk'!$AM$5:$AM$69,MATCH($C53,'Fcst Walk'!$A$5:$A$69,0))</f>
        <v>2.02413059001483</v>
      </c>
      <c r="R53" s="4" t="str">
        <f aca="false">INDEX('Fcst Walk'!$AN$5:$AN$69,MATCH($C53,'Fcst Walk'!$A$5:$A$69,0))</f>
        <v/>
      </c>
      <c r="S53" s="7" t="n">
        <f aca="false">AVERAGE(INDEX('Realpage - His. Rent Change'!$I$2:$AV$577,MATCH($C53,'Realpage - His. Rent Change'!$A$2:$A$577,0),0))</f>
        <v>0.055385</v>
      </c>
      <c r="T53" s="7"/>
      <c r="U53" s="7" t="n">
        <f aca="false">IF(T53="",S53,AVERAGE(S53,T53))</f>
        <v>0.055385</v>
      </c>
      <c r="V53" s="10" t="n">
        <f aca="false">IF(H53&gt;=0,0,-H53/U53)</f>
        <v>0.54142748610991</v>
      </c>
    </row>
    <row r="54" customFormat="false" ht="15" hidden="false" customHeight="false" outlineLevel="0" collapsed="false">
      <c r="B54" s="11" t="n">
        <f aca="false">ROW()-4</f>
        <v>50</v>
      </c>
      <c r="C54" s="12" t="s">
        <v>71</v>
      </c>
      <c r="D54" s="13" t="n">
        <f aca="false">SUMIFS('Realpage Data'!$R$2:$R$899,'Realpage Data'!$A$2:$A$899,$C54,'Realpage Data'!$F$2:$F$899,"Rent Roll (Rev/OSF)")</f>
        <v>1.62785877365975</v>
      </c>
      <c r="E54" s="13" t="n">
        <f aca="false">SUMIFS('Realpage Data'!$R$2:$R$899,'Realpage Data'!$A$2:$A$899,$C54,'Realpage Data'!$F$2:$F$899,"Asking RPSF")</f>
        <v>1.607</v>
      </c>
      <c r="F54" s="13" t="n">
        <f aca="false">SUMIFS('Realpage Data'!$R$2:$R$899,'Realpage Data'!$A$2:$A$899,$C54,'Realpage Data'!$F$2:$F$899,"Effective RPSF")</f>
        <v>1.566</v>
      </c>
      <c r="G54" s="14" t="n">
        <f aca="false">E54/$D54-1</f>
        <v>-0.0128136260941435</v>
      </c>
      <c r="H54" s="15" t="n">
        <f aca="false">F54/$D54-1</f>
        <v>-0.0380000861626811</v>
      </c>
      <c r="I54" s="14" t="n">
        <f aca="false">SUMIFS('RP - Unit Starts'!$AC$2:$AC$451,'RP - Unit Starts'!$A$2:$A$451,$C54,'RP - Unit Starts'!$F$2:$F$451,"Annual Unit Starts")/SUMIFS('RP - Unit Starts'!$AC$2:$AC$451,'RP - Unit Starts'!$A$2:$A$451,$C54,'RP - Unit Starts'!$F$2:$F$451,"Existing Units")</f>
        <v>0.0218790525972424</v>
      </c>
      <c r="J54" s="14" t="n">
        <f aca="false">SUMIFS('Realpage Data'!$V$2:$V$899,'Realpage Data'!$A$2:$A$899,$C54,'Realpage Data'!$F$2:$F$899,"Existing Units")/SUMIFS('Realpage Data'!$R$2:$R$899,'Realpage Data'!$A$2:$A$899,$C54,'Realpage Data'!$F$2:$F$899,"Existing Units")-1</f>
        <v>0.0207850999673804</v>
      </c>
      <c r="K54" s="14" t="n">
        <f aca="false">INDEX('Fcst Walk'!$J$5:$J$69,MATCH($C54,'Fcst Walk'!$A$5:$A$69,0))/INDEX('Fcst Walk'!$F$5:$F$69,MATCH($C54,'Fcst Walk'!$A$5:$A$69,0))-1</f>
        <v>0.00099999999999989</v>
      </c>
      <c r="L54" s="14" t="n">
        <f aca="false">INDEX('Fcst Walk'!$N$5:$N$69,MATCH($C54,'Fcst Walk'!$A$5:$A$69,0))/INDEX('Fcst Walk'!$J$5:$J$69,MATCH($C54,'Fcst Walk'!$A$5:$A$69,0))-1</f>
        <v>0.03</v>
      </c>
      <c r="M54" s="14" t="n">
        <f aca="false">INDEX('Fcst Walk'!$R$5:$R$69,MATCH($C54,'Fcst Walk'!$A$5:$A$69,0))/INDEX('Fcst Walk'!$N$5:$N$69,MATCH($C54,'Fcst Walk'!$A$5:$A$69,0))-1</f>
        <v>0.03</v>
      </c>
      <c r="N54" s="14" t="n">
        <f aca="false">INDEX('Fcst Walk'!$J$5:$J$69,MATCH($C54,'Fcst Walk'!$A$5:$A$69,0))/$D54-1</f>
        <v>-0.037038086248844</v>
      </c>
      <c r="O54" s="14" t="n">
        <f aca="false">INDEX('Fcst Walk'!$N$5:$N$69,MATCH($C54,'Fcst Walk'!$A$5:$A$69,0))/$D54-1</f>
        <v>-0.00814922883630931</v>
      </c>
      <c r="P54" s="14" t="n">
        <f aca="false">INDEX('Fcst Walk'!$R$5:$R$69,MATCH($C54,'Fcst Walk'!$A$5:$A$69,0))/$D54-1</f>
        <v>0.0216062942986015</v>
      </c>
      <c r="Q54" s="16" t="n">
        <f aca="false">INDEX('Fcst Walk'!$AM$5:$AM$69,MATCH($C54,'Fcst Walk'!$A$5:$A$69,0))</f>
        <v>2.16907427772898</v>
      </c>
      <c r="R54" s="11" t="str">
        <f aca="false">INDEX('Fcst Walk'!$AN$5:$AN$69,MATCH($C54,'Fcst Walk'!$A$5:$A$69,0))</f>
        <v/>
      </c>
      <c r="S54" s="14" t="n">
        <f aca="false">AVERAGE(INDEX('Realpage - His. Rent Change'!$I$2:$AV$577,MATCH($C54,'Realpage - His. Rent Change'!$A$2:$A$577,0),0))</f>
        <v>0.04816</v>
      </c>
      <c r="T54" s="14"/>
      <c r="U54" s="14" t="n">
        <f aca="false">IF(T54="",S54,AVERAGE(S54,T54))</f>
        <v>0.04816</v>
      </c>
      <c r="V54" s="17" t="n">
        <f aca="false">IF(H54&gt;=0,0,-H54/U54)</f>
        <v>0.789038333942715</v>
      </c>
    </row>
    <row r="55" customFormat="false" ht="15" hidden="false" customHeight="false" outlineLevel="0" collapsed="false">
      <c r="B55" s="4" t="n">
        <f aca="false">ROW()-4</f>
        <v>51</v>
      </c>
      <c r="C55" s="5" t="s">
        <v>72</v>
      </c>
      <c r="D55" s="6" t="n">
        <f aca="false">SUMIFS('Realpage Data'!$R$2:$R$899,'Realpage Data'!$A$2:$A$899,$C55,'Realpage Data'!$F$2:$F$899,"Rent Roll (Rev/OSF)")</f>
        <v>1.71887327527392</v>
      </c>
      <c r="E55" s="6" t="n">
        <f aca="false">SUMIFS('Realpage Data'!$R$2:$R$899,'Realpage Data'!$A$2:$A$899,$C55,'Realpage Data'!$F$2:$F$899,"Asking RPSF")</f>
        <v>1.737</v>
      </c>
      <c r="F55" s="6" t="n">
        <f aca="false">SUMIFS('Realpage Data'!$R$2:$R$899,'Realpage Data'!$A$2:$A$899,$C55,'Realpage Data'!$F$2:$F$899,"Effective RPSF")</f>
        <v>1.682</v>
      </c>
      <c r="G55" s="7" t="n">
        <f aca="false">E55/$D55-1</f>
        <v>0.0105457016446984</v>
      </c>
      <c r="H55" s="8" t="n">
        <f aca="false">F55/$D55-1</f>
        <v>-0.0214520033584442</v>
      </c>
      <c r="I55" s="7" t="n">
        <f aca="false">SUMIFS('RP - Unit Starts'!$AC$2:$AC$451,'RP - Unit Starts'!$A$2:$A$451,$C55,'RP - Unit Starts'!$F$2:$F$451,"Annual Unit Starts")/SUMIFS('RP - Unit Starts'!$AC$2:$AC$451,'RP - Unit Starts'!$A$2:$A$451,$C55,'RP - Unit Starts'!$F$2:$F$451,"Existing Units")</f>
        <v>0.00678999732801031</v>
      </c>
      <c r="J55" s="7" t="n">
        <f aca="false">SUMIFS('Realpage Data'!$V$2:$V$899,'Realpage Data'!$A$2:$A$899,$C55,'Realpage Data'!$F$2:$F$899,"Existing Units")/SUMIFS('Realpage Data'!$R$2:$R$899,'Realpage Data'!$A$2:$A$899,$C55,'Realpage Data'!$F$2:$F$899,"Existing Units")-1</f>
        <v>0.0059412476620091</v>
      </c>
      <c r="K55" s="7" t="n">
        <f aca="false">INDEX('Fcst Walk'!$J$5:$J$69,MATCH($C55,'Fcst Walk'!$A$5:$A$69,0))/INDEX('Fcst Walk'!$F$5:$F$69,MATCH($C55,'Fcst Walk'!$A$5:$A$69,0))-1</f>
        <v>0.0209999999999999</v>
      </c>
      <c r="L55" s="7" t="n">
        <f aca="false">INDEX('Fcst Walk'!$N$5:$N$69,MATCH($C55,'Fcst Walk'!$A$5:$A$69,0))/INDEX('Fcst Walk'!$J$5:$J$69,MATCH($C55,'Fcst Walk'!$A$5:$A$69,0))-1</f>
        <v>0.02</v>
      </c>
      <c r="M55" s="7" t="n">
        <f aca="false">INDEX('Fcst Walk'!$R$5:$R$69,MATCH($C55,'Fcst Walk'!$A$5:$A$69,0))/INDEX('Fcst Walk'!$N$5:$N$69,MATCH($C55,'Fcst Walk'!$A$5:$A$69,0))-1</f>
        <v>0.0169999999999999</v>
      </c>
      <c r="N55" s="7" t="n">
        <f aca="false">INDEX('Fcst Walk'!$J$5:$J$69,MATCH($C55,'Fcst Walk'!$A$5:$A$69,0))/$D55-1</f>
        <v>-0.000902495428971584</v>
      </c>
      <c r="O55" s="7" t="n">
        <f aca="false">INDEX('Fcst Walk'!$N$5:$N$69,MATCH($C55,'Fcst Walk'!$A$5:$A$69,0))/$D55-1</f>
        <v>0.0190794546624489</v>
      </c>
      <c r="P55" s="7" t="n">
        <f aca="false">INDEX('Fcst Walk'!$R$5:$R$69,MATCH($C55,'Fcst Walk'!$A$5:$A$69,0))/$D55-1</f>
        <v>0.0364038053917104</v>
      </c>
      <c r="Q55" s="9" t="n">
        <f aca="false">INDEX('Fcst Walk'!$AM$5:$AM$69,MATCH($C55,'Fcst Walk'!$A$5:$A$69,0))</f>
        <v>2.53548315091191</v>
      </c>
      <c r="R55" s="4" t="str">
        <f aca="false">INDEX('Fcst Walk'!$AN$5:$AN$69,MATCH($C55,'Fcst Walk'!$A$5:$A$69,0))</f>
        <v/>
      </c>
      <c r="S55" s="7" t="n">
        <f aca="false">AVERAGE(INDEX('Realpage - His. Rent Change'!$I$2:$AV$577,MATCH($C55,'Realpage - His. Rent Change'!$A$2:$A$577,0),0))</f>
        <v>0.0542425</v>
      </c>
      <c r="T55" s="7"/>
      <c r="U55" s="7" t="n">
        <f aca="false">IF(T55="",S55,AVERAGE(S55,T55))</f>
        <v>0.0542425</v>
      </c>
      <c r="V55" s="10" t="n">
        <f aca="false">IF(H55&gt;=0,0,-H55/U55)</f>
        <v>0.395483308447144</v>
      </c>
    </row>
    <row r="56" customFormat="false" ht="15" hidden="false" customHeight="false" outlineLevel="0" collapsed="false">
      <c r="B56" s="11" t="n">
        <f aca="false">ROW()-4</f>
        <v>52</v>
      </c>
      <c r="C56" s="12" t="s">
        <v>73</v>
      </c>
      <c r="D56" s="13" t="n">
        <f aca="false">SUMIFS('Realpage Data'!$R$2:$R$899,'Realpage Data'!$A$2:$A$899,$C56,'Realpage Data'!$F$2:$F$899,"Rent Roll (Rev/OSF)")</f>
        <v>1.5706469805598</v>
      </c>
      <c r="E56" s="13" t="n">
        <f aca="false">SUMIFS('Realpage Data'!$R$2:$R$899,'Realpage Data'!$A$2:$A$899,$C56,'Realpage Data'!$F$2:$F$899,"Asking RPSF")</f>
        <v>1.571</v>
      </c>
      <c r="F56" s="13" t="n">
        <f aca="false">SUMIFS('Realpage Data'!$R$2:$R$899,'Realpage Data'!$A$2:$A$899,$C56,'Realpage Data'!$F$2:$F$899,"Effective RPSF")</f>
        <v>1.526</v>
      </c>
      <c r="G56" s="14" t="n">
        <f aca="false">E56/$D56-1</f>
        <v>0.000224760525167289</v>
      </c>
      <c r="H56" s="15" t="n">
        <f aca="false">F56/$D56-1</f>
        <v>-0.02842585323908</v>
      </c>
      <c r="I56" s="14" t="n">
        <f aca="false">SUMIFS('RP - Unit Starts'!$AC$2:$AC$451,'RP - Unit Starts'!$A$2:$A$451,$C56,'RP - Unit Starts'!$F$2:$F$451,"Annual Unit Starts")/SUMIFS('RP - Unit Starts'!$AC$2:$AC$451,'RP - Unit Starts'!$A$2:$A$451,$C56,'RP - Unit Starts'!$F$2:$F$451,"Existing Units")</f>
        <v>0.0469894429615125</v>
      </c>
      <c r="J56" s="14" t="n">
        <f aca="false">SUMIFS('Realpage Data'!$V$2:$V$899,'Realpage Data'!$A$2:$A$899,$C56,'Realpage Data'!$F$2:$F$899,"Existing Units")/SUMIFS('Realpage Data'!$R$2:$R$899,'Realpage Data'!$A$2:$A$899,$C56,'Realpage Data'!$F$2:$F$899,"Existing Units")-1</f>
        <v>0.0279489050420711</v>
      </c>
      <c r="K56" s="14" t="n">
        <f aca="false">INDEX('Fcst Walk'!$J$5:$J$69,MATCH($C56,'Fcst Walk'!$A$5:$A$69,0))/INDEX('Fcst Walk'!$F$5:$F$69,MATCH($C56,'Fcst Walk'!$A$5:$A$69,0))-1</f>
        <v>0.02</v>
      </c>
      <c r="L56" s="14" t="n">
        <f aca="false">INDEX('Fcst Walk'!$N$5:$N$69,MATCH($C56,'Fcst Walk'!$A$5:$A$69,0))/INDEX('Fcst Walk'!$J$5:$J$69,MATCH($C56,'Fcst Walk'!$A$5:$A$69,0))-1</f>
        <v>0.0269999999999999</v>
      </c>
      <c r="M56" s="14" t="n">
        <f aca="false">INDEX('Fcst Walk'!$R$5:$R$69,MATCH($C56,'Fcst Walk'!$A$5:$A$69,0))/INDEX('Fcst Walk'!$N$5:$N$69,MATCH($C56,'Fcst Walk'!$A$5:$A$69,0))-1</f>
        <v>0.0289999999999999</v>
      </c>
      <c r="N56" s="14" t="n">
        <f aca="false">INDEX('Fcst Walk'!$J$5:$J$69,MATCH($C56,'Fcst Walk'!$A$5:$A$69,0))/$D56-1</f>
        <v>-0.00899437030386152</v>
      </c>
      <c r="O56" s="14" t="n">
        <f aca="false">INDEX('Fcst Walk'!$N$5:$N$69,MATCH($C56,'Fcst Walk'!$A$5:$A$69,0))/$D56-1</f>
        <v>0.0177627816979342</v>
      </c>
      <c r="P56" s="14" t="n">
        <f aca="false">INDEX('Fcst Walk'!$R$5:$R$69,MATCH($C56,'Fcst Walk'!$A$5:$A$69,0))/$D56-1</f>
        <v>0.0472779023671741</v>
      </c>
      <c r="Q56" s="16" t="n">
        <f aca="false">INDEX('Fcst Walk'!$AM$5:$AM$69,MATCH($C56,'Fcst Walk'!$A$5:$A$69,0))</f>
        <v>2.53640798527753</v>
      </c>
      <c r="R56" s="11" t="str">
        <f aca="false">INDEX('Fcst Walk'!$AN$5:$AN$69,MATCH($C56,'Fcst Walk'!$A$5:$A$69,0))</f>
        <v/>
      </c>
      <c r="S56" s="14" t="n">
        <f aca="false">AVERAGE(INDEX('Realpage - His. Rent Change'!$I$2:$AV$577,MATCH($C56,'Realpage - His. Rent Change'!$A$2:$A$577,0),0))</f>
        <v>0.0470675</v>
      </c>
      <c r="T56" s="18" t="n">
        <v>0.0373</v>
      </c>
      <c r="U56" s="14" t="n">
        <f aca="false">IF(T56="",S56,AVERAGE(S56,T56))</f>
        <v>0.04218375</v>
      </c>
      <c r="V56" s="17" t="n">
        <f aca="false">IF(H56&gt;=0,0,-H56/U56)</f>
        <v>0.673857901184223</v>
      </c>
    </row>
    <row r="57" customFormat="false" ht="15" hidden="false" customHeight="false" outlineLevel="0" collapsed="false">
      <c r="B57" s="4" t="n">
        <f aca="false">ROW()-4</f>
        <v>53</v>
      </c>
      <c r="C57" s="5" t="s">
        <v>74</v>
      </c>
      <c r="D57" s="6" t="n">
        <f aca="false">SUMIFS('Realpage Data'!$R$2:$R$899,'Realpage Data'!$A$2:$A$899,$C57,'Realpage Data'!$F$2:$F$899,"Rent Roll (Rev/OSF)")</f>
        <v>1.30107974412754</v>
      </c>
      <c r="E57" s="6" t="n">
        <f aca="false">SUMIFS('Realpage Data'!$R$2:$R$899,'Realpage Data'!$A$2:$A$899,$C57,'Realpage Data'!$F$2:$F$899,"Asking RPSF")</f>
        <v>1.241</v>
      </c>
      <c r="F57" s="6" t="n">
        <f aca="false">SUMIFS('Realpage Data'!$R$2:$R$899,'Realpage Data'!$A$2:$A$899,$C57,'Realpage Data'!$F$2:$F$899,"Effective RPSF")</f>
        <v>1.235</v>
      </c>
      <c r="G57" s="7" t="n">
        <f aca="false">E57/$D57-1</f>
        <v>-0.046176834585824</v>
      </c>
      <c r="H57" s="8" t="n">
        <f aca="false">F57/$D57-1</f>
        <v>-0.0507883889713882</v>
      </c>
      <c r="I57" s="7" t="n">
        <f aca="false">SUMIFS('RP - Unit Starts'!$AC$2:$AC$451,'RP - Unit Starts'!$A$2:$A$451,$C57,'RP - Unit Starts'!$F$2:$F$451,"Annual Unit Starts")/SUMIFS('RP - Unit Starts'!$AC$2:$AC$451,'RP - Unit Starts'!$A$2:$A$451,$C57,'RP - Unit Starts'!$F$2:$F$451,"Existing Units")</f>
        <v>0</v>
      </c>
      <c r="J57" s="7" t="n">
        <f aca="false">SUMIFS('Realpage Data'!$V$2:$V$899,'Realpage Data'!$A$2:$A$899,$C57,'Realpage Data'!$F$2:$F$899,"Existing Units")/SUMIFS('Realpage Data'!$R$2:$R$899,'Realpage Data'!$A$2:$A$899,$C57,'Realpage Data'!$F$2:$F$899,"Existing Units")-1</f>
        <v>0</v>
      </c>
      <c r="K57" s="7" t="n">
        <f aca="false">INDEX('Fcst Walk'!$J$5:$J$69,MATCH($C57,'Fcst Walk'!$A$5:$A$69,0))/INDEX('Fcst Walk'!$F$5:$F$69,MATCH($C57,'Fcst Walk'!$A$5:$A$69,0))-1</f>
        <v>0.0289999999999999</v>
      </c>
      <c r="L57" s="7" t="n">
        <f aca="false">INDEX('Fcst Walk'!$N$5:$N$69,MATCH($C57,'Fcst Walk'!$A$5:$A$69,0))/INDEX('Fcst Walk'!$J$5:$J$69,MATCH($C57,'Fcst Walk'!$A$5:$A$69,0))-1</f>
        <v>0.0229999999999999</v>
      </c>
      <c r="M57" s="7" t="n">
        <f aca="false">INDEX('Fcst Walk'!$R$5:$R$69,MATCH($C57,'Fcst Walk'!$A$5:$A$69,0))/INDEX('Fcst Walk'!$N$5:$N$69,MATCH($C57,'Fcst Walk'!$A$5:$A$69,0))-1</f>
        <v>0.0189999999999999</v>
      </c>
      <c r="N57" s="7" t="n">
        <f aca="false">INDEX('Fcst Walk'!$J$5:$J$69,MATCH($C57,'Fcst Walk'!$A$5:$A$69,0))/$D57-1</f>
        <v>-0.0232612522515584</v>
      </c>
      <c r="O57" s="7" t="n">
        <f aca="false">INDEX('Fcst Walk'!$N$5:$N$69,MATCH($C57,'Fcst Walk'!$A$5:$A$69,0))/$D57-1</f>
        <v>-0.000796261053344294</v>
      </c>
      <c r="P57" s="7" t="n">
        <f aca="false">INDEX('Fcst Walk'!$R$5:$R$69,MATCH($C57,'Fcst Walk'!$A$5:$A$69,0))/$D57-1</f>
        <v>0.018188609986642</v>
      </c>
      <c r="Q57" s="9" t="n">
        <f aca="false">INDEX('Fcst Walk'!$AM$5:$AM$69,MATCH($C57,'Fcst Walk'!$A$5:$A$69,0))</f>
        <v>2.54849071676311</v>
      </c>
      <c r="R57" s="4" t="str">
        <f aca="false">INDEX('Fcst Walk'!$AN$5:$AN$69,MATCH($C57,'Fcst Walk'!$A$5:$A$69,0))</f>
        <v/>
      </c>
      <c r="S57" s="7" t="n">
        <f aca="false">AVERAGE(INDEX('Realpage - His. Rent Change'!$I$2:$AV$577,MATCH($C57,'Realpage - His. Rent Change'!$A$2:$A$577,0),0))</f>
        <v>0.0424425</v>
      </c>
      <c r="T57" s="7"/>
      <c r="U57" s="7" t="n">
        <f aca="false">IF(T57="",S57,AVERAGE(S57,T57))</f>
        <v>0.0424425</v>
      </c>
      <c r="V57" s="10" t="n">
        <f aca="false">IF(H57&gt;=0,0,-H57/U57)</f>
        <v>1.19663990036846</v>
      </c>
    </row>
    <row r="58" customFormat="false" ht="15" hidden="false" customHeight="false" outlineLevel="0" collapsed="false">
      <c r="B58" s="11" t="n">
        <f aca="false">ROW()-4</f>
        <v>54</v>
      </c>
      <c r="C58" s="12" t="s">
        <v>75</v>
      </c>
      <c r="D58" s="13" t="n">
        <f aca="false">SUMIFS('Realpage Data'!$R$2:$R$899,'Realpage Data'!$A$2:$A$899,$C58,'Realpage Data'!$F$2:$F$899,"Rent Roll (Rev/OSF)")</f>
        <v>1.73984624480331</v>
      </c>
      <c r="E58" s="13" t="n">
        <f aca="false">SUMIFS('Realpage Data'!$R$2:$R$899,'Realpage Data'!$A$2:$A$899,$C58,'Realpage Data'!$F$2:$F$899,"Asking RPSF")</f>
        <v>1.742</v>
      </c>
      <c r="F58" s="13" t="n">
        <f aca="false">SUMIFS('Realpage Data'!$R$2:$R$899,'Realpage Data'!$A$2:$A$899,$C58,'Realpage Data'!$F$2:$F$899,"Effective RPSF")</f>
        <v>1.677</v>
      </c>
      <c r="G58" s="14" t="n">
        <f aca="false">E58/$D58-1</f>
        <v>0.00123789973000665</v>
      </c>
      <c r="H58" s="15" t="n">
        <f aca="false">F58/$D58-1</f>
        <v>-0.0361217233942474</v>
      </c>
      <c r="I58" s="14" t="n">
        <f aca="false">SUMIFS('RP - Unit Starts'!$AC$2:$AC$451,'RP - Unit Starts'!$A$2:$A$451,$C58,'RP - Unit Starts'!$F$2:$F$451,"Annual Unit Starts")/SUMIFS('RP - Unit Starts'!$AC$2:$AC$451,'RP - Unit Starts'!$A$2:$A$451,$C58,'RP - Unit Starts'!$F$2:$F$451,"Existing Units")</f>
        <v>0.0294259890163036</v>
      </c>
      <c r="J58" s="14" t="n">
        <f aca="false">SUMIFS('Realpage Data'!$V$2:$V$899,'Realpage Data'!$A$2:$A$899,$C58,'Realpage Data'!$F$2:$F$899,"Existing Units")/SUMIFS('Realpage Data'!$R$2:$R$899,'Realpage Data'!$A$2:$A$899,$C58,'Realpage Data'!$F$2:$F$899,"Existing Units")-1</f>
        <v>0.0303674487087171</v>
      </c>
      <c r="K58" s="14" t="n">
        <f aca="false">INDEX('Fcst Walk'!$J$5:$J$69,MATCH($C58,'Fcst Walk'!$A$5:$A$69,0))/INDEX('Fcst Walk'!$F$5:$F$69,MATCH($C58,'Fcst Walk'!$A$5:$A$69,0))-1</f>
        <v>0.0109999999999999</v>
      </c>
      <c r="L58" s="14" t="n">
        <f aca="false">INDEX('Fcst Walk'!$N$5:$N$69,MATCH($C58,'Fcst Walk'!$A$5:$A$69,0))/INDEX('Fcst Walk'!$J$5:$J$69,MATCH($C58,'Fcst Walk'!$A$5:$A$69,0))-1</f>
        <v>0.0289999999999999</v>
      </c>
      <c r="M58" s="14" t="n">
        <f aca="false">INDEX('Fcst Walk'!$R$5:$R$69,MATCH($C58,'Fcst Walk'!$A$5:$A$69,0))/INDEX('Fcst Walk'!$N$5:$N$69,MATCH($C58,'Fcst Walk'!$A$5:$A$69,0))-1</f>
        <v>0.036</v>
      </c>
      <c r="N58" s="14" t="n">
        <f aca="false">INDEX('Fcst Walk'!$J$5:$J$69,MATCH($C58,'Fcst Walk'!$A$5:$A$69,0))/$D58-1</f>
        <v>-0.0255190623515841</v>
      </c>
      <c r="O58" s="14" t="n">
        <f aca="false">INDEX('Fcst Walk'!$N$5:$N$69,MATCH($C58,'Fcst Walk'!$A$5:$A$69,0))/$D58-1</f>
        <v>0.00274088484021995</v>
      </c>
      <c r="P58" s="14" t="n">
        <f aca="false">INDEX('Fcst Walk'!$R$5:$R$69,MATCH($C58,'Fcst Walk'!$A$5:$A$69,0))/$D58-1</f>
        <v>0.0388395566944679</v>
      </c>
      <c r="Q58" s="16" t="n">
        <f aca="false">INDEX('Fcst Walk'!$AM$5:$AM$69,MATCH($C58,'Fcst Walk'!$A$5:$A$69,0))</f>
        <v>2.56047649339136</v>
      </c>
      <c r="R58" s="11" t="str">
        <f aca="false">INDEX('Fcst Walk'!$AN$5:$AN$69,MATCH($C58,'Fcst Walk'!$A$5:$A$69,0))</f>
        <v/>
      </c>
      <c r="S58" s="14" t="n">
        <f aca="false">AVERAGE(INDEX('Realpage - His. Rent Change'!$I$2:$AV$577,MATCH($C58,'Realpage - His. Rent Change'!$A$2:$A$577,0),0))</f>
        <v>0.0620425</v>
      </c>
      <c r="T58" s="18" t="n">
        <v>0.0507</v>
      </c>
      <c r="U58" s="14" t="n">
        <f aca="false">IF(T58="",S58,AVERAGE(S58,T58))</f>
        <v>0.05637125</v>
      </c>
      <c r="V58" s="17" t="n">
        <f aca="false">IF(H58&gt;=0,0,-H58/U58)</f>
        <v>0.640782728682571</v>
      </c>
    </row>
    <row r="59" customFormat="false" ht="15" hidden="false" customHeight="false" outlineLevel="0" collapsed="false">
      <c r="B59" s="4" t="n">
        <f aca="false">ROW()-4</f>
        <v>55</v>
      </c>
      <c r="C59" s="5" t="s">
        <v>76</v>
      </c>
      <c r="D59" s="6" t="n">
        <f aca="false">SUMIFS('Realpage Data'!$R$2:$R$899,'Realpage Data'!$A$2:$A$899,$C59,'Realpage Data'!$F$2:$F$899,"Rent Roll (Rev/OSF)")</f>
        <v>1.32820557815482</v>
      </c>
      <c r="E59" s="6" t="n">
        <f aca="false">SUMIFS('Realpage Data'!$R$2:$R$899,'Realpage Data'!$A$2:$A$899,$C59,'Realpage Data'!$F$2:$F$899,"Asking RPSF")</f>
        <v>1.324</v>
      </c>
      <c r="F59" s="6" t="n">
        <f aca="false">SUMIFS('Realpage Data'!$R$2:$R$899,'Realpage Data'!$A$2:$A$899,$C59,'Realpage Data'!$F$2:$F$899,"Effective RPSF")</f>
        <v>1.297</v>
      </c>
      <c r="G59" s="7" t="n">
        <f aca="false">E59/$D59-1</f>
        <v>-0.0031663608585808</v>
      </c>
      <c r="H59" s="8" t="n">
        <f aca="false">F59/$D59-1</f>
        <v>-0.0234945393002866</v>
      </c>
      <c r="I59" s="7" t="n">
        <f aca="false">SUMIFS('RP - Unit Starts'!$AC$2:$AC$451,'RP - Unit Starts'!$A$2:$A$451,$C59,'RP - Unit Starts'!$F$2:$F$451,"Annual Unit Starts")/SUMIFS('RP - Unit Starts'!$AC$2:$AC$451,'RP - Unit Starts'!$A$2:$A$451,$C59,'RP - Unit Starts'!$F$2:$F$451,"Existing Units")</f>
        <v>0.0117656752080415</v>
      </c>
      <c r="J59" s="7" t="n">
        <f aca="false">SUMIFS('Realpage Data'!$V$2:$V$899,'Realpage Data'!$A$2:$A$899,$C59,'Realpage Data'!$F$2:$F$899,"Existing Units")/SUMIFS('Realpage Data'!$R$2:$R$899,'Realpage Data'!$A$2:$A$899,$C59,'Realpage Data'!$F$2:$F$899,"Existing Units")-1</f>
        <v>0.0254758177473839</v>
      </c>
      <c r="K59" s="7" t="n">
        <f aca="false">INDEX('Fcst Walk'!$J$5:$J$69,MATCH($C59,'Fcst Walk'!$A$5:$A$69,0))/INDEX('Fcst Walk'!$F$5:$F$69,MATCH($C59,'Fcst Walk'!$A$5:$A$69,0))-1</f>
        <v>0.0209999999999999</v>
      </c>
      <c r="L59" s="7" t="n">
        <f aca="false">INDEX('Fcst Walk'!$N$5:$N$69,MATCH($C59,'Fcst Walk'!$A$5:$A$69,0))/INDEX('Fcst Walk'!$J$5:$J$69,MATCH($C59,'Fcst Walk'!$A$5:$A$69,0))-1</f>
        <v>0.024</v>
      </c>
      <c r="M59" s="7" t="n">
        <f aca="false">INDEX('Fcst Walk'!$R$5:$R$69,MATCH($C59,'Fcst Walk'!$A$5:$A$69,0))/INDEX('Fcst Walk'!$N$5:$N$69,MATCH($C59,'Fcst Walk'!$A$5:$A$69,0))-1</f>
        <v>0.0249999999999999</v>
      </c>
      <c r="N59" s="7" t="n">
        <f aca="false">INDEX('Fcst Walk'!$J$5:$J$69,MATCH($C59,'Fcst Walk'!$A$5:$A$69,0))/$D59-1</f>
        <v>-0.00298792462559261</v>
      </c>
      <c r="O59" s="7" t="n">
        <f aca="false">INDEX('Fcst Walk'!$N$5:$N$69,MATCH($C59,'Fcst Walk'!$A$5:$A$69,0))/$D59-1</f>
        <v>0.020940365183393</v>
      </c>
      <c r="P59" s="7" t="n">
        <f aca="false">INDEX('Fcst Walk'!$R$5:$R$69,MATCH($C59,'Fcst Walk'!$A$5:$A$69,0))/$D59-1</f>
        <v>0.0464638743129779</v>
      </c>
      <c r="Q59" s="9" t="n">
        <f aca="false">INDEX('Fcst Walk'!$AM$5:$AM$69,MATCH($C59,'Fcst Walk'!$A$5:$A$69,0))</f>
        <v>2.6002542635115</v>
      </c>
      <c r="R59" s="4" t="str">
        <f aca="false">INDEX('Fcst Walk'!$AN$5:$AN$69,MATCH($C59,'Fcst Walk'!$A$5:$A$69,0))</f>
        <v/>
      </c>
      <c r="S59" s="7" t="n">
        <f aca="false">AVERAGE(INDEX('Realpage - His. Rent Change'!$I$2:$AV$577,MATCH($C59,'Realpage - His. Rent Change'!$A$2:$A$577,0),0))</f>
        <v>0.0380625</v>
      </c>
      <c r="T59" s="7"/>
      <c r="U59" s="7" t="n">
        <f aca="false">IF(T59="",S59,AVERAGE(S59,T59))</f>
        <v>0.0380625</v>
      </c>
      <c r="V59" s="10" t="n">
        <f aca="false">IF(H59&gt;=0,0,-H59/U59)</f>
        <v>0.617262116263686</v>
      </c>
    </row>
    <row r="60" customFormat="false" ht="15" hidden="false" customHeight="false" outlineLevel="0" collapsed="false">
      <c r="B60" s="11" t="n">
        <f aca="false">ROW()-4</f>
        <v>56</v>
      </c>
      <c r="C60" s="12" t="s">
        <v>77</v>
      </c>
      <c r="D60" s="13" t="n">
        <f aca="false">SUMIFS('Realpage Data'!$R$2:$R$899,'Realpage Data'!$A$2:$A$899,$C60,'Realpage Data'!$F$2:$F$899,"Rent Roll (Rev/OSF)")</f>
        <v>1.99393638589742</v>
      </c>
      <c r="E60" s="13" t="n">
        <f aca="false">SUMIFS('Realpage Data'!$R$2:$R$899,'Realpage Data'!$A$2:$A$899,$C60,'Realpage Data'!$F$2:$F$899,"Asking RPSF")</f>
        <v>1.931</v>
      </c>
      <c r="F60" s="13" t="n">
        <f aca="false">SUMIFS('Realpage Data'!$R$2:$R$899,'Realpage Data'!$A$2:$A$899,$C60,'Realpage Data'!$F$2:$F$899,"Effective RPSF")</f>
        <v>1.874</v>
      </c>
      <c r="G60" s="14" t="n">
        <f aca="false">E60/$D60-1</f>
        <v>-0.0315638885686395</v>
      </c>
      <c r="H60" s="15" t="n">
        <f aca="false">F60/$D60-1</f>
        <v>-0.0601505578340913</v>
      </c>
      <c r="I60" s="14" t="n">
        <f aca="false">SUMIFS('RP - Unit Starts'!$AC$2:$AC$451,'RP - Unit Starts'!$A$2:$A$451,$C60,'RP - Unit Starts'!$F$2:$F$451,"Annual Unit Starts")/SUMIFS('RP - Unit Starts'!$AC$2:$AC$451,'RP - Unit Starts'!$A$2:$A$451,$C60,'RP - Unit Starts'!$F$2:$F$451,"Existing Units")</f>
        <v>0.0181876112706035</v>
      </c>
      <c r="J60" s="14" t="n">
        <f aca="false">SUMIFS('Realpage Data'!$V$2:$V$899,'Realpage Data'!$A$2:$A$899,$C60,'Realpage Data'!$F$2:$F$899,"Existing Units")/SUMIFS('Realpage Data'!$R$2:$R$899,'Realpage Data'!$A$2:$A$899,$C60,'Realpage Data'!$F$2:$F$899,"Existing Units")-1</f>
        <v>0.0176850458878326</v>
      </c>
      <c r="K60" s="14" t="n">
        <f aca="false">INDEX('Fcst Walk'!$J$5:$J$69,MATCH($C60,'Fcst Walk'!$A$5:$A$69,0))/INDEX('Fcst Walk'!$F$5:$F$69,MATCH($C60,'Fcst Walk'!$A$5:$A$69,0))-1</f>
        <v>0.00800000000000001</v>
      </c>
      <c r="L60" s="14" t="n">
        <f aca="false">INDEX('Fcst Walk'!$N$5:$N$69,MATCH($C60,'Fcst Walk'!$A$5:$A$69,0))/INDEX('Fcst Walk'!$J$5:$J$69,MATCH($C60,'Fcst Walk'!$A$5:$A$69,0))-1</f>
        <v>0.034</v>
      </c>
      <c r="M60" s="14" t="n">
        <f aca="false">INDEX('Fcst Walk'!$R$5:$R$69,MATCH($C60,'Fcst Walk'!$A$5:$A$69,0))/INDEX('Fcst Walk'!$N$5:$N$69,MATCH($C60,'Fcst Walk'!$A$5:$A$69,0))-1</f>
        <v>0.0349999999999999</v>
      </c>
      <c r="N60" s="14" t="n">
        <f aca="false">INDEX('Fcst Walk'!$J$5:$J$69,MATCH($C60,'Fcst Walk'!$A$5:$A$69,0))/$D60-1</f>
        <v>-0.0526317622967639</v>
      </c>
      <c r="O60" s="14" t="n">
        <f aca="false">INDEX('Fcst Walk'!$N$5:$N$69,MATCH($C60,'Fcst Walk'!$A$5:$A$69,0))/$D60-1</f>
        <v>-0.0204212422148539</v>
      </c>
      <c r="P60" s="14" t="n">
        <f aca="false">INDEX('Fcst Walk'!$R$5:$R$69,MATCH($C60,'Fcst Walk'!$A$5:$A$69,0))/$D60-1</f>
        <v>0.0138640143076261</v>
      </c>
      <c r="Q60" s="16" t="n">
        <f aca="false">INDEX('Fcst Walk'!$AM$5:$AM$69,MATCH($C60,'Fcst Walk'!$A$5:$A$69,0))</f>
        <v>2.81007184019848</v>
      </c>
      <c r="R60" s="11" t="str">
        <f aca="false">INDEX('Fcst Walk'!$AN$5:$AN$69,MATCH($C60,'Fcst Walk'!$A$5:$A$69,0))</f>
        <v/>
      </c>
      <c r="S60" s="14" t="n">
        <f aca="false">AVERAGE(INDEX('Realpage - His. Rent Change'!$I$2:$AV$577,MATCH($C60,'Realpage - His. Rent Change'!$A$2:$A$577,0),0))</f>
        <v>0.065445</v>
      </c>
      <c r="T60" s="18" t="n">
        <v>0.0537</v>
      </c>
      <c r="U60" s="14" t="n">
        <f aca="false">IF(T60="",S60,AVERAGE(S60,T60))</f>
        <v>0.0595725</v>
      </c>
      <c r="V60" s="17" t="n">
        <f aca="false">IF(H60&gt;=0,0,-H60/U60)</f>
        <v>1.00970343420356</v>
      </c>
    </row>
    <row r="61" customFormat="false" ht="15" hidden="false" customHeight="false" outlineLevel="0" collapsed="false">
      <c r="B61" s="4" t="n">
        <f aca="false">ROW()-4</f>
        <v>57</v>
      </c>
      <c r="C61" s="5" t="s">
        <v>78</v>
      </c>
      <c r="D61" s="6" t="n">
        <f aca="false">SUMIFS('Realpage Data'!$R$2:$R$899,'Realpage Data'!$A$2:$A$899,$C61,'Realpage Data'!$F$2:$F$899,"Rent Roll (Rev/OSF)")</f>
        <v>1.79753873250139</v>
      </c>
      <c r="E61" s="6" t="n">
        <f aca="false">SUMIFS('Realpage Data'!$R$2:$R$899,'Realpage Data'!$A$2:$A$899,$C61,'Realpage Data'!$F$2:$F$899,"Asking RPSF")</f>
        <v>1.749</v>
      </c>
      <c r="F61" s="6" t="n">
        <f aca="false">SUMIFS('Realpage Data'!$R$2:$R$899,'Realpage Data'!$A$2:$A$899,$C61,'Realpage Data'!$F$2:$F$899,"Effective RPSF")</f>
        <v>1.699</v>
      </c>
      <c r="G61" s="7" t="n">
        <f aca="false">E61/$D61-1</f>
        <v>-0.027002885458744</v>
      </c>
      <c r="H61" s="8" t="n">
        <f aca="false">F61/$D61-1</f>
        <v>-0.054818697766956</v>
      </c>
      <c r="I61" s="7" t="n">
        <f aca="false">SUMIFS('RP - Unit Starts'!$AC$2:$AC$451,'RP - Unit Starts'!$A$2:$A$451,$C61,'RP - Unit Starts'!$F$2:$F$451,"Annual Unit Starts")/SUMIFS('RP - Unit Starts'!$AC$2:$AC$451,'RP - Unit Starts'!$A$2:$A$451,$C61,'RP - Unit Starts'!$F$2:$F$451,"Existing Units")</f>
        <v>0.0244944104170407</v>
      </c>
      <c r="J61" s="7" t="n">
        <f aca="false">SUMIFS('Realpage Data'!$V$2:$V$899,'Realpage Data'!$A$2:$A$899,$C61,'Realpage Data'!$F$2:$F$899,"Existing Units")/SUMIFS('Realpage Data'!$R$2:$R$899,'Realpage Data'!$A$2:$A$899,$C61,'Realpage Data'!$F$2:$F$899,"Existing Units")-1</f>
        <v>0.0251488006171485</v>
      </c>
      <c r="K61" s="7" t="n">
        <f aca="false">INDEX('Fcst Walk'!$J$5:$J$69,MATCH($C61,'Fcst Walk'!$A$5:$A$69,0))/INDEX('Fcst Walk'!$F$5:$F$69,MATCH($C61,'Fcst Walk'!$A$5:$A$69,0))-1</f>
        <v>0.0249999999999999</v>
      </c>
      <c r="L61" s="7" t="n">
        <f aca="false">INDEX('Fcst Walk'!$N$5:$N$69,MATCH($C61,'Fcst Walk'!$A$5:$A$69,0))/INDEX('Fcst Walk'!$J$5:$J$69,MATCH($C61,'Fcst Walk'!$A$5:$A$69,0))-1</f>
        <v>0.0209999999999999</v>
      </c>
      <c r="M61" s="7" t="n">
        <f aca="false">INDEX('Fcst Walk'!$R$5:$R$69,MATCH($C61,'Fcst Walk'!$A$5:$A$69,0))/INDEX('Fcst Walk'!$N$5:$N$69,MATCH($C61,'Fcst Walk'!$A$5:$A$69,0))-1</f>
        <v>0.024</v>
      </c>
      <c r="N61" s="7" t="n">
        <f aca="false">INDEX('Fcst Walk'!$J$5:$J$69,MATCH($C61,'Fcst Walk'!$A$5:$A$69,0))/$D61-1</f>
        <v>-0.03118916521113</v>
      </c>
      <c r="O61" s="7" t="n">
        <f aca="false">INDEX('Fcst Walk'!$N$5:$N$69,MATCH($C61,'Fcst Walk'!$A$5:$A$69,0))/$D61-1</f>
        <v>-0.0108441376805638</v>
      </c>
      <c r="P61" s="7" t="n">
        <f aca="false">INDEX('Fcst Walk'!$R$5:$R$69,MATCH($C61,'Fcst Walk'!$A$5:$A$69,0))/$D61-1</f>
        <v>0.0128956030151026</v>
      </c>
      <c r="Q61" s="9" t="n">
        <f aca="false">INDEX('Fcst Walk'!$AM$5:$AM$69,MATCH($C61,'Fcst Walk'!$A$5:$A$69,0))</f>
        <v>2.82419082582675</v>
      </c>
      <c r="R61" s="4" t="str">
        <f aca="false">INDEX('Fcst Walk'!$AN$5:$AN$69,MATCH($C61,'Fcst Walk'!$A$5:$A$69,0))</f>
        <v/>
      </c>
      <c r="S61" s="7" t="n">
        <f aca="false">AVERAGE(INDEX('Realpage - His. Rent Change'!$I$2:$AV$577,MATCH($C61,'Realpage - His. Rent Change'!$A$2:$A$577,0),0))</f>
        <v>0.0452375</v>
      </c>
      <c r="T61" s="19" t="n">
        <v>0.0348</v>
      </c>
      <c r="U61" s="7" t="n">
        <f aca="false">IF(T61="",S61,AVERAGE(S61,T61))</f>
        <v>0.04001875</v>
      </c>
      <c r="V61" s="10" t="n">
        <f aca="false">IF(H61&gt;=0,0,-H61/U61)</f>
        <v>1.36982533854646</v>
      </c>
    </row>
    <row r="62" customFormat="false" ht="15" hidden="false" customHeight="false" outlineLevel="0" collapsed="false">
      <c r="B62" s="11" t="n">
        <f aca="false">ROW()-4</f>
        <v>58</v>
      </c>
      <c r="C62" s="12" t="s">
        <v>79</v>
      </c>
      <c r="D62" s="13" t="n">
        <f aca="false">SUMIFS('Realpage Data'!$R$2:$R$899,'Realpage Data'!$A$2:$A$899,$C62,'Realpage Data'!$F$2:$F$899,"Rent Roll (Rev/OSF)")</f>
        <v>1.65385796862275</v>
      </c>
      <c r="E62" s="13" t="n">
        <f aca="false">SUMIFS('Realpage Data'!$R$2:$R$899,'Realpage Data'!$A$2:$A$899,$C62,'Realpage Data'!$F$2:$F$899,"Asking RPSF")</f>
        <v>1.682</v>
      </c>
      <c r="F62" s="13" t="n">
        <f aca="false">SUMIFS('Realpage Data'!$R$2:$R$899,'Realpage Data'!$A$2:$A$899,$C62,'Realpage Data'!$F$2:$F$899,"Effective RPSF")</f>
        <v>1.582</v>
      </c>
      <c r="G62" s="14" t="n">
        <f aca="false">E62/$D62-1</f>
        <v>0.0170159904364033</v>
      </c>
      <c r="H62" s="15" t="n">
        <f aca="false">F62/$D62-1</f>
        <v>-0.0434486938939417</v>
      </c>
      <c r="I62" s="14" t="n">
        <f aca="false">SUMIFS('RP - Unit Starts'!$AC$2:$AC$451,'RP - Unit Starts'!$A$2:$A$451,$C62,'RP - Unit Starts'!$F$2:$F$451,"Annual Unit Starts")/SUMIFS('RP - Unit Starts'!$AC$2:$AC$451,'RP - Unit Starts'!$A$2:$A$451,$C62,'RP - Unit Starts'!$F$2:$F$451,"Existing Units")</f>
        <v>0.0169659891833935</v>
      </c>
      <c r="J62" s="14" t="n">
        <f aca="false">SUMIFS('Realpage Data'!$V$2:$V$899,'Realpage Data'!$A$2:$A$899,$C62,'Realpage Data'!$F$2:$F$899,"Existing Units")/SUMIFS('Realpage Data'!$R$2:$R$899,'Realpage Data'!$A$2:$A$899,$C62,'Realpage Data'!$F$2:$F$899,"Existing Units")-1</f>
        <v>0.0455369672505952</v>
      </c>
      <c r="K62" s="14" t="n">
        <f aca="false">INDEX('Fcst Walk'!$J$5:$J$69,MATCH($C62,'Fcst Walk'!$A$5:$A$69,0))/INDEX('Fcst Walk'!$F$5:$F$69,MATCH($C62,'Fcst Walk'!$A$5:$A$69,0))-1</f>
        <v>0.00499999999999989</v>
      </c>
      <c r="L62" s="14" t="n">
        <f aca="false">INDEX('Fcst Walk'!$N$5:$N$69,MATCH($C62,'Fcst Walk'!$A$5:$A$69,0))/INDEX('Fcst Walk'!$J$5:$J$69,MATCH($C62,'Fcst Walk'!$A$5:$A$69,0))-1</f>
        <v>0.034</v>
      </c>
      <c r="M62" s="14" t="n">
        <f aca="false">INDEX('Fcst Walk'!$R$5:$R$69,MATCH($C62,'Fcst Walk'!$A$5:$A$69,0))/INDEX('Fcst Walk'!$N$5:$N$69,MATCH($C62,'Fcst Walk'!$A$5:$A$69,0))-1</f>
        <v>0.032</v>
      </c>
      <c r="N62" s="14" t="n">
        <f aca="false">INDEX('Fcst Walk'!$J$5:$J$69,MATCH($C62,'Fcst Walk'!$A$5:$A$69,0))/$D62-1</f>
        <v>-0.0386659373634114</v>
      </c>
      <c r="O62" s="14" t="n">
        <f aca="false">INDEX('Fcst Walk'!$N$5:$N$69,MATCH($C62,'Fcst Walk'!$A$5:$A$69,0))/$D62-1</f>
        <v>-0.00598057923376749</v>
      </c>
      <c r="P62" s="14" t="n">
        <f aca="false">INDEX('Fcst Walk'!$R$5:$R$69,MATCH($C62,'Fcst Walk'!$A$5:$A$69,0))/$D62-1</f>
        <v>0.025828042230752</v>
      </c>
      <c r="Q62" s="16" t="n">
        <f aca="false">INDEX('Fcst Walk'!$AM$5:$AM$69,MATCH($C62,'Fcst Walk'!$A$5:$A$69,0))</f>
        <v>2.87750564714548</v>
      </c>
      <c r="R62" s="11" t="str">
        <f aca="false">INDEX('Fcst Walk'!$AN$5:$AN$69,MATCH($C62,'Fcst Walk'!$A$5:$A$69,0))</f>
        <v/>
      </c>
      <c r="S62" s="14" t="n">
        <f aca="false">AVERAGE(INDEX('Realpage - His. Rent Change'!$I$2:$AV$577,MATCH($C62,'Realpage - His. Rent Change'!$A$2:$A$577,0),0))</f>
        <v>0.059965</v>
      </c>
      <c r="T62" s="14"/>
      <c r="U62" s="14" t="n">
        <f aca="false">IF(T62="",S62,AVERAGE(S62,T62))</f>
        <v>0.059965</v>
      </c>
      <c r="V62" s="17" t="n">
        <f aca="false">IF(H62&gt;=0,0,-H62/U62)</f>
        <v>0.724567562643904</v>
      </c>
    </row>
    <row r="63" customFormat="false" ht="15" hidden="false" customHeight="false" outlineLevel="0" collapsed="false">
      <c r="B63" s="4" t="n">
        <f aca="false">ROW()-4</f>
        <v>59</v>
      </c>
      <c r="C63" s="5" t="s">
        <v>80</v>
      </c>
      <c r="D63" s="6" t="n">
        <f aca="false">SUMIFS('Realpage Data'!$R$2:$R$899,'Realpage Data'!$A$2:$A$899,$C63,'Realpage Data'!$F$2:$F$899,"Rent Roll (Rev/OSF)")</f>
        <v>1.47277847424207</v>
      </c>
      <c r="E63" s="6" t="n">
        <f aca="false">SUMIFS('Realpage Data'!$R$2:$R$899,'Realpage Data'!$A$2:$A$899,$C63,'Realpage Data'!$F$2:$F$899,"Asking RPSF")</f>
        <v>1.401</v>
      </c>
      <c r="F63" s="6" t="n">
        <f aca="false">SUMIFS('Realpage Data'!$R$2:$R$899,'Realpage Data'!$A$2:$A$899,$C63,'Realpage Data'!$F$2:$F$899,"Effective RPSF")</f>
        <v>1.379</v>
      </c>
      <c r="G63" s="7" t="n">
        <f aca="false">E63/$D63-1</f>
        <v>-0.0487367757591686</v>
      </c>
      <c r="H63" s="8" t="n">
        <f aca="false">F63/$D63-1</f>
        <v>-0.0636745280313301</v>
      </c>
      <c r="I63" s="7" t="n">
        <f aca="false">SUMIFS('RP - Unit Starts'!$AC$2:$AC$451,'RP - Unit Starts'!$A$2:$A$451,$C63,'RP - Unit Starts'!$F$2:$F$451,"Annual Unit Starts")/SUMIFS('RP - Unit Starts'!$AC$2:$AC$451,'RP - Unit Starts'!$A$2:$A$451,$C63,'RP - Unit Starts'!$F$2:$F$451,"Existing Units")</f>
        <v>0.00189153537917818</v>
      </c>
      <c r="J63" s="7" t="n">
        <f aca="false">SUMIFS('Realpage Data'!$V$2:$V$899,'Realpage Data'!$A$2:$A$899,$C63,'Realpage Data'!$F$2:$F$899,"Existing Units")/SUMIFS('Realpage Data'!$R$2:$R$899,'Realpage Data'!$A$2:$A$899,$C63,'Realpage Data'!$F$2:$F$899,"Existing Units")-1</f>
        <v>0.0107892182483387</v>
      </c>
      <c r="K63" s="7" t="n">
        <f aca="false">INDEX('Fcst Walk'!$J$5:$J$69,MATCH($C63,'Fcst Walk'!$A$5:$A$69,0))/INDEX('Fcst Walk'!$F$5:$F$69,MATCH($C63,'Fcst Walk'!$A$5:$A$69,0))-1</f>
        <v>0.018</v>
      </c>
      <c r="L63" s="7" t="n">
        <f aca="false">INDEX('Fcst Walk'!$N$5:$N$69,MATCH($C63,'Fcst Walk'!$A$5:$A$69,0))/INDEX('Fcst Walk'!$J$5:$J$69,MATCH($C63,'Fcst Walk'!$A$5:$A$69,0))-1</f>
        <v>0.0309999999999999</v>
      </c>
      <c r="M63" s="7" t="n">
        <f aca="false">INDEX('Fcst Walk'!$R$5:$R$69,MATCH($C63,'Fcst Walk'!$A$5:$A$69,0))/INDEX('Fcst Walk'!$N$5:$N$69,MATCH($C63,'Fcst Walk'!$A$5:$A$69,0))-1</f>
        <v>0.0309999999999999</v>
      </c>
      <c r="N63" s="7" t="n">
        <f aca="false">INDEX('Fcst Walk'!$J$5:$J$69,MATCH($C63,'Fcst Walk'!$A$5:$A$69,0))/$D63-1</f>
        <v>-0.0468206695358939</v>
      </c>
      <c r="O63" s="7" t="n">
        <f aca="false">INDEX('Fcst Walk'!$N$5:$N$69,MATCH($C63,'Fcst Walk'!$A$5:$A$69,0))/$D63-1</f>
        <v>-0.0172721102915068</v>
      </c>
      <c r="P63" s="7" t="n">
        <f aca="false">INDEX('Fcst Walk'!$R$5:$R$69,MATCH($C63,'Fcst Walk'!$A$5:$A$69,0))/$D63-1</f>
        <v>0.0131924542894564</v>
      </c>
      <c r="Q63" s="9" t="n">
        <f aca="false">INDEX('Fcst Walk'!$AM$5:$AM$69,MATCH($C63,'Fcst Walk'!$A$5:$A$69,0))</f>
        <v>2.88476246949843</v>
      </c>
      <c r="R63" s="4" t="str">
        <f aca="false">INDEX('Fcst Walk'!$AN$5:$AN$69,MATCH($C63,'Fcst Walk'!$A$5:$A$69,0))</f>
        <v/>
      </c>
      <c r="S63" s="7" t="n">
        <f aca="false">AVERAGE(INDEX('Realpage - His. Rent Change'!$I$2:$AV$577,MATCH($C63,'Realpage - His. Rent Change'!$A$2:$A$577,0),0))</f>
        <v>0.05433</v>
      </c>
      <c r="T63" s="7"/>
      <c r="U63" s="7" t="n">
        <f aca="false">IF(T63="",S63,AVERAGE(S63,T63))</f>
        <v>0.05433</v>
      </c>
      <c r="V63" s="10" t="n">
        <f aca="false">IF(H63&gt;=0,0,-H63/U63)</f>
        <v>1.17199573037604</v>
      </c>
    </row>
    <row r="64" customFormat="false" ht="15" hidden="false" customHeight="false" outlineLevel="0" collapsed="false">
      <c r="B64" s="11" t="n">
        <f aca="false">ROW()-4</f>
        <v>60</v>
      </c>
      <c r="C64" s="12" t="s">
        <v>81</v>
      </c>
      <c r="D64" s="13" t="n">
        <f aca="false">SUMIFS('Realpage Data'!$R$2:$R$899,'Realpage Data'!$A$2:$A$899,$C64,'Realpage Data'!$F$2:$F$899,"Rent Roll (Rev/OSF)")</f>
        <v>1.62847014432668</v>
      </c>
      <c r="E64" s="13" t="n">
        <f aca="false">SUMIFS('Realpage Data'!$R$2:$R$899,'Realpage Data'!$A$2:$A$899,$C64,'Realpage Data'!$F$2:$F$899,"Asking RPSF")</f>
        <v>1.607</v>
      </c>
      <c r="F64" s="13" t="n">
        <f aca="false">SUMIFS('Realpage Data'!$R$2:$R$899,'Realpage Data'!$A$2:$A$899,$C64,'Realpage Data'!$F$2:$F$899,"Effective RPSF")</f>
        <v>1.562</v>
      </c>
      <c r="G64" s="14" t="n">
        <f aca="false">E64/$D64-1</f>
        <v>-0.0131842419104061</v>
      </c>
      <c r="H64" s="15" t="n">
        <f aca="false">F64/$D64-1</f>
        <v>-0.0408175394300276</v>
      </c>
      <c r="I64" s="14" t="n">
        <f aca="false">SUMIFS('RP - Unit Starts'!$AC$2:$AC$451,'RP - Unit Starts'!$A$2:$A$451,$C64,'RP - Unit Starts'!$F$2:$F$451,"Annual Unit Starts")/SUMIFS('RP - Unit Starts'!$AC$2:$AC$451,'RP - Unit Starts'!$A$2:$A$451,$C64,'RP - Unit Starts'!$F$2:$F$451,"Existing Units")</f>
        <v>0.0143938863493143</v>
      </c>
      <c r="J64" s="14" t="n">
        <f aca="false">SUMIFS('Realpage Data'!$V$2:$V$899,'Realpage Data'!$A$2:$A$899,$C64,'Realpage Data'!$F$2:$F$899,"Existing Units")/SUMIFS('Realpage Data'!$R$2:$R$899,'Realpage Data'!$A$2:$A$899,$C64,'Realpage Data'!$F$2:$F$899,"Existing Units")-1</f>
        <v>0.0180815486848116</v>
      </c>
      <c r="K64" s="14" t="n">
        <f aca="false">INDEX('Fcst Walk'!$J$5:$J$69,MATCH($C64,'Fcst Walk'!$A$5:$A$69,0))/INDEX('Fcst Walk'!$F$5:$F$69,MATCH($C64,'Fcst Walk'!$A$5:$A$69,0))-1</f>
        <v>0.01</v>
      </c>
      <c r="L64" s="14" t="n">
        <f aca="false">INDEX('Fcst Walk'!$N$5:$N$69,MATCH($C64,'Fcst Walk'!$A$5:$A$69,0))/INDEX('Fcst Walk'!$J$5:$J$69,MATCH($C64,'Fcst Walk'!$A$5:$A$69,0))-1</f>
        <v>0.0169999999999999</v>
      </c>
      <c r="M64" s="14" t="n">
        <f aca="false">INDEX('Fcst Walk'!$R$5:$R$69,MATCH($C64,'Fcst Walk'!$A$5:$A$69,0))/INDEX('Fcst Walk'!$N$5:$N$69,MATCH($C64,'Fcst Walk'!$A$5:$A$69,0))-1</f>
        <v>0.0169999999999999</v>
      </c>
      <c r="N64" s="14" t="n">
        <f aca="false">INDEX('Fcst Walk'!$J$5:$J$69,MATCH($C64,'Fcst Walk'!$A$5:$A$69,0))/$D64-1</f>
        <v>-0.0312257148243279</v>
      </c>
      <c r="O64" s="14" t="n">
        <f aca="false">INDEX('Fcst Walk'!$N$5:$N$69,MATCH($C64,'Fcst Walk'!$A$5:$A$69,0))/$D64-1</f>
        <v>-0.0147565519763416</v>
      </c>
      <c r="P64" s="14" t="n">
        <f aca="false">INDEX('Fcst Walk'!$R$5:$R$69,MATCH($C64,'Fcst Walk'!$A$5:$A$69,0))/$D64-1</f>
        <v>0.00199258664006052</v>
      </c>
      <c r="Q64" s="16" t="n">
        <f aca="false">INDEX('Fcst Walk'!$AM$5:$AM$69,MATCH($C64,'Fcst Walk'!$A$5:$A$69,0))</f>
        <v>2.94083223298462</v>
      </c>
      <c r="R64" s="11" t="str">
        <f aca="false">INDEX('Fcst Walk'!$AN$5:$AN$69,MATCH($C64,'Fcst Walk'!$A$5:$A$69,0))</f>
        <v/>
      </c>
      <c r="S64" s="14" t="n">
        <f aca="false">AVERAGE(INDEX('Realpage - His. Rent Change'!$I$2:$AV$577,MATCH($C64,'Realpage - His. Rent Change'!$A$2:$A$577,0),0))</f>
        <v>0.050315</v>
      </c>
      <c r="T64" s="18" t="n">
        <v>0.0394</v>
      </c>
      <c r="U64" s="14" t="n">
        <f aca="false">IF(T64="",S64,AVERAGE(S64,T64))</f>
        <v>0.0448575</v>
      </c>
      <c r="V64" s="17" t="n">
        <f aca="false">IF(H64&gt;=0,0,-H64/U64)</f>
        <v>0.909937901800761</v>
      </c>
    </row>
    <row r="65" customFormat="false" ht="15" hidden="false" customHeight="false" outlineLevel="0" collapsed="false">
      <c r="B65" s="4" t="n">
        <f aca="false">ROW()-4</f>
        <v>61</v>
      </c>
      <c r="C65" s="5" t="s">
        <v>82</v>
      </c>
      <c r="D65" s="6" t="n">
        <f aca="false">SUMIFS('Realpage Data'!$R$2:$R$899,'Realpage Data'!$A$2:$A$899,$C65,'Realpage Data'!$F$2:$F$899,"Rent Roll (Rev/OSF)")</f>
        <v>1.56514648094679</v>
      </c>
      <c r="E65" s="6" t="n">
        <f aca="false">SUMIFS('Realpage Data'!$R$2:$R$899,'Realpage Data'!$A$2:$A$899,$C65,'Realpage Data'!$F$2:$F$899,"Asking RPSF")</f>
        <v>1.535</v>
      </c>
      <c r="F65" s="6" t="n">
        <f aca="false">SUMIFS('Realpage Data'!$R$2:$R$899,'Realpage Data'!$A$2:$A$899,$C65,'Realpage Data'!$F$2:$F$899,"Effective RPSF")</f>
        <v>1.495</v>
      </c>
      <c r="G65" s="7" t="n">
        <f aca="false">E65/$D65-1</f>
        <v>-0.0192611243188912</v>
      </c>
      <c r="H65" s="8" t="n">
        <f aca="false">F65/$D65-1</f>
        <v>-0.0448178376916886</v>
      </c>
      <c r="I65" s="7" t="n">
        <f aca="false">SUMIFS('RP - Unit Starts'!$AC$2:$AC$451,'RP - Unit Starts'!$A$2:$A$451,$C65,'RP - Unit Starts'!$F$2:$F$451,"Annual Unit Starts")/SUMIFS('RP - Unit Starts'!$AC$2:$AC$451,'RP - Unit Starts'!$A$2:$A$451,$C65,'RP - Unit Starts'!$F$2:$F$451,"Existing Units")</f>
        <v>0.0167234916457312</v>
      </c>
      <c r="J65" s="7" t="n">
        <f aca="false">SUMIFS('Realpage Data'!$V$2:$V$899,'Realpage Data'!$A$2:$A$899,$C65,'Realpage Data'!$F$2:$F$899,"Existing Units")/SUMIFS('Realpage Data'!$R$2:$R$899,'Realpage Data'!$A$2:$A$899,$C65,'Realpage Data'!$F$2:$F$899,"Existing Units")-1</f>
        <v>0.015503499222395</v>
      </c>
      <c r="K65" s="7" t="n">
        <f aca="false">INDEX('Fcst Walk'!$J$5:$J$69,MATCH($C65,'Fcst Walk'!$A$5:$A$69,0))/INDEX('Fcst Walk'!$F$5:$F$69,MATCH($C65,'Fcst Walk'!$A$5:$A$69,0))-1</f>
        <v>-0.00499999999999989</v>
      </c>
      <c r="L65" s="7" t="n">
        <f aca="false">INDEX('Fcst Walk'!$N$5:$N$69,MATCH($C65,'Fcst Walk'!$A$5:$A$69,0))/INDEX('Fcst Walk'!$J$5:$J$69,MATCH($C65,'Fcst Walk'!$A$5:$A$69,0))-1</f>
        <v>0.02</v>
      </c>
      <c r="M65" s="7" t="n">
        <f aca="false">INDEX('Fcst Walk'!$R$5:$R$69,MATCH($C65,'Fcst Walk'!$A$5:$A$69,0))/INDEX('Fcst Walk'!$N$5:$N$69,MATCH($C65,'Fcst Walk'!$A$5:$A$69,0))-1</f>
        <v>0.0209999999999999</v>
      </c>
      <c r="N65" s="7" t="n">
        <f aca="false">INDEX('Fcst Walk'!$J$5:$J$69,MATCH($C65,'Fcst Walk'!$A$5:$A$69,0))/$D65-1</f>
        <v>-0.0495937485032301</v>
      </c>
      <c r="O65" s="7" t="n">
        <f aca="false">INDEX('Fcst Walk'!$N$5:$N$69,MATCH($C65,'Fcst Walk'!$A$5:$A$69,0))/$D65-1</f>
        <v>-0.0305856234732947</v>
      </c>
      <c r="P65" s="7" t="n">
        <f aca="false">INDEX('Fcst Walk'!$R$5:$R$69,MATCH($C65,'Fcst Walk'!$A$5:$A$69,0))/$D65-1</f>
        <v>-0.0102279215662341</v>
      </c>
      <c r="Q65" s="9" t="n">
        <f aca="false">INDEX('Fcst Walk'!$AM$5:$AM$69,MATCH($C65,'Fcst Walk'!$A$5:$A$69,0))</f>
        <v>3.80935716446043</v>
      </c>
      <c r="R65" s="4" t="str">
        <f aca="false">INDEX('Fcst Walk'!$AN$5:$AN$69,MATCH($C65,'Fcst Walk'!$A$5:$A$69,0))</f>
        <v>†</v>
      </c>
      <c r="S65" s="7" t="n">
        <f aca="false">AVERAGE(INDEX('Realpage - His. Rent Change'!$I$2:$AV$577,MATCH($C65,'Realpage - His. Rent Change'!$A$2:$A$577,0),0))</f>
        <v>0.031655</v>
      </c>
      <c r="T65" s="19" t="n">
        <v>0.0186</v>
      </c>
      <c r="U65" s="7" t="n">
        <f aca="false">IF(T65="",S65,AVERAGE(S65,T65))</f>
        <v>0.0251275</v>
      </c>
      <c r="V65" s="10" t="n">
        <f aca="false">IF(H65&gt;=0,0,-H65/U65)</f>
        <v>1.78361706065819</v>
      </c>
    </row>
    <row r="66" customFormat="false" ht="15" hidden="false" customHeight="false" outlineLevel="0" collapsed="false">
      <c r="B66" s="11" t="n">
        <f aca="false">ROW()-4</f>
        <v>62</v>
      </c>
      <c r="C66" s="12" t="s">
        <v>83</v>
      </c>
      <c r="D66" s="13" t="n">
        <f aca="false">SUMIFS('Realpage Data'!$R$2:$R$899,'Realpage Data'!$A$2:$A$899,$C66,'Realpage Data'!$F$2:$F$899,"Rent Roll (Rev/OSF)")</f>
        <v>1.67035502222085</v>
      </c>
      <c r="E66" s="13" t="n">
        <f aca="false">SUMIFS('Realpage Data'!$R$2:$R$899,'Realpage Data'!$A$2:$A$899,$C66,'Realpage Data'!$F$2:$F$899,"Asking RPSF")</f>
        <v>1.545</v>
      </c>
      <c r="F66" s="13" t="n">
        <f aca="false">SUMIFS('Realpage Data'!$R$2:$R$899,'Realpage Data'!$A$2:$A$899,$C66,'Realpage Data'!$F$2:$F$899,"Effective RPSF")</f>
        <v>1.528</v>
      </c>
      <c r="G66" s="14" t="n">
        <f aca="false">E66/$D66-1</f>
        <v>-0.0750469334681821</v>
      </c>
      <c r="H66" s="15" t="n">
        <f aca="false">F66/$D66-1</f>
        <v>-0.0852244105756519</v>
      </c>
      <c r="I66" s="14" t="n">
        <f aca="false">SUMIFS('RP - Unit Starts'!$AC$2:$AC$451,'RP - Unit Starts'!$A$2:$A$451,$C66,'RP - Unit Starts'!$F$2:$F$451,"Annual Unit Starts")/SUMIFS('RP - Unit Starts'!$AC$2:$AC$451,'RP - Unit Starts'!$A$2:$A$451,$C66,'RP - Unit Starts'!$F$2:$F$451,"Existing Units")</f>
        <v>0.00372152019911928</v>
      </c>
      <c r="J66" s="14" t="n">
        <f aca="false">SUMIFS('Realpage Data'!$V$2:$V$899,'Realpage Data'!$A$2:$A$899,$C66,'Realpage Data'!$F$2:$F$899,"Existing Units")/SUMIFS('Realpage Data'!$R$2:$R$899,'Realpage Data'!$A$2:$A$899,$C66,'Realpage Data'!$F$2:$F$899,"Existing Units")-1</f>
        <v>0.000717978173463418</v>
      </c>
      <c r="K66" s="14" t="n">
        <f aca="false">INDEX('Fcst Walk'!$J$5:$J$69,MATCH($C66,'Fcst Walk'!$A$5:$A$69,0))/INDEX('Fcst Walk'!$F$5:$F$69,MATCH($C66,'Fcst Walk'!$A$5:$A$69,0))-1</f>
        <v>0.00299999999999989</v>
      </c>
      <c r="L66" s="14" t="n">
        <f aca="false">INDEX('Fcst Walk'!$N$5:$N$69,MATCH($C66,'Fcst Walk'!$A$5:$A$69,0))/INDEX('Fcst Walk'!$J$5:$J$69,MATCH($C66,'Fcst Walk'!$A$5:$A$69,0))-1</f>
        <v>0.03</v>
      </c>
      <c r="M66" s="14" t="n">
        <f aca="false">INDEX('Fcst Walk'!$R$5:$R$69,MATCH($C66,'Fcst Walk'!$A$5:$A$69,0))/INDEX('Fcst Walk'!$N$5:$N$69,MATCH($C66,'Fcst Walk'!$A$5:$A$69,0))-1</f>
        <v>0.028</v>
      </c>
      <c r="N66" s="14" t="n">
        <f aca="false">INDEX('Fcst Walk'!$J$5:$J$69,MATCH($C66,'Fcst Walk'!$A$5:$A$69,0))/$D66-1</f>
        <v>-0.0824800838073789</v>
      </c>
      <c r="O66" s="14" t="n">
        <f aca="false">INDEX('Fcst Walk'!$N$5:$N$69,MATCH($C66,'Fcst Walk'!$A$5:$A$69,0))/$D66-1</f>
        <v>-0.0549544863216002</v>
      </c>
      <c r="P66" s="14" t="n">
        <f aca="false">INDEX('Fcst Walk'!$R$5:$R$69,MATCH($C66,'Fcst Walk'!$A$5:$A$69,0))/$D66-1</f>
        <v>-0.0284932119386051</v>
      </c>
      <c r="Q66" s="16" t="n">
        <f aca="false">INDEX('Fcst Walk'!$AM$5:$AM$69,MATCH($C66,'Fcst Walk'!$A$5:$A$69,0))</f>
        <v>4.0400160454618</v>
      </c>
      <c r="R66" s="11" t="str">
        <f aca="false">INDEX('Fcst Walk'!$AN$5:$AN$69,MATCH($C66,'Fcst Walk'!$A$5:$A$69,0))</f>
        <v>†</v>
      </c>
      <c r="S66" s="14" t="n">
        <f aca="false">AVERAGE(INDEX('Realpage - His. Rent Change'!$I$2:$AV$577,MATCH($C66,'Realpage - His. Rent Change'!$A$2:$A$577,0),0))</f>
        <v>0.0373125</v>
      </c>
      <c r="T66" s="14"/>
      <c r="U66" s="14" t="n">
        <f aca="false">IF(T66="",S66,AVERAGE(S66,T66))</f>
        <v>0.0373125</v>
      </c>
      <c r="V66" s="17" t="n">
        <f aca="false">IF(H66&gt;=0,0,-H66/U66)</f>
        <v>2.2840713052101</v>
      </c>
    </row>
    <row r="67" customFormat="false" ht="15" hidden="false" customHeight="false" outlineLevel="0" collapsed="false">
      <c r="B67" s="4" t="n">
        <f aca="false">ROW()-4</f>
        <v>63</v>
      </c>
      <c r="C67" s="5" t="s">
        <v>84</v>
      </c>
      <c r="D67" s="6" t="n">
        <f aca="false">SUMIFS('Realpage Data'!$R$2:$R$899,'Realpage Data'!$A$2:$A$899,$C67,'Realpage Data'!$F$2:$F$899,"Rent Roll (Rev/OSF)")</f>
        <v>1.69216766286442</v>
      </c>
      <c r="E67" s="6" t="n">
        <f aca="false">SUMIFS('Realpage Data'!$R$2:$R$899,'Realpage Data'!$A$2:$A$899,$C67,'Realpage Data'!$F$2:$F$899,"Asking RPSF")</f>
        <v>1.691</v>
      </c>
      <c r="F67" s="6" t="n">
        <f aca="false">SUMIFS('Realpage Data'!$R$2:$R$899,'Realpage Data'!$A$2:$A$899,$C67,'Realpage Data'!$F$2:$F$899,"Effective RPSF")</f>
        <v>1.595</v>
      </c>
      <c r="G67" s="7" t="n">
        <f aca="false">E67/$D67-1</f>
        <v>-0.000690039698810541</v>
      </c>
      <c r="H67" s="8" t="n">
        <f aca="false">F67/$D67-1</f>
        <v>-0.057422006694029</v>
      </c>
      <c r="I67" s="7" t="n">
        <f aca="false">SUMIFS('RP - Unit Starts'!$AC$2:$AC$451,'RP - Unit Starts'!$A$2:$A$451,$C67,'RP - Unit Starts'!$F$2:$F$451,"Annual Unit Starts")/SUMIFS('RP - Unit Starts'!$AC$2:$AC$451,'RP - Unit Starts'!$A$2:$A$451,$C67,'RP - Unit Starts'!$F$2:$F$451,"Existing Units")</f>
        <v>0.0156738925008629</v>
      </c>
      <c r="J67" s="7" t="n">
        <f aca="false">SUMIFS('Realpage Data'!$V$2:$V$899,'Realpage Data'!$A$2:$A$899,$C67,'Realpage Data'!$F$2:$F$899,"Existing Units")/SUMIFS('Realpage Data'!$R$2:$R$899,'Realpage Data'!$A$2:$A$899,$C67,'Realpage Data'!$F$2:$F$899,"Existing Units")-1</f>
        <v>0.0261844539883549</v>
      </c>
      <c r="K67" s="7" t="n">
        <f aca="false">INDEX('Fcst Walk'!$J$5:$J$69,MATCH($C67,'Fcst Walk'!$A$5:$A$69,0))/INDEX('Fcst Walk'!$F$5:$F$69,MATCH($C67,'Fcst Walk'!$A$5:$A$69,0))-1</f>
        <v>0.0089999999999999</v>
      </c>
      <c r="L67" s="7" t="n">
        <f aca="false">INDEX('Fcst Walk'!$N$5:$N$69,MATCH($C67,'Fcst Walk'!$A$5:$A$69,0))/INDEX('Fcst Walk'!$J$5:$J$69,MATCH($C67,'Fcst Walk'!$A$5:$A$69,0))-1</f>
        <v>0.0229999999999999</v>
      </c>
      <c r="M67" s="7" t="n">
        <f aca="false">INDEX('Fcst Walk'!$R$5:$R$69,MATCH($C67,'Fcst Walk'!$A$5:$A$69,0))/INDEX('Fcst Walk'!$N$5:$N$69,MATCH($C67,'Fcst Walk'!$A$5:$A$69,0))-1</f>
        <v>0.024</v>
      </c>
      <c r="N67" s="7" t="n">
        <f aca="false">INDEX('Fcst Walk'!$J$5:$J$69,MATCH($C67,'Fcst Walk'!$A$5:$A$69,0))/$D67-1</f>
        <v>-0.0489388047542753</v>
      </c>
      <c r="O67" s="7" t="n">
        <f aca="false">INDEX('Fcst Walk'!$N$5:$N$69,MATCH($C67,'Fcst Walk'!$A$5:$A$69,0))/$D67-1</f>
        <v>-0.0270643972636236</v>
      </c>
      <c r="P67" s="7" t="n">
        <f aca="false">INDEX('Fcst Walk'!$R$5:$R$69,MATCH($C67,'Fcst Walk'!$A$5:$A$69,0))/$D67-1</f>
        <v>-0.00371394279795056</v>
      </c>
      <c r="Q67" s="9" t="n">
        <f aca="false">INDEX('Fcst Walk'!$AM$5:$AM$69,MATCH($C67,'Fcst Walk'!$A$5:$A$69,0))</f>
        <v>4.28915853372168</v>
      </c>
      <c r="R67" s="4" t="str">
        <f aca="false">INDEX('Fcst Walk'!$AN$5:$AN$69,MATCH($C67,'Fcst Walk'!$A$5:$A$69,0))</f>
        <v>†</v>
      </c>
      <c r="S67" s="7" t="n">
        <f aca="false">AVERAGE(INDEX('Realpage - His. Rent Change'!$I$2:$AV$577,MATCH($C67,'Realpage - His. Rent Change'!$A$2:$A$577,0),0))</f>
        <v>0.028745</v>
      </c>
      <c r="T67" s="19" t="n">
        <v>0.0198</v>
      </c>
      <c r="U67" s="7" t="n">
        <f aca="false">IF(T67="",S67,AVERAGE(S67,T67))</f>
        <v>0.0242725</v>
      </c>
      <c r="V67" s="10" t="n">
        <f aca="false">IF(H67&gt;=0,0,-H67/U67)</f>
        <v>2.36572280127836</v>
      </c>
    </row>
    <row r="68" customFormat="false" ht="15" hidden="false" customHeight="false" outlineLevel="0" collapsed="false">
      <c r="B68" s="11" t="n">
        <f aca="false">ROW()-4</f>
        <v>64</v>
      </c>
      <c r="C68" s="12" t="s">
        <v>85</v>
      </c>
      <c r="D68" s="13" t="n">
        <f aca="false">SUMIFS('Realpage Data'!$R$2:$R$899,'Realpage Data'!$A$2:$A$899,$C68,'Realpage Data'!$F$2:$F$899,"Rent Roll (Rev/OSF)")</f>
        <v>2.09702634266398</v>
      </c>
      <c r="E68" s="13" t="n">
        <f aca="false">SUMIFS('Realpage Data'!$R$2:$R$899,'Realpage Data'!$A$2:$A$899,$C68,'Realpage Data'!$F$2:$F$899,"Asking RPSF")</f>
        <v>2.087</v>
      </c>
      <c r="F68" s="13" t="n">
        <f aca="false">SUMIFS('Realpage Data'!$R$2:$R$899,'Realpage Data'!$A$2:$A$899,$C68,'Realpage Data'!$F$2:$F$899,"Effective RPSF")</f>
        <v>1.979</v>
      </c>
      <c r="G68" s="14" t="n">
        <f aca="false">E68/$D68-1</f>
        <v>-0.00478121922457153</v>
      </c>
      <c r="H68" s="15" t="n">
        <f aca="false">F68/$D68-1</f>
        <v>-0.0562827181818051</v>
      </c>
      <c r="I68" s="14" t="n">
        <f aca="false">SUMIFS('RP - Unit Starts'!$AC$2:$AC$451,'RP - Unit Starts'!$A$2:$A$451,$C68,'RP - Unit Starts'!$F$2:$F$451,"Annual Unit Starts")/SUMIFS('RP - Unit Starts'!$AC$2:$AC$451,'RP - Unit Starts'!$A$2:$A$451,$C68,'RP - Unit Starts'!$F$2:$F$451,"Existing Units")</f>
        <v>0.0194717325011048</v>
      </c>
      <c r="J68" s="14" t="n">
        <f aca="false">SUMIFS('Realpage Data'!$V$2:$V$899,'Realpage Data'!$A$2:$A$899,$C68,'Realpage Data'!$F$2:$F$899,"Existing Units")/SUMIFS('Realpage Data'!$R$2:$R$899,'Realpage Data'!$A$2:$A$899,$C68,'Realpage Data'!$F$2:$F$899,"Existing Units")-1</f>
        <v>0.0216126898384126</v>
      </c>
      <c r="K68" s="14" t="n">
        <f aca="false">INDEX('Fcst Walk'!$J$5:$J$69,MATCH($C68,'Fcst Walk'!$A$5:$A$69,0))/INDEX('Fcst Walk'!$F$5:$F$69,MATCH($C68,'Fcst Walk'!$A$5:$A$69,0))-1</f>
        <v>0.00600000000000001</v>
      </c>
      <c r="L68" s="14" t="n">
        <f aca="false">INDEX('Fcst Walk'!$N$5:$N$69,MATCH($C68,'Fcst Walk'!$A$5:$A$69,0))/INDEX('Fcst Walk'!$J$5:$J$69,MATCH($C68,'Fcst Walk'!$A$5:$A$69,0))-1</f>
        <v>0.0209999999999999</v>
      </c>
      <c r="M68" s="14" t="n">
        <f aca="false">INDEX('Fcst Walk'!$R$5:$R$69,MATCH($C68,'Fcst Walk'!$A$5:$A$69,0))/INDEX('Fcst Walk'!$N$5:$N$69,MATCH($C68,'Fcst Walk'!$A$5:$A$69,0))-1</f>
        <v>0.022</v>
      </c>
      <c r="N68" s="14" t="n">
        <f aca="false">INDEX('Fcst Walk'!$J$5:$J$69,MATCH($C68,'Fcst Walk'!$A$5:$A$69,0))/$D68-1</f>
        <v>-0.0506204144908959</v>
      </c>
      <c r="O68" s="14" t="n">
        <f aca="false">INDEX('Fcst Walk'!$N$5:$N$69,MATCH($C68,'Fcst Walk'!$A$5:$A$69,0))/$D68-1</f>
        <v>-0.0306834431952048</v>
      </c>
      <c r="P68" s="14" t="n">
        <f aca="false">INDEX('Fcst Walk'!$R$5:$R$69,MATCH($C68,'Fcst Walk'!$A$5:$A$69,0))/$D68-1</f>
        <v>-0.00935847894549924</v>
      </c>
      <c r="Q68" s="16" t="n">
        <f aca="false">INDEX('Fcst Walk'!$AM$5:$AM$69,MATCH($C68,'Fcst Walk'!$A$5:$A$69,0))</f>
        <v>5.03859970636675</v>
      </c>
      <c r="R68" s="11" t="str">
        <f aca="false">INDEX('Fcst Walk'!$AN$5:$AN$69,MATCH($C68,'Fcst Walk'!$A$5:$A$69,0))</f>
        <v>†</v>
      </c>
      <c r="S68" s="14" t="n">
        <f aca="false">AVERAGE(INDEX('Realpage - His. Rent Change'!$I$2:$AV$577,MATCH($C68,'Realpage - His. Rent Change'!$A$2:$A$577,0),0))</f>
        <v>0.0349175</v>
      </c>
      <c r="T68" s="18" t="n">
        <v>0.0299</v>
      </c>
      <c r="U68" s="14" t="n">
        <f aca="false">IF(T68="",S68,AVERAGE(S68,T68))</f>
        <v>0.03240875</v>
      </c>
      <c r="V68" s="17" t="n">
        <f aca="false">IF(H68&gt;=0,0,-H68/U68)</f>
        <v>1.73665192831581</v>
      </c>
    </row>
    <row r="69" customFormat="false" ht="15" hidden="false" customHeight="false" outlineLevel="0" collapsed="false">
      <c r="B69" s="4" t="n">
        <f aca="false">ROW()-4</f>
        <v>65</v>
      </c>
      <c r="C69" s="5" t="s">
        <v>86</v>
      </c>
      <c r="D69" s="6" t="n">
        <f aca="false">SUMIFS('Realpage Data'!$R$2:$R$899,'Realpage Data'!$A$2:$A$899,$C69,'Realpage Data'!$F$2:$F$899,"Rent Roll (Rev/OSF)")</f>
        <v>1.4268024987129</v>
      </c>
      <c r="E69" s="6" t="n">
        <f aca="false">SUMIFS('Realpage Data'!$R$2:$R$899,'Realpage Data'!$A$2:$A$899,$C69,'Realpage Data'!$F$2:$F$899,"Asking RPSF")</f>
        <v>1.387</v>
      </c>
      <c r="F69" s="6" t="n">
        <f aca="false">SUMIFS('Realpage Data'!$R$2:$R$899,'Realpage Data'!$A$2:$A$899,$C69,'Realpage Data'!$F$2:$F$899,"Effective RPSF")</f>
        <v>1.325</v>
      </c>
      <c r="G69" s="7" t="n">
        <f aca="false">E69/$D69-1</f>
        <v>-0.0278962917073697</v>
      </c>
      <c r="H69" s="8" t="n">
        <f aca="false">F69/$D69-1</f>
        <v>-0.0713500984226856</v>
      </c>
      <c r="I69" s="7" t="n">
        <f aca="false">SUMIFS('RP - Unit Starts'!$AC$2:$AC$451,'RP - Unit Starts'!$A$2:$A$451,$C69,'RP - Unit Starts'!$F$2:$F$451,"Annual Unit Starts")/SUMIFS('RP - Unit Starts'!$AC$2:$AC$451,'RP - Unit Starts'!$A$2:$A$451,$C69,'RP - Unit Starts'!$F$2:$F$451,"Existing Units")</f>
        <v>0.00259486989386821</v>
      </c>
      <c r="J69" s="7" t="n">
        <f aca="false">SUMIFS('Realpage Data'!$V$2:$V$899,'Realpage Data'!$A$2:$A$899,$C69,'Realpage Data'!$F$2:$F$899,"Existing Units")/SUMIFS('Realpage Data'!$R$2:$R$899,'Realpage Data'!$A$2:$A$899,$C69,'Realpage Data'!$F$2:$F$899,"Existing Units")-1</f>
        <v>0.00778460968160455</v>
      </c>
      <c r="K69" s="7" t="n">
        <f aca="false">INDEX('Fcst Walk'!$J$5:$J$69,MATCH($C69,'Fcst Walk'!$A$5:$A$69,0))/INDEX('Fcst Walk'!$F$5:$F$69,MATCH($C69,'Fcst Walk'!$A$5:$A$69,0))-1</f>
        <v>-0.00900000000000001</v>
      </c>
      <c r="L69" s="7" t="n">
        <f aca="false">INDEX('Fcst Walk'!$N$5:$N$69,MATCH($C69,'Fcst Walk'!$A$5:$A$69,0))/INDEX('Fcst Walk'!$J$5:$J$69,MATCH($C69,'Fcst Walk'!$A$5:$A$69,0))-1</f>
        <v>0.022</v>
      </c>
      <c r="M69" s="7" t="n">
        <f aca="false">INDEX('Fcst Walk'!$R$5:$R$69,MATCH($C69,'Fcst Walk'!$A$5:$A$69,0))/INDEX('Fcst Walk'!$N$5:$N$69,MATCH($C69,'Fcst Walk'!$A$5:$A$69,0))-1</f>
        <v>0.028</v>
      </c>
      <c r="N69" s="7" t="n">
        <f aca="false">INDEX('Fcst Walk'!$J$5:$J$69,MATCH($C69,'Fcst Walk'!$A$5:$A$69,0))/$D69-1</f>
        <v>-0.0797079475368815</v>
      </c>
      <c r="O69" s="7" t="n">
        <f aca="false">INDEX('Fcst Walk'!$N$5:$N$69,MATCH($C69,'Fcst Walk'!$A$5:$A$69,0))/$D69-1</f>
        <v>-0.0594615223826929</v>
      </c>
      <c r="P69" s="7" t="n">
        <f aca="false">INDEX('Fcst Walk'!$R$5:$R$69,MATCH($C69,'Fcst Walk'!$A$5:$A$69,0))/$D69-1</f>
        <v>-0.0331264450094082</v>
      </c>
      <c r="Q69" s="9" t="n">
        <f aca="false">INDEX('Fcst Walk'!$AM$5:$AM$69,MATCH($C69,'Fcst Walk'!$A$5:$A$69,0))</f>
        <v>5.06812498991464</v>
      </c>
      <c r="R69" s="4" t="str">
        <f aca="false">INDEX('Fcst Walk'!$AN$5:$AN$69,MATCH($C69,'Fcst Walk'!$A$5:$A$69,0))</f>
        <v>†</v>
      </c>
      <c r="S69" s="7" t="n">
        <f aca="false">AVERAGE(INDEX('Realpage - His. Rent Change'!$I$2:$AV$577,MATCH($C69,'Realpage - His. Rent Change'!$A$2:$A$577,0),0))</f>
        <v>0.033875</v>
      </c>
      <c r="T69" s="19" t="n">
        <v>0.0212</v>
      </c>
      <c r="U69" s="7" t="n">
        <f aca="false">IF(T69="",S69,AVERAGE(S69,T69))</f>
        <v>0.0275375</v>
      </c>
      <c r="V69" s="10" t="n">
        <f aca="false">IF(H69&gt;=0,0,-H69/U69)</f>
        <v>2.59101583014746</v>
      </c>
    </row>
    <row r="71" customFormat="false" ht="15" hidden="false" customHeight="false" outlineLevel="0" collapsed="false">
      <c r="C71" s="20" t="s">
        <v>87</v>
      </c>
    </row>
    <row r="72" customFormat="false" ht="15" hidden="false" customHeight="false" outlineLevel="0" collapsed="false">
      <c r="C72" s="2" t="s">
        <v>88</v>
      </c>
    </row>
    <row r="73" customFormat="false" ht="15" hidden="false" customHeight="false" outlineLevel="0" collapsed="false">
      <c r="C73" s="2" t="s">
        <v>89</v>
      </c>
    </row>
    <row r="74" customFormat="false" ht="15" hidden="false" customHeight="false" outlineLevel="0" collapsed="false">
      <c r="C74" s="2" t="s">
        <v>90</v>
      </c>
    </row>
    <row r="75" customFormat="false" ht="15" hidden="false" customHeight="false" outlineLevel="0" collapsed="false">
      <c r="C75" s="2" t="s">
        <v>91</v>
      </c>
    </row>
    <row r="76" customFormat="false" ht="15" hidden="false" customHeight="false" outlineLevel="0" collapsed="false">
      <c r="C76" s="2" t="s">
        <v>92</v>
      </c>
    </row>
    <row r="77" customFormat="false" ht="15" hidden="false" customHeight="false" outlineLevel="0" collapsed="false">
      <c r="C77" s="2" t="s">
        <v>93</v>
      </c>
    </row>
    <row r="78" customFormat="false" ht="15" hidden="false" customHeight="false" outlineLevel="0" collapsed="false">
      <c r="C78" s="2" t="s">
        <v>94</v>
      </c>
    </row>
    <row r="79" customFormat="false" ht="15" hidden="false" customHeight="false" outlineLevel="0" collapsed="false">
      <c r="C79" s="2" t="s">
        <v>95</v>
      </c>
    </row>
  </sheetData>
  <conditionalFormatting sqref="G5:H69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I5:I69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N5:P69">
    <cfRule type="colorScale" priority="4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conditionalFormatting sqref="Q5:Q69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V5:V6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1" t="s">
        <v>96</v>
      </c>
      <c r="B1" s="21" t="s">
        <v>97</v>
      </c>
      <c r="C1" s="21" t="s">
        <v>98</v>
      </c>
      <c r="D1" s="21" t="s">
        <v>99</v>
      </c>
      <c r="E1" s="21" t="s">
        <v>100</v>
      </c>
      <c r="F1" s="21" t="s">
        <v>101</v>
      </c>
      <c r="G1" s="21" t="s">
        <v>102</v>
      </c>
      <c r="H1" s="21" t="s">
        <v>103</v>
      </c>
      <c r="I1" s="21" t="s">
        <v>104</v>
      </c>
      <c r="J1" s="21" t="s">
        <v>105</v>
      </c>
      <c r="K1" s="21" t="s">
        <v>106</v>
      </c>
      <c r="L1" s="21" t="s">
        <v>107</v>
      </c>
      <c r="M1" s="21" t="s">
        <v>108</v>
      </c>
      <c r="N1" s="21" t="s">
        <v>109</v>
      </c>
      <c r="O1" s="21" t="s">
        <v>110</v>
      </c>
      <c r="P1" s="21" t="s">
        <v>111</v>
      </c>
      <c r="Q1" s="21" t="s">
        <v>112</v>
      </c>
      <c r="R1" s="21" t="s">
        <v>113</v>
      </c>
      <c r="S1" s="21" t="s">
        <v>114</v>
      </c>
      <c r="T1" s="21" t="s">
        <v>115</v>
      </c>
      <c r="U1" s="21" t="s">
        <v>116</v>
      </c>
      <c r="V1" s="21" t="s">
        <v>117</v>
      </c>
      <c r="W1" s="21" t="s">
        <v>118</v>
      </c>
      <c r="X1" s="21" t="s">
        <v>119</v>
      </c>
      <c r="Y1" s="21" t="s">
        <v>120</v>
      </c>
      <c r="Z1" s="21" t="s">
        <v>121</v>
      </c>
      <c r="AA1" s="21" t="s">
        <v>122</v>
      </c>
      <c r="AB1" s="21" t="s">
        <v>123</v>
      </c>
      <c r="AC1" s="21" t="s">
        <v>124</v>
      </c>
      <c r="AD1" s="21" t="s">
        <v>125</v>
      </c>
      <c r="AE1" s="21" t="s">
        <v>126</v>
      </c>
      <c r="AF1" s="21" t="s">
        <v>127</v>
      </c>
    </row>
    <row r="2" customFormat="false" ht="15" hidden="false" customHeight="false" outlineLevel="0" collapsed="false">
      <c r="A2" s="22" t="s">
        <v>128</v>
      </c>
      <c r="B2" s="22" t="s">
        <v>3</v>
      </c>
      <c r="C2" s="22" t="s">
        <v>128</v>
      </c>
      <c r="D2" s="22" t="n">
        <v>10420</v>
      </c>
      <c r="E2" s="22" t="s">
        <v>129</v>
      </c>
      <c r="F2" s="22" t="s">
        <v>130</v>
      </c>
      <c r="G2" s="22" t="s">
        <v>131</v>
      </c>
      <c r="H2" s="22" t="s">
        <v>131</v>
      </c>
      <c r="I2" s="22" t="n">
        <v>1.21476825848313</v>
      </c>
      <c r="J2" s="22" t="n">
        <v>1.22569667142858</v>
      </c>
      <c r="K2" s="22" t="n">
        <v>1.25120710868731</v>
      </c>
      <c r="L2" s="22" t="n">
        <v>1.27378900139437</v>
      </c>
      <c r="M2" s="22" t="n">
        <v>1.2839264277056</v>
      </c>
      <c r="N2" s="22" t="n">
        <v>1.30302304147458</v>
      </c>
      <c r="O2" s="22" t="n">
        <v>1.32594422690025</v>
      </c>
      <c r="P2" s="22" t="n">
        <v>1.31942631786701</v>
      </c>
      <c r="Q2" s="22" t="n">
        <v>1.32468330652259</v>
      </c>
      <c r="R2" s="22" t="n">
        <v>1.34993006799657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</row>
    <row r="3" customFormat="false" ht="15" hidden="false" customHeight="false" outlineLevel="0" collapsed="false">
      <c r="A3" s="22" t="s">
        <v>128</v>
      </c>
      <c r="B3" s="22" t="s">
        <v>3</v>
      </c>
      <c r="C3" s="22" t="s">
        <v>128</v>
      </c>
      <c r="D3" s="22" t="n">
        <v>10420</v>
      </c>
      <c r="E3" s="22" t="s">
        <v>132</v>
      </c>
      <c r="F3" s="22" t="s">
        <v>6</v>
      </c>
      <c r="G3" s="22" t="s">
        <v>131</v>
      </c>
      <c r="H3" s="22" t="s">
        <v>131</v>
      </c>
      <c r="I3" s="22" t="n">
        <v>1.286</v>
      </c>
      <c r="J3" s="22" t="n">
        <v>1.307</v>
      </c>
      <c r="K3" s="22" t="n">
        <v>1.341</v>
      </c>
      <c r="L3" s="22" t="n">
        <v>1.327</v>
      </c>
      <c r="M3" s="22" t="n">
        <v>1.347</v>
      </c>
      <c r="N3" s="22" t="n">
        <v>1.385</v>
      </c>
      <c r="O3" s="22" t="n">
        <v>1.417</v>
      </c>
      <c r="P3" s="22" t="n">
        <v>1.411</v>
      </c>
      <c r="Q3" s="22" t="n">
        <v>1.419</v>
      </c>
      <c r="R3" s="22" t="n">
        <v>1.44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</row>
    <row r="4" customFormat="false" ht="15" hidden="false" customHeight="false" outlineLevel="0" collapsed="false">
      <c r="A4" s="22" t="s">
        <v>128</v>
      </c>
      <c r="B4" s="22" t="s">
        <v>3</v>
      </c>
      <c r="C4" s="22" t="s">
        <v>128</v>
      </c>
      <c r="D4" s="22" t="n">
        <v>10420</v>
      </c>
      <c r="E4" s="22" t="s">
        <v>132</v>
      </c>
      <c r="F4" s="22" t="s">
        <v>133</v>
      </c>
      <c r="G4" s="22" t="s">
        <v>131</v>
      </c>
      <c r="H4" s="22" t="s">
        <v>131</v>
      </c>
      <c r="I4" s="22" t="n">
        <v>45366</v>
      </c>
      <c r="J4" s="22" t="n">
        <v>45424</v>
      </c>
      <c r="K4" s="22" t="n">
        <v>45472</v>
      </c>
      <c r="L4" s="22" t="n">
        <v>45520</v>
      </c>
      <c r="M4" s="22" t="n">
        <v>45571</v>
      </c>
      <c r="N4" s="22" t="n">
        <v>45622</v>
      </c>
      <c r="O4" s="22" t="n">
        <v>45837</v>
      </c>
      <c r="P4" s="22" t="n">
        <v>46048</v>
      </c>
      <c r="Q4" s="22" t="n">
        <v>46134</v>
      </c>
      <c r="R4" s="22" t="n">
        <v>46163</v>
      </c>
      <c r="S4" s="22" t="n">
        <v>46163</v>
      </c>
      <c r="T4" s="22" t="n">
        <v>46163</v>
      </c>
      <c r="U4" s="22" t="n">
        <v>46163</v>
      </c>
      <c r="V4" s="22" t="n">
        <v>46163</v>
      </c>
      <c r="W4" s="22" t="n">
        <v>46394</v>
      </c>
      <c r="X4" s="22" t="n">
        <v>46406</v>
      </c>
      <c r="Y4" s="22" t="n">
        <v>46406</v>
      </c>
      <c r="Z4" s="22" t="n">
        <v>46406</v>
      </c>
      <c r="AA4" s="22" t="n">
        <v>46637</v>
      </c>
      <c r="AB4" s="22" t="n">
        <v>46648</v>
      </c>
      <c r="AC4" s="22" t="n">
        <v>46647</v>
      </c>
      <c r="AD4" s="22" t="n">
        <v>46646</v>
      </c>
      <c r="AE4" s="22" t="n">
        <v>46877</v>
      </c>
      <c r="AF4" s="22" t="n">
        <v>46887</v>
      </c>
    </row>
    <row r="5" customFormat="false" ht="15" hidden="false" customHeight="false" outlineLevel="0" collapsed="false">
      <c r="A5" s="22" t="s">
        <v>128</v>
      </c>
      <c r="B5" s="22" t="s">
        <v>3</v>
      </c>
      <c r="C5" s="22" t="s">
        <v>128</v>
      </c>
      <c r="D5" s="22" t="n">
        <v>10420</v>
      </c>
      <c r="E5" s="22" t="s">
        <v>132</v>
      </c>
      <c r="F5" s="22" t="s">
        <v>5</v>
      </c>
      <c r="G5" s="22" t="s">
        <v>131</v>
      </c>
      <c r="H5" s="22" t="s">
        <v>131</v>
      </c>
      <c r="I5" s="22" t="n">
        <v>1.29</v>
      </c>
      <c r="J5" s="22" t="n">
        <v>1.312</v>
      </c>
      <c r="K5" s="22" t="n">
        <v>1.346</v>
      </c>
      <c r="L5" s="22" t="n">
        <v>1.336</v>
      </c>
      <c r="M5" s="22" t="n">
        <v>1.354</v>
      </c>
      <c r="N5" s="22" t="n">
        <v>1.387</v>
      </c>
      <c r="O5" s="22" t="n">
        <v>1.42</v>
      </c>
      <c r="P5" s="22" t="n">
        <v>1.417</v>
      </c>
      <c r="Q5" s="22" t="n">
        <v>1.428</v>
      </c>
      <c r="R5" s="22" t="n">
        <v>1.449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</row>
    <row r="6" customFormat="false" ht="15" hidden="false" customHeight="false" outlineLevel="0" collapsed="false">
      <c r="A6" s="22" t="s">
        <v>128</v>
      </c>
      <c r="B6" s="22" t="s">
        <v>3</v>
      </c>
      <c r="C6" s="22" t="s">
        <v>128</v>
      </c>
      <c r="D6" s="22" t="n">
        <v>10420</v>
      </c>
      <c r="E6" s="22" t="s">
        <v>134</v>
      </c>
      <c r="F6" s="22" t="s">
        <v>135</v>
      </c>
      <c r="G6" s="22" t="s">
        <v>131</v>
      </c>
      <c r="H6" s="22" t="s">
        <v>131</v>
      </c>
      <c r="I6" s="22" t="n">
        <v>0.0423</v>
      </c>
      <c r="J6" s="22" t="n">
        <v>0.0274</v>
      </c>
      <c r="K6" s="22" t="n">
        <v>0.0351</v>
      </c>
      <c r="L6" s="22" t="n">
        <v>0.0359</v>
      </c>
      <c r="M6" s="22" t="n">
        <v>0.0373</v>
      </c>
      <c r="N6" s="22" t="n">
        <v>0.0411</v>
      </c>
      <c r="O6" s="22" t="n">
        <v>0.0352</v>
      </c>
      <c r="P6" s="22" t="n">
        <v>0.04</v>
      </c>
      <c r="Q6" s="22" t="n">
        <v>0.0328</v>
      </c>
      <c r="R6" s="22" t="n">
        <v>0.0301</v>
      </c>
      <c r="S6" s="22" t="n">
        <v>0.031</v>
      </c>
      <c r="T6" s="22" t="n">
        <v>0.031</v>
      </c>
      <c r="U6" s="22" t="n">
        <v>0.031</v>
      </c>
      <c r="V6" s="22" t="n">
        <v>0.033</v>
      </c>
      <c r="W6" s="22" t="n">
        <v>0.031</v>
      </c>
      <c r="X6" s="22" t="n">
        <v>0.031</v>
      </c>
      <c r="Y6" s="22" t="n">
        <v>0.03</v>
      </c>
      <c r="Z6" s="22" t="n">
        <v>0.03</v>
      </c>
      <c r="AA6" s="22" t="n">
        <v>0.029</v>
      </c>
      <c r="AB6" s="22" t="n">
        <v>0.029</v>
      </c>
      <c r="AC6" s="22" t="n">
        <v>0.029</v>
      </c>
      <c r="AD6" s="22" t="n">
        <v>0.029</v>
      </c>
      <c r="AE6" s="22" t="n">
        <v>0.029</v>
      </c>
      <c r="AF6" s="22" t="n">
        <v>0.029</v>
      </c>
    </row>
    <row r="7" customFormat="false" ht="15" hidden="false" customHeight="false" outlineLevel="0" collapsed="false">
      <c r="A7" s="22" t="s">
        <v>128</v>
      </c>
      <c r="B7" s="22" t="s">
        <v>3</v>
      </c>
      <c r="C7" s="22" t="s">
        <v>128</v>
      </c>
      <c r="D7" s="22" t="n">
        <v>10420</v>
      </c>
      <c r="E7" s="22" t="s">
        <v>136</v>
      </c>
      <c r="F7" s="22" t="s">
        <v>137</v>
      </c>
      <c r="G7" s="22" t="s">
        <v>131</v>
      </c>
      <c r="H7" s="22" t="s">
        <v>131</v>
      </c>
      <c r="I7" s="22" t="n">
        <v>2</v>
      </c>
      <c r="J7" s="22" t="n">
        <v>2</v>
      </c>
      <c r="K7" s="22" t="n">
        <v>2</v>
      </c>
      <c r="L7" s="22" t="n">
        <v>2</v>
      </c>
      <c r="M7" s="22" t="n">
        <v>1</v>
      </c>
      <c r="N7" s="22" t="n">
        <v>0</v>
      </c>
      <c r="O7" s="22" t="n">
        <v>0</v>
      </c>
      <c r="P7" s="22" t="n">
        <v>0</v>
      </c>
      <c r="Q7" s="22" t="n">
        <v>0</v>
      </c>
      <c r="R7" s="22" t="n">
        <v>0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customFormat="false" ht="15" hidden="false" customHeight="false" outlineLevel="0" collapsed="false">
      <c r="A8" s="22" t="s">
        <v>138</v>
      </c>
      <c r="B8" s="22" t="s">
        <v>3</v>
      </c>
      <c r="C8" s="22" t="s">
        <v>138</v>
      </c>
      <c r="D8" s="22" t="n">
        <v>10580</v>
      </c>
      <c r="E8" s="22" t="s">
        <v>129</v>
      </c>
      <c r="F8" s="22" t="s">
        <v>130</v>
      </c>
      <c r="G8" s="22" t="s">
        <v>131</v>
      </c>
      <c r="H8" s="22" t="s">
        <v>131</v>
      </c>
      <c r="I8" s="22" t="n">
        <v>1.72153497005859</v>
      </c>
      <c r="J8" s="22" t="n">
        <v>1.72322337040768</v>
      </c>
      <c r="K8" s="22" t="n">
        <v>1.75481666842516</v>
      </c>
      <c r="L8" s="22" t="n">
        <v>1.76799162375796</v>
      </c>
      <c r="M8" s="22" t="n">
        <v>1.76717776000201</v>
      </c>
      <c r="N8" s="22" t="n">
        <v>1.77828934514224</v>
      </c>
      <c r="O8" s="22" t="n">
        <v>1.81283747652975</v>
      </c>
      <c r="P8" s="22" t="n">
        <v>1.85664966335795</v>
      </c>
      <c r="Q8" s="22" t="n">
        <v>1.87299257063922</v>
      </c>
      <c r="R8" s="22" t="n">
        <v>1.88979095774166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</row>
    <row r="9" customFormat="false" ht="15" hidden="false" customHeight="false" outlineLevel="0" collapsed="false">
      <c r="A9" s="22" t="s">
        <v>138</v>
      </c>
      <c r="B9" s="22" t="s">
        <v>3</v>
      </c>
      <c r="C9" s="22" t="s">
        <v>138</v>
      </c>
      <c r="D9" s="22" t="n">
        <v>10580</v>
      </c>
      <c r="E9" s="22" t="s">
        <v>132</v>
      </c>
      <c r="F9" s="22" t="s">
        <v>6</v>
      </c>
      <c r="G9" s="22" t="s">
        <v>131</v>
      </c>
      <c r="H9" s="22" t="s">
        <v>131</v>
      </c>
      <c r="I9" s="22" t="n">
        <v>1.693</v>
      </c>
      <c r="J9" s="22" t="n">
        <v>1.714</v>
      </c>
      <c r="K9" s="22" t="n">
        <v>1.726</v>
      </c>
      <c r="L9" s="22" t="n">
        <v>1.74</v>
      </c>
      <c r="M9" s="22" t="n">
        <v>1.751</v>
      </c>
      <c r="N9" s="22" t="n">
        <v>1.811</v>
      </c>
      <c r="O9" s="22" t="n">
        <v>1.85</v>
      </c>
      <c r="P9" s="22" t="n">
        <v>1.837</v>
      </c>
      <c r="Q9" s="22" t="n">
        <v>1.85</v>
      </c>
      <c r="R9" s="22" t="n">
        <v>1.88</v>
      </c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customFormat="false" ht="15" hidden="false" customHeight="false" outlineLevel="0" collapsed="false">
      <c r="A10" s="22" t="s">
        <v>138</v>
      </c>
      <c r="B10" s="22" t="s">
        <v>3</v>
      </c>
      <c r="C10" s="22" t="s">
        <v>138</v>
      </c>
      <c r="D10" s="22" t="n">
        <v>10580</v>
      </c>
      <c r="E10" s="22" t="s">
        <v>132</v>
      </c>
      <c r="F10" s="22" t="s">
        <v>133</v>
      </c>
      <c r="G10" s="22" t="s">
        <v>131</v>
      </c>
      <c r="H10" s="22" t="s">
        <v>131</v>
      </c>
      <c r="I10" s="22" t="n">
        <v>66985</v>
      </c>
      <c r="J10" s="22" t="n">
        <v>67454</v>
      </c>
      <c r="K10" s="22" t="n">
        <v>67728</v>
      </c>
      <c r="L10" s="22" t="n">
        <v>67956</v>
      </c>
      <c r="M10" s="22" t="n">
        <v>68092</v>
      </c>
      <c r="N10" s="22" t="n">
        <v>68197</v>
      </c>
      <c r="O10" s="22" t="n">
        <v>68300</v>
      </c>
      <c r="P10" s="22" t="n">
        <v>68367</v>
      </c>
      <c r="Q10" s="22" t="n">
        <v>68421</v>
      </c>
      <c r="R10" s="22" t="n">
        <v>68494</v>
      </c>
      <c r="S10" s="22" t="n">
        <v>68566</v>
      </c>
      <c r="T10" s="22" t="n">
        <v>68672</v>
      </c>
      <c r="U10" s="22" t="n">
        <v>68749</v>
      </c>
      <c r="V10" s="22" t="n">
        <v>68893</v>
      </c>
      <c r="W10" s="22" t="n">
        <v>69083</v>
      </c>
      <c r="X10" s="22" t="n">
        <v>69228</v>
      </c>
      <c r="Y10" s="22" t="n">
        <v>69313</v>
      </c>
      <c r="Z10" s="22" t="n">
        <v>69457</v>
      </c>
      <c r="AA10" s="22" t="n">
        <v>69601</v>
      </c>
      <c r="AB10" s="22" t="n">
        <v>69743</v>
      </c>
      <c r="AC10" s="22" t="n">
        <v>69819</v>
      </c>
      <c r="AD10" s="22" t="n">
        <v>69943</v>
      </c>
      <c r="AE10" s="22" t="n">
        <v>70063</v>
      </c>
      <c r="AF10" s="22" t="n">
        <v>70169</v>
      </c>
    </row>
    <row r="11" customFormat="false" ht="15" hidden="false" customHeight="false" outlineLevel="0" collapsed="false">
      <c r="A11" s="22" t="s">
        <v>138</v>
      </c>
      <c r="B11" s="22" t="s">
        <v>3</v>
      </c>
      <c r="C11" s="22" t="s">
        <v>138</v>
      </c>
      <c r="D11" s="22" t="n">
        <v>10580</v>
      </c>
      <c r="E11" s="22" t="s">
        <v>132</v>
      </c>
      <c r="F11" s="22" t="s">
        <v>5</v>
      </c>
      <c r="G11" s="22" t="s">
        <v>131</v>
      </c>
      <c r="H11" s="22" t="s">
        <v>131</v>
      </c>
      <c r="I11" s="22" t="n">
        <v>1.697</v>
      </c>
      <c r="J11" s="22" t="n">
        <v>1.717</v>
      </c>
      <c r="K11" s="22" t="n">
        <v>1.732</v>
      </c>
      <c r="L11" s="22" t="n">
        <v>1.743</v>
      </c>
      <c r="M11" s="22" t="n">
        <v>1.753</v>
      </c>
      <c r="N11" s="22" t="n">
        <v>1.816</v>
      </c>
      <c r="O11" s="22" t="n">
        <v>1.853</v>
      </c>
      <c r="P11" s="22" t="n">
        <v>1.841</v>
      </c>
      <c r="Q11" s="22" t="n">
        <v>1.855</v>
      </c>
      <c r="R11" s="22" t="n">
        <v>1.884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customFormat="false" ht="15" hidden="false" customHeight="false" outlineLevel="0" collapsed="false">
      <c r="A12" s="22" t="s">
        <v>138</v>
      </c>
      <c r="B12" s="22" t="s">
        <v>3</v>
      </c>
      <c r="C12" s="22" t="s">
        <v>138</v>
      </c>
      <c r="D12" s="22" t="n">
        <v>10580</v>
      </c>
      <c r="E12" s="22" t="s">
        <v>134</v>
      </c>
      <c r="F12" s="22" t="s">
        <v>135</v>
      </c>
      <c r="G12" s="22" t="s">
        <v>131</v>
      </c>
      <c r="H12" s="22" t="s">
        <v>131</v>
      </c>
      <c r="I12" s="22" t="n">
        <v>0.0472</v>
      </c>
      <c r="J12" s="22" t="n">
        <v>0.0299</v>
      </c>
      <c r="K12" s="22" t="n">
        <v>0.0179</v>
      </c>
      <c r="L12" s="22" t="n">
        <v>0.0222</v>
      </c>
      <c r="M12" s="22" t="n">
        <v>0.0284</v>
      </c>
      <c r="N12" s="22" t="n">
        <v>0.0367</v>
      </c>
      <c r="O12" s="22" t="n">
        <v>0.0378</v>
      </c>
      <c r="P12" s="22" t="n">
        <v>0.0294</v>
      </c>
      <c r="Q12" s="22" t="n">
        <v>0.0299</v>
      </c>
      <c r="R12" s="22" t="n">
        <v>0.0264</v>
      </c>
      <c r="S12" s="22" t="n">
        <v>0.026</v>
      </c>
      <c r="T12" s="22" t="n">
        <v>0.022</v>
      </c>
      <c r="U12" s="22" t="n">
        <v>0.017</v>
      </c>
      <c r="V12" s="22" t="n">
        <v>0.016</v>
      </c>
      <c r="W12" s="22" t="n">
        <v>0.018</v>
      </c>
      <c r="X12" s="22" t="n">
        <v>0.026</v>
      </c>
      <c r="Y12" s="22" t="n">
        <v>0.028</v>
      </c>
      <c r="Z12" s="22" t="n">
        <v>0.025</v>
      </c>
      <c r="AA12" s="22" t="n">
        <v>0.026</v>
      </c>
      <c r="AB12" s="22" t="n">
        <v>0.029</v>
      </c>
      <c r="AC12" s="22" t="n">
        <v>0.029</v>
      </c>
      <c r="AD12" s="22" t="n">
        <v>0.025</v>
      </c>
      <c r="AE12" s="22" t="n">
        <v>0.024</v>
      </c>
      <c r="AF12" s="22" t="n">
        <v>0.03</v>
      </c>
    </row>
    <row r="13" customFormat="false" ht="15" hidden="false" customHeight="false" outlineLevel="0" collapsed="false">
      <c r="A13" s="22" t="s">
        <v>138</v>
      </c>
      <c r="B13" s="22" t="s">
        <v>3</v>
      </c>
      <c r="C13" s="22" t="s">
        <v>138</v>
      </c>
      <c r="D13" s="22" t="n">
        <v>10580</v>
      </c>
      <c r="E13" s="22" t="s">
        <v>136</v>
      </c>
      <c r="F13" s="22" t="s">
        <v>137</v>
      </c>
      <c r="G13" s="22" t="s">
        <v>131</v>
      </c>
      <c r="H13" s="22" t="s">
        <v>131</v>
      </c>
      <c r="I13" s="22" t="n">
        <v>7</v>
      </c>
      <c r="J13" s="22" t="n">
        <v>8</v>
      </c>
      <c r="K13" s="22" t="n">
        <v>12</v>
      </c>
      <c r="L13" s="22" t="n">
        <v>10</v>
      </c>
      <c r="M13" s="22" t="n">
        <v>8</v>
      </c>
      <c r="N13" s="22" t="n">
        <v>7</v>
      </c>
      <c r="O13" s="22" t="n">
        <v>3</v>
      </c>
      <c r="P13" s="22" t="n">
        <v>6</v>
      </c>
      <c r="Q13" s="22" t="n">
        <v>5</v>
      </c>
      <c r="R13" s="22" t="n">
        <v>4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customFormat="false" ht="15" hidden="false" customHeight="false" outlineLevel="0" collapsed="false">
      <c r="A14" s="22" t="s">
        <v>56</v>
      </c>
      <c r="B14" s="22" t="s">
        <v>3</v>
      </c>
      <c r="C14" s="22" t="s">
        <v>56</v>
      </c>
      <c r="D14" s="22" t="n">
        <v>10740</v>
      </c>
      <c r="E14" s="22" t="s">
        <v>129</v>
      </c>
      <c r="F14" s="22" t="s">
        <v>130</v>
      </c>
      <c r="G14" s="22" t="s">
        <v>131</v>
      </c>
      <c r="H14" s="22" t="s">
        <v>131</v>
      </c>
      <c r="I14" s="22" t="n">
        <v>1.52488765915299</v>
      </c>
      <c r="J14" s="22" t="n">
        <v>1.53952345045622</v>
      </c>
      <c r="K14" s="22" t="n">
        <v>1.55265199361853</v>
      </c>
      <c r="L14" s="22" t="n">
        <v>1.5855803175179</v>
      </c>
      <c r="M14" s="22" t="n">
        <v>1.58800057921954</v>
      </c>
      <c r="N14" s="22" t="n">
        <v>1.60179764501249</v>
      </c>
      <c r="O14" s="22" t="n">
        <v>1.6109823228538</v>
      </c>
      <c r="P14" s="22" t="n">
        <v>1.61168793114296</v>
      </c>
      <c r="Q14" s="22" t="n">
        <v>1.61129287068606</v>
      </c>
      <c r="R14" s="22" t="n">
        <v>1.62799800912372</v>
      </c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customFormat="false" ht="15" hidden="false" customHeight="false" outlineLevel="0" collapsed="false">
      <c r="A15" s="22" t="s">
        <v>56</v>
      </c>
      <c r="B15" s="22" t="s">
        <v>3</v>
      </c>
      <c r="C15" s="22" t="s">
        <v>56</v>
      </c>
      <c r="D15" s="22" t="n">
        <v>10740</v>
      </c>
      <c r="E15" s="22" t="s">
        <v>132</v>
      </c>
      <c r="F15" s="22" t="s">
        <v>6</v>
      </c>
      <c r="G15" s="22" t="s">
        <v>131</v>
      </c>
      <c r="H15" s="22" t="s">
        <v>131</v>
      </c>
      <c r="I15" s="22" t="n">
        <v>1.563</v>
      </c>
      <c r="J15" s="22" t="n">
        <v>1.578</v>
      </c>
      <c r="K15" s="22" t="n">
        <v>1.597</v>
      </c>
      <c r="L15" s="22" t="n">
        <v>1.59</v>
      </c>
      <c r="M15" s="22" t="n">
        <v>1.588</v>
      </c>
      <c r="N15" s="22" t="n">
        <v>1.598</v>
      </c>
      <c r="O15" s="22" t="n">
        <v>1.612</v>
      </c>
      <c r="P15" s="22" t="n">
        <v>1.583</v>
      </c>
      <c r="Q15" s="22" t="n">
        <v>1.584</v>
      </c>
      <c r="R15" s="22" t="n">
        <v>1.612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</row>
    <row r="16" customFormat="false" ht="15" hidden="false" customHeight="false" outlineLevel="0" collapsed="false">
      <c r="A16" s="22" t="s">
        <v>56</v>
      </c>
      <c r="B16" s="22" t="s">
        <v>3</v>
      </c>
      <c r="C16" s="22" t="s">
        <v>56</v>
      </c>
      <c r="D16" s="22" t="n">
        <v>10740</v>
      </c>
      <c r="E16" s="22" t="s">
        <v>132</v>
      </c>
      <c r="F16" s="22" t="s">
        <v>133</v>
      </c>
      <c r="G16" s="22" t="s">
        <v>131</v>
      </c>
      <c r="H16" s="22" t="s">
        <v>131</v>
      </c>
      <c r="I16" s="22" t="n">
        <v>56831</v>
      </c>
      <c r="J16" s="22" t="n">
        <v>57160</v>
      </c>
      <c r="K16" s="22" t="n">
        <v>57618</v>
      </c>
      <c r="L16" s="22" t="n">
        <v>58005</v>
      </c>
      <c r="M16" s="22" t="n">
        <v>58214</v>
      </c>
      <c r="N16" s="22" t="n">
        <v>58266</v>
      </c>
      <c r="O16" s="22" t="n">
        <v>58433</v>
      </c>
      <c r="P16" s="22" t="n">
        <v>58748</v>
      </c>
      <c r="Q16" s="22" t="n">
        <v>58897</v>
      </c>
      <c r="R16" s="22" t="n">
        <v>59079</v>
      </c>
      <c r="S16" s="22" t="n">
        <v>59378</v>
      </c>
      <c r="T16" s="22" t="n">
        <v>59378</v>
      </c>
      <c r="U16" s="22" t="n">
        <v>59405</v>
      </c>
      <c r="V16" s="22" t="n">
        <v>59415</v>
      </c>
      <c r="W16" s="22" t="n">
        <v>59792</v>
      </c>
      <c r="X16" s="22" t="n">
        <v>59929</v>
      </c>
      <c r="Y16" s="22" t="n">
        <v>59770</v>
      </c>
      <c r="Z16" s="22" t="n">
        <v>59765</v>
      </c>
      <c r="AA16" s="22" t="n">
        <v>60176</v>
      </c>
      <c r="AB16" s="22" t="n">
        <v>60324</v>
      </c>
      <c r="AC16" s="22" t="n">
        <v>60167</v>
      </c>
      <c r="AD16" s="22" t="n">
        <v>60155</v>
      </c>
      <c r="AE16" s="22" t="n">
        <v>60564</v>
      </c>
      <c r="AF16" s="22" t="n">
        <v>60716</v>
      </c>
    </row>
    <row r="17" customFormat="false" ht="15" hidden="false" customHeight="false" outlineLevel="0" collapsed="false">
      <c r="A17" s="22" t="s">
        <v>56</v>
      </c>
      <c r="B17" s="22" t="s">
        <v>3</v>
      </c>
      <c r="C17" s="22" t="s">
        <v>56</v>
      </c>
      <c r="D17" s="22" t="n">
        <v>10740</v>
      </c>
      <c r="E17" s="22" t="s">
        <v>132</v>
      </c>
      <c r="F17" s="22" t="s">
        <v>5</v>
      </c>
      <c r="G17" s="22" t="s">
        <v>131</v>
      </c>
      <c r="H17" s="22" t="s">
        <v>131</v>
      </c>
      <c r="I17" s="22" t="n">
        <v>1.571</v>
      </c>
      <c r="J17" s="22" t="n">
        <v>1.591</v>
      </c>
      <c r="K17" s="22" t="n">
        <v>1.611</v>
      </c>
      <c r="L17" s="22" t="n">
        <v>1.599</v>
      </c>
      <c r="M17" s="22" t="n">
        <v>1.596</v>
      </c>
      <c r="N17" s="22" t="n">
        <v>1.609</v>
      </c>
      <c r="O17" s="22" t="n">
        <v>1.622</v>
      </c>
      <c r="P17" s="22" t="n">
        <v>1.599</v>
      </c>
      <c r="Q17" s="22" t="n">
        <v>1.6</v>
      </c>
      <c r="R17" s="22" t="n">
        <v>1.628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</row>
    <row r="18" customFormat="false" ht="15" hidden="false" customHeight="false" outlineLevel="0" collapsed="false">
      <c r="A18" s="22" t="s">
        <v>56</v>
      </c>
      <c r="B18" s="22" t="s">
        <v>3</v>
      </c>
      <c r="C18" s="22" t="s">
        <v>56</v>
      </c>
      <c r="D18" s="22" t="n">
        <v>10740</v>
      </c>
      <c r="E18" s="22" t="s">
        <v>134</v>
      </c>
      <c r="F18" s="22" t="s">
        <v>135</v>
      </c>
      <c r="G18" s="22" t="s">
        <v>131</v>
      </c>
      <c r="H18" s="22" t="s">
        <v>131</v>
      </c>
      <c r="I18" s="22" t="n">
        <v>0.0142</v>
      </c>
      <c r="J18" s="22" t="n">
        <v>0.0056</v>
      </c>
      <c r="K18" s="22" t="n">
        <v>0.0062</v>
      </c>
      <c r="L18" s="22" t="n">
        <v>0.018</v>
      </c>
      <c r="M18" s="22" t="n">
        <v>0.015</v>
      </c>
      <c r="N18" s="22" t="n">
        <v>0.0078</v>
      </c>
      <c r="O18" s="22" t="n">
        <v>-0.0094</v>
      </c>
      <c r="P18" s="22" t="n">
        <v>-0.0256</v>
      </c>
      <c r="Q18" s="22" t="n">
        <v>-0.0229</v>
      </c>
      <c r="R18" s="22" t="n">
        <v>-0.0067</v>
      </c>
      <c r="S18" s="22" t="n">
        <v>-0.004</v>
      </c>
      <c r="T18" s="22" t="n">
        <v>0.001</v>
      </c>
      <c r="U18" s="22" t="n">
        <v>0.008</v>
      </c>
      <c r="V18" s="22" t="n">
        <v>0.018</v>
      </c>
      <c r="W18" s="22" t="n">
        <v>0.031</v>
      </c>
      <c r="X18" s="22" t="n">
        <v>0.033</v>
      </c>
      <c r="Y18" s="22" t="n">
        <v>0.034</v>
      </c>
      <c r="Z18" s="22" t="n">
        <v>0.036</v>
      </c>
      <c r="AA18" s="22" t="n">
        <v>0.038</v>
      </c>
      <c r="AB18" s="22" t="n">
        <v>0.039</v>
      </c>
      <c r="AC18" s="22" t="n">
        <v>0.038</v>
      </c>
      <c r="AD18" s="22" t="n">
        <v>0.037</v>
      </c>
      <c r="AE18" s="22" t="n">
        <v>0.035</v>
      </c>
      <c r="AF18" s="22" t="n">
        <v>0.034</v>
      </c>
    </row>
    <row r="19" customFormat="false" ht="15" hidden="false" customHeight="false" outlineLevel="0" collapsed="false">
      <c r="A19" s="22" t="s">
        <v>56</v>
      </c>
      <c r="B19" s="22" t="s">
        <v>3</v>
      </c>
      <c r="C19" s="22" t="s">
        <v>56</v>
      </c>
      <c r="D19" s="22" t="n">
        <v>10740</v>
      </c>
      <c r="E19" s="22" t="s">
        <v>136</v>
      </c>
      <c r="F19" s="22" t="s">
        <v>137</v>
      </c>
      <c r="G19" s="22" t="s">
        <v>131</v>
      </c>
      <c r="H19" s="22" t="s">
        <v>131</v>
      </c>
      <c r="I19" s="22" t="n">
        <v>5</v>
      </c>
      <c r="J19" s="22" t="n">
        <v>3</v>
      </c>
      <c r="K19" s="22" t="n">
        <v>4</v>
      </c>
      <c r="L19" s="22" t="n">
        <v>2</v>
      </c>
      <c r="M19" s="22" t="n">
        <v>1</v>
      </c>
      <c r="N19" s="22" t="n">
        <v>1</v>
      </c>
      <c r="O19" s="22" t="n">
        <v>1</v>
      </c>
      <c r="P19" s="22" t="n">
        <v>1</v>
      </c>
      <c r="Q19" s="22" t="n">
        <v>2</v>
      </c>
      <c r="R19" s="22" t="n">
        <v>3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customFormat="false" ht="15" hidden="false" customHeight="false" outlineLevel="0" collapsed="false">
      <c r="A20" s="22" t="s">
        <v>139</v>
      </c>
      <c r="B20" s="22" t="s">
        <v>3</v>
      </c>
      <c r="C20" s="22" t="s">
        <v>139</v>
      </c>
      <c r="D20" s="22" t="n">
        <v>10900</v>
      </c>
      <c r="E20" s="22" t="s">
        <v>129</v>
      </c>
      <c r="F20" s="22" t="s">
        <v>130</v>
      </c>
      <c r="G20" s="22" t="s">
        <v>131</v>
      </c>
      <c r="H20" s="22" t="s">
        <v>131</v>
      </c>
      <c r="I20" s="22" t="n">
        <v>1.68063310001518</v>
      </c>
      <c r="J20" s="22" t="n">
        <v>1.69465290320342</v>
      </c>
      <c r="K20" s="22" t="n">
        <v>1.71664898961593</v>
      </c>
      <c r="L20" s="22" t="n">
        <v>1.72813978789808</v>
      </c>
      <c r="M20" s="22" t="n">
        <v>1.7429783549763</v>
      </c>
      <c r="N20" s="22" t="n">
        <v>1.73757101773808</v>
      </c>
      <c r="O20" s="22" t="n">
        <v>1.76788809804828</v>
      </c>
      <c r="P20" s="22" t="n">
        <v>1.80418989008428</v>
      </c>
      <c r="Q20" s="22" t="n">
        <v>1.81598473886912</v>
      </c>
      <c r="R20" s="22" t="n">
        <v>1.86766427085782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customFormat="false" ht="15" hidden="false" customHeight="false" outlineLevel="0" collapsed="false">
      <c r="A21" s="22" t="s">
        <v>139</v>
      </c>
      <c r="B21" s="22" t="s">
        <v>3</v>
      </c>
      <c r="C21" s="22" t="s">
        <v>139</v>
      </c>
      <c r="D21" s="22" t="n">
        <v>10900</v>
      </c>
      <c r="E21" s="22" t="s">
        <v>132</v>
      </c>
      <c r="F21" s="22" t="s">
        <v>6</v>
      </c>
      <c r="G21" s="22" t="s">
        <v>131</v>
      </c>
      <c r="H21" s="22" t="s">
        <v>131</v>
      </c>
      <c r="I21" s="22" t="n">
        <v>1.79</v>
      </c>
      <c r="J21" s="22" t="n">
        <v>1.804</v>
      </c>
      <c r="K21" s="22" t="n">
        <v>1.846</v>
      </c>
      <c r="L21" s="22" t="n">
        <v>1.86</v>
      </c>
      <c r="M21" s="22" t="n">
        <v>1.869</v>
      </c>
      <c r="N21" s="22" t="n">
        <v>1.91</v>
      </c>
      <c r="O21" s="22" t="n">
        <v>1.929</v>
      </c>
      <c r="P21" s="22" t="n">
        <v>1.923</v>
      </c>
      <c r="Q21" s="22" t="n">
        <v>1.923</v>
      </c>
      <c r="R21" s="22" t="n">
        <v>1.96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</row>
    <row r="22" customFormat="false" ht="15" hidden="false" customHeight="false" outlineLevel="0" collapsed="false">
      <c r="A22" s="22" t="s">
        <v>139</v>
      </c>
      <c r="B22" s="22" t="s">
        <v>3</v>
      </c>
      <c r="C22" s="22" t="s">
        <v>139</v>
      </c>
      <c r="D22" s="22" t="n">
        <v>10900</v>
      </c>
      <c r="E22" s="22" t="s">
        <v>132</v>
      </c>
      <c r="F22" s="22" t="s">
        <v>133</v>
      </c>
      <c r="G22" s="22" t="s">
        <v>131</v>
      </c>
      <c r="H22" s="22" t="s">
        <v>131</v>
      </c>
      <c r="I22" s="22" t="n">
        <v>44600</v>
      </c>
      <c r="J22" s="22" t="n">
        <v>44726</v>
      </c>
      <c r="K22" s="22" t="n">
        <v>44822</v>
      </c>
      <c r="L22" s="22" t="n">
        <v>45196</v>
      </c>
      <c r="M22" s="22" t="n">
        <v>45404</v>
      </c>
      <c r="N22" s="22" t="n">
        <v>45671</v>
      </c>
      <c r="O22" s="22" t="n">
        <v>45826</v>
      </c>
      <c r="P22" s="22" t="n">
        <v>46047</v>
      </c>
      <c r="Q22" s="22" t="n">
        <v>46107</v>
      </c>
      <c r="R22" s="22" t="n">
        <v>46309</v>
      </c>
      <c r="S22" s="22" t="n">
        <v>46604</v>
      </c>
      <c r="T22" s="22" t="n">
        <v>47243</v>
      </c>
      <c r="U22" s="22" t="n">
        <v>47462</v>
      </c>
      <c r="V22" s="22" t="n">
        <v>47602</v>
      </c>
      <c r="W22" s="22" t="n">
        <v>47806</v>
      </c>
      <c r="X22" s="22" t="n">
        <v>47850</v>
      </c>
      <c r="Y22" s="22" t="n">
        <v>47877</v>
      </c>
      <c r="Z22" s="22" t="n">
        <v>48016</v>
      </c>
      <c r="AA22" s="22" t="n">
        <v>48215</v>
      </c>
      <c r="AB22" s="22" t="n">
        <v>48241</v>
      </c>
      <c r="AC22" s="22" t="n">
        <v>48245</v>
      </c>
      <c r="AD22" s="22" t="n">
        <v>48364</v>
      </c>
      <c r="AE22" s="22" t="n">
        <v>48538</v>
      </c>
      <c r="AF22" s="22" t="n">
        <v>48548</v>
      </c>
    </row>
    <row r="23" customFormat="false" ht="15" hidden="false" customHeight="false" outlineLevel="0" collapsed="false">
      <c r="A23" s="22" t="s">
        <v>139</v>
      </c>
      <c r="B23" s="22" t="s">
        <v>3</v>
      </c>
      <c r="C23" s="22" t="s">
        <v>139</v>
      </c>
      <c r="D23" s="22" t="n">
        <v>10900</v>
      </c>
      <c r="E23" s="22" t="s">
        <v>132</v>
      </c>
      <c r="F23" s="22" t="s">
        <v>5</v>
      </c>
      <c r="G23" s="22" t="s">
        <v>131</v>
      </c>
      <c r="H23" s="22" t="s">
        <v>131</v>
      </c>
      <c r="I23" s="22" t="n">
        <v>1.797</v>
      </c>
      <c r="J23" s="22" t="n">
        <v>1.81</v>
      </c>
      <c r="K23" s="22" t="n">
        <v>1.85</v>
      </c>
      <c r="L23" s="22" t="n">
        <v>1.863</v>
      </c>
      <c r="M23" s="22" t="n">
        <v>1.873</v>
      </c>
      <c r="N23" s="22" t="n">
        <v>1.916</v>
      </c>
      <c r="O23" s="22" t="n">
        <v>1.934</v>
      </c>
      <c r="P23" s="22" t="n">
        <v>1.933</v>
      </c>
      <c r="Q23" s="22" t="n">
        <v>1.935</v>
      </c>
      <c r="R23" s="22" t="n">
        <v>1.974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customFormat="false" ht="15" hidden="false" customHeight="false" outlineLevel="0" collapsed="false">
      <c r="A24" s="22" t="s">
        <v>139</v>
      </c>
      <c r="B24" s="22" t="s">
        <v>3</v>
      </c>
      <c r="C24" s="22" t="s">
        <v>139</v>
      </c>
      <c r="D24" s="22" t="n">
        <v>10900</v>
      </c>
      <c r="E24" s="22" t="s">
        <v>134</v>
      </c>
      <c r="F24" s="22" t="s">
        <v>135</v>
      </c>
      <c r="G24" s="22" t="s">
        <v>131</v>
      </c>
      <c r="H24" s="22" t="s">
        <v>131</v>
      </c>
      <c r="I24" s="22" t="n">
        <v>0.0299</v>
      </c>
      <c r="J24" s="22" t="n">
        <v>0.0199</v>
      </c>
      <c r="K24" s="22" t="n">
        <v>0.0303</v>
      </c>
      <c r="L24" s="22" t="n">
        <v>0.0323</v>
      </c>
      <c r="M24" s="22" t="n">
        <v>0.0435</v>
      </c>
      <c r="N24" s="22" t="n">
        <v>0.0569</v>
      </c>
      <c r="O24" s="22" t="n">
        <v>0.0362</v>
      </c>
      <c r="P24" s="22" t="n">
        <v>0.0214</v>
      </c>
      <c r="Q24" s="22" t="n">
        <v>0.0147</v>
      </c>
      <c r="R24" s="22" t="n">
        <v>0.0148</v>
      </c>
      <c r="S24" s="22" t="n">
        <v>0.019</v>
      </c>
      <c r="T24" s="22" t="n">
        <v>0.026</v>
      </c>
      <c r="U24" s="22" t="n">
        <v>0.027</v>
      </c>
      <c r="V24" s="22" t="n">
        <v>0.026</v>
      </c>
      <c r="W24" s="22" t="n">
        <v>0.024</v>
      </c>
      <c r="X24" s="22" t="n">
        <v>0.025</v>
      </c>
      <c r="Y24" s="22" t="n">
        <v>0.028</v>
      </c>
      <c r="Z24" s="22" t="n">
        <v>0.029</v>
      </c>
      <c r="AA24" s="22" t="n">
        <v>0.031</v>
      </c>
      <c r="AB24" s="22" t="n">
        <v>0.032</v>
      </c>
      <c r="AC24" s="22" t="n">
        <v>0.032</v>
      </c>
      <c r="AD24" s="22" t="n">
        <v>0.031</v>
      </c>
      <c r="AE24" s="22" t="n">
        <v>0.032</v>
      </c>
      <c r="AF24" s="22" t="n">
        <v>0.032</v>
      </c>
    </row>
    <row r="25" customFormat="false" ht="15" hidden="false" customHeight="false" outlineLevel="0" collapsed="false">
      <c r="A25" s="22" t="s">
        <v>139</v>
      </c>
      <c r="B25" s="22" t="s">
        <v>3</v>
      </c>
      <c r="C25" s="22" t="s">
        <v>139</v>
      </c>
      <c r="D25" s="22" t="n">
        <v>10900</v>
      </c>
      <c r="E25" s="22" t="s">
        <v>136</v>
      </c>
      <c r="F25" s="22" t="s">
        <v>137</v>
      </c>
      <c r="G25" s="22" t="s">
        <v>131</v>
      </c>
      <c r="H25" s="22" t="s">
        <v>131</v>
      </c>
      <c r="I25" s="22" t="n">
        <v>8</v>
      </c>
      <c r="J25" s="22" t="n">
        <v>6</v>
      </c>
      <c r="K25" s="22" t="n">
        <v>6</v>
      </c>
      <c r="L25" s="22" t="n">
        <v>4</v>
      </c>
      <c r="M25" s="22" t="n">
        <v>2</v>
      </c>
      <c r="N25" s="22" t="n">
        <v>5</v>
      </c>
      <c r="O25" s="22" t="n">
        <v>5</v>
      </c>
      <c r="P25" s="22" t="n">
        <v>5</v>
      </c>
      <c r="Q25" s="22" t="n">
        <v>5</v>
      </c>
      <c r="R25" s="22" t="n">
        <v>2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customFormat="false" ht="15" hidden="false" customHeight="false" outlineLevel="0" collapsed="false">
      <c r="A26" s="22" t="s">
        <v>140</v>
      </c>
      <c r="B26" s="22" t="s">
        <v>3</v>
      </c>
      <c r="C26" s="22" t="s">
        <v>140</v>
      </c>
      <c r="D26" s="22" t="n">
        <v>11244</v>
      </c>
      <c r="E26" s="22" t="s">
        <v>129</v>
      </c>
      <c r="F26" s="22" t="s">
        <v>130</v>
      </c>
      <c r="G26" s="22" t="s">
        <v>131</v>
      </c>
      <c r="H26" s="22" t="s">
        <v>131</v>
      </c>
      <c r="I26" s="22" t="n">
        <v>2.95771990998124</v>
      </c>
      <c r="J26" s="22" t="n">
        <v>2.98144148491939</v>
      </c>
      <c r="K26" s="22" t="n">
        <v>3.03580273586909</v>
      </c>
      <c r="L26" s="22" t="n">
        <v>3.07705334268878</v>
      </c>
      <c r="M26" s="22" t="n">
        <v>3.10475784255419</v>
      </c>
      <c r="N26" s="22" t="n">
        <v>3.16492685496381</v>
      </c>
      <c r="O26" s="22" t="n">
        <v>3.18065979029648</v>
      </c>
      <c r="P26" s="22" t="n">
        <v>3.22409051200126</v>
      </c>
      <c r="Q26" s="22" t="n">
        <v>3.26185461292048</v>
      </c>
      <c r="R26" s="22" t="n">
        <v>3.28904076779097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 customFormat="false" ht="15" hidden="false" customHeight="false" outlineLevel="0" collapsed="false">
      <c r="A27" s="22" t="s">
        <v>140</v>
      </c>
      <c r="B27" s="22" t="s">
        <v>3</v>
      </c>
      <c r="C27" s="22" t="s">
        <v>140</v>
      </c>
      <c r="D27" s="22" t="n">
        <v>11244</v>
      </c>
      <c r="E27" s="22" t="s">
        <v>132</v>
      </c>
      <c r="F27" s="22" t="s">
        <v>6</v>
      </c>
      <c r="G27" s="22" t="s">
        <v>131</v>
      </c>
      <c r="H27" s="22" t="s">
        <v>131</v>
      </c>
      <c r="I27" s="22" t="n">
        <v>3.115</v>
      </c>
      <c r="J27" s="22" t="n">
        <v>3.117</v>
      </c>
      <c r="K27" s="22" t="n">
        <v>3.173</v>
      </c>
      <c r="L27" s="22" t="n">
        <v>3.164</v>
      </c>
      <c r="M27" s="22" t="n">
        <v>3.164</v>
      </c>
      <c r="N27" s="22" t="n">
        <v>3.213</v>
      </c>
      <c r="O27" s="22" t="n">
        <v>3.259</v>
      </c>
      <c r="P27" s="22" t="n">
        <v>3.231</v>
      </c>
      <c r="Q27" s="22" t="n">
        <v>3.231</v>
      </c>
      <c r="R27" s="22" t="n">
        <v>3.264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</row>
    <row r="28" customFormat="false" ht="15" hidden="false" customHeight="false" outlineLevel="0" collapsed="false">
      <c r="A28" s="22" t="s">
        <v>140</v>
      </c>
      <c r="B28" s="22" t="s">
        <v>3</v>
      </c>
      <c r="C28" s="22" t="s">
        <v>140</v>
      </c>
      <c r="D28" s="22" t="n">
        <v>11244</v>
      </c>
      <c r="E28" s="22" t="s">
        <v>132</v>
      </c>
      <c r="F28" s="22" t="s">
        <v>133</v>
      </c>
      <c r="G28" s="22" t="s">
        <v>131</v>
      </c>
      <c r="H28" s="22" t="s">
        <v>131</v>
      </c>
      <c r="I28" s="22" t="n">
        <v>269177</v>
      </c>
      <c r="J28" s="22" t="n">
        <v>269472</v>
      </c>
      <c r="K28" s="22" t="n">
        <v>270319</v>
      </c>
      <c r="L28" s="22" t="n">
        <v>270962</v>
      </c>
      <c r="M28" s="22" t="n">
        <v>271449</v>
      </c>
      <c r="N28" s="22" t="n">
        <v>272221</v>
      </c>
      <c r="O28" s="22" t="n">
        <v>272688</v>
      </c>
      <c r="P28" s="22" t="n">
        <v>273224</v>
      </c>
      <c r="Q28" s="22" t="n">
        <v>274073</v>
      </c>
      <c r="R28" s="22" t="n">
        <v>274800</v>
      </c>
      <c r="S28" s="22" t="n">
        <v>275500</v>
      </c>
      <c r="T28" s="22" t="n">
        <v>277814</v>
      </c>
      <c r="U28" s="22" t="n">
        <v>278365</v>
      </c>
      <c r="V28" s="22" t="n">
        <v>279047</v>
      </c>
      <c r="W28" s="22" t="n">
        <v>279606</v>
      </c>
      <c r="X28" s="22" t="n">
        <v>280271</v>
      </c>
      <c r="Y28" s="22" t="n">
        <v>280907</v>
      </c>
      <c r="Z28" s="22" t="n">
        <v>281545</v>
      </c>
      <c r="AA28" s="22" t="n">
        <v>282261</v>
      </c>
      <c r="AB28" s="22" t="n">
        <v>282937</v>
      </c>
      <c r="AC28" s="22" t="n">
        <v>283202</v>
      </c>
      <c r="AD28" s="22" t="n">
        <v>283820</v>
      </c>
      <c r="AE28" s="22" t="n">
        <v>284750</v>
      </c>
      <c r="AF28" s="22" t="n">
        <v>285060</v>
      </c>
    </row>
    <row r="29" customFormat="false" ht="15" hidden="false" customHeight="false" outlineLevel="0" collapsed="false">
      <c r="A29" s="22" t="s">
        <v>140</v>
      </c>
      <c r="B29" s="22" t="s">
        <v>3</v>
      </c>
      <c r="C29" s="22" t="s">
        <v>140</v>
      </c>
      <c r="D29" s="22" t="n">
        <v>11244</v>
      </c>
      <c r="E29" s="22" t="s">
        <v>132</v>
      </c>
      <c r="F29" s="22" t="s">
        <v>5</v>
      </c>
      <c r="G29" s="22" t="s">
        <v>131</v>
      </c>
      <c r="H29" s="22" t="s">
        <v>131</v>
      </c>
      <c r="I29" s="22" t="n">
        <v>3.125</v>
      </c>
      <c r="J29" s="22" t="n">
        <v>3.129</v>
      </c>
      <c r="K29" s="22" t="n">
        <v>3.187</v>
      </c>
      <c r="L29" s="22" t="n">
        <v>3.177</v>
      </c>
      <c r="M29" s="22" t="n">
        <v>3.174</v>
      </c>
      <c r="N29" s="22" t="n">
        <v>3.22</v>
      </c>
      <c r="O29" s="22" t="n">
        <v>3.266</v>
      </c>
      <c r="P29" s="22" t="n">
        <v>3.242</v>
      </c>
      <c r="Q29" s="22" t="n">
        <v>3.24</v>
      </c>
      <c r="R29" s="22" t="n">
        <v>3.274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customFormat="false" ht="15" hidden="false" customHeight="false" outlineLevel="0" collapsed="false">
      <c r="A30" s="22" t="s">
        <v>140</v>
      </c>
      <c r="B30" s="22" t="s">
        <v>3</v>
      </c>
      <c r="C30" s="22" t="s">
        <v>140</v>
      </c>
      <c r="D30" s="22" t="n">
        <v>11244</v>
      </c>
      <c r="E30" s="22" t="s">
        <v>134</v>
      </c>
      <c r="F30" s="22" t="s">
        <v>135</v>
      </c>
      <c r="G30" s="22" t="s">
        <v>131</v>
      </c>
      <c r="H30" s="22" t="s">
        <v>131</v>
      </c>
      <c r="I30" s="22" t="n">
        <v>0.0255</v>
      </c>
      <c r="J30" s="22" t="n">
        <v>0.0201</v>
      </c>
      <c r="K30" s="22" t="n">
        <v>0.0143</v>
      </c>
      <c r="L30" s="22" t="n">
        <v>0.0069</v>
      </c>
      <c r="M30" s="22" t="n">
        <v>0.0134</v>
      </c>
      <c r="N30" s="22" t="n">
        <v>0.0213</v>
      </c>
      <c r="O30" s="22" t="n">
        <v>0.0136</v>
      </c>
      <c r="P30" s="22" t="n">
        <v>0.0082</v>
      </c>
      <c r="Q30" s="22" t="n">
        <v>0.0098</v>
      </c>
      <c r="R30" s="22" t="n">
        <v>0.0126</v>
      </c>
      <c r="S30" s="22" t="n">
        <v>0.014</v>
      </c>
      <c r="T30" s="22" t="n">
        <v>0.02</v>
      </c>
      <c r="U30" s="22" t="n">
        <v>0.023</v>
      </c>
      <c r="V30" s="22" t="n">
        <v>0.023</v>
      </c>
      <c r="W30" s="22" t="n">
        <v>0.025</v>
      </c>
      <c r="X30" s="22" t="n">
        <v>0.028</v>
      </c>
      <c r="Y30" s="22" t="n">
        <v>0.029</v>
      </c>
      <c r="Z30" s="22" t="n">
        <v>0.027</v>
      </c>
      <c r="AA30" s="22" t="n">
        <v>0.027</v>
      </c>
      <c r="AB30" s="22" t="n">
        <v>0.029</v>
      </c>
      <c r="AC30" s="22" t="n">
        <v>0.029</v>
      </c>
      <c r="AD30" s="22" t="n">
        <v>0.027</v>
      </c>
      <c r="AE30" s="22" t="n">
        <v>0.026</v>
      </c>
      <c r="AF30" s="22" t="n">
        <v>0.028</v>
      </c>
    </row>
    <row r="31" customFormat="false" ht="15" hidden="false" customHeight="false" outlineLevel="0" collapsed="false">
      <c r="A31" s="22" t="s">
        <v>140</v>
      </c>
      <c r="B31" s="22" t="s">
        <v>3</v>
      </c>
      <c r="C31" s="22" t="s">
        <v>140</v>
      </c>
      <c r="D31" s="22" t="n">
        <v>11244</v>
      </c>
      <c r="E31" s="22" t="s">
        <v>136</v>
      </c>
      <c r="F31" s="22" t="s">
        <v>137</v>
      </c>
      <c r="G31" s="22" t="s">
        <v>131</v>
      </c>
      <c r="H31" s="22" t="s">
        <v>131</v>
      </c>
      <c r="I31" s="22" t="n">
        <v>5</v>
      </c>
      <c r="J31" s="22" t="n">
        <v>5</v>
      </c>
      <c r="K31" s="22" t="n">
        <v>5</v>
      </c>
      <c r="L31" s="22" t="n">
        <v>6</v>
      </c>
      <c r="M31" s="22" t="n">
        <v>6</v>
      </c>
      <c r="N31" s="22" t="n">
        <v>5</v>
      </c>
      <c r="O31" s="22" t="n">
        <v>4</v>
      </c>
      <c r="P31" s="22" t="n">
        <v>7</v>
      </c>
      <c r="Q31" s="22" t="n">
        <v>9</v>
      </c>
      <c r="R31" s="22" t="n">
        <v>9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customFormat="false" ht="15" hidden="false" customHeight="false" outlineLevel="0" collapsed="false">
      <c r="A32" s="22" t="s">
        <v>141</v>
      </c>
      <c r="B32" s="22" t="s">
        <v>3</v>
      </c>
      <c r="C32" s="22" t="s">
        <v>141</v>
      </c>
      <c r="D32" s="22" t="n">
        <v>11460</v>
      </c>
      <c r="E32" s="22" t="s">
        <v>129</v>
      </c>
      <c r="F32" s="22" t="s">
        <v>130</v>
      </c>
      <c r="G32" s="22" t="s">
        <v>131</v>
      </c>
      <c r="H32" s="22" t="s">
        <v>131</v>
      </c>
      <c r="I32" s="22" t="n">
        <v>1.63636297879957</v>
      </c>
      <c r="J32" s="22" t="n">
        <v>1.61205726962665</v>
      </c>
      <c r="K32" s="22" t="n">
        <v>1.6333018982876</v>
      </c>
      <c r="L32" s="22" t="n">
        <v>1.64329085526401</v>
      </c>
      <c r="M32" s="22" t="n">
        <v>1.62164359190925</v>
      </c>
      <c r="N32" s="22" t="n">
        <v>1.61441446035331</v>
      </c>
      <c r="O32" s="22" t="n">
        <v>1.63772325912416</v>
      </c>
      <c r="P32" s="22" t="n">
        <v>1.66958347696506</v>
      </c>
      <c r="Q32" s="22" t="n">
        <v>1.66250143030248</v>
      </c>
      <c r="R32" s="22" t="n">
        <v>1.66429045763029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 customFormat="false" ht="15" hidden="false" customHeight="false" outlineLevel="0" collapsed="false">
      <c r="A33" s="22" t="s">
        <v>141</v>
      </c>
      <c r="B33" s="22" t="s">
        <v>3</v>
      </c>
      <c r="C33" s="22" t="s">
        <v>141</v>
      </c>
      <c r="D33" s="22" t="n">
        <v>11460</v>
      </c>
      <c r="E33" s="22" t="s">
        <v>132</v>
      </c>
      <c r="F33" s="22" t="s">
        <v>6</v>
      </c>
      <c r="G33" s="22" t="s">
        <v>131</v>
      </c>
      <c r="H33" s="22" t="s">
        <v>131</v>
      </c>
      <c r="I33" s="22" t="n">
        <v>1.765</v>
      </c>
      <c r="J33" s="22" t="n">
        <v>1.804</v>
      </c>
      <c r="K33" s="22" t="n">
        <v>1.83</v>
      </c>
      <c r="L33" s="22" t="n">
        <v>1.814</v>
      </c>
      <c r="M33" s="22" t="n">
        <v>1.806</v>
      </c>
      <c r="N33" s="22" t="n">
        <v>1.866</v>
      </c>
      <c r="O33" s="22" t="n">
        <v>1.812</v>
      </c>
      <c r="P33" s="22" t="n">
        <v>1.693</v>
      </c>
      <c r="Q33" s="22" t="n">
        <v>1.752</v>
      </c>
      <c r="R33" s="22" t="n">
        <v>1.806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</row>
    <row r="34" customFormat="false" ht="15" hidden="false" customHeight="false" outlineLevel="0" collapsed="false">
      <c r="A34" s="22" t="s">
        <v>141</v>
      </c>
      <c r="B34" s="22" t="s">
        <v>3</v>
      </c>
      <c r="C34" s="22" t="s">
        <v>141</v>
      </c>
      <c r="D34" s="22" t="n">
        <v>11460</v>
      </c>
      <c r="E34" s="22" t="s">
        <v>132</v>
      </c>
      <c r="F34" s="22" t="s">
        <v>133</v>
      </c>
      <c r="G34" s="22" t="s">
        <v>131</v>
      </c>
      <c r="H34" s="22" t="s">
        <v>131</v>
      </c>
      <c r="I34" s="22" t="n">
        <v>38647</v>
      </c>
      <c r="J34" s="22" t="n">
        <v>38791</v>
      </c>
      <c r="K34" s="22" t="n">
        <v>39225</v>
      </c>
      <c r="L34" s="22" t="n">
        <v>39542</v>
      </c>
      <c r="M34" s="22" t="n">
        <v>38845</v>
      </c>
      <c r="N34" s="22" t="n">
        <v>38919</v>
      </c>
      <c r="O34" s="22" t="n">
        <v>39056</v>
      </c>
      <c r="P34" s="22" t="n">
        <v>39125</v>
      </c>
      <c r="Q34" s="22" t="n">
        <v>39125</v>
      </c>
      <c r="R34" s="22" t="n">
        <v>38892</v>
      </c>
      <c r="S34" s="22" t="n">
        <v>39279</v>
      </c>
      <c r="T34" s="22" t="n">
        <v>39332</v>
      </c>
      <c r="U34" s="22" t="n">
        <v>39339</v>
      </c>
      <c r="V34" s="22" t="n">
        <v>39360</v>
      </c>
      <c r="W34" s="22" t="n">
        <v>39383</v>
      </c>
      <c r="X34" s="22" t="n">
        <v>39383</v>
      </c>
      <c r="Y34" s="22" t="n">
        <v>39383</v>
      </c>
      <c r="Z34" s="22" t="n">
        <v>39450</v>
      </c>
      <c r="AA34" s="22" t="n">
        <v>39644</v>
      </c>
      <c r="AB34" s="22" t="n">
        <v>39729</v>
      </c>
      <c r="AC34" s="22" t="n">
        <v>39759</v>
      </c>
      <c r="AD34" s="22" t="n">
        <v>39827</v>
      </c>
      <c r="AE34" s="22" t="n">
        <v>39970</v>
      </c>
      <c r="AF34" s="22" t="n">
        <v>40031</v>
      </c>
    </row>
    <row r="35" customFormat="false" ht="15" hidden="false" customHeight="false" outlineLevel="0" collapsed="false">
      <c r="A35" s="22" t="s">
        <v>141</v>
      </c>
      <c r="B35" s="22" t="s">
        <v>3</v>
      </c>
      <c r="C35" s="22" t="s">
        <v>141</v>
      </c>
      <c r="D35" s="22" t="n">
        <v>11460</v>
      </c>
      <c r="E35" s="22" t="s">
        <v>132</v>
      </c>
      <c r="F35" s="22" t="s">
        <v>5</v>
      </c>
      <c r="G35" s="22" t="s">
        <v>131</v>
      </c>
      <c r="H35" s="22" t="s">
        <v>131</v>
      </c>
      <c r="I35" s="22" t="n">
        <v>1.776</v>
      </c>
      <c r="J35" s="22" t="n">
        <v>1.818</v>
      </c>
      <c r="K35" s="22" t="n">
        <v>1.84</v>
      </c>
      <c r="L35" s="22" t="n">
        <v>1.823</v>
      </c>
      <c r="M35" s="22" t="n">
        <v>1.826</v>
      </c>
      <c r="N35" s="22" t="n">
        <v>1.891</v>
      </c>
      <c r="O35" s="22" t="n">
        <v>1.836</v>
      </c>
      <c r="P35" s="22" t="n">
        <v>1.726</v>
      </c>
      <c r="Q35" s="22" t="n">
        <v>1.792</v>
      </c>
      <c r="R35" s="22" t="n">
        <v>1.84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</row>
    <row r="36" customFormat="false" ht="15" hidden="false" customHeight="false" outlineLevel="0" collapsed="false">
      <c r="A36" s="22" t="s">
        <v>141</v>
      </c>
      <c r="B36" s="22" t="s">
        <v>3</v>
      </c>
      <c r="C36" s="22" t="s">
        <v>141</v>
      </c>
      <c r="D36" s="22" t="n">
        <v>11460</v>
      </c>
      <c r="E36" s="22" t="s">
        <v>134</v>
      </c>
      <c r="F36" s="22" t="s">
        <v>135</v>
      </c>
      <c r="G36" s="22" t="s">
        <v>131</v>
      </c>
      <c r="H36" s="22" t="s">
        <v>131</v>
      </c>
      <c r="I36" s="22" t="n">
        <v>0.021</v>
      </c>
      <c r="J36" s="22" t="n">
        <v>0.0245</v>
      </c>
      <c r="K36" s="22" t="n">
        <v>0.0195</v>
      </c>
      <c r="L36" s="22" t="n">
        <v>0.0355</v>
      </c>
      <c r="M36" s="22" t="n">
        <v>0.0194</v>
      </c>
      <c r="N36" s="22" t="n">
        <v>0.0243</v>
      </c>
      <c r="O36" s="22" t="n">
        <v>-0.0238</v>
      </c>
      <c r="P36" s="22" t="n">
        <v>-0.0594</v>
      </c>
      <c r="Q36" s="22" t="n">
        <v>-0.0206</v>
      </c>
      <c r="R36" s="22" t="n">
        <v>-0.0224</v>
      </c>
      <c r="S36" s="22" t="n">
        <v>-0.016</v>
      </c>
      <c r="T36" s="22" t="n">
        <v>-0.007</v>
      </c>
      <c r="U36" s="22" t="n">
        <v>0.005</v>
      </c>
      <c r="V36" s="22" t="n">
        <v>0.018</v>
      </c>
      <c r="W36" s="22" t="n">
        <v>0.022</v>
      </c>
      <c r="X36" s="22" t="n">
        <v>0.022</v>
      </c>
      <c r="Y36" s="22" t="n">
        <v>0.019</v>
      </c>
      <c r="Z36" s="22" t="n">
        <v>0.019</v>
      </c>
      <c r="AA36" s="22" t="n">
        <v>0.022</v>
      </c>
      <c r="AB36" s="22" t="n">
        <v>0.023</v>
      </c>
      <c r="AC36" s="22" t="n">
        <v>0.02</v>
      </c>
      <c r="AD36" s="22" t="n">
        <v>0.021</v>
      </c>
      <c r="AE36" s="22" t="n">
        <v>0.023</v>
      </c>
      <c r="AF36" s="22" t="n">
        <v>0.023</v>
      </c>
    </row>
    <row r="37" customFormat="false" ht="15" hidden="false" customHeight="false" outlineLevel="0" collapsed="false">
      <c r="A37" s="22" t="s">
        <v>141</v>
      </c>
      <c r="B37" s="22" t="s">
        <v>3</v>
      </c>
      <c r="C37" s="22" t="s">
        <v>141</v>
      </c>
      <c r="D37" s="22" t="n">
        <v>11460</v>
      </c>
      <c r="E37" s="22" t="s">
        <v>136</v>
      </c>
      <c r="F37" s="22" t="s">
        <v>137</v>
      </c>
      <c r="G37" s="22" t="s">
        <v>131</v>
      </c>
      <c r="H37" s="22" t="s">
        <v>131</v>
      </c>
      <c r="I37" s="22" t="n">
        <v>5</v>
      </c>
      <c r="J37" s="22" t="n">
        <v>2</v>
      </c>
      <c r="K37" s="22" t="n">
        <v>1</v>
      </c>
      <c r="L37" s="22" t="n">
        <v>1</v>
      </c>
      <c r="M37" s="22" t="n">
        <v>2</v>
      </c>
      <c r="N37" s="22" t="n">
        <v>2</v>
      </c>
      <c r="O37" s="22" t="n">
        <v>1</v>
      </c>
      <c r="P37" s="22" t="n">
        <v>1</v>
      </c>
      <c r="Q37" s="22" t="n">
        <v>1</v>
      </c>
      <c r="R37" s="22" t="n">
        <v>1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</row>
    <row r="38" customFormat="false" ht="15" hidden="false" customHeight="false" outlineLevel="0" collapsed="false">
      <c r="A38" s="22" t="s">
        <v>64</v>
      </c>
      <c r="B38" s="22" t="s">
        <v>3</v>
      </c>
      <c r="C38" s="22" t="s">
        <v>64</v>
      </c>
      <c r="D38" s="22" t="n">
        <v>211700</v>
      </c>
      <c r="E38" s="22" t="s">
        <v>129</v>
      </c>
      <c r="F38" s="22" t="s">
        <v>130</v>
      </c>
      <c r="G38" s="22" t="s">
        <v>131</v>
      </c>
      <c r="H38" s="22" t="s">
        <v>131</v>
      </c>
      <c r="I38" s="22" t="n">
        <v>1.63039736092363</v>
      </c>
      <c r="J38" s="22" t="n">
        <v>1.63395788029353</v>
      </c>
      <c r="K38" s="22" t="n">
        <v>1.62622264744294</v>
      </c>
      <c r="L38" s="22" t="n">
        <v>1.62652613471598</v>
      </c>
      <c r="M38" s="22" t="n">
        <v>1.62837482340229</v>
      </c>
      <c r="N38" s="22" t="n">
        <v>1.62007071552019</v>
      </c>
      <c r="O38" s="22" t="n">
        <v>1.61217955056253</v>
      </c>
      <c r="P38" s="22" t="n">
        <v>1.59662162763646</v>
      </c>
      <c r="Q38" s="22" t="n">
        <v>1.58418028043066</v>
      </c>
      <c r="R38" s="22" t="n">
        <v>1.56648100010992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</row>
    <row r="39" customFormat="false" ht="15" hidden="false" customHeight="false" outlineLevel="0" collapsed="false">
      <c r="A39" s="22" t="s">
        <v>64</v>
      </c>
      <c r="B39" s="22" t="s">
        <v>3</v>
      </c>
      <c r="C39" s="22" t="s">
        <v>64</v>
      </c>
      <c r="D39" s="22" t="n">
        <v>211700</v>
      </c>
      <c r="E39" s="22" t="s">
        <v>132</v>
      </c>
      <c r="F39" s="22" t="s">
        <v>6</v>
      </c>
      <c r="G39" s="22" t="s">
        <v>131</v>
      </c>
      <c r="H39" s="22" t="s">
        <v>131</v>
      </c>
      <c r="I39" s="22" t="n">
        <v>1.648</v>
      </c>
      <c r="J39" s="22" t="n">
        <v>1.669</v>
      </c>
      <c r="K39" s="22" t="n">
        <v>1.67</v>
      </c>
      <c r="L39" s="22" t="n">
        <v>1.654</v>
      </c>
      <c r="M39" s="22" t="n">
        <v>1.602</v>
      </c>
      <c r="N39" s="22" t="n">
        <v>1.586</v>
      </c>
      <c r="O39" s="22" t="n">
        <v>1.551</v>
      </c>
      <c r="P39" s="22" t="n">
        <v>1.549</v>
      </c>
      <c r="Q39" s="22" t="n">
        <v>1.537</v>
      </c>
      <c r="R39" s="22" t="n">
        <v>1.513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customFormat="false" ht="15" hidden="false" customHeight="false" outlineLevel="0" collapsed="false">
      <c r="A40" s="22" t="s">
        <v>64</v>
      </c>
      <c r="B40" s="22" t="s">
        <v>3</v>
      </c>
      <c r="C40" s="22" t="s">
        <v>64</v>
      </c>
      <c r="D40" s="22" t="n">
        <v>211700</v>
      </c>
      <c r="E40" s="22" t="s">
        <v>132</v>
      </c>
      <c r="F40" s="22" t="s">
        <v>133</v>
      </c>
      <c r="G40" s="22" t="s">
        <v>131</v>
      </c>
      <c r="H40" s="22" t="s">
        <v>131</v>
      </c>
      <c r="I40" s="22" t="n">
        <v>25832</v>
      </c>
      <c r="J40" s="22" t="n">
        <v>26220</v>
      </c>
      <c r="K40" s="22" t="n">
        <v>26575</v>
      </c>
      <c r="L40" s="22" t="n">
        <v>26731</v>
      </c>
      <c r="M40" s="22" t="n">
        <v>26996</v>
      </c>
      <c r="N40" s="22" t="n">
        <v>27692</v>
      </c>
      <c r="O40" s="22" t="n">
        <v>28180</v>
      </c>
      <c r="P40" s="22" t="n">
        <v>28886</v>
      </c>
      <c r="Q40" s="22" t="n">
        <v>29674</v>
      </c>
      <c r="R40" s="22" t="n">
        <v>30377</v>
      </c>
      <c r="S40" s="22" t="n">
        <v>30637</v>
      </c>
      <c r="T40" s="22" t="n">
        <v>30978</v>
      </c>
      <c r="U40" s="22" t="n">
        <v>31177</v>
      </c>
      <c r="V40" s="22" t="n">
        <v>31856</v>
      </c>
      <c r="W40" s="22" t="n">
        <v>32778</v>
      </c>
      <c r="X40" s="22" t="n">
        <v>33172</v>
      </c>
      <c r="Y40" s="22" t="n">
        <v>33415</v>
      </c>
      <c r="Z40" s="22" t="n">
        <v>33592</v>
      </c>
      <c r="AA40" s="22" t="n">
        <v>33742</v>
      </c>
      <c r="AB40" s="22" t="n">
        <v>33991</v>
      </c>
      <c r="AC40" s="22" t="n">
        <v>34064</v>
      </c>
      <c r="AD40" s="22" t="n">
        <v>34130</v>
      </c>
      <c r="AE40" s="22" t="n">
        <v>34268</v>
      </c>
      <c r="AF40" s="22" t="n">
        <v>34508</v>
      </c>
    </row>
    <row r="41" customFormat="false" ht="15" hidden="false" customHeight="false" outlineLevel="0" collapsed="false">
      <c r="A41" s="22" t="s">
        <v>64</v>
      </c>
      <c r="B41" s="22" t="s">
        <v>3</v>
      </c>
      <c r="C41" s="22" t="s">
        <v>64</v>
      </c>
      <c r="D41" s="22" t="n">
        <v>211700</v>
      </c>
      <c r="E41" s="22" t="s">
        <v>132</v>
      </c>
      <c r="F41" s="22" t="s">
        <v>5</v>
      </c>
      <c r="G41" s="22" t="s">
        <v>131</v>
      </c>
      <c r="H41" s="22" t="s">
        <v>131</v>
      </c>
      <c r="I41" s="22" t="n">
        <v>1.66</v>
      </c>
      <c r="J41" s="22" t="n">
        <v>1.679</v>
      </c>
      <c r="K41" s="22" t="n">
        <v>1.684</v>
      </c>
      <c r="L41" s="22" t="n">
        <v>1.67</v>
      </c>
      <c r="M41" s="22" t="n">
        <v>1.631</v>
      </c>
      <c r="N41" s="22" t="n">
        <v>1.614</v>
      </c>
      <c r="O41" s="22" t="n">
        <v>1.584</v>
      </c>
      <c r="P41" s="22" t="n">
        <v>1.583</v>
      </c>
      <c r="Q41" s="22" t="n">
        <v>1.58</v>
      </c>
      <c r="R41" s="22" t="n">
        <v>1.564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</row>
    <row r="42" customFormat="false" ht="15" hidden="false" customHeight="false" outlineLevel="0" collapsed="false">
      <c r="A42" s="22" t="s">
        <v>64</v>
      </c>
      <c r="B42" s="22" t="s">
        <v>3</v>
      </c>
      <c r="C42" s="22" t="s">
        <v>64</v>
      </c>
      <c r="D42" s="22" t="n">
        <v>211700</v>
      </c>
      <c r="E42" s="22" t="s">
        <v>134</v>
      </c>
      <c r="F42" s="22" t="s">
        <v>135</v>
      </c>
      <c r="G42" s="22" t="s">
        <v>131</v>
      </c>
      <c r="H42" s="22" t="s">
        <v>131</v>
      </c>
      <c r="I42" s="22" t="n">
        <v>-0.0186</v>
      </c>
      <c r="J42" s="22" t="n">
        <v>-0.0045</v>
      </c>
      <c r="K42" s="22" t="n">
        <v>-0.0047</v>
      </c>
      <c r="L42" s="22" t="n">
        <v>-0.004</v>
      </c>
      <c r="M42" s="22" t="n">
        <v>-0.028</v>
      </c>
      <c r="N42" s="22" t="n">
        <v>-0.0511</v>
      </c>
      <c r="O42" s="22" t="n">
        <v>-0.0801</v>
      </c>
      <c r="P42" s="22" t="n">
        <v>-0.0728</v>
      </c>
      <c r="Q42" s="22" t="n">
        <v>-0.0537</v>
      </c>
      <c r="R42" s="22" t="n">
        <v>-0.0553</v>
      </c>
      <c r="S42" s="22" t="n">
        <v>-0.048</v>
      </c>
      <c r="T42" s="22" t="n">
        <v>-0.039</v>
      </c>
      <c r="U42" s="22" t="n">
        <v>-0.019</v>
      </c>
      <c r="V42" s="22" t="n">
        <v>0.008</v>
      </c>
      <c r="W42" s="22" t="n">
        <v>0.039</v>
      </c>
      <c r="X42" s="22" t="n">
        <v>0.04</v>
      </c>
      <c r="Y42" s="22" t="n">
        <v>0.037</v>
      </c>
      <c r="Z42" s="22" t="n">
        <v>0.033</v>
      </c>
      <c r="AA42" s="22" t="n">
        <v>0.034</v>
      </c>
      <c r="AB42" s="22" t="n">
        <v>0.037</v>
      </c>
      <c r="AC42" s="22" t="n">
        <v>0.036</v>
      </c>
      <c r="AD42" s="22" t="n">
        <v>0.036</v>
      </c>
      <c r="AE42" s="22" t="n">
        <v>0.036</v>
      </c>
      <c r="AF42" s="22" t="n">
        <v>0.035</v>
      </c>
    </row>
    <row r="43" customFormat="false" ht="15" hidden="false" customHeight="false" outlineLevel="0" collapsed="false">
      <c r="A43" s="22" t="s">
        <v>64</v>
      </c>
      <c r="B43" s="22" t="s">
        <v>3</v>
      </c>
      <c r="C43" s="22" t="s">
        <v>64</v>
      </c>
      <c r="D43" s="22" t="n">
        <v>211700</v>
      </c>
      <c r="E43" s="22" t="s">
        <v>136</v>
      </c>
      <c r="F43" s="22" t="s">
        <v>137</v>
      </c>
      <c r="G43" s="22" t="s">
        <v>131</v>
      </c>
      <c r="H43" s="22" t="s">
        <v>131</v>
      </c>
      <c r="I43" s="22" t="n">
        <v>9</v>
      </c>
      <c r="J43" s="22" t="n">
        <v>10</v>
      </c>
      <c r="K43" s="22" t="n">
        <v>12</v>
      </c>
      <c r="L43" s="22" t="n">
        <v>9</v>
      </c>
      <c r="M43" s="22" t="n">
        <v>6</v>
      </c>
      <c r="N43" s="22" t="n">
        <v>7</v>
      </c>
      <c r="O43" s="22" t="n">
        <v>8</v>
      </c>
      <c r="P43" s="22" t="n">
        <v>10</v>
      </c>
      <c r="Q43" s="22" t="n">
        <v>13</v>
      </c>
      <c r="R43" s="22" t="n">
        <v>11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customFormat="false" ht="15" hidden="false" customHeight="false" outlineLevel="0" collapsed="false">
      <c r="A44" s="22" t="s">
        <v>81</v>
      </c>
      <c r="B44" s="22" t="s">
        <v>3</v>
      </c>
      <c r="C44" s="22" t="s">
        <v>81</v>
      </c>
      <c r="D44" s="22" t="n">
        <v>12060</v>
      </c>
      <c r="E44" s="22" t="s">
        <v>129</v>
      </c>
      <c r="F44" s="22" t="s">
        <v>130</v>
      </c>
      <c r="G44" s="22" t="s">
        <v>131</v>
      </c>
      <c r="H44" s="22" t="s">
        <v>131</v>
      </c>
      <c r="I44" s="22" t="n">
        <v>1.65881534025601</v>
      </c>
      <c r="J44" s="22" t="n">
        <v>1.65486829065868</v>
      </c>
      <c r="K44" s="22" t="n">
        <v>1.64614720885404</v>
      </c>
      <c r="L44" s="22" t="n">
        <v>1.62482385903775</v>
      </c>
      <c r="M44" s="22" t="n">
        <v>1.6179003803518</v>
      </c>
      <c r="N44" s="22" t="n">
        <v>1.61994044308514</v>
      </c>
      <c r="O44" s="22" t="n">
        <v>1.62046971520696</v>
      </c>
      <c r="P44" s="22" t="n">
        <v>1.62629624768121</v>
      </c>
      <c r="Q44" s="22" t="n">
        <v>1.62851716968814</v>
      </c>
      <c r="R44" s="22" t="n">
        <v>1.62847014432668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customFormat="false" ht="15" hidden="false" customHeight="false" outlineLevel="0" collapsed="false">
      <c r="A45" s="22" t="s">
        <v>81</v>
      </c>
      <c r="B45" s="22" t="s">
        <v>3</v>
      </c>
      <c r="C45" s="22" t="s">
        <v>81</v>
      </c>
      <c r="D45" s="22" t="n">
        <v>12060</v>
      </c>
      <c r="E45" s="22" t="s">
        <v>132</v>
      </c>
      <c r="F45" s="22" t="s">
        <v>6</v>
      </c>
      <c r="G45" s="22" t="s">
        <v>131</v>
      </c>
      <c r="H45" s="22" t="s">
        <v>131</v>
      </c>
      <c r="I45" s="22" t="n">
        <v>1.593</v>
      </c>
      <c r="J45" s="22" t="n">
        <v>1.597</v>
      </c>
      <c r="K45" s="22" t="n">
        <v>1.584</v>
      </c>
      <c r="L45" s="22" t="n">
        <v>1.547</v>
      </c>
      <c r="M45" s="22" t="n">
        <v>1.551</v>
      </c>
      <c r="N45" s="22" t="n">
        <v>1.567</v>
      </c>
      <c r="O45" s="22" t="n">
        <v>1.573</v>
      </c>
      <c r="P45" s="22" t="n">
        <v>1.549</v>
      </c>
      <c r="Q45" s="22" t="n">
        <v>1.552</v>
      </c>
      <c r="R45" s="22" t="n">
        <v>1.562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</row>
    <row r="46" customFormat="false" ht="15" hidden="false" customHeight="false" outlineLevel="0" collapsed="false">
      <c r="A46" s="22" t="s">
        <v>81</v>
      </c>
      <c r="B46" s="22" t="s">
        <v>3</v>
      </c>
      <c r="C46" s="22" t="s">
        <v>81</v>
      </c>
      <c r="D46" s="22" t="n">
        <v>12060</v>
      </c>
      <c r="E46" s="22" t="s">
        <v>132</v>
      </c>
      <c r="F46" s="22" t="s">
        <v>133</v>
      </c>
      <c r="G46" s="22" t="s">
        <v>131</v>
      </c>
      <c r="H46" s="22" t="s">
        <v>131</v>
      </c>
      <c r="I46" s="22" t="n">
        <v>560365</v>
      </c>
      <c r="J46" s="22" t="n">
        <v>566113</v>
      </c>
      <c r="K46" s="22" t="n">
        <v>573379</v>
      </c>
      <c r="L46" s="22" t="n">
        <v>579055</v>
      </c>
      <c r="M46" s="22" t="n">
        <v>583692</v>
      </c>
      <c r="N46" s="22" t="n">
        <v>588232</v>
      </c>
      <c r="O46" s="22" t="n">
        <v>591864</v>
      </c>
      <c r="P46" s="22" t="n">
        <v>595053</v>
      </c>
      <c r="Q46" s="22" t="n">
        <v>597135</v>
      </c>
      <c r="R46" s="22" t="n">
        <v>599838</v>
      </c>
      <c r="S46" s="22" t="n">
        <v>601863</v>
      </c>
      <c r="T46" s="22" t="n">
        <v>604556</v>
      </c>
      <c r="U46" s="22" t="n">
        <v>607519</v>
      </c>
      <c r="V46" s="22" t="n">
        <v>610684</v>
      </c>
      <c r="W46" s="22" t="n">
        <v>613476</v>
      </c>
      <c r="X46" s="22" t="n">
        <v>614978</v>
      </c>
      <c r="Y46" s="22" t="n">
        <v>616481</v>
      </c>
      <c r="Z46" s="22" t="n">
        <v>619075</v>
      </c>
      <c r="AA46" s="22" t="n">
        <v>620622</v>
      </c>
      <c r="AB46" s="22" t="n">
        <v>621880</v>
      </c>
      <c r="AC46" s="22" t="n">
        <v>623306</v>
      </c>
      <c r="AD46" s="22" t="n">
        <v>625912</v>
      </c>
      <c r="AE46" s="22" t="n">
        <v>627393</v>
      </c>
      <c r="AF46" s="22" t="n">
        <v>628508</v>
      </c>
    </row>
    <row r="47" customFormat="false" ht="15" hidden="false" customHeight="false" outlineLevel="0" collapsed="false">
      <c r="A47" s="22" t="s">
        <v>81</v>
      </c>
      <c r="B47" s="22" t="s">
        <v>3</v>
      </c>
      <c r="C47" s="22" t="s">
        <v>81</v>
      </c>
      <c r="D47" s="22" t="n">
        <v>12060</v>
      </c>
      <c r="E47" s="22" t="s">
        <v>132</v>
      </c>
      <c r="F47" s="22" t="s">
        <v>5</v>
      </c>
      <c r="G47" s="22" t="s">
        <v>131</v>
      </c>
      <c r="H47" s="22" t="s">
        <v>131</v>
      </c>
      <c r="I47" s="22" t="n">
        <v>1.613</v>
      </c>
      <c r="J47" s="22" t="n">
        <v>1.621</v>
      </c>
      <c r="K47" s="22" t="n">
        <v>1.614</v>
      </c>
      <c r="L47" s="22" t="n">
        <v>1.575</v>
      </c>
      <c r="M47" s="22" t="n">
        <v>1.58</v>
      </c>
      <c r="N47" s="22" t="n">
        <v>1.598</v>
      </c>
      <c r="O47" s="22" t="n">
        <v>1.606</v>
      </c>
      <c r="P47" s="22" t="n">
        <v>1.585</v>
      </c>
      <c r="Q47" s="22" t="n">
        <v>1.592</v>
      </c>
      <c r="R47" s="22" t="n">
        <v>1.607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</row>
    <row r="48" customFormat="false" ht="15" hidden="false" customHeight="false" outlineLevel="0" collapsed="false">
      <c r="A48" s="22" t="s">
        <v>81</v>
      </c>
      <c r="B48" s="22" t="s">
        <v>3</v>
      </c>
      <c r="C48" s="22" t="s">
        <v>81</v>
      </c>
      <c r="D48" s="22" t="n">
        <v>12060</v>
      </c>
      <c r="E48" s="22" t="s">
        <v>134</v>
      </c>
      <c r="F48" s="22" t="s">
        <v>135</v>
      </c>
      <c r="G48" s="22" t="s">
        <v>131</v>
      </c>
      <c r="H48" s="22" t="s">
        <v>131</v>
      </c>
      <c r="I48" s="22" t="n">
        <v>-0.0443</v>
      </c>
      <c r="J48" s="22" t="n">
        <v>-0.0466</v>
      </c>
      <c r="K48" s="22" t="n">
        <v>-0.0448</v>
      </c>
      <c r="L48" s="22" t="n">
        <v>-0.0409</v>
      </c>
      <c r="M48" s="22" t="n">
        <v>-0.0326</v>
      </c>
      <c r="N48" s="22" t="n">
        <v>-0.0268</v>
      </c>
      <c r="O48" s="22" t="n">
        <v>-0.0169</v>
      </c>
      <c r="P48" s="22" t="n">
        <v>-0.0107</v>
      </c>
      <c r="Q48" s="22" t="n">
        <v>-0.0119</v>
      </c>
      <c r="R48" s="22" t="n">
        <v>-0.0127</v>
      </c>
      <c r="S48" s="22" t="n">
        <v>-0.009</v>
      </c>
      <c r="T48" s="22" t="n">
        <v>-0.002</v>
      </c>
      <c r="U48" s="22" t="n">
        <v>0.005</v>
      </c>
      <c r="V48" s="22" t="n">
        <v>0.01</v>
      </c>
      <c r="W48" s="22" t="n">
        <v>0.015</v>
      </c>
      <c r="X48" s="22" t="n">
        <v>0.019</v>
      </c>
      <c r="Y48" s="22" t="n">
        <v>0.019</v>
      </c>
      <c r="Z48" s="22" t="n">
        <v>0.017</v>
      </c>
      <c r="AA48" s="22" t="n">
        <v>0.022</v>
      </c>
      <c r="AB48" s="22" t="n">
        <v>0.022</v>
      </c>
      <c r="AC48" s="22" t="n">
        <v>0.018</v>
      </c>
      <c r="AD48" s="22" t="n">
        <v>0.017</v>
      </c>
      <c r="AE48" s="22" t="n">
        <v>0.019</v>
      </c>
      <c r="AF48" s="22" t="n">
        <v>0.024</v>
      </c>
    </row>
    <row r="49" customFormat="false" ht="15" hidden="false" customHeight="false" outlineLevel="0" collapsed="false">
      <c r="A49" s="22" t="s">
        <v>81</v>
      </c>
      <c r="B49" s="22" t="s">
        <v>3</v>
      </c>
      <c r="C49" s="22" t="s">
        <v>81</v>
      </c>
      <c r="D49" s="22" t="n">
        <v>12060</v>
      </c>
      <c r="E49" s="22" t="s">
        <v>136</v>
      </c>
      <c r="F49" s="22" t="s">
        <v>137</v>
      </c>
      <c r="G49" s="22" t="s">
        <v>131</v>
      </c>
      <c r="H49" s="22" t="s">
        <v>131</v>
      </c>
      <c r="I49" s="22" t="n">
        <v>46</v>
      </c>
      <c r="J49" s="22" t="n">
        <v>46</v>
      </c>
      <c r="K49" s="22" t="n">
        <v>43</v>
      </c>
      <c r="L49" s="22" t="n">
        <v>41</v>
      </c>
      <c r="M49" s="22" t="n">
        <v>39</v>
      </c>
      <c r="N49" s="22" t="n">
        <v>35</v>
      </c>
      <c r="O49" s="22" t="n">
        <v>38</v>
      </c>
      <c r="P49" s="22" t="n">
        <v>40</v>
      </c>
      <c r="Q49" s="22" t="n">
        <v>39</v>
      </c>
      <c r="R49" s="22" t="n">
        <v>34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</row>
    <row r="50" customFormat="false" ht="15" hidden="false" customHeight="false" outlineLevel="0" collapsed="false">
      <c r="A50" s="22" t="s">
        <v>142</v>
      </c>
      <c r="B50" s="22" t="s">
        <v>3</v>
      </c>
      <c r="C50" s="22" t="s">
        <v>142</v>
      </c>
      <c r="D50" s="22" t="n">
        <v>12100</v>
      </c>
      <c r="E50" s="22" t="s">
        <v>129</v>
      </c>
      <c r="F50" s="22" t="s">
        <v>130</v>
      </c>
      <c r="G50" s="22" t="s">
        <v>131</v>
      </c>
      <c r="H50" s="22" t="s">
        <v>131</v>
      </c>
      <c r="I50" s="22" t="n">
        <v>1.55363897859971</v>
      </c>
      <c r="J50" s="22" t="n">
        <v>1.56908528201465</v>
      </c>
      <c r="K50" s="22" t="n">
        <v>1.6213791325555</v>
      </c>
      <c r="L50" s="22" t="n">
        <v>1.64232034655293</v>
      </c>
      <c r="M50" s="22" t="n">
        <v>1.65316134624843</v>
      </c>
      <c r="N50" s="22" t="n">
        <v>1.67036509155191</v>
      </c>
      <c r="O50" s="22" t="n">
        <v>1.69236606556277</v>
      </c>
      <c r="P50" s="22" t="n">
        <v>1.71214312026859</v>
      </c>
      <c r="Q50" s="22" t="n">
        <v>1.74039781494765</v>
      </c>
      <c r="R50" s="22" t="n">
        <v>1.76509588487451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customFormat="false" ht="15" hidden="false" customHeight="false" outlineLevel="0" collapsed="false">
      <c r="A51" s="22" t="s">
        <v>142</v>
      </c>
      <c r="B51" s="22" t="s">
        <v>3</v>
      </c>
      <c r="C51" s="22" t="s">
        <v>142</v>
      </c>
      <c r="D51" s="22" t="n">
        <v>12100</v>
      </c>
      <c r="E51" s="22" t="s">
        <v>132</v>
      </c>
      <c r="F51" s="22" t="s">
        <v>6</v>
      </c>
      <c r="G51" s="22" t="s">
        <v>131</v>
      </c>
      <c r="H51" s="22" t="s">
        <v>131</v>
      </c>
      <c r="I51" s="22" t="n">
        <v>1.799</v>
      </c>
      <c r="J51" s="22" t="n">
        <v>1.832</v>
      </c>
      <c r="K51" s="22" t="n">
        <v>1.869</v>
      </c>
      <c r="L51" s="22" t="n">
        <v>1.839</v>
      </c>
      <c r="M51" s="22" t="n">
        <v>1.859</v>
      </c>
      <c r="N51" s="22" t="n">
        <v>1.916</v>
      </c>
      <c r="O51" s="22" t="n">
        <v>1.9</v>
      </c>
      <c r="P51" s="22" t="n">
        <v>1.838</v>
      </c>
      <c r="Q51" s="22" t="n">
        <v>1.844</v>
      </c>
      <c r="R51" s="22" t="n">
        <v>1.962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customFormat="false" ht="15" hidden="false" customHeight="false" outlineLevel="0" collapsed="false">
      <c r="A52" s="22" t="s">
        <v>142</v>
      </c>
      <c r="B52" s="22" t="s">
        <v>3</v>
      </c>
      <c r="C52" s="22" t="s">
        <v>142</v>
      </c>
      <c r="D52" s="22" t="n">
        <v>12100</v>
      </c>
      <c r="E52" s="22" t="s">
        <v>132</v>
      </c>
      <c r="F52" s="22" t="s">
        <v>133</v>
      </c>
      <c r="G52" s="22" t="s">
        <v>131</v>
      </c>
      <c r="H52" s="22" t="s">
        <v>131</v>
      </c>
      <c r="I52" s="22" t="n">
        <v>32177</v>
      </c>
      <c r="J52" s="22" t="n">
        <v>32301</v>
      </c>
      <c r="K52" s="22" t="n">
        <v>32337</v>
      </c>
      <c r="L52" s="22" t="n">
        <v>32345</v>
      </c>
      <c r="M52" s="22" t="n">
        <v>32359</v>
      </c>
      <c r="N52" s="22" t="n">
        <v>32367</v>
      </c>
      <c r="O52" s="22" t="n">
        <v>32384</v>
      </c>
      <c r="P52" s="22" t="n">
        <v>32400</v>
      </c>
      <c r="Q52" s="22" t="n">
        <v>32400</v>
      </c>
      <c r="R52" s="22" t="n">
        <v>32433</v>
      </c>
      <c r="S52" s="22" t="n">
        <v>32594</v>
      </c>
      <c r="T52" s="22" t="n">
        <v>32620</v>
      </c>
      <c r="U52" s="22" t="n">
        <v>32627</v>
      </c>
      <c r="V52" s="22" t="n">
        <v>32635</v>
      </c>
      <c r="W52" s="22" t="n">
        <v>32773</v>
      </c>
      <c r="X52" s="22" t="n">
        <v>32753</v>
      </c>
      <c r="Y52" s="22" t="n">
        <v>32691</v>
      </c>
      <c r="Z52" s="22" t="n">
        <v>32681</v>
      </c>
      <c r="AA52" s="22" t="n">
        <v>32800</v>
      </c>
      <c r="AB52" s="22" t="n">
        <v>32760</v>
      </c>
      <c r="AC52" s="22" t="n">
        <v>32691</v>
      </c>
      <c r="AD52" s="22" t="n">
        <v>32681</v>
      </c>
      <c r="AE52" s="22" t="n">
        <v>32800</v>
      </c>
      <c r="AF52" s="22" t="n">
        <v>32760</v>
      </c>
    </row>
    <row r="53" customFormat="false" ht="15" hidden="false" customHeight="false" outlineLevel="0" collapsed="false">
      <c r="A53" s="22" t="s">
        <v>142</v>
      </c>
      <c r="B53" s="22" t="s">
        <v>3</v>
      </c>
      <c r="C53" s="22" t="s">
        <v>142</v>
      </c>
      <c r="D53" s="22" t="n">
        <v>12100</v>
      </c>
      <c r="E53" s="22" t="s">
        <v>132</v>
      </c>
      <c r="F53" s="22" t="s">
        <v>5</v>
      </c>
      <c r="G53" s="22" t="s">
        <v>131</v>
      </c>
      <c r="H53" s="22" t="s">
        <v>131</v>
      </c>
      <c r="I53" s="22" t="n">
        <v>1.805</v>
      </c>
      <c r="J53" s="22" t="n">
        <v>1.837</v>
      </c>
      <c r="K53" s="22" t="n">
        <v>1.869</v>
      </c>
      <c r="L53" s="22" t="n">
        <v>1.843</v>
      </c>
      <c r="M53" s="22" t="n">
        <v>1.868</v>
      </c>
      <c r="N53" s="22" t="n">
        <v>1.919</v>
      </c>
      <c r="O53" s="22" t="n">
        <v>1.901</v>
      </c>
      <c r="P53" s="22" t="n">
        <v>1.865</v>
      </c>
      <c r="Q53" s="22" t="n">
        <v>1.878</v>
      </c>
      <c r="R53" s="22" t="n">
        <v>1.974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customFormat="false" ht="15" hidden="false" customHeight="false" outlineLevel="0" collapsed="false">
      <c r="A54" s="22" t="s">
        <v>142</v>
      </c>
      <c r="B54" s="22" t="s">
        <v>3</v>
      </c>
      <c r="C54" s="22" t="s">
        <v>142</v>
      </c>
      <c r="D54" s="22" t="n">
        <v>12100</v>
      </c>
      <c r="E54" s="22" t="s">
        <v>134</v>
      </c>
      <c r="F54" s="22" t="s">
        <v>135</v>
      </c>
      <c r="G54" s="22" t="s">
        <v>131</v>
      </c>
      <c r="H54" s="22" t="s">
        <v>131</v>
      </c>
      <c r="I54" s="22" t="n">
        <v>0.0367</v>
      </c>
      <c r="J54" s="22" t="n">
        <v>0.0291</v>
      </c>
      <c r="K54" s="22" t="n">
        <v>0.0503</v>
      </c>
      <c r="L54" s="22" t="n">
        <v>0.0364</v>
      </c>
      <c r="M54" s="22" t="n">
        <v>0.0331</v>
      </c>
      <c r="N54" s="22" t="n">
        <v>0.0437</v>
      </c>
      <c r="O54" s="22" t="n">
        <v>0.0117</v>
      </c>
      <c r="P54" s="22" t="n">
        <v>-0.0066</v>
      </c>
      <c r="Q54" s="22" t="n">
        <v>-0.0112</v>
      </c>
      <c r="R54" s="22" t="n">
        <v>0.025</v>
      </c>
      <c r="S54" s="22" t="n">
        <v>0.034</v>
      </c>
      <c r="T54" s="22" t="n">
        <v>0.048</v>
      </c>
      <c r="U54" s="22" t="n">
        <v>0.054</v>
      </c>
      <c r="V54" s="22" t="n">
        <v>0.048</v>
      </c>
      <c r="W54" s="22" t="n">
        <v>0.051</v>
      </c>
      <c r="X54" s="22" t="n">
        <v>0.046</v>
      </c>
      <c r="Y54" s="22" t="n">
        <v>0.044</v>
      </c>
      <c r="Z54" s="22" t="n">
        <v>0.036</v>
      </c>
      <c r="AA54" s="22" t="n">
        <v>0.038</v>
      </c>
      <c r="AB54" s="22" t="n">
        <v>0.037</v>
      </c>
      <c r="AC54" s="22" t="n">
        <v>0.036</v>
      </c>
      <c r="AD54" s="22" t="n">
        <v>0.031</v>
      </c>
      <c r="AE54" s="22" t="n">
        <v>0.037</v>
      </c>
      <c r="AF54" s="22" t="n">
        <v>0.038</v>
      </c>
    </row>
    <row r="55" customFormat="false" ht="15" hidden="false" customHeight="false" outlineLevel="0" collapsed="false">
      <c r="A55" s="22" t="s">
        <v>142</v>
      </c>
      <c r="B55" s="22" t="s">
        <v>3</v>
      </c>
      <c r="C55" s="22" t="s">
        <v>142</v>
      </c>
      <c r="D55" s="22" t="n">
        <v>12100</v>
      </c>
      <c r="E55" s="22" t="s">
        <v>136</v>
      </c>
      <c r="F55" s="22" t="s">
        <v>137</v>
      </c>
      <c r="G55" s="22" t="s">
        <v>131</v>
      </c>
      <c r="H55" s="22" t="s">
        <v>131</v>
      </c>
      <c r="I55" s="22" t="n">
        <v>0</v>
      </c>
      <c r="J55" s="22" t="n">
        <v>0</v>
      </c>
      <c r="K55" s="22" t="n">
        <v>0</v>
      </c>
      <c r="L55" s="22" t="n">
        <v>0</v>
      </c>
      <c r="M55" s="22" t="n">
        <v>0</v>
      </c>
      <c r="N55" s="22" t="n">
        <v>0</v>
      </c>
      <c r="O55" s="22" t="n">
        <v>0</v>
      </c>
      <c r="P55" s="22" t="n">
        <v>0</v>
      </c>
      <c r="Q55" s="22" t="n">
        <v>0</v>
      </c>
      <c r="R55" s="22" t="n">
        <v>0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customFormat="false" ht="15" hidden="false" customHeight="false" outlineLevel="0" collapsed="false">
      <c r="A56" s="22" t="s">
        <v>143</v>
      </c>
      <c r="B56" s="22" t="s">
        <v>3</v>
      </c>
      <c r="C56" s="22" t="s">
        <v>143</v>
      </c>
      <c r="D56" s="22" t="n">
        <v>12260</v>
      </c>
      <c r="E56" s="22" t="s">
        <v>129</v>
      </c>
      <c r="F56" s="22" t="s">
        <v>130</v>
      </c>
      <c r="G56" s="22" t="s">
        <v>131</v>
      </c>
      <c r="H56" s="22" t="s">
        <v>131</v>
      </c>
      <c r="I56" s="22" t="n">
        <v>1.30356483460915</v>
      </c>
      <c r="J56" s="22" t="n">
        <v>1.29431447488079</v>
      </c>
      <c r="K56" s="22" t="n">
        <v>1.29300777857436</v>
      </c>
      <c r="L56" s="22" t="n">
        <v>1.31382805638325</v>
      </c>
      <c r="M56" s="22" t="n">
        <v>1.32426496713843</v>
      </c>
      <c r="N56" s="22" t="n">
        <v>1.35552871041433</v>
      </c>
      <c r="O56" s="22" t="n">
        <v>1.37551372291636</v>
      </c>
      <c r="P56" s="22" t="n">
        <v>1.34226781156457</v>
      </c>
      <c r="Q56" s="22" t="n">
        <v>1.35049469950144</v>
      </c>
      <c r="R56" s="22" t="n">
        <v>1.33386138259647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customFormat="false" ht="15" hidden="false" customHeight="false" outlineLevel="0" collapsed="false">
      <c r="A57" s="22" t="s">
        <v>143</v>
      </c>
      <c r="B57" s="22" t="s">
        <v>3</v>
      </c>
      <c r="C57" s="22" t="s">
        <v>143</v>
      </c>
      <c r="D57" s="22" t="n">
        <v>12260</v>
      </c>
      <c r="E57" s="22" t="s">
        <v>132</v>
      </c>
      <c r="F57" s="22" t="s">
        <v>6</v>
      </c>
      <c r="G57" s="22" t="s">
        <v>131</v>
      </c>
      <c r="H57" s="22" t="s">
        <v>131</v>
      </c>
      <c r="I57" s="22" t="n">
        <v>1.224</v>
      </c>
      <c r="J57" s="22" t="n">
        <v>1.237</v>
      </c>
      <c r="K57" s="22" t="n">
        <v>1.236</v>
      </c>
      <c r="L57" s="22" t="n">
        <v>1.243</v>
      </c>
      <c r="M57" s="22" t="n">
        <v>1.26</v>
      </c>
      <c r="N57" s="22" t="n">
        <v>1.275</v>
      </c>
      <c r="O57" s="22" t="n">
        <v>1.278</v>
      </c>
      <c r="P57" s="22" t="n">
        <v>1.259</v>
      </c>
      <c r="Q57" s="22" t="n">
        <v>1.283</v>
      </c>
      <c r="R57" s="22" t="n">
        <v>1.306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</row>
    <row r="58" customFormat="false" ht="15" hidden="false" customHeight="false" outlineLevel="0" collapsed="false">
      <c r="A58" s="22" t="s">
        <v>143</v>
      </c>
      <c r="B58" s="22" t="s">
        <v>3</v>
      </c>
      <c r="C58" s="22" t="s">
        <v>143</v>
      </c>
      <c r="D58" s="22" t="n">
        <v>12260</v>
      </c>
      <c r="E58" s="22" t="s">
        <v>132</v>
      </c>
      <c r="F58" s="22" t="s">
        <v>133</v>
      </c>
      <c r="G58" s="22" t="s">
        <v>131</v>
      </c>
      <c r="H58" s="22" t="s">
        <v>131</v>
      </c>
      <c r="I58" s="22" t="n">
        <v>33303</v>
      </c>
      <c r="J58" s="22" t="n">
        <v>33524</v>
      </c>
      <c r="K58" s="22" t="n">
        <v>33766</v>
      </c>
      <c r="L58" s="22" t="n">
        <v>34048</v>
      </c>
      <c r="M58" s="22" t="n">
        <v>34233</v>
      </c>
      <c r="N58" s="22" t="n">
        <v>34309</v>
      </c>
      <c r="O58" s="22" t="n">
        <v>34387</v>
      </c>
      <c r="P58" s="22" t="n">
        <v>34747</v>
      </c>
      <c r="Q58" s="22" t="n">
        <v>34938</v>
      </c>
      <c r="R58" s="22" t="n">
        <v>35340</v>
      </c>
      <c r="S58" s="22" t="n">
        <v>35625</v>
      </c>
      <c r="T58" s="22" t="n">
        <v>35714</v>
      </c>
      <c r="U58" s="22" t="n">
        <v>35765</v>
      </c>
      <c r="V58" s="22" t="n">
        <v>35801</v>
      </c>
      <c r="W58" s="22" t="n">
        <v>36079</v>
      </c>
      <c r="X58" s="22" t="n">
        <v>36200</v>
      </c>
      <c r="Y58" s="22" t="n">
        <v>36290</v>
      </c>
      <c r="Z58" s="22" t="n">
        <v>36355</v>
      </c>
      <c r="AA58" s="22" t="n">
        <v>36644</v>
      </c>
      <c r="AB58" s="22" t="n">
        <v>36750</v>
      </c>
      <c r="AC58" s="22" t="n">
        <v>36809</v>
      </c>
      <c r="AD58" s="22" t="n">
        <v>36841</v>
      </c>
      <c r="AE58" s="22" t="n">
        <v>37100</v>
      </c>
      <c r="AF58" s="22" t="n">
        <v>37182</v>
      </c>
    </row>
    <row r="59" customFormat="false" ht="15" hidden="false" customHeight="false" outlineLevel="0" collapsed="false">
      <c r="A59" s="22" t="s">
        <v>143</v>
      </c>
      <c r="B59" s="22" t="s">
        <v>3</v>
      </c>
      <c r="C59" s="22" t="s">
        <v>143</v>
      </c>
      <c r="D59" s="22" t="n">
        <v>12260</v>
      </c>
      <c r="E59" s="22" t="s">
        <v>132</v>
      </c>
      <c r="F59" s="22" t="s">
        <v>5</v>
      </c>
      <c r="G59" s="22" t="s">
        <v>131</v>
      </c>
      <c r="H59" s="22" t="s">
        <v>131</v>
      </c>
      <c r="I59" s="22" t="n">
        <v>1.24</v>
      </c>
      <c r="J59" s="22" t="n">
        <v>1.256</v>
      </c>
      <c r="K59" s="22" t="n">
        <v>1.254</v>
      </c>
      <c r="L59" s="22" t="n">
        <v>1.258</v>
      </c>
      <c r="M59" s="22" t="n">
        <v>1.271</v>
      </c>
      <c r="N59" s="22" t="n">
        <v>1.284</v>
      </c>
      <c r="O59" s="22" t="n">
        <v>1.293</v>
      </c>
      <c r="P59" s="22" t="n">
        <v>1.28</v>
      </c>
      <c r="Q59" s="22" t="n">
        <v>1.305</v>
      </c>
      <c r="R59" s="22" t="n">
        <v>1.323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</row>
    <row r="60" customFormat="false" ht="15" hidden="false" customHeight="false" outlineLevel="0" collapsed="false">
      <c r="A60" s="22" t="s">
        <v>143</v>
      </c>
      <c r="B60" s="22" t="s">
        <v>3</v>
      </c>
      <c r="C60" s="22" t="s">
        <v>143</v>
      </c>
      <c r="D60" s="22" t="n">
        <v>12260</v>
      </c>
      <c r="E60" s="22" t="s">
        <v>134</v>
      </c>
      <c r="F60" s="22" t="s">
        <v>135</v>
      </c>
      <c r="G60" s="22" t="s">
        <v>131</v>
      </c>
      <c r="H60" s="22" t="s">
        <v>131</v>
      </c>
      <c r="I60" s="22" t="n">
        <v>-0.0137</v>
      </c>
      <c r="J60" s="22" t="n">
        <v>-0.006</v>
      </c>
      <c r="K60" s="22" t="n">
        <v>-0.0092</v>
      </c>
      <c r="L60" s="22" t="n">
        <v>0.0063</v>
      </c>
      <c r="M60" s="22" t="n">
        <v>0.036</v>
      </c>
      <c r="N60" s="22" t="n">
        <v>0.0376</v>
      </c>
      <c r="O60" s="22" t="n">
        <v>0.0284</v>
      </c>
      <c r="P60" s="22" t="n">
        <v>0.0049</v>
      </c>
      <c r="Q60" s="22" t="n">
        <v>0.0016</v>
      </c>
      <c r="R60" s="22" t="n">
        <v>0.003</v>
      </c>
      <c r="S60" s="22" t="n">
        <v>0.007</v>
      </c>
      <c r="T60" s="22" t="n">
        <v>0.014</v>
      </c>
      <c r="U60" s="22" t="n">
        <v>0.021</v>
      </c>
      <c r="V60" s="22" t="n">
        <v>0.031</v>
      </c>
      <c r="W60" s="22" t="n">
        <v>0.036</v>
      </c>
      <c r="X60" s="22" t="n">
        <v>0.037</v>
      </c>
      <c r="Y60" s="22" t="n">
        <v>0.035</v>
      </c>
      <c r="Z60" s="22" t="n">
        <v>0.034</v>
      </c>
      <c r="AA60" s="22" t="n">
        <v>0.036</v>
      </c>
      <c r="AB60" s="22" t="n">
        <v>0.035</v>
      </c>
      <c r="AC60" s="22" t="n">
        <v>0.032</v>
      </c>
      <c r="AD60" s="22" t="n">
        <v>0.032</v>
      </c>
      <c r="AE60" s="22" t="n">
        <v>0.033</v>
      </c>
      <c r="AF60" s="22" t="n">
        <v>0.034</v>
      </c>
    </row>
    <row r="61" customFormat="false" ht="15" hidden="false" customHeight="false" outlineLevel="0" collapsed="false">
      <c r="A61" s="22" t="s">
        <v>143</v>
      </c>
      <c r="B61" s="22" t="s">
        <v>3</v>
      </c>
      <c r="C61" s="22" t="s">
        <v>143</v>
      </c>
      <c r="D61" s="22" t="n">
        <v>12260</v>
      </c>
      <c r="E61" s="22" t="s">
        <v>136</v>
      </c>
      <c r="F61" s="22" t="s">
        <v>137</v>
      </c>
      <c r="G61" s="22" t="s">
        <v>131</v>
      </c>
      <c r="H61" s="22" t="s">
        <v>131</v>
      </c>
      <c r="I61" s="22" t="n">
        <v>2</v>
      </c>
      <c r="J61" s="22" t="n">
        <v>2</v>
      </c>
      <c r="K61" s="22" t="n">
        <v>1</v>
      </c>
      <c r="L61" s="22" t="n">
        <v>2</v>
      </c>
      <c r="M61" s="22" t="n">
        <v>3</v>
      </c>
      <c r="N61" s="22" t="n">
        <v>3</v>
      </c>
      <c r="O61" s="22" t="n">
        <v>2</v>
      </c>
      <c r="P61" s="22" t="n">
        <v>2</v>
      </c>
      <c r="Q61" s="22" t="n">
        <v>1</v>
      </c>
      <c r="R61" s="22" t="n">
        <v>1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customFormat="false" ht="15" hidden="false" customHeight="false" outlineLevel="0" collapsed="false">
      <c r="A62" s="22" t="s">
        <v>84</v>
      </c>
      <c r="B62" s="22" t="s">
        <v>3</v>
      </c>
      <c r="C62" s="22" t="s">
        <v>84</v>
      </c>
      <c r="D62" s="22" t="n">
        <v>12420</v>
      </c>
      <c r="E62" s="22" t="s">
        <v>129</v>
      </c>
      <c r="F62" s="22" t="s">
        <v>130</v>
      </c>
      <c r="G62" s="22" t="s">
        <v>131</v>
      </c>
      <c r="H62" s="22" t="s">
        <v>131</v>
      </c>
      <c r="I62" s="22" t="n">
        <v>1.87340194731386</v>
      </c>
      <c r="J62" s="22" t="n">
        <v>1.86201836860018</v>
      </c>
      <c r="K62" s="22" t="n">
        <v>1.83687359545213</v>
      </c>
      <c r="L62" s="22" t="n">
        <v>1.80377821040373</v>
      </c>
      <c r="M62" s="22" t="n">
        <v>1.78842380686635</v>
      </c>
      <c r="N62" s="22" t="n">
        <v>1.78185650468146</v>
      </c>
      <c r="O62" s="22" t="n">
        <v>1.76103873507599</v>
      </c>
      <c r="P62" s="22" t="n">
        <v>1.72803476030914</v>
      </c>
      <c r="Q62" s="22" t="n">
        <v>1.71217228377242</v>
      </c>
      <c r="R62" s="22" t="n">
        <v>1.69216766286442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</row>
    <row r="63" customFormat="false" ht="15" hidden="false" customHeight="false" outlineLevel="0" collapsed="false">
      <c r="A63" s="22" t="s">
        <v>84</v>
      </c>
      <c r="B63" s="22" t="s">
        <v>3</v>
      </c>
      <c r="C63" s="22" t="s">
        <v>84</v>
      </c>
      <c r="D63" s="22" t="n">
        <v>12420</v>
      </c>
      <c r="E63" s="22" t="s">
        <v>132</v>
      </c>
      <c r="F63" s="22" t="s">
        <v>6</v>
      </c>
      <c r="G63" s="22" t="s">
        <v>131</v>
      </c>
      <c r="H63" s="22" t="s">
        <v>131</v>
      </c>
      <c r="I63" s="22" t="n">
        <v>1.79</v>
      </c>
      <c r="J63" s="22" t="n">
        <v>1.776</v>
      </c>
      <c r="K63" s="22" t="n">
        <v>1.736</v>
      </c>
      <c r="L63" s="22" t="n">
        <v>1.681</v>
      </c>
      <c r="M63" s="22" t="n">
        <v>1.663</v>
      </c>
      <c r="N63" s="22" t="n">
        <v>1.647</v>
      </c>
      <c r="O63" s="22" t="n">
        <v>1.626</v>
      </c>
      <c r="P63" s="22" t="n">
        <v>1.575</v>
      </c>
      <c r="Q63" s="22" t="n">
        <v>1.572</v>
      </c>
      <c r="R63" s="22" t="n">
        <v>1.595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</row>
    <row r="64" customFormat="false" ht="15" hidden="false" customHeight="false" outlineLevel="0" collapsed="false">
      <c r="A64" s="22" t="s">
        <v>84</v>
      </c>
      <c r="B64" s="22" t="s">
        <v>3</v>
      </c>
      <c r="C64" s="22" t="s">
        <v>84</v>
      </c>
      <c r="D64" s="22" t="n">
        <v>12420</v>
      </c>
      <c r="E64" s="22" t="s">
        <v>132</v>
      </c>
      <c r="F64" s="22" t="s">
        <v>133</v>
      </c>
      <c r="G64" s="22" t="s">
        <v>131</v>
      </c>
      <c r="H64" s="22" t="s">
        <v>131</v>
      </c>
      <c r="I64" s="22" t="n">
        <v>307166</v>
      </c>
      <c r="J64" s="22" t="n">
        <v>315122</v>
      </c>
      <c r="K64" s="22" t="n">
        <v>324575</v>
      </c>
      <c r="L64" s="22" t="n">
        <v>332196</v>
      </c>
      <c r="M64" s="22" t="n">
        <v>337774</v>
      </c>
      <c r="N64" s="22" t="n">
        <v>341358</v>
      </c>
      <c r="O64" s="22" t="n">
        <v>344832</v>
      </c>
      <c r="P64" s="22" t="n">
        <v>348323</v>
      </c>
      <c r="Q64" s="22" t="n">
        <v>350661</v>
      </c>
      <c r="R64" s="22" t="n">
        <v>353454</v>
      </c>
      <c r="S64" s="22" t="n">
        <v>356189</v>
      </c>
      <c r="T64" s="22" t="n">
        <v>359130</v>
      </c>
      <c r="U64" s="22" t="n">
        <v>361160</v>
      </c>
      <c r="V64" s="22" t="n">
        <v>362709</v>
      </c>
      <c r="W64" s="22" t="n">
        <v>364927</v>
      </c>
      <c r="X64" s="22" t="n">
        <v>366835</v>
      </c>
      <c r="Y64" s="22" t="n">
        <v>368820</v>
      </c>
      <c r="Z64" s="22" t="n">
        <v>370536</v>
      </c>
      <c r="AA64" s="22" t="n">
        <v>372789</v>
      </c>
      <c r="AB64" s="22" t="n">
        <v>374674</v>
      </c>
      <c r="AC64" s="22" t="n">
        <v>376590</v>
      </c>
      <c r="AD64" s="22" t="n">
        <v>378216</v>
      </c>
      <c r="AE64" s="22" t="n">
        <v>380368</v>
      </c>
      <c r="AF64" s="22" t="n">
        <v>382168</v>
      </c>
    </row>
    <row r="65" customFormat="false" ht="15" hidden="false" customHeight="false" outlineLevel="0" collapsed="false">
      <c r="A65" s="22" t="s">
        <v>84</v>
      </c>
      <c r="B65" s="22" t="s">
        <v>3</v>
      </c>
      <c r="C65" s="22" t="s">
        <v>84</v>
      </c>
      <c r="D65" s="22" t="n">
        <v>12420</v>
      </c>
      <c r="E65" s="22" t="s">
        <v>132</v>
      </c>
      <c r="F65" s="22" t="s">
        <v>5</v>
      </c>
      <c r="G65" s="22" t="s">
        <v>131</v>
      </c>
      <c r="H65" s="22" t="s">
        <v>131</v>
      </c>
      <c r="I65" s="22" t="n">
        <v>1.817</v>
      </c>
      <c r="J65" s="22" t="n">
        <v>1.81</v>
      </c>
      <c r="K65" s="22" t="n">
        <v>1.782</v>
      </c>
      <c r="L65" s="22" t="n">
        <v>1.72</v>
      </c>
      <c r="M65" s="22" t="n">
        <v>1.71</v>
      </c>
      <c r="N65" s="22" t="n">
        <v>1.703</v>
      </c>
      <c r="O65" s="22" t="n">
        <v>1.691</v>
      </c>
      <c r="P65" s="22" t="n">
        <v>1.646</v>
      </c>
      <c r="Q65" s="22" t="n">
        <v>1.657</v>
      </c>
      <c r="R65" s="22" t="n">
        <v>1.691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</row>
    <row r="66" customFormat="false" ht="15" hidden="false" customHeight="false" outlineLevel="0" collapsed="false">
      <c r="A66" s="22" t="s">
        <v>84</v>
      </c>
      <c r="B66" s="22" t="s">
        <v>3</v>
      </c>
      <c r="C66" s="22" t="s">
        <v>84</v>
      </c>
      <c r="D66" s="22" t="n">
        <v>12420</v>
      </c>
      <c r="E66" s="22" t="s">
        <v>134</v>
      </c>
      <c r="F66" s="22" t="s">
        <v>135</v>
      </c>
      <c r="G66" s="22" t="s">
        <v>131</v>
      </c>
      <c r="H66" s="22" t="s">
        <v>131</v>
      </c>
      <c r="I66" s="22" t="n">
        <v>-0.0683</v>
      </c>
      <c r="J66" s="22" t="n">
        <v>-0.0745</v>
      </c>
      <c r="K66" s="22" t="n">
        <v>-0.0817</v>
      </c>
      <c r="L66" s="22" t="n">
        <v>-0.0737</v>
      </c>
      <c r="M66" s="22" t="n">
        <v>-0.0696</v>
      </c>
      <c r="N66" s="22" t="n">
        <v>-0.0736</v>
      </c>
      <c r="O66" s="22" t="n">
        <v>-0.0744</v>
      </c>
      <c r="P66" s="22" t="n">
        <v>-0.0777</v>
      </c>
      <c r="Q66" s="22" t="n">
        <v>-0.0738</v>
      </c>
      <c r="R66" s="22" t="n">
        <v>-0.0513</v>
      </c>
      <c r="S66" s="22" t="n">
        <v>-0.044</v>
      </c>
      <c r="T66" s="22" t="n">
        <v>-0.031</v>
      </c>
      <c r="U66" s="22" t="n">
        <v>-0.016</v>
      </c>
      <c r="V66" s="22" t="n">
        <v>0.009</v>
      </c>
      <c r="W66" s="22" t="n">
        <v>0.025</v>
      </c>
      <c r="X66" s="22" t="n">
        <v>0.026</v>
      </c>
      <c r="Y66" s="22" t="n">
        <v>0.024</v>
      </c>
      <c r="Z66" s="22" t="n">
        <v>0.023</v>
      </c>
      <c r="AA66" s="22" t="n">
        <v>0.025</v>
      </c>
      <c r="AB66" s="22" t="n">
        <v>0.025</v>
      </c>
      <c r="AC66" s="22" t="n">
        <v>0.023</v>
      </c>
      <c r="AD66" s="22" t="n">
        <v>0.024</v>
      </c>
      <c r="AE66" s="22" t="n">
        <v>0.028</v>
      </c>
      <c r="AF66" s="22" t="n">
        <v>0.03</v>
      </c>
    </row>
    <row r="67" customFormat="false" ht="15" hidden="false" customHeight="false" outlineLevel="0" collapsed="false">
      <c r="A67" s="22" t="s">
        <v>84</v>
      </c>
      <c r="B67" s="22" t="s">
        <v>3</v>
      </c>
      <c r="C67" s="22" t="s">
        <v>84</v>
      </c>
      <c r="D67" s="22" t="n">
        <v>12420</v>
      </c>
      <c r="E67" s="22" t="s">
        <v>136</v>
      </c>
      <c r="F67" s="22" t="s">
        <v>137</v>
      </c>
      <c r="G67" s="22" t="s">
        <v>131</v>
      </c>
      <c r="H67" s="22" t="s">
        <v>131</v>
      </c>
      <c r="I67" s="22" t="n">
        <v>44</v>
      </c>
      <c r="J67" s="22" t="n">
        <v>41</v>
      </c>
      <c r="K67" s="22" t="n">
        <v>35</v>
      </c>
      <c r="L67" s="22" t="n">
        <v>33</v>
      </c>
      <c r="M67" s="22" t="n">
        <v>31</v>
      </c>
      <c r="N67" s="22" t="n">
        <v>28</v>
      </c>
      <c r="O67" s="22" t="n">
        <v>28</v>
      </c>
      <c r="P67" s="22" t="n">
        <v>25</v>
      </c>
      <c r="Q67" s="22" t="n">
        <v>20</v>
      </c>
      <c r="R67" s="22" t="n">
        <v>19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customFormat="false" ht="15" hidden="false" customHeight="false" outlineLevel="0" collapsed="false">
      <c r="A68" s="22" t="s">
        <v>144</v>
      </c>
      <c r="B68" s="22" t="s">
        <v>3</v>
      </c>
      <c r="C68" s="22" t="s">
        <v>144</v>
      </c>
      <c r="D68" s="22" t="n">
        <v>12540</v>
      </c>
      <c r="E68" s="22" t="s">
        <v>129</v>
      </c>
      <c r="F68" s="22" t="s">
        <v>130</v>
      </c>
      <c r="G68" s="22" t="s">
        <v>131</v>
      </c>
      <c r="H68" s="22" t="s">
        <v>131</v>
      </c>
      <c r="I68" s="22" t="n">
        <v>1.19584537106487</v>
      </c>
      <c r="J68" s="22" t="n">
        <v>1.20614870881997</v>
      </c>
      <c r="K68" s="22" t="n">
        <v>1.22337761221304</v>
      </c>
      <c r="L68" s="22" t="n">
        <v>1.25275972383502</v>
      </c>
      <c r="M68" s="22" t="n">
        <v>1.33080988435977</v>
      </c>
      <c r="N68" s="22" t="n">
        <v>1.34222492673654</v>
      </c>
      <c r="O68" s="22" t="n">
        <v>1.18639675477509</v>
      </c>
      <c r="P68" s="22" t="n">
        <v>1.21993649911436</v>
      </c>
      <c r="Q68" s="22" t="n">
        <v>1.03349636248826</v>
      </c>
      <c r="R68" s="22" t="n">
        <v>1.03927073592919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</row>
    <row r="69" customFormat="false" ht="15" hidden="false" customHeight="false" outlineLevel="0" collapsed="false">
      <c r="A69" s="22" t="s">
        <v>144</v>
      </c>
      <c r="B69" s="22" t="s">
        <v>3</v>
      </c>
      <c r="C69" s="22" t="s">
        <v>144</v>
      </c>
      <c r="D69" s="22" t="n">
        <v>12540</v>
      </c>
      <c r="E69" s="22" t="s">
        <v>132</v>
      </c>
      <c r="F69" s="22" t="s">
        <v>6</v>
      </c>
      <c r="G69" s="22" t="s">
        <v>131</v>
      </c>
      <c r="H69" s="22" t="s">
        <v>131</v>
      </c>
      <c r="I69" s="22" t="n">
        <v>1.696</v>
      </c>
      <c r="J69" s="22" t="n">
        <v>1.699</v>
      </c>
      <c r="K69" s="22" t="n">
        <v>1.709</v>
      </c>
      <c r="L69" s="22" t="n">
        <v>1.735</v>
      </c>
      <c r="M69" s="22" t="n">
        <v>1.728</v>
      </c>
      <c r="N69" s="22" t="n">
        <v>1.766</v>
      </c>
      <c r="O69" s="22" t="n">
        <v>1.787</v>
      </c>
      <c r="P69" s="22" t="n">
        <v>1.785</v>
      </c>
      <c r="Q69" s="22" t="n">
        <v>1.801</v>
      </c>
      <c r="R69" s="22" t="n">
        <v>1.815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</row>
    <row r="70" customFormat="false" ht="15" hidden="false" customHeight="false" outlineLevel="0" collapsed="false">
      <c r="A70" s="22" t="s">
        <v>144</v>
      </c>
      <c r="B70" s="22" t="s">
        <v>3</v>
      </c>
      <c r="C70" s="22" t="s">
        <v>144</v>
      </c>
      <c r="D70" s="22" t="n">
        <v>12540</v>
      </c>
      <c r="E70" s="22" t="s">
        <v>132</v>
      </c>
      <c r="F70" s="22" t="s">
        <v>133</v>
      </c>
      <c r="G70" s="22" t="s">
        <v>131</v>
      </c>
      <c r="H70" s="22" t="s">
        <v>131</v>
      </c>
      <c r="I70" s="22" t="n">
        <v>27237</v>
      </c>
      <c r="J70" s="22" t="n">
        <v>27237</v>
      </c>
      <c r="K70" s="22" t="n">
        <v>27237</v>
      </c>
      <c r="L70" s="22" t="n">
        <v>27237</v>
      </c>
      <c r="M70" s="22" t="n">
        <v>27323</v>
      </c>
      <c r="N70" s="22" t="n">
        <v>27495</v>
      </c>
      <c r="O70" s="22" t="n">
        <v>27609</v>
      </c>
      <c r="P70" s="22" t="n">
        <v>27609</v>
      </c>
      <c r="Q70" s="22" t="n">
        <v>27609</v>
      </c>
      <c r="R70" s="22" t="n">
        <v>27609</v>
      </c>
      <c r="S70" s="22" t="n">
        <v>27609</v>
      </c>
      <c r="T70" s="22" t="n">
        <v>27711</v>
      </c>
      <c r="U70" s="22" t="n">
        <v>27930</v>
      </c>
      <c r="V70" s="22" t="n">
        <v>28017</v>
      </c>
      <c r="W70" s="22" t="n">
        <v>28107</v>
      </c>
      <c r="X70" s="22" t="n">
        <v>28137</v>
      </c>
      <c r="Y70" s="22" t="n">
        <v>28137</v>
      </c>
      <c r="Z70" s="22" t="n">
        <v>28201</v>
      </c>
      <c r="AA70" s="22" t="n">
        <v>28271</v>
      </c>
      <c r="AB70" s="22" t="n">
        <v>28291</v>
      </c>
      <c r="AC70" s="22" t="n">
        <v>28285</v>
      </c>
      <c r="AD70" s="22" t="n">
        <v>28347</v>
      </c>
      <c r="AE70" s="22" t="n">
        <v>28415</v>
      </c>
      <c r="AF70" s="22" t="n">
        <v>28432</v>
      </c>
    </row>
    <row r="71" customFormat="false" ht="15" hidden="false" customHeight="false" outlineLevel="0" collapsed="false">
      <c r="A71" s="22" t="s">
        <v>144</v>
      </c>
      <c r="B71" s="22" t="s">
        <v>3</v>
      </c>
      <c r="C71" s="22" t="s">
        <v>144</v>
      </c>
      <c r="D71" s="22" t="n">
        <v>12540</v>
      </c>
      <c r="E71" s="22" t="s">
        <v>132</v>
      </c>
      <c r="F71" s="22" t="s">
        <v>5</v>
      </c>
      <c r="G71" s="22" t="s">
        <v>131</v>
      </c>
      <c r="H71" s="22" t="s">
        <v>131</v>
      </c>
      <c r="I71" s="22" t="n">
        <v>1.701</v>
      </c>
      <c r="J71" s="22" t="n">
        <v>1.701</v>
      </c>
      <c r="K71" s="22" t="n">
        <v>1.709</v>
      </c>
      <c r="L71" s="22" t="n">
        <v>1.735</v>
      </c>
      <c r="M71" s="22" t="n">
        <v>1.73</v>
      </c>
      <c r="N71" s="22" t="n">
        <v>1.767</v>
      </c>
      <c r="O71" s="22" t="n">
        <v>1.788</v>
      </c>
      <c r="P71" s="22" t="n">
        <v>1.788</v>
      </c>
      <c r="Q71" s="22" t="n">
        <v>1.802</v>
      </c>
      <c r="R71" s="22" t="n">
        <v>1.815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customFormat="false" ht="15" hidden="false" customHeight="false" outlineLevel="0" collapsed="false">
      <c r="A72" s="22" t="s">
        <v>144</v>
      </c>
      <c r="B72" s="22" t="s">
        <v>3</v>
      </c>
      <c r="C72" s="22" t="s">
        <v>144</v>
      </c>
      <c r="D72" s="22" t="n">
        <v>12540</v>
      </c>
      <c r="E72" s="22" t="s">
        <v>134</v>
      </c>
      <c r="F72" s="22" t="s">
        <v>135</v>
      </c>
      <c r="G72" s="22" t="s">
        <v>131</v>
      </c>
      <c r="H72" s="22" t="s">
        <v>131</v>
      </c>
      <c r="I72" s="22" t="n">
        <v>0.0167</v>
      </c>
      <c r="J72" s="22" t="n">
        <v>0.0098</v>
      </c>
      <c r="K72" s="22" t="n">
        <v>0.0048</v>
      </c>
      <c r="L72" s="22" t="n">
        <v>0.0174</v>
      </c>
      <c r="M72" s="22" t="n">
        <v>0.0189</v>
      </c>
      <c r="N72" s="22" t="n">
        <v>0.0328</v>
      </c>
      <c r="O72" s="22" t="n">
        <v>0.0291</v>
      </c>
      <c r="P72" s="22" t="n">
        <v>0.0105</v>
      </c>
      <c r="Q72" s="22" t="n">
        <v>0.0185</v>
      </c>
      <c r="R72" s="22" t="n">
        <v>0.01</v>
      </c>
      <c r="S72" s="22" t="n">
        <v>0.011</v>
      </c>
      <c r="T72" s="22" t="n">
        <v>0.015</v>
      </c>
      <c r="U72" s="22" t="n">
        <v>0.018</v>
      </c>
      <c r="V72" s="22" t="n">
        <v>0.023</v>
      </c>
      <c r="W72" s="22" t="n">
        <v>0.031</v>
      </c>
      <c r="X72" s="22" t="n">
        <v>0.032</v>
      </c>
      <c r="Y72" s="22" t="n">
        <v>0.033</v>
      </c>
      <c r="Z72" s="22" t="n">
        <v>0.033</v>
      </c>
      <c r="AA72" s="22" t="n">
        <v>0.033</v>
      </c>
      <c r="AB72" s="22" t="n">
        <v>0.033</v>
      </c>
      <c r="AC72" s="22" t="n">
        <v>0.031</v>
      </c>
      <c r="AD72" s="22" t="n">
        <v>0.03</v>
      </c>
      <c r="AE72" s="22" t="n">
        <v>0.03</v>
      </c>
      <c r="AF72" s="22" t="n">
        <v>0.03</v>
      </c>
    </row>
    <row r="73" customFormat="false" ht="15" hidden="false" customHeight="false" outlineLevel="0" collapsed="false">
      <c r="A73" s="22" t="s">
        <v>144</v>
      </c>
      <c r="B73" s="22" t="s">
        <v>3</v>
      </c>
      <c r="C73" s="22" t="s">
        <v>144</v>
      </c>
      <c r="D73" s="22" t="n">
        <v>12540</v>
      </c>
      <c r="E73" s="22" t="s">
        <v>136</v>
      </c>
      <c r="F73" s="22" t="s">
        <v>137</v>
      </c>
      <c r="G73" s="22" t="s">
        <v>131</v>
      </c>
      <c r="H73" s="22" t="s">
        <v>131</v>
      </c>
      <c r="I73" s="22" t="n">
        <v>2</v>
      </c>
      <c r="J73" s="22" t="n">
        <v>2</v>
      </c>
      <c r="K73" s="22" t="n">
        <v>1</v>
      </c>
      <c r="L73" s="22" t="n">
        <v>1</v>
      </c>
      <c r="M73" s="22" t="n">
        <v>0</v>
      </c>
      <c r="N73" s="22" t="n">
        <v>2</v>
      </c>
      <c r="O73" s="22" t="n">
        <v>2</v>
      </c>
      <c r="P73" s="22" t="n">
        <v>2</v>
      </c>
      <c r="Q73" s="22" t="n">
        <v>2</v>
      </c>
      <c r="R73" s="22" t="n">
        <v>0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customFormat="false" ht="15" hidden="false" customHeight="false" outlineLevel="0" collapsed="false">
      <c r="A74" s="22" t="s">
        <v>145</v>
      </c>
      <c r="B74" s="22" t="s">
        <v>3</v>
      </c>
      <c r="C74" s="22" t="s">
        <v>145</v>
      </c>
      <c r="D74" s="22" t="n">
        <v>12580</v>
      </c>
      <c r="E74" s="22" t="s">
        <v>129</v>
      </c>
      <c r="F74" s="22" t="s">
        <v>130</v>
      </c>
      <c r="G74" s="22" t="s">
        <v>131</v>
      </c>
      <c r="H74" s="22" t="s">
        <v>131</v>
      </c>
      <c r="I74" s="22" t="n">
        <v>1.98096087165823</v>
      </c>
      <c r="J74" s="22" t="n">
        <v>1.98525859454802</v>
      </c>
      <c r="K74" s="22" t="n">
        <v>1.99517069942731</v>
      </c>
      <c r="L74" s="22" t="n">
        <v>2.00385026499973</v>
      </c>
      <c r="M74" s="22" t="n">
        <v>2.00384157747428</v>
      </c>
      <c r="N74" s="22" t="n">
        <v>2.01917476978541</v>
      </c>
      <c r="O74" s="22" t="n">
        <v>2.04961785770708</v>
      </c>
      <c r="P74" s="22" t="n">
        <v>2.04992584606529</v>
      </c>
      <c r="Q74" s="22" t="n">
        <v>2.03251530114561</v>
      </c>
      <c r="R74" s="22" t="n">
        <v>2.02608024627148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customFormat="false" ht="15" hidden="false" customHeight="false" outlineLevel="0" collapsed="false">
      <c r="A75" s="22" t="s">
        <v>145</v>
      </c>
      <c r="B75" s="22" t="s">
        <v>3</v>
      </c>
      <c r="C75" s="22" t="s">
        <v>145</v>
      </c>
      <c r="D75" s="22" t="n">
        <v>12580</v>
      </c>
      <c r="E75" s="22" t="s">
        <v>132</v>
      </c>
      <c r="F75" s="22" t="s">
        <v>6</v>
      </c>
      <c r="G75" s="22" t="s">
        <v>131</v>
      </c>
      <c r="H75" s="22" t="s">
        <v>131</v>
      </c>
      <c r="I75" s="22" t="n">
        <v>1.828</v>
      </c>
      <c r="J75" s="22" t="n">
        <v>1.856</v>
      </c>
      <c r="K75" s="22" t="n">
        <v>1.878</v>
      </c>
      <c r="L75" s="22" t="n">
        <v>1.867</v>
      </c>
      <c r="M75" s="22" t="n">
        <v>1.886</v>
      </c>
      <c r="N75" s="22" t="n">
        <v>1.911</v>
      </c>
      <c r="O75" s="22" t="n">
        <v>1.912</v>
      </c>
      <c r="P75" s="22" t="n">
        <v>1.889</v>
      </c>
      <c r="Q75" s="22" t="n">
        <v>1.901</v>
      </c>
      <c r="R75" s="22" t="n">
        <v>1.935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customFormat="false" ht="15" hidden="false" customHeight="false" outlineLevel="0" collapsed="false">
      <c r="A76" s="22" t="s">
        <v>145</v>
      </c>
      <c r="B76" s="22" t="s">
        <v>3</v>
      </c>
      <c r="C76" s="22" t="s">
        <v>145</v>
      </c>
      <c r="D76" s="22" t="n">
        <v>12580</v>
      </c>
      <c r="E76" s="22" t="s">
        <v>132</v>
      </c>
      <c r="F76" s="22" t="s">
        <v>133</v>
      </c>
      <c r="G76" s="22" t="s">
        <v>131</v>
      </c>
      <c r="H76" s="22" t="s">
        <v>131</v>
      </c>
      <c r="I76" s="22" t="n">
        <v>236488</v>
      </c>
      <c r="J76" s="22" t="n">
        <v>237022</v>
      </c>
      <c r="K76" s="22" t="n">
        <v>237631</v>
      </c>
      <c r="L76" s="22" t="n">
        <v>238785</v>
      </c>
      <c r="M76" s="22" t="n">
        <v>239635</v>
      </c>
      <c r="N76" s="22" t="n">
        <v>239828</v>
      </c>
      <c r="O76" s="22" t="n">
        <v>240038</v>
      </c>
      <c r="P76" s="22" t="n">
        <v>240165</v>
      </c>
      <c r="Q76" s="22" t="n">
        <v>240425</v>
      </c>
      <c r="R76" s="22" t="n">
        <v>240604</v>
      </c>
      <c r="S76" s="22" t="n">
        <v>241309</v>
      </c>
      <c r="T76" s="22" t="n">
        <v>241719</v>
      </c>
      <c r="U76" s="22" t="n">
        <v>242044</v>
      </c>
      <c r="V76" s="22" t="n">
        <v>242351</v>
      </c>
      <c r="W76" s="22" t="n">
        <v>242982</v>
      </c>
      <c r="X76" s="22" t="n">
        <v>243292</v>
      </c>
      <c r="Y76" s="22" t="n">
        <v>243622</v>
      </c>
      <c r="Z76" s="22" t="n">
        <v>243974</v>
      </c>
      <c r="AA76" s="22" t="n">
        <v>244623</v>
      </c>
      <c r="AB76" s="22" t="n">
        <v>244940</v>
      </c>
      <c r="AC76" s="22" t="n">
        <v>245259</v>
      </c>
      <c r="AD76" s="22" t="n">
        <v>245572</v>
      </c>
      <c r="AE76" s="22" t="n">
        <v>246151</v>
      </c>
      <c r="AF76" s="22" t="n">
        <v>246384</v>
      </c>
    </row>
    <row r="77" customFormat="false" ht="15" hidden="false" customHeight="false" outlineLevel="0" collapsed="false">
      <c r="A77" s="22" t="s">
        <v>145</v>
      </c>
      <c r="B77" s="22" t="s">
        <v>3</v>
      </c>
      <c r="C77" s="22" t="s">
        <v>145</v>
      </c>
      <c r="D77" s="22" t="n">
        <v>12580</v>
      </c>
      <c r="E77" s="22" t="s">
        <v>132</v>
      </c>
      <c r="F77" s="22" t="s">
        <v>5</v>
      </c>
      <c r="G77" s="22" t="s">
        <v>131</v>
      </c>
      <c r="H77" s="22" t="s">
        <v>131</v>
      </c>
      <c r="I77" s="22" t="n">
        <v>1.843</v>
      </c>
      <c r="J77" s="22" t="n">
        <v>1.87</v>
      </c>
      <c r="K77" s="22" t="n">
        <v>1.893</v>
      </c>
      <c r="L77" s="22" t="n">
        <v>1.883</v>
      </c>
      <c r="M77" s="22" t="n">
        <v>1.898</v>
      </c>
      <c r="N77" s="22" t="n">
        <v>1.926</v>
      </c>
      <c r="O77" s="22" t="n">
        <v>1.93</v>
      </c>
      <c r="P77" s="22" t="n">
        <v>1.913</v>
      </c>
      <c r="Q77" s="22" t="n">
        <v>1.926</v>
      </c>
      <c r="R77" s="22" t="n">
        <v>1.955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</row>
    <row r="78" customFormat="false" ht="15" hidden="false" customHeight="false" outlineLevel="0" collapsed="false">
      <c r="A78" s="22" t="s">
        <v>145</v>
      </c>
      <c r="B78" s="22" t="s">
        <v>3</v>
      </c>
      <c r="C78" s="22" t="s">
        <v>145</v>
      </c>
      <c r="D78" s="22" t="n">
        <v>12580</v>
      </c>
      <c r="E78" s="22" t="s">
        <v>134</v>
      </c>
      <c r="F78" s="22" t="s">
        <v>135</v>
      </c>
      <c r="G78" s="22" t="s">
        <v>131</v>
      </c>
      <c r="H78" s="22" t="s">
        <v>131</v>
      </c>
      <c r="I78" s="22" t="n">
        <v>0.0062</v>
      </c>
      <c r="J78" s="22" t="n">
        <v>0.0112</v>
      </c>
      <c r="K78" s="22" t="n">
        <v>0.0169</v>
      </c>
      <c r="L78" s="22" t="n">
        <v>0.019</v>
      </c>
      <c r="M78" s="22" t="n">
        <v>0.0263</v>
      </c>
      <c r="N78" s="22" t="n">
        <v>0.0156</v>
      </c>
      <c r="O78" s="22" t="n">
        <v>0.0069</v>
      </c>
      <c r="P78" s="22" t="n">
        <v>0.0006</v>
      </c>
      <c r="Q78" s="22" t="n">
        <v>-0.0037</v>
      </c>
      <c r="R78" s="22" t="n">
        <v>0.0045</v>
      </c>
      <c r="S78" s="22" t="n">
        <v>0.007</v>
      </c>
      <c r="T78" s="22" t="n">
        <v>0.01</v>
      </c>
      <c r="U78" s="22" t="n">
        <v>0.014</v>
      </c>
      <c r="V78" s="22" t="n">
        <v>0.021</v>
      </c>
      <c r="W78" s="22" t="n">
        <v>0.025</v>
      </c>
      <c r="X78" s="22" t="n">
        <v>0.025</v>
      </c>
      <c r="Y78" s="22" t="n">
        <v>0.025</v>
      </c>
      <c r="Z78" s="22" t="n">
        <v>0.026</v>
      </c>
      <c r="AA78" s="22" t="n">
        <v>0.027</v>
      </c>
      <c r="AB78" s="22" t="n">
        <v>0.028</v>
      </c>
      <c r="AC78" s="22" t="n">
        <v>0.029</v>
      </c>
      <c r="AD78" s="22" t="n">
        <v>0.029</v>
      </c>
      <c r="AE78" s="22" t="n">
        <v>0.031</v>
      </c>
      <c r="AF78" s="22" t="n">
        <v>0.032</v>
      </c>
    </row>
    <row r="79" customFormat="false" ht="15" hidden="false" customHeight="false" outlineLevel="0" collapsed="false">
      <c r="A79" s="22" t="s">
        <v>145</v>
      </c>
      <c r="B79" s="22" t="s">
        <v>3</v>
      </c>
      <c r="C79" s="22" t="s">
        <v>145</v>
      </c>
      <c r="D79" s="22" t="n">
        <v>12580</v>
      </c>
      <c r="E79" s="22" t="s">
        <v>136</v>
      </c>
      <c r="F79" s="22" t="s">
        <v>137</v>
      </c>
      <c r="G79" s="22" t="s">
        <v>131</v>
      </c>
      <c r="H79" s="22" t="s">
        <v>131</v>
      </c>
      <c r="I79" s="22" t="n">
        <v>9</v>
      </c>
      <c r="J79" s="22" t="n">
        <v>2</v>
      </c>
      <c r="K79" s="22" t="n">
        <v>3</v>
      </c>
      <c r="L79" s="22" t="n">
        <v>4</v>
      </c>
      <c r="M79" s="22" t="n">
        <v>7</v>
      </c>
      <c r="N79" s="22" t="n">
        <v>9</v>
      </c>
      <c r="O79" s="22" t="n">
        <v>10</v>
      </c>
      <c r="P79" s="22" t="n">
        <v>9</v>
      </c>
      <c r="Q79" s="22" t="n">
        <v>6</v>
      </c>
      <c r="R79" s="22" t="n">
        <v>5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</row>
    <row r="80" customFormat="false" ht="15" hidden="false" customHeight="false" outlineLevel="0" collapsed="false">
      <c r="A80" s="22" t="s">
        <v>40</v>
      </c>
      <c r="B80" s="22" t="s">
        <v>3</v>
      </c>
      <c r="C80" s="22" t="s">
        <v>40</v>
      </c>
      <c r="D80" s="22" t="n">
        <v>12940</v>
      </c>
      <c r="E80" s="22" t="s">
        <v>129</v>
      </c>
      <c r="F80" s="22" t="s">
        <v>130</v>
      </c>
      <c r="G80" s="22" t="s">
        <v>131</v>
      </c>
      <c r="H80" s="22" t="s">
        <v>131</v>
      </c>
      <c r="I80" s="22" t="n">
        <v>1.23332786167055</v>
      </c>
      <c r="J80" s="22" t="n">
        <v>1.24614370826309</v>
      </c>
      <c r="K80" s="22" t="n">
        <v>1.24392942474403</v>
      </c>
      <c r="L80" s="22" t="n">
        <v>1.23800691220078</v>
      </c>
      <c r="M80" s="22" t="n">
        <v>1.23700956951961</v>
      </c>
      <c r="N80" s="22" t="n">
        <v>1.24023280392646</v>
      </c>
      <c r="O80" s="22" t="n">
        <v>1.24578148430718</v>
      </c>
      <c r="P80" s="22" t="n">
        <v>1.26080082881294</v>
      </c>
      <c r="Q80" s="22" t="n">
        <v>1.26142630019574</v>
      </c>
      <c r="R80" s="22" t="n">
        <v>1.26819012269437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customFormat="false" ht="15" hidden="false" customHeight="false" outlineLevel="0" collapsed="false">
      <c r="A81" s="22" t="s">
        <v>40</v>
      </c>
      <c r="B81" s="22" t="s">
        <v>3</v>
      </c>
      <c r="C81" s="22" t="s">
        <v>40</v>
      </c>
      <c r="D81" s="22" t="n">
        <v>12940</v>
      </c>
      <c r="E81" s="22" t="s">
        <v>132</v>
      </c>
      <c r="F81" s="22" t="s">
        <v>6</v>
      </c>
      <c r="G81" s="22" t="s">
        <v>131</v>
      </c>
      <c r="H81" s="22" t="s">
        <v>131</v>
      </c>
      <c r="I81" s="22" t="n">
        <v>1.246</v>
      </c>
      <c r="J81" s="22" t="n">
        <v>1.263</v>
      </c>
      <c r="K81" s="22" t="n">
        <v>1.264</v>
      </c>
      <c r="L81" s="22" t="n">
        <v>1.258</v>
      </c>
      <c r="M81" s="22" t="n">
        <v>1.256</v>
      </c>
      <c r="N81" s="22" t="n">
        <v>1.289</v>
      </c>
      <c r="O81" s="22" t="n">
        <v>1.29</v>
      </c>
      <c r="P81" s="22" t="n">
        <v>1.259</v>
      </c>
      <c r="Q81" s="22" t="n">
        <v>1.275</v>
      </c>
      <c r="R81" s="22" t="n">
        <v>1.3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customFormat="false" ht="15" hidden="false" customHeight="false" outlineLevel="0" collapsed="false">
      <c r="A82" s="22" t="s">
        <v>40</v>
      </c>
      <c r="B82" s="22" t="s">
        <v>3</v>
      </c>
      <c r="C82" s="22" t="s">
        <v>40</v>
      </c>
      <c r="D82" s="22" t="n">
        <v>12940</v>
      </c>
      <c r="E82" s="22" t="s">
        <v>132</v>
      </c>
      <c r="F82" s="22" t="s">
        <v>133</v>
      </c>
      <c r="G82" s="22" t="s">
        <v>131</v>
      </c>
      <c r="H82" s="22" t="s">
        <v>131</v>
      </c>
      <c r="I82" s="22" t="n">
        <v>51504</v>
      </c>
      <c r="J82" s="22" t="n">
        <v>51642</v>
      </c>
      <c r="K82" s="22" t="n">
        <v>51846</v>
      </c>
      <c r="L82" s="22" t="n">
        <v>52009</v>
      </c>
      <c r="M82" s="22" t="n">
        <v>52075</v>
      </c>
      <c r="N82" s="22" t="n">
        <v>52125</v>
      </c>
      <c r="O82" s="22" t="n">
        <v>52025</v>
      </c>
      <c r="P82" s="22" t="n">
        <v>52025</v>
      </c>
      <c r="Q82" s="22" t="n">
        <v>52025</v>
      </c>
      <c r="R82" s="22" t="n">
        <v>52025</v>
      </c>
      <c r="S82" s="22" t="n">
        <v>52025</v>
      </c>
      <c r="T82" s="22" t="n">
        <v>52025</v>
      </c>
      <c r="U82" s="22" t="n">
        <v>52103</v>
      </c>
      <c r="V82" s="22" t="n">
        <v>52337</v>
      </c>
      <c r="W82" s="22" t="n">
        <v>52337</v>
      </c>
      <c r="X82" s="22" t="n">
        <v>52471</v>
      </c>
      <c r="Y82" s="22" t="n">
        <v>52564</v>
      </c>
      <c r="Z82" s="22" t="n">
        <v>52816</v>
      </c>
      <c r="AA82" s="22" t="n">
        <v>52852</v>
      </c>
      <c r="AB82" s="22" t="n">
        <v>53009</v>
      </c>
      <c r="AC82" s="22" t="n">
        <v>53124</v>
      </c>
      <c r="AD82" s="22" t="n">
        <v>53386</v>
      </c>
      <c r="AE82" s="22" t="n">
        <v>53426</v>
      </c>
      <c r="AF82" s="22" t="n">
        <v>53582</v>
      </c>
    </row>
    <row r="83" customFormat="false" ht="15" hidden="false" customHeight="false" outlineLevel="0" collapsed="false">
      <c r="A83" s="22" t="s">
        <v>40</v>
      </c>
      <c r="B83" s="22" t="s">
        <v>3</v>
      </c>
      <c r="C83" s="22" t="s">
        <v>40</v>
      </c>
      <c r="D83" s="22" t="n">
        <v>12940</v>
      </c>
      <c r="E83" s="22" t="s">
        <v>132</v>
      </c>
      <c r="F83" s="22" t="s">
        <v>5</v>
      </c>
      <c r="G83" s="22" t="s">
        <v>131</v>
      </c>
      <c r="H83" s="22" t="s">
        <v>131</v>
      </c>
      <c r="I83" s="22" t="n">
        <v>1.261</v>
      </c>
      <c r="J83" s="22" t="n">
        <v>1.282</v>
      </c>
      <c r="K83" s="22" t="n">
        <v>1.282</v>
      </c>
      <c r="L83" s="22" t="n">
        <v>1.271</v>
      </c>
      <c r="M83" s="22" t="n">
        <v>1.268</v>
      </c>
      <c r="N83" s="22" t="n">
        <v>1.301</v>
      </c>
      <c r="O83" s="22" t="n">
        <v>1.299</v>
      </c>
      <c r="P83" s="22" t="n">
        <v>1.277</v>
      </c>
      <c r="Q83" s="22" t="n">
        <v>1.297</v>
      </c>
      <c r="R83" s="22" t="n">
        <v>1.316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</row>
    <row r="84" customFormat="false" ht="15" hidden="false" customHeight="false" outlineLevel="0" collapsed="false">
      <c r="A84" s="22" t="s">
        <v>40</v>
      </c>
      <c r="B84" s="22" t="s">
        <v>3</v>
      </c>
      <c r="C84" s="22" t="s">
        <v>40</v>
      </c>
      <c r="D84" s="22" t="n">
        <v>12940</v>
      </c>
      <c r="E84" s="22" t="s">
        <v>134</v>
      </c>
      <c r="F84" s="22" t="s">
        <v>135</v>
      </c>
      <c r="G84" s="22" t="s">
        <v>131</v>
      </c>
      <c r="H84" s="22" t="s">
        <v>131</v>
      </c>
      <c r="I84" s="22" t="n">
        <v>-0.0101</v>
      </c>
      <c r="J84" s="22" t="n">
        <v>-0.0219</v>
      </c>
      <c r="K84" s="22" t="n">
        <v>-0.0144</v>
      </c>
      <c r="L84" s="22" t="n">
        <v>-0.0149</v>
      </c>
      <c r="M84" s="22" t="n">
        <v>-0.0033</v>
      </c>
      <c r="N84" s="22" t="n">
        <v>0.0076</v>
      </c>
      <c r="O84" s="22" t="n">
        <v>-0.0066</v>
      </c>
      <c r="P84" s="22" t="n">
        <v>-0.0159</v>
      </c>
      <c r="Q84" s="22" t="n">
        <v>-0.001</v>
      </c>
      <c r="R84" s="22" t="n">
        <v>0.0051</v>
      </c>
      <c r="S84" s="22" t="n">
        <v>0.01</v>
      </c>
      <c r="T84" s="22" t="n">
        <v>0.017</v>
      </c>
      <c r="U84" s="22" t="n">
        <v>0.025</v>
      </c>
      <c r="V84" s="22" t="n">
        <v>0.03</v>
      </c>
      <c r="W84" s="22" t="n">
        <v>0.031</v>
      </c>
      <c r="X84" s="22" t="n">
        <v>0.028</v>
      </c>
      <c r="Y84" s="22" t="n">
        <v>0.025</v>
      </c>
      <c r="Z84" s="22" t="n">
        <v>0.023</v>
      </c>
      <c r="AA84" s="22" t="n">
        <v>0.022</v>
      </c>
      <c r="AB84" s="22" t="n">
        <v>0.021</v>
      </c>
      <c r="AC84" s="22" t="n">
        <v>0.017</v>
      </c>
      <c r="AD84" s="22" t="n">
        <v>0.016</v>
      </c>
      <c r="AE84" s="22" t="n">
        <v>0.017</v>
      </c>
      <c r="AF84" s="22" t="n">
        <v>0.018</v>
      </c>
    </row>
    <row r="85" customFormat="false" ht="15" hidden="false" customHeight="false" outlineLevel="0" collapsed="false">
      <c r="A85" s="22" t="s">
        <v>40</v>
      </c>
      <c r="B85" s="22" t="s">
        <v>3</v>
      </c>
      <c r="C85" s="22" t="s">
        <v>40</v>
      </c>
      <c r="D85" s="22" t="n">
        <v>12940</v>
      </c>
      <c r="E85" s="22" t="s">
        <v>136</v>
      </c>
      <c r="F85" s="22" t="s">
        <v>137</v>
      </c>
      <c r="G85" s="22" t="s">
        <v>131</v>
      </c>
      <c r="H85" s="22" t="s">
        <v>131</v>
      </c>
      <c r="I85" s="22" t="n">
        <v>3</v>
      </c>
      <c r="J85" s="22" t="n">
        <v>1</v>
      </c>
      <c r="K85" s="22" t="n">
        <v>1</v>
      </c>
      <c r="L85" s="22" t="n">
        <v>0</v>
      </c>
      <c r="M85" s="22" t="n">
        <v>0</v>
      </c>
      <c r="N85" s="22" t="n">
        <v>0</v>
      </c>
      <c r="O85" s="22" t="n">
        <v>1</v>
      </c>
      <c r="P85" s="22" t="n">
        <v>1</v>
      </c>
      <c r="Q85" s="22" t="n">
        <v>1</v>
      </c>
      <c r="R85" s="22" t="n">
        <v>1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customFormat="false" ht="15" hidden="false" customHeight="false" outlineLevel="0" collapsed="false">
      <c r="A86" s="22" t="s">
        <v>53</v>
      </c>
      <c r="B86" s="22" t="s">
        <v>3</v>
      </c>
      <c r="C86" s="22" t="s">
        <v>53</v>
      </c>
      <c r="D86" s="22" t="n">
        <v>13820</v>
      </c>
      <c r="E86" s="22" t="s">
        <v>129</v>
      </c>
      <c r="F86" s="22" t="s">
        <v>130</v>
      </c>
      <c r="G86" s="22" t="s">
        <v>131</v>
      </c>
      <c r="H86" s="22" t="s">
        <v>131</v>
      </c>
      <c r="I86" s="22" t="n">
        <v>1.23166983797409</v>
      </c>
      <c r="J86" s="22" t="n">
        <v>1.23343226271368</v>
      </c>
      <c r="K86" s="22" t="n">
        <v>1.24287277706635</v>
      </c>
      <c r="L86" s="22" t="n">
        <v>1.25738978955246</v>
      </c>
      <c r="M86" s="22" t="n">
        <v>1.2488611546373</v>
      </c>
      <c r="N86" s="22" t="n">
        <v>1.24028189062555</v>
      </c>
      <c r="O86" s="22" t="n">
        <v>1.25891081958757</v>
      </c>
      <c r="P86" s="22" t="n">
        <v>1.2558031519948</v>
      </c>
      <c r="Q86" s="22" t="n">
        <v>1.26080267798097</v>
      </c>
      <c r="R86" s="22" t="n">
        <v>1.26711214909089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</row>
    <row r="87" customFormat="false" ht="15" hidden="false" customHeight="false" outlineLevel="0" collapsed="false">
      <c r="A87" s="22" t="s">
        <v>53</v>
      </c>
      <c r="B87" s="22" t="s">
        <v>3</v>
      </c>
      <c r="C87" s="22" t="s">
        <v>53</v>
      </c>
      <c r="D87" s="22" t="n">
        <v>13820</v>
      </c>
      <c r="E87" s="22" t="s">
        <v>132</v>
      </c>
      <c r="F87" s="22" t="s">
        <v>6</v>
      </c>
      <c r="G87" s="22" t="s">
        <v>131</v>
      </c>
      <c r="H87" s="22" t="s">
        <v>131</v>
      </c>
      <c r="I87" s="22" t="n">
        <v>1.251</v>
      </c>
      <c r="J87" s="22" t="n">
        <v>1.267</v>
      </c>
      <c r="K87" s="22" t="n">
        <v>1.269</v>
      </c>
      <c r="L87" s="22" t="n">
        <v>1.254</v>
      </c>
      <c r="M87" s="22" t="n">
        <v>1.261</v>
      </c>
      <c r="N87" s="22" t="n">
        <v>1.261</v>
      </c>
      <c r="O87" s="22" t="n">
        <v>1.266</v>
      </c>
      <c r="P87" s="22" t="n">
        <v>1.249</v>
      </c>
      <c r="Q87" s="22" t="n">
        <v>1.259</v>
      </c>
      <c r="R87" s="22" t="n">
        <v>1.273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</row>
    <row r="88" customFormat="false" ht="15" hidden="false" customHeight="false" outlineLevel="0" collapsed="false">
      <c r="A88" s="22" t="s">
        <v>53</v>
      </c>
      <c r="B88" s="22" t="s">
        <v>3</v>
      </c>
      <c r="C88" s="22" t="s">
        <v>53</v>
      </c>
      <c r="D88" s="22" t="n">
        <v>13820</v>
      </c>
      <c r="E88" s="22" t="s">
        <v>132</v>
      </c>
      <c r="F88" s="22" t="s">
        <v>133</v>
      </c>
      <c r="G88" s="22" t="s">
        <v>131</v>
      </c>
      <c r="H88" s="22" t="s">
        <v>131</v>
      </c>
      <c r="I88" s="22" t="n">
        <v>79797</v>
      </c>
      <c r="J88" s="22" t="n">
        <v>80087</v>
      </c>
      <c r="K88" s="22" t="n">
        <v>80464</v>
      </c>
      <c r="L88" s="22" t="n">
        <v>80747</v>
      </c>
      <c r="M88" s="22" t="n">
        <v>80892</v>
      </c>
      <c r="N88" s="22" t="n">
        <v>81086</v>
      </c>
      <c r="O88" s="22" t="n">
        <v>81503</v>
      </c>
      <c r="P88" s="22" t="n">
        <v>82044</v>
      </c>
      <c r="Q88" s="22" t="n">
        <v>82358</v>
      </c>
      <c r="R88" s="22" t="n">
        <v>82502</v>
      </c>
      <c r="S88" s="22" t="n">
        <v>82550</v>
      </c>
      <c r="T88" s="22" t="n">
        <v>82550</v>
      </c>
      <c r="U88" s="22" t="n">
        <v>82889</v>
      </c>
      <c r="V88" s="22" t="n">
        <v>82940</v>
      </c>
      <c r="W88" s="22" t="n">
        <v>83230</v>
      </c>
      <c r="X88" s="22" t="n">
        <v>83237</v>
      </c>
      <c r="Y88" s="22" t="n">
        <v>83538</v>
      </c>
      <c r="Z88" s="22" t="n">
        <v>83594</v>
      </c>
      <c r="AA88" s="22" t="n">
        <v>83905</v>
      </c>
      <c r="AB88" s="22" t="n">
        <v>83939</v>
      </c>
      <c r="AC88" s="22" t="n">
        <v>84264</v>
      </c>
      <c r="AD88" s="22" t="n">
        <v>84335</v>
      </c>
      <c r="AE88" s="22" t="n">
        <v>84655</v>
      </c>
      <c r="AF88" s="22" t="n">
        <v>84685</v>
      </c>
    </row>
    <row r="89" customFormat="false" ht="15" hidden="false" customHeight="false" outlineLevel="0" collapsed="false">
      <c r="A89" s="22" t="s">
        <v>53</v>
      </c>
      <c r="B89" s="22" t="s">
        <v>3</v>
      </c>
      <c r="C89" s="22" t="s">
        <v>53</v>
      </c>
      <c r="D89" s="22" t="n">
        <v>13820</v>
      </c>
      <c r="E89" s="22" t="s">
        <v>132</v>
      </c>
      <c r="F89" s="22" t="s">
        <v>5</v>
      </c>
      <c r="G89" s="22" t="s">
        <v>131</v>
      </c>
      <c r="H89" s="22" t="s">
        <v>131</v>
      </c>
      <c r="I89" s="22" t="n">
        <v>1.267</v>
      </c>
      <c r="J89" s="22" t="n">
        <v>1.283</v>
      </c>
      <c r="K89" s="22" t="n">
        <v>1.29</v>
      </c>
      <c r="L89" s="22" t="n">
        <v>1.271</v>
      </c>
      <c r="M89" s="22" t="n">
        <v>1.279</v>
      </c>
      <c r="N89" s="22" t="n">
        <v>1.283</v>
      </c>
      <c r="O89" s="22" t="n">
        <v>1.287</v>
      </c>
      <c r="P89" s="22" t="n">
        <v>1.27</v>
      </c>
      <c r="Q89" s="22" t="n">
        <v>1.284</v>
      </c>
      <c r="R89" s="22" t="n">
        <v>1.303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</row>
    <row r="90" customFormat="false" ht="15" hidden="false" customHeight="false" outlineLevel="0" collapsed="false">
      <c r="A90" s="22" t="s">
        <v>53</v>
      </c>
      <c r="B90" s="22" t="s">
        <v>3</v>
      </c>
      <c r="C90" s="22" t="s">
        <v>53</v>
      </c>
      <c r="D90" s="22" t="n">
        <v>13820</v>
      </c>
      <c r="E90" s="22" t="s">
        <v>134</v>
      </c>
      <c r="F90" s="22" t="s">
        <v>135</v>
      </c>
      <c r="G90" s="22" t="s">
        <v>131</v>
      </c>
      <c r="H90" s="22" t="s">
        <v>131</v>
      </c>
      <c r="I90" s="22" t="n">
        <v>-0.0058</v>
      </c>
      <c r="J90" s="22" t="n">
        <v>-0.0081</v>
      </c>
      <c r="K90" s="22" t="n">
        <v>-0.0167</v>
      </c>
      <c r="L90" s="22" t="n">
        <v>-0.0033</v>
      </c>
      <c r="M90" s="22" t="n">
        <v>0.0058</v>
      </c>
      <c r="N90" s="22" t="n">
        <v>-0.002</v>
      </c>
      <c r="O90" s="22" t="n">
        <v>-0.0045</v>
      </c>
      <c r="P90" s="22" t="n">
        <v>-0.0187</v>
      </c>
      <c r="Q90" s="22" t="n">
        <v>-0.0095</v>
      </c>
      <c r="R90" s="22" t="n">
        <v>-0.0057</v>
      </c>
      <c r="S90" s="22" t="n">
        <v>-0.004</v>
      </c>
      <c r="T90" s="22" t="n">
        <v>-0.001</v>
      </c>
      <c r="U90" s="22" t="n">
        <v>0.005</v>
      </c>
      <c r="V90" s="22" t="n">
        <v>0.012</v>
      </c>
      <c r="W90" s="22" t="n">
        <v>0.021</v>
      </c>
      <c r="X90" s="22" t="n">
        <v>0.033</v>
      </c>
      <c r="Y90" s="22" t="n">
        <v>0.032</v>
      </c>
      <c r="Z90" s="22" t="n">
        <v>0.029</v>
      </c>
      <c r="AA90" s="22" t="n">
        <v>0.027</v>
      </c>
      <c r="AB90" s="22" t="n">
        <v>0.025</v>
      </c>
      <c r="AC90" s="22" t="n">
        <v>0.023</v>
      </c>
      <c r="AD90" s="22" t="n">
        <v>0.022</v>
      </c>
      <c r="AE90" s="22" t="n">
        <v>0.021</v>
      </c>
      <c r="AF90" s="22" t="n">
        <v>0.021</v>
      </c>
    </row>
    <row r="91" customFormat="false" ht="15" hidden="false" customHeight="false" outlineLevel="0" collapsed="false">
      <c r="A91" s="22" t="s">
        <v>53</v>
      </c>
      <c r="B91" s="22" t="s">
        <v>3</v>
      </c>
      <c r="C91" s="22" t="s">
        <v>53</v>
      </c>
      <c r="D91" s="22" t="n">
        <v>13820</v>
      </c>
      <c r="E91" s="22" t="s">
        <v>136</v>
      </c>
      <c r="F91" s="22" t="s">
        <v>137</v>
      </c>
      <c r="G91" s="22" t="s">
        <v>131</v>
      </c>
      <c r="H91" s="22" t="s">
        <v>131</v>
      </c>
      <c r="I91" s="22" t="n">
        <v>4</v>
      </c>
      <c r="J91" s="22" t="n">
        <v>5</v>
      </c>
      <c r="K91" s="22" t="n">
        <v>5</v>
      </c>
      <c r="L91" s="22" t="n">
        <v>4</v>
      </c>
      <c r="M91" s="22" t="n">
        <v>1</v>
      </c>
      <c r="N91" s="22" t="n">
        <v>1</v>
      </c>
      <c r="O91" s="22" t="n">
        <v>1</v>
      </c>
      <c r="P91" s="22" t="n">
        <v>1</v>
      </c>
      <c r="Q91" s="22" t="n">
        <v>2</v>
      </c>
      <c r="R91" s="22" t="n">
        <v>1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</row>
    <row r="92" customFormat="false" ht="15" hidden="false" customHeight="false" outlineLevel="0" collapsed="false">
      <c r="A92" s="22" t="s">
        <v>30</v>
      </c>
      <c r="B92" s="22" t="s">
        <v>3</v>
      </c>
      <c r="C92" s="22" t="s">
        <v>30</v>
      </c>
      <c r="D92" s="22" t="n">
        <v>14260</v>
      </c>
      <c r="E92" s="22" t="s">
        <v>129</v>
      </c>
      <c r="F92" s="22" t="s">
        <v>130</v>
      </c>
      <c r="G92" s="22" t="s">
        <v>131</v>
      </c>
      <c r="H92" s="22" t="s">
        <v>131</v>
      </c>
      <c r="I92" s="22" t="n">
        <v>1.72469442389517</v>
      </c>
      <c r="J92" s="22" t="n">
        <v>1.71006095174588</v>
      </c>
      <c r="K92" s="22" t="n">
        <v>1.71844471946944</v>
      </c>
      <c r="L92" s="22" t="n">
        <v>1.72607531368098</v>
      </c>
      <c r="M92" s="22" t="n">
        <v>1.69918901322243</v>
      </c>
      <c r="N92" s="22" t="n">
        <v>1.7009255305565</v>
      </c>
      <c r="O92" s="22" t="n">
        <v>1.71895125184967</v>
      </c>
      <c r="P92" s="22" t="n">
        <v>1.72268422596447</v>
      </c>
      <c r="Q92" s="22" t="n">
        <v>1.74291347927454</v>
      </c>
      <c r="R92" s="22" t="n">
        <v>1.74321933907364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</row>
    <row r="93" customFormat="false" ht="15" hidden="false" customHeight="false" outlineLevel="0" collapsed="false">
      <c r="A93" s="22" t="s">
        <v>30</v>
      </c>
      <c r="B93" s="22" t="s">
        <v>3</v>
      </c>
      <c r="C93" s="22" t="s">
        <v>30</v>
      </c>
      <c r="D93" s="22" t="n">
        <v>14260</v>
      </c>
      <c r="E93" s="22" t="s">
        <v>132</v>
      </c>
      <c r="F93" s="22" t="s">
        <v>6</v>
      </c>
      <c r="G93" s="22" t="s">
        <v>131</v>
      </c>
      <c r="H93" s="22" t="s">
        <v>131</v>
      </c>
      <c r="I93" s="22" t="n">
        <v>1.657</v>
      </c>
      <c r="J93" s="22" t="n">
        <v>1.714</v>
      </c>
      <c r="K93" s="22" t="n">
        <v>1.72</v>
      </c>
      <c r="L93" s="22" t="n">
        <v>1.673</v>
      </c>
      <c r="M93" s="22" t="n">
        <v>1.677</v>
      </c>
      <c r="N93" s="22" t="n">
        <v>1.73</v>
      </c>
      <c r="O93" s="22" t="n">
        <v>1.751</v>
      </c>
      <c r="P93" s="22" t="n">
        <v>1.71</v>
      </c>
      <c r="Q93" s="22" t="n">
        <v>1.743</v>
      </c>
      <c r="R93" s="22" t="n">
        <v>1.824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customFormat="false" ht="15" hidden="false" customHeight="false" outlineLevel="0" collapsed="false">
      <c r="A94" s="22" t="s">
        <v>30</v>
      </c>
      <c r="B94" s="22" t="s">
        <v>3</v>
      </c>
      <c r="C94" s="22" t="s">
        <v>30</v>
      </c>
      <c r="D94" s="22" t="n">
        <v>14260</v>
      </c>
      <c r="E94" s="22" t="s">
        <v>132</v>
      </c>
      <c r="F94" s="22" t="s">
        <v>133</v>
      </c>
      <c r="G94" s="22" t="s">
        <v>131</v>
      </c>
      <c r="H94" s="22" t="s">
        <v>131</v>
      </c>
      <c r="I94" s="22" t="n">
        <v>35626</v>
      </c>
      <c r="J94" s="22" t="n">
        <v>36396</v>
      </c>
      <c r="K94" s="22" t="n">
        <v>37210</v>
      </c>
      <c r="L94" s="22" t="n">
        <v>38051</v>
      </c>
      <c r="M94" s="22" t="n">
        <v>38726</v>
      </c>
      <c r="N94" s="22" t="n">
        <v>39353</v>
      </c>
      <c r="O94" s="22" t="n">
        <v>39551</v>
      </c>
      <c r="P94" s="22" t="n">
        <v>39780</v>
      </c>
      <c r="Q94" s="22" t="n">
        <v>40002</v>
      </c>
      <c r="R94" s="22" t="n">
        <v>40146</v>
      </c>
      <c r="S94" s="22" t="n">
        <v>40371</v>
      </c>
      <c r="T94" s="22" t="n">
        <v>40532</v>
      </c>
      <c r="U94" s="22" t="n">
        <v>40722</v>
      </c>
      <c r="V94" s="22" t="n">
        <v>40722</v>
      </c>
      <c r="W94" s="22" t="n">
        <v>41934</v>
      </c>
      <c r="X94" s="22" t="n">
        <v>42698</v>
      </c>
      <c r="Y94" s="22" t="n">
        <v>43020</v>
      </c>
      <c r="Z94" s="22" t="n">
        <v>42987</v>
      </c>
      <c r="AA94" s="22" t="n">
        <v>43977</v>
      </c>
      <c r="AB94" s="22" t="n">
        <v>44502</v>
      </c>
      <c r="AC94" s="22" t="n">
        <v>44752</v>
      </c>
      <c r="AD94" s="22" t="n">
        <v>44670</v>
      </c>
      <c r="AE94" s="22" t="n">
        <v>45607</v>
      </c>
      <c r="AF94" s="22" t="n">
        <v>46117</v>
      </c>
    </row>
    <row r="95" customFormat="false" ht="15" hidden="false" customHeight="false" outlineLevel="0" collapsed="false">
      <c r="A95" s="22" t="s">
        <v>30</v>
      </c>
      <c r="B95" s="22" t="s">
        <v>3</v>
      </c>
      <c r="C95" s="22" t="s">
        <v>30</v>
      </c>
      <c r="D95" s="22" t="n">
        <v>14260</v>
      </c>
      <c r="E95" s="22" t="s">
        <v>132</v>
      </c>
      <c r="F95" s="22" t="s">
        <v>5</v>
      </c>
      <c r="G95" s="22" t="s">
        <v>131</v>
      </c>
      <c r="H95" s="22" t="s">
        <v>131</v>
      </c>
      <c r="I95" s="22" t="n">
        <v>1.685</v>
      </c>
      <c r="J95" s="22" t="n">
        <v>1.736</v>
      </c>
      <c r="K95" s="22" t="n">
        <v>1.738</v>
      </c>
      <c r="L95" s="22" t="n">
        <v>1.699</v>
      </c>
      <c r="M95" s="22" t="n">
        <v>1.698</v>
      </c>
      <c r="N95" s="22" t="n">
        <v>1.749</v>
      </c>
      <c r="O95" s="22" t="n">
        <v>1.77</v>
      </c>
      <c r="P95" s="22" t="n">
        <v>1.734</v>
      </c>
      <c r="Q95" s="22" t="n">
        <v>1.765</v>
      </c>
      <c r="R95" s="22" t="n">
        <v>1.838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customFormat="false" ht="15" hidden="false" customHeight="false" outlineLevel="0" collapsed="false">
      <c r="A96" s="22" t="s">
        <v>30</v>
      </c>
      <c r="B96" s="22" t="s">
        <v>3</v>
      </c>
      <c r="C96" s="22" t="s">
        <v>30</v>
      </c>
      <c r="D96" s="22" t="n">
        <v>14260</v>
      </c>
      <c r="E96" s="22" t="s">
        <v>134</v>
      </c>
      <c r="F96" s="22" t="s">
        <v>135</v>
      </c>
      <c r="G96" s="22" t="s">
        <v>131</v>
      </c>
      <c r="H96" s="22" t="s">
        <v>131</v>
      </c>
      <c r="I96" s="22" t="n">
        <v>-0.0468</v>
      </c>
      <c r="J96" s="22" t="n">
        <v>-0.018</v>
      </c>
      <c r="K96" s="22" t="n">
        <v>0.0001</v>
      </c>
      <c r="L96" s="22" t="n">
        <v>0.0068</v>
      </c>
      <c r="M96" s="22" t="n">
        <v>0.0194</v>
      </c>
      <c r="N96" s="22" t="n">
        <v>0.0112</v>
      </c>
      <c r="O96" s="22" t="n">
        <v>0.0014</v>
      </c>
      <c r="P96" s="22" t="n">
        <v>0.0101</v>
      </c>
      <c r="Q96" s="22" t="n">
        <v>0.0202</v>
      </c>
      <c r="R96" s="22" t="n">
        <v>0.0444</v>
      </c>
      <c r="S96" s="22" t="n">
        <v>0.045</v>
      </c>
      <c r="T96" s="22" t="n">
        <v>0.045</v>
      </c>
      <c r="U96" s="22" t="n">
        <v>0.046</v>
      </c>
      <c r="V96" s="22" t="n">
        <v>0.055</v>
      </c>
      <c r="W96" s="22" t="n">
        <v>0.059</v>
      </c>
      <c r="X96" s="22" t="n">
        <v>0.053</v>
      </c>
      <c r="Y96" s="22" t="n">
        <v>0.046</v>
      </c>
      <c r="Z96" s="22" t="n">
        <v>0.044</v>
      </c>
      <c r="AA96" s="22" t="n">
        <v>0.049</v>
      </c>
      <c r="AB96" s="22" t="n">
        <v>0.048</v>
      </c>
      <c r="AC96" s="22" t="n">
        <v>0.049</v>
      </c>
      <c r="AD96" s="22" t="n">
        <v>0.044</v>
      </c>
      <c r="AE96" s="22" t="n">
        <v>0.049</v>
      </c>
      <c r="AF96" s="22" t="n">
        <v>0.049</v>
      </c>
    </row>
    <row r="97" customFormat="false" ht="15" hidden="false" customHeight="false" outlineLevel="0" collapsed="false">
      <c r="A97" s="22" t="s">
        <v>30</v>
      </c>
      <c r="B97" s="22" t="s">
        <v>3</v>
      </c>
      <c r="C97" s="22" t="s">
        <v>30</v>
      </c>
      <c r="D97" s="22" t="n">
        <v>14260</v>
      </c>
      <c r="E97" s="22" t="s">
        <v>136</v>
      </c>
      <c r="F97" s="22" t="s">
        <v>137</v>
      </c>
      <c r="G97" s="22" t="s">
        <v>131</v>
      </c>
      <c r="H97" s="22" t="s">
        <v>131</v>
      </c>
      <c r="I97" s="22" t="n">
        <v>6</v>
      </c>
      <c r="J97" s="22" t="n">
        <v>3</v>
      </c>
      <c r="K97" s="22" t="n">
        <v>3</v>
      </c>
      <c r="L97" s="22" t="n">
        <v>1</v>
      </c>
      <c r="M97" s="22" t="n">
        <v>2</v>
      </c>
      <c r="N97" s="22" t="n">
        <v>2</v>
      </c>
      <c r="O97" s="22" t="n">
        <v>5</v>
      </c>
      <c r="P97" s="22" t="n">
        <v>4</v>
      </c>
      <c r="Q97" s="22" t="n">
        <v>3</v>
      </c>
      <c r="R97" s="22" t="n">
        <v>3</v>
      </c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</row>
    <row r="98" customFormat="false" ht="15" hidden="false" customHeight="false" outlineLevel="0" collapsed="false">
      <c r="A98" s="22" t="s">
        <v>146</v>
      </c>
      <c r="B98" s="22" t="s">
        <v>3</v>
      </c>
      <c r="C98" s="22" t="s">
        <v>146</v>
      </c>
      <c r="D98" s="22" t="n">
        <v>14460</v>
      </c>
      <c r="E98" s="22" t="s">
        <v>129</v>
      </c>
      <c r="F98" s="22" t="s">
        <v>130</v>
      </c>
      <c r="G98" s="22" t="s">
        <v>131</v>
      </c>
      <c r="H98" s="22" t="s">
        <v>131</v>
      </c>
      <c r="I98" s="22" t="n">
        <v>3.12809375762589</v>
      </c>
      <c r="J98" s="22" t="n">
        <v>3.15227286950818</v>
      </c>
      <c r="K98" s="22" t="n">
        <v>3.194890208355</v>
      </c>
      <c r="L98" s="22" t="n">
        <v>3.20344538173496</v>
      </c>
      <c r="M98" s="22" t="n">
        <v>3.20932653779636</v>
      </c>
      <c r="N98" s="22" t="n">
        <v>3.24995513216242</v>
      </c>
      <c r="O98" s="22" t="n">
        <v>3.28795717483003</v>
      </c>
      <c r="P98" s="22" t="n">
        <v>3.33349846024514</v>
      </c>
      <c r="Q98" s="22" t="n">
        <v>3.32326721591963</v>
      </c>
      <c r="R98" s="22" t="n">
        <v>3.3208160641214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</row>
    <row r="99" customFormat="false" ht="15" hidden="false" customHeight="false" outlineLevel="0" collapsed="false">
      <c r="A99" s="22" t="s">
        <v>146</v>
      </c>
      <c r="B99" s="22" t="s">
        <v>3</v>
      </c>
      <c r="C99" s="22" t="s">
        <v>146</v>
      </c>
      <c r="D99" s="22" t="n">
        <v>14460</v>
      </c>
      <c r="E99" s="22" t="s">
        <v>132</v>
      </c>
      <c r="F99" s="22" t="s">
        <v>6</v>
      </c>
      <c r="G99" s="22" t="s">
        <v>131</v>
      </c>
      <c r="H99" s="22" t="s">
        <v>131</v>
      </c>
      <c r="I99" s="22" t="n">
        <v>3.259</v>
      </c>
      <c r="J99" s="22" t="n">
        <v>3.304</v>
      </c>
      <c r="K99" s="22" t="n">
        <v>3.355</v>
      </c>
      <c r="L99" s="22" t="n">
        <v>3.322</v>
      </c>
      <c r="M99" s="22" t="n">
        <v>3.342</v>
      </c>
      <c r="N99" s="22" t="n">
        <v>3.427</v>
      </c>
      <c r="O99" s="22" t="n">
        <v>3.431</v>
      </c>
      <c r="P99" s="22" t="n">
        <v>3.353</v>
      </c>
      <c r="Q99" s="22" t="n">
        <v>3.36</v>
      </c>
      <c r="R99" s="22" t="n">
        <v>3.438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customFormat="false" ht="15" hidden="false" customHeight="false" outlineLevel="0" collapsed="false">
      <c r="A100" s="22" t="s">
        <v>146</v>
      </c>
      <c r="B100" s="22" t="s">
        <v>3</v>
      </c>
      <c r="C100" s="22" t="s">
        <v>146</v>
      </c>
      <c r="D100" s="22" t="n">
        <v>14460</v>
      </c>
      <c r="E100" s="22" t="s">
        <v>132</v>
      </c>
      <c r="F100" s="22" t="s">
        <v>133</v>
      </c>
      <c r="G100" s="22" t="s">
        <v>131</v>
      </c>
      <c r="H100" s="22" t="s">
        <v>131</v>
      </c>
      <c r="I100" s="22" t="n">
        <v>426506</v>
      </c>
      <c r="J100" s="22" t="n">
        <v>427826</v>
      </c>
      <c r="K100" s="22" t="n">
        <v>429526</v>
      </c>
      <c r="L100" s="22" t="n">
        <v>431442</v>
      </c>
      <c r="M100" s="22" t="n">
        <v>432547</v>
      </c>
      <c r="N100" s="22" t="n">
        <v>434513</v>
      </c>
      <c r="O100" s="22" t="n">
        <v>437069</v>
      </c>
      <c r="P100" s="22" t="n">
        <v>438876</v>
      </c>
      <c r="Q100" s="22" t="n">
        <v>440466</v>
      </c>
      <c r="R100" s="22" t="n">
        <v>441937</v>
      </c>
      <c r="S100" s="22" t="n">
        <v>443120</v>
      </c>
      <c r="T100" s="22" t="n">
        <v>443465</v>
      </c>
      <c r="U100" s="22" t="n">
        <v>444265</v>
      </c>
      <c r="V100" s="22" t="n">
        <v>446535</v>
      </c>
      <c r="W100" s="22" t="n">
        <v>448124</v>
      </c>
      <c r="X100" s="22" t="n">
        <v>449162</v>
      </c>
      <c r="Y100" s="22" t="n">
        <v>449825</v>
      </c>
      <c r="Z100" s="22" t="n">
        <v>451400</v>
      </c>
      <c r="AA100" s="22" t="n">
        <v>452539</v>
      </c>
      <c r="AB100" s="22" t="n">
        <v>453498</v>
      </c>
      <c r="AC100" s="22" t="n">
        <v>453967</v>
      </c>
      <c r="AD100" s="22" t="n">
        <v>455518</v>
      </c>
      <c r="AE100" s="22" t="n">
        <v>456606</v>
      </c>
      <c r="AF100" s="22" t="n">
        <v>457522</v>
      </c>
    </row>
    <row r="101" customFormat="false" ht="15" hidden="false" customHeight="false" outlineLevel="0" collapsed="false">
      <c r="A101" s="22" t="s">
        <v>146</v>
      </c>
      <c r="B101" s="22" t="s">
        <v>3</v>
      </c>
      <c r="C101" s="22" t="s">
        <v>146</v>
      </c>
      <c r="D101" s="22" t="n">
        <v>14460</v>
      </c>
      <c r="E101" s="22" t="s">
        <v>132</v>
      </c>
      <c r="F101" s="22" t="s">
        <v>5</v>
      </c>
      <c r="G101" s="22" t="s">
        <v>131</v>
      </c>
      <c r="H101" s="22" t="s">
        <v>131</v>
      </c>
      <c r="I101" s="22" t="n">
        <v>3.288</v>
      </c>
      <c r="J101" s="22" t="n">
        <v>3.332</v>
      </c>
      <c r="K101" s="22" t="n">
        <v>3.381</v>
      </c>
      <c r="L101" s="22" t="n">
        <v>3.356</v>
      </c>
      <c r="M101" s="22" t="n">
        <v>3.372</v>
      </c>
      <c r="N101" s="22" t="n">
        <v>3.454</v>
      </c>
      <c r="O101" s="22" t="n">
        <v>3.461</v>
      </c>
      <c r="P101" s="22" t="n">
        <v>3.396</v>
      </c>
      <c r="Q101" s="22" t="n">
        <v>3.406</v>
      </c>
      <c r="R101" s="22" t="n">
        <v>3.483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</row>
    <row r="102" customFormat="false" ht="15" hidden="false" customHeight="false" outlineLevel="0" collapsed="false">
      <c r="A102" s="22" t="s">
        <v>146</v>
      </c>
      <c r="B102" s="22" t="s">
        <v>3</v>
      </c>
      <c r="C102" s="22" t="s">
        <v>146</v>
      </c>
      <c r="D102" s="22" t="n">
        <v>14460</v>
      </c>
      <c r="E102" s="22" t="s">
        <v>134</v>
      </c>
      <c r="F102" s="22" t="s">
        <v>135</v>
      </c>
      <c r="G102" s="22" t="s">
        <v>131</v>
      </c>
      <c r="H102" s="22" t="s">
        <v>131</v>
      </c>
      <c r="I102" s="22" t="n">
        <v>0.0305</v>
      </c>
      <c r="J102" s="22" t="n">
        <v>0.0228</v>
      </c>
      <c r="K102" s="22" t="n">
        <v>0.0259</v>
      </c>
      <c r="L102" s="22" t="n">
        <v>0.0214</v>
      </c>
      <c r="M102" s="22" t="n">
        <v>0.0233</v>
      </c>
      <c r="N102" s="22" t="n">
        <v>0.03</v>
      </c>
      <c r="O102" s="22" t="n">
        <v>0.0094</v>
      </c>
      <c r="P102" s="22" t="n">
        <v>-0.0019</v>
      </c>
      <c r="Q102" s="22" t="n">
        <v>-0.0037</v>
      </c>
      <c r="R102" s="22" t="n">
        <v>-0.001</v>
      </c>
      <c r="S102" s="22" t="n">
        <v>0.002</v>
      </c>
      <c r="T102" s="22" t="n">
        <v>0.007</v>
      </c>
      <c r="U102" s="22" t="n">
        <v>0.015</v>
      </c>
      <c r="V102" s="22" t="n">
        <v>0.023</v>
      </c>
      <c r="W102" s="22" t="n">
        <v>0.033</v>
      </c>
      <c r="X102" s="22" t="n">
        <v>0.034</v>
      </c>
      <c r="Y102" s="22" t="n">
        <v>0.031</v>
      </c>
      <c r="Z102" s="22" t="n">
        <v>0.031</v>
      </c>
      <c r="AA102" s="22" t="n">
        <v>0.031</v>
      </c>
      <c r="AB102" s="22" t="n">
        <v>0.031</v>
      </c>
      <c r="AC102" s="22" t="n">
        <v>0.031</v>
      </c>
      <c r="AD102" s="22" t="n">
        <v>0.031</v>
      </c>
      <c r="AE102" s="22" t="n">
        <v>0.032</v>
      </c>
      <c r="AF102" s="22" t="n">
        <v>0.033</v>
      </c>
    </row>
    <row r="103" customFormat="false" ht="15" hidden="false" customHeight="false" outlineLevel="0" collapsed="false">
      <c r="A103" s="22" t="s">
        <v>146</v>
      </c>
      <c r="B103" s="22" t="s">
        <v>3</v>
      </c>
      <c r="C103" s="22" t="s">
        <v>146</v>
      </c>
      <c r="D103" s="22" t="n">
        <v>14460</v>
      </c>
      <c r="E103" s="22" t="s">
        <v>136</v>
      </c>
      <c r="F103" s="22" t="s">
        <v>137</v>
      </c>
      <c r="G103" s="22" t="s">
        <v>131</v>
      </c>
      <c r="H103" s="22" t="s">
        <v>131</v>
      </c>
      <c r="I103" s="22" t="n">
        <v>35</v>
      </c>
      <c r="J103" s="22" t="n">
        <v>39</v>
      </c>
      <c r="K103" s="22" t="n">
        <v>35</v>
      </c>
      <c r="L103" s="22" t="n">
        <v>31</v>
      </c>
      <c r="M103" s="22" t="n">
        <v>27</v>
      </c>
      <c r="N103" s="22" t="n">
        <v>23</v>
      </c>
      <c r="O103" s="22" t="n">
        <v>31</v>
      </c>
      <c r="P103" s="22" t="n">
        <v>37</v>
      </c>
      <c r="Q103" s="22" t="n">
        <v>34</v>
      </c>
      <c r="R103" s="22" t="n">
        <v>31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</row>
    <row r="104" customFormat="false" ht="15" hidden="false" customHeight="false" outlineLevel="0" collapsed="false">
      <c r="A104" s="22" t="s">
        <v>147</v>
      </c>
      <c r="B104" s="22" t="s">
        <v>3</v>
      </c>
      <c r="C104" s="22" t="s">
        <v>147</v>
      </c>
      <c r="D104" s="22" t="n">
        <v>14500</v>
      </c>
      <c r="E104" s="22" t="s">
        <v>129</v>
      </c>
      <c r="F104" s="22" t="s">
        <v>130</v>
      </c>
      <c r="G104" s="22" t="s">
        <v>131</v>
      </c>
      <c r="H104" s="22" t="s">
        <v>131</v>
      </c>
      <c r="I104" s="22" t="n">
        <v>2.3316728179179</v>
      </c>
      <c r="J104" s="22" t="n">
        <v>2.32405193325348</v>
      </c>
      <c r="K104" s="22" t="n">
        <v>2.31727325015032</v>
      </c>
      <c r="L104" s="22" t="n">
        <v>2.32749787902746</v>
      </c>
      <c r="M104" s="22" t="n">
        <v>2.32099044480546</v>
      </c>
      <c r="N104" s="22" t="n">
        <v>2.33658576126452</v>
      </c>
      <c r="O104" s="22" t="n">
        <v>2.39243905034212</v>
      </c>
      <c r="P104" s="22" t="n">
        <v>2.38093994152973</v>
      </c>
      <c r="Q104" s="22" t="n">
        <v>2.37563259243956</v>
      </c>
      <c r="R104" s="22" t="n">
        <v>2.35968422499201</v>
      </c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customFormat="false" ht="15" hidden="false" customHeight="false" outlineLevel="0" collapsed="false">
      <c r="A105" s="22" t="s">
        <v>147</v>
      </c>
      <c r="B105" s="22" t="s">
        <v>3</v>
      </c>
      <c r="C105" s="22" t="s">
        <v>147</v>
      </c>
      <c r="D105" s="22" t="n">
        <v>14500</v>
      </c>
      <c r="E105" s="22" t="s">
        <v>132</v>
      </c>
      <c r="F105" s="22" t="s">
        <v>6</v>
      </c>
      <c r="G105" s="22" t="s">
        <v>131</v>
      </c>
      <c r="H105" s="22" t="s">
        <v>131</v>
      </c>
      <c r="I105" s="22" t="n">
        <v>2.261</v>
      </c>
      <c r="J105" s="22" t="n">
        <v>2.3</v>
      </c>
      <c r="K105" s="22" t="n">
        <v>2.346</v>
      </c>
      <c r="L105" s="22" t="n">
        <v>2.252</v>
      </c>
      <c r="M105" s="22" t="n">
        <v>2.242</v>
      </c>
      <c r="N105" s="22" t="n">
        <v>2.331</v>
      </c>
      <c r="O105" s="22" t="n">
        <v>2.33</v>
      </c>
      <c r="P105" s="22" t="n">
        <v>2.173</v>
      </c>
      <c r="Q105" s="22" t="n">
        <v>2.179</v>
      </c>
      <c r="R105" s="22" t="n">
        <v>2.267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customFormat="false" ht="15" hidden="false" customHeight="false" outlineLevel="0" collapsed="false">
      <c r="A106" s="22" t="s">
        <v>147</v>
      </c>
      <c r="B106" s="22" t="s">
        <v>3</v>
      </c>
      <c r="C106" s="22" t="s">
        <v>147</v>
      </c>
      <c r="D106" s="22" t="n">
        <v>14500</v>
      </c>
      <c r="E106" s="22" t="s">
        <v>132</v>
      </c>
      <c r="F106" s="22" t="s">
        <v>133</v>
      </c>
      <c r="G106" s="22" t="s">
        <v>131</v>
      </c>
      <c r="H106" s="22" t="s">
        <v>131</v>
      </c>
      <c r="I106" s="22" t="n">
        <v>30994</v>
      </c>
      <c r="J106" s="22" t="n">
        <v>31299</v>
      </c>
      <c r="K106" s="22" t="n">
        <v>31579</v>
      </c>
      <c r="L106" s="22" t="n">
        <v>31845</v>
      </c>
      <c r="M106" s="22" t="n">
        <v>31984</v>
      </c>
      <c r="N106" s="22" t="n">
        <v>32014</v>
      </c>
      <c r="O106" s="22" t="n">
        <v>32515</v>
      </c>
      <c r="P106" s="22" t="n">
        <v>32759</v>
      </c>
      <c r="Q106" s="22" t="n">
        <v>32804</v>
      </c>
      <c r="R106" s="22" t="n">
        <v>32939</v>
      </c>
      <c r="S106" s="22" t="n">
        <v>33157</v>
      </c>
      <c r="T106" s="22" t="n">
        <v>33352</v>
      </c>
      <c r="U106" s="22" t="n">
        <v>33578</v>
      </c>
      <c r="V106" s="22" t="n">
        <v>33712</v>
      </c>
      <c r="W106" s="22" t="n">
        <v>33787</v>
      </c>
      <c r="X106" s="22" t="n">
        <v>33916</v>
      </c>
      <c r="Y106" s="22" t="n">
        <v>34047</v>
      </c>
      <c r="Z106" s="22" t="n">
        <v>34194</v>
      </c>
      <c r="AA106" s="22" t="n">
        <v>34291</v>
      </c>
      <c r="AB106" s="22" t="n">
        <v>34441</v>
      </c>
      <c r="AC106" s="22" t="n">
        <v>34573</v>
      </c>
      <c r="AD106" s="22" t="n">
        <v>34719</v>
      </c>
      <c r="AE106" s="22" t="n">
        <v>34811</v>
      </c>
      <c r="AF106" s="22" t="n">
        <v>34961</v>
      </c>
    </row>
    <row r="107" customFormat="false" ht="15" hidden="false" customHeight="false" outlineLevel="0" collapsed="false">
      <c r="A107" s="22" t="s">
        <v>147</v>
      </c>
      <c r="B107" s="22" t="s">
        <v>3</v>
      </c>
      <c r="C107" s="22" t="s">
        <v>147</v>
      </c>
      <c r="D107" s="22" t="n">
        <v>14500</v>
      </c>
      <c r="E107" s="22" t="s">
        <v>132</v>
      </c>
      <c r="F107" s="22" t="s">
        <v>5</v>
      </c>
      <c r="G107" s="22" t="s">
        <v>131</v>
      </c>
      <c r="H107" s="22" t="s">
        <v>131</v>
      </c>
      <c r="I107" s="22" t="n">
        <v>2.292</v>
      </c>
      <c r="J107" s="22" t="n">
        <v>2.329</v>
      </c>
      <c r="K107" s="22" t="n">
        <v>2.367</v>
      </c>
      <c r="L107" s="22" t="n">
        <v>2.274</v>
      </c>
      <c r="M107" s="22" t="n">
        <v>2.267</v>
      </c>
      <c r="N107" s="22" t="n">
        <v>2.358</v>
      </c>
      <c r="O107" s="22" t="n">
        <v>2.383</v>
      </c>
      <c r="P107" s="22" t="n">
        <v>2.26</v>
      </c>
      <c r="Q107" s="22" t="n">
        <v>2.277</v>
      </c>
      <c r="R107" s="22" t="n">
        <v>2.364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customFormat="false" ht="15" hidden="false" customHeight="false" outlineLevel="0" collapsed="false">
      <c r="A108" s="22" t="s">
        <v>147</v>
      </c>
      <c r="B108" s="22" t="s">
        <v>3</v>
      </c>
      <c r="C108" s="22" t="s">
        <v>147</v>
      </c>
      <c r="D108" s="22" t="n">
        <v>14500</v>
      </c>
      <c r="E108" s="22" t="s">
        <v>134</v>
      </c>
      <c r="F108" s="22" t="s">
        <v>135</v>
      </c>
      <c r="G108" s="22" t="s">
        <v>131</v>
      </c>
      <c r="H108" s="22" t="s">
        <v>131</v>
      </c>
      <c r="I108" s="22" t="n">
        <v>-0.0095</v>
      </c>
      <c r="J108" s="22" t="n">
        <v>-0.0124</v>
      </c>
      <c r="K108" s="22" t="n">
        <v>0.0009</v>
      </c>
      <c r="L108" s="22" t="n">
        <v>-0.008</v>
      </c>
      <c r="M108" s="22" t="n">
        <v>-0.0035</v>
      </c>
      <c r="N108" s="22" t="n">
        <v>-0.001</v>
      </c>
      <c r="O108" s="22" t="n">
        <v>-0.0505</v>
      </c>
      <c r="P108" s="22" t="n">
        <v>-0.0698</v>
      </c>
      <c r="Q108" s="22" t="n">
        <v>-0.0567</v>
      </c>
      <c r="R108" s="22" t="n">
        <v>-0.0372</v>
      </c>
      <c r="S108" s="22" t="n">
        <v>-0.03</v>
      </c>
      <c r="T108" s="22" t="n">
        <v>-0.015</v>
      </c>
      <c r="U108" s="22" t="n">
        <v>0.007</v>
      </c>
      <c r="V108" s="22" t="n">
        <v>0.015</v>
      </c>
      <c r="W108" s="22" t="n">
        <v>0.018</v>
      </c>
      <c r="X108" s="22" t="n">
        <v>0.018</v>
      </c>
      <c r="Y108" s="22" t="n">
        <v>0.018</v>
      </c>
      <c r="Z108" s="22" t="n">
        <v>0.017</v>
      </c>
      <c r="AA108" s="22" t="n">
        <v>0.019</v>
      </c>
      <c r="AB108" s="22" t="n">
        <v>0.019</v>
      </c>
      <c r="AC108" s="22" t="n">
        <v>0.018</v>
      </c>
      <c r="AD108" s="22" t="n">
        <v>0.019</v>
      </c>
      <c r="AE108" s="22" t="n">
        <v>0.02</v>
      </c>
      <c r="AF108" s="22" t="n">
        <v>0.021</v>
      </c>
    </row>
    <row r="109" customFormat="false" ht="15" hidden="false" customHeight="false" outlineLevel="0" collapsed="false">
      <c r="A109" s="22" t="s">
        <v>147</v>
      </c>
      <c r="B109" s="22" t="s">
        <v>3</v>
      </c>
      <c r="C109" s="22" t="s">
        <v>147</v>
      </c>
      <c r="D109" s="22" t="n">
        <v>14500</v>
      </c>
      <c r="E109" s="22" t="s">
        <v>136</v>
      </c>
      <c r="F109" s="22" t="s">
        <v>137</v>
      </c>
      <c r="G109" s="22" t="s">
        <v>131</v>
      </c>
      <c r="H109" s="22" t="s">
        <v>131</v>
      </c>
      <c r="I109" s="22" t="n">
        <v>4</v>
      </c>
      <c r="J109" s="22" t="n">
        <v>5</v>
      </c>
      <c r="K109" s="22" t="n">
        <v>4</v>
      </c>
      <c r="L109" s="22" t="n">
        <v>4</v>
      </c>
      <c r="M109" s="22" t="n">
        <v>3</v>
      </c>
      <c r="N109" s="22" t="n">
        <v>3</v>
      </c>
      <c r="O109" s="22" t="n">
        <v>4</v>
      </c>
      <c r="P109" s="22" t="n">
        <v>3</v>
      </c>
      <c r="Q109" s="22" t="n">
        <v>4</v>
      </c>
      <c r="R109" s="22" t="n">
        <v>4</v>
      </c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</row>
    <row r="110" customFormat="false" ht="15" hidden="false" customHeight="false" outlineLevel="0" collapsed="false">
      <c r="A110" s="22" t="s">
        <v>148</v>
      </c>
      <c r="B110" s="22" t="s">
        <v>3</v>
      </c>
      <c r="C110" s="22" t="s">
        <v>148</v>
      </c>
      <c r="D110" s="22" t="n">
        <v>14860</v>
      </c>
      <c r="E110" s="22" t="s">
        <v>129</v>
      </c>
      <c r="F110" s="22" t="s">
        <v>130</v>
      </c>
      <c r="G110" s="22" t="s">
        <v>131</v>
      </c>
      <c r="H110" s="22" t="s">
        <v>131</v>
      </c>
      <c r="I110" s="22" t="n">
        <v>2.85033776687771</v>
      </c>
      <c r="J110" s="22" t="n">
        <v>2.88179586751455</v>
      </c>
      <c r="K110" s="22" t="n">
        <v>2.93501340348126</v>
      </c>
      <c r="L110" s="22" t="n">
        <v>2.995030762635</v>
      </c>
      <c r="M110" s="22" t="n">
        <v>3.01285167459102</v>
      </c>
      <c r="N110" s="22" t="n">
        <v>3.05581117146353</v>
      </c>
      <c r="O110" s="22" t="n">
        <v>3.07352472218618</v>
      </c>
      <c r="P110" s="22" t="n">
        <v>3.13267669773627</v>
      </c>
      <c r="Q110" s="22" t="n">
        <v>3.1327414677714</v>
      </c>
      <c r="R110" s="22" t="n">
        <v>3.1285292248445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customFormat="false" ht="15" hidden="false" customHeight="false" outlineLevel="0" collapsed="false">
      <c r="A111" s="22" t="s">
        <v>148</v>
      </c>
      <c r="B111" s="22" t="s">
        <v>3</v>
      </c>
      <c r="C111" s="22" t="s">
        <v>148</v>
      </c>
      <c r="D111" s="22" t="n">
        <v>14860</v>
      </c>
      <c r="E111" s="22" t="s">
        <v>132</v>
      </c>
      <c r="F111" s="22" t="s">
        <v>6</v>
      </c>
      <c r="G111" s="22" t="s">
        <v>131</v>
      </c>
      <c r="H111" s="22" t="s">
        <v>131</v>
      </c>
      <c r="I111" s="22" t="n">
        <v>2.874</v>
      </c>
      <c r="J111" s="22" t="n">
        <v>2.944</v>
      </c>
      <c r="K111" s="22" t="n">
        <v>3.022</v>
      </c>
      <c r="L111" s="22" t="n">
        <v>3.01</v>
      </c>
      <c r="M111" s="22" t="n">
        <v>3.033</v>
      </c>
      <c r="N111" s="22" t="n">
        <v>3.103</v>
      </c>
      <c r="O111" s="22" t="n">
        <v>3.141</v>
      </c>
      <c r="P111" s="22" t="n">
        <v>3.099</v>
      </c>
      <c r="Q111" s="22" t="n">
        <v>3.084</v>
      </c>
      <c r="R111" s="22" t="n">
        <v>3.159</v>
      </c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</row>
    <row r="112" customFormat="false" ht="15" hidden="false" customHeight="false" outlineLevel="0" collapsed="false">
      <c r="A112" s="22" t="s">
        <v>148</v>
      </c>
      <c r="B112" s="22" t="s">
        <v>3</v>
      </c>
      <c r="C112" s="22" t="s">
        <v>148</v>
      </c>
      <c r="D112" s="22" t="n">
        <v>14860</v>
      </c>
      <c r="E112" s="22" t="s">
        <v>132</v>
      </c>
      <c r="F112" s="22" t="s">
        <v>133</v>
      </c>
      <c r="G112" s="22" t="s">
        <v>131</v>
      </c>
      <c r="H112" s="22" t="s">
        <v>131</v>
      </c>
      <c r="I112" s="22" t="n">
        <v>60859</v>
      </c>
      <c r="J112" s="22" t="n">
        <v>61273</v>
      </c>
      <c r="K112" s="22" t="n">
        <v>61798</v>
      </c>
      <c r="L112" s="22" t="n">
        <v>62589</v>
      </c>
      <c r="M112" s="22" t="n">
        <v>62838</v>
      </c>
      <c r="N112" s="22" t="n">
        <v>63073</v>
      </c>
      <c r="O112" s="22" t="n">
        <v>63651</v>
      </c>
      <c r="P112" s="22" t="n">
        <v>64300</v>
      </c>
      <c r="Q112" s="22" t="n">
        <v>64521</v>
      </c>
      <c r="R112" s="22" t="n">
        <v>64836</v>
      </c>
      <c r="S112" s="22" t="n">
        <v>65310</v>
      </c>
      <c r="T112" s="22" t="n">
        <v>65729</v>
      </c>
      <c r="U112" s="22" t="n">
        <v>66032</v>
      </c>
      <c r="V112" s="22" t="n">
        <v>66888</v>
      </c>
      <c r="W112" s="22" t="n">
        <v>67322</v>
      </c>
      <c r="X112" s="22" t="n">
        <v>67955</v>
      </c>
      <c r="Y112" s="22" t="n">
        <v>68471</v>
      </c>
      <c r="Z112" s="22" t="n">
        <v>68627</v>
      </c>
      <c r="AA112" s="22" t="n">
        <v>68627</v>
      </c>
      <c r="AB112" s="22" t="n">
        <v>68627</v>
      </c>
      <c r="AC112" s="22" t="n">
        <v>68794</v>
      </c>
      <c r="AD112" s="22" t="n">
        <v>68947</v>
      </c>
      <c r="AE112" s="22" t="n">
        <v>68941</v>
      </c>
      <c r="AF112" s="22" t="n">
        <v>68941</v>
      </c>
    </row>
    <row r="113" customFormat="false" ht="15" hidden="false" customHeight="false" outlineLevel="0" collapsed="false">
      <c r="A113" s="22" t="s">
        <v>148</v>
      </c>
      <c r="B113" s="22" t="s">
        <v>3</v>
      </c>
      <c r="C113" s="22" t="s">
        <v>148</v>
      </c>
      <c r="D113" s="22" t="n">
        <v>14860</v>
      </c>
      <c r="E113" s="22" t="s">
        <v>132</v>
      </c>
      <c r="F113" s="22" t="s">
        <v>5</v>
      </c>
      <c r="G113" s="22" t="s">
        <v>131</v>
      </c>
      <c r="H113" s="22" t="s">
        <v>131</v>
      </c>
      <c r="I113" s="22" t="n">
        <v>2.907</v>
      </c>
      <c r="J113" s="22" t="n">
        <v>2.968</v>
      </c>
      <c r="K113" s="22" t="n">
        <v>3.042</v>
      </c>
      <c r="L113" s="22" t="n">
        <v>3.033</v>
      </c>
      <c r="M113" s="22" t="n">
        <v>3.052</v>
      </c>
      <c r="N113" s="22" t="n">
        <v>3.114</v>
      </c>
      <c r="O113" s="22" t="n">
        <v>3.151</v>
      </c>
      <c r="P113" s="22" t="n">
        <v>3.122</v>
      </c>
      <c r="Q113" s="22" t="n">
        <v>3.137</v>
      </c>
      <c r="R113" s="22" t="n">
        <v>3.203</v>
      </c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customFormat="false" ht="15" hidden="false" customHeight="false" outlineLevel="0" collapsed="false">
      <c r="A114" s="22" t="s">
        <v>148</v>
      </c>
      <c r="B114" s="22" t="s">
        <v>3</v>
      </c>
      <c r="C114" s="22" t="s">
        <v>148</v>
      </c>
      <c r="D114" s="22" t="n">
        <v>14860</v>
      </c>
      <c r="E114" s="22" t="s">
        <v>134</v>
      </c>
      <c r="F114" s="22" t="s">
        <v>135</v>
      </c>
      <c r="G114" s="22" t="s">
        <v>131</v>
      </c>
      <c r="H114" s="22" t="s">
        <v>131</v>
      </c>
      <c r="I114" s="22" t="n">
        <v>0.0193</v>
      </c>
      <c r="J114" s="22" t="n">
        <v>0.0201</v>
      </c>
      <c r="K114" s="22" t="n">
        <v>0.0371</v>
      </c>
      <c r="L114" s="22" t="n">
        <v>0.0402</v>
      </c>
      <c r="M114" s="22" t="n">
        <v>0.0497</v>
      </c>
      <c r="N114" s="22" t="n">
        <v>0.0474</v>
      </c>
      <c r="O114" s="22" t="n">
        <v>0.0305</v>
      </c>
      <c r="P114" s="22" t="n">
        <v>0.0229</v>
      </c>
      <c r="Q114" s="22" t="n">
        <v>0.0111</v>
      </c>
      <c r="R114" s="22" t="n">
        <v>0.0119</v>
      </c>
      <c r="S114" s="22" t="n">
        <v>0.016</v>
      </c>
      <c r="T114" s="22" t="n">
        <v>0.021</v>
      </c>
      <c r="U114" s="22" t="n">
        <v>0.022</v>
      </c>
      <c r="V114" s="22" t="n">
        <v>0.015</v>
      </c>
      <c r="W114" s="22" t="n">
        <v>0.013</v>
      </c>
      <c r="X114" s="22" t="n">
        <v>0.017</v>
      </c>
      <c r="Y114" s="22" t="n">
        <v>0.019</v>
      </c>
      <c r="Z114" s="22" t="n">
        <v>0.018</v>
      </c>
      <c r="AA114" s="22" t="n">
        <v>0.019</v>
      </c>
      <c r="AB114" s="22" t="n">
        <v>0.022</v>
      </c>
      <c r="AC114" s="22" t="n">
        <v>0.022</v>
      </c>
      <c r="AD114" s="22" t="n">
        <v>0.02</v>
      </c>
      <c r="AE114" s="22" t="n">
        <v>0.021</v>
      </c>
      <c r="AF114" s="22" t="n">
        <v>0.024</v>
      </c>
    </row>
    <row r="115" customFormat="false" ht="15" hidden="false" customHeight="false" outlineLevel="0" collapsed="false">
      <c r="A115" s="22" t="s">
        <v>148</v>
      </c>
      <c r="B115" s="22" t="s">
        <v>3</v>
      </c>
      <c r="C115" s="22" t="s">
        <v>148</v>
      </c>
      <c r="D115" s="22" t="n">
        <v>14860</v>
      </c>
      <c r="E115" s="22" t="s">
        <v>136</v>
      </c>
      <c r="F115" s="22" t="s">
        <v>137</v>
      </c>
      <c r="G115" s="22" t="s">
        <v>131</v>
      </c>
      <c r="H115" s="22" t="s">
        <v>131</v>
      </c>
      <c r="I115" s="22" t="n">
        <v>8</v>
      </c>
      <c r="J115" s="22" t="n">
        <v>9</v>
      </c>
      <c r="K115" s="22" t="n">
        <v>6</v>
      </c>
      <c r="L115" s="22" t="n">
        <v>10</v>
      </c>
      <c r="M115" s="22" t="n">
        <v>11</v>
      </c>
      <c r="N115" s="22" t="n">
        <v>11</v>
      </c>
      <c r="O115" s="22" t="n">
        <v>17</v>
      </c>
      <c r="P115" s="22" t="n">
        <v>16</v>
      </c>
      <c r="Q115" s="22" t="n">
        <v>17</v>
      </c>
      <c r="R115" s="22" t="n">
        <v>15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customFormat="false" ht="15" hidden="false" customHeight="false" outlineLevel="0" collapsed="false">
      <c r="A116" s="22" t="s">
        <v>149</v>
      </c>
      <c r="B116" s="22" t="s">
        <v>3</v>
      </c>
      <c r="C116" s="22" t="s">
        <v>149</v>
      </c>
      <c r="D116" s="22" t="n">
        <v>15380</v>
      </c>
      <c r="E116" s="22" t="s">
        <v>129</v>
      </c>
      <c r="F116" s="22" t="s">
        <v>130</v>
      </c>
      <c r="G116" s="22" t="s">
        <v>131</v>
      </c>
      <c r="H116" s="22" t="s">
        <v>131</v>
      </c>
      <c r="I116" s="22" t="n">
        <v>1.40191629113784</v>
      </c>
      <c r="J116" s="22" t="n">
        <v>1.43014709047979</v>
      </c>
      <c r="K116" s="22" t="n">
        <v>1.44598366728519</v>
      </c>
      <c r="L116" s="22" t="n">
        <v>1.4704952021343</v>
      </c>
      <c r="M116" s="22" t="n">
        <v>1.50219966303713</v>
      </c>
      <c r="N116" s="22" t="n">
        <v>1.51754819721634</v>
      </c>
      <c r="O116" s="22" t="n">
        <v>1.52906821743143</v>
      </c>
      <c r="P116" s="22" t="n">
        <v>1.52370438953306</v>
      </c>
      <c r="Q116" s="22" t="n">
        <v>1.52823828362374</v>
      </c>
      <c r="R116" s="22" t="n">
        <v>1.5383594830193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customFormat="false" ht="15" hidden="false" customHeight="false" outlineLevel="0" collapsed="false">
      <c r="A117" s="22" t="s">
        <v>149</v>
      </c>
      <c r="B117" s="22" t="s">
        <v>3</v>
      </c>
      <c r="C117" s="22" t="s">
        <v>149</v>
      </c>
      <c r="D117" s="22" t="n">
        <v>15380</v>
      </c>
      <c r="E117" s="22" t="s">
        <v>132</v>
      </c>
      <c r="F117" s="22" t="s">
        <v>6</v>
      </c>
      <c r="G117" s="22" t="s">
        <v>131</v>
      </c>
      <c r="H117" s="22" t="s">
        <v>131</v>
      </c>
      <c r="I117" s="22" t="n">
        <v>1.573</v>
      </c>
      <c r="J117" s="22" t="n">
        <v>1.598</v>
      </c>
      <c r="K117" s="22" t="n">
        <v>1.611</v>
      </c>
      <c r="L117" s="22" t="n">
        <v>1.597</v>
      </c>
      <c r="M117" s="22" t="n">
        <v>1.616</v>
      </c>
      <c r="N117" s="22" t="n">
        <v>1.66</v>
      </c>
      <c r="O117" s="22" t="n">
        <v>1.661</v>
      </c>
      <c r="P117" s="22" t="n">
        <v>1.688</v>
      </c>
      <c r="Q117" s="22" t="n">
        <v>1.71</v>
      </c>
      <c r="R117" s="22" t="n">
        <v>1.718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customFormat="false" ht="15" hidden="false" customHeight="false" outlineLevel="0" collapsed="false">
      <c r="A118" s="22" t="s">
        <v>149</v>
      </c>
      <c r="B118" s="22" t="s">
        <v>3</v>
      </c>
      <c r="C118" s="22" t="s">
        <v>149</v>
      </c>
      <c r="D118" s="22" t="n">
        <v>15380</v>
      </c>
      <c r="E118" s="22" t="s">
        <v>132</v>
      </c>
      <c r="F118" s="22" t="s">
        <v>133</v>
      </c>
      <c r="G118" s="22" t="s">
        <v>131</v>
      </c>
      <c r="H118" s="22" t="s">
        <v>131</v>
      </c>
      <c r="I118" s="22" t="n">
        <v>65614</v>
      </c>
      <c r="J118" s="22" t="n">
        <v>65683</v>
      </c>
      <c r="K118" s="22" t="n">
        <v>66136</v>
      </c>
      <c r="L118" s="22" t="n">
        <v>66382</v>
      </c>
      <c r="M118" s="22" t="n">
        <v>66692</v>
      </c>
      <c r="N118" s="22" t="n">
        <v>66759</v>
      </c>
      <c r="O118" s="22" t="n">
        <v>66925</v>
      </c>
      <c r="P118" s="22" t="n">
        <v>66969</v>
      </c>
      <c r="Q118" s="22" t="n">
        <v>67087</v>
      </c>
      <c r="R118" s="22" t="n">
        <v>67233</v>
      </c>
      <c r="S118" s="22" t="n">
        <v>67459</v>
      </c>
      <c r="T118" s="22" t="n">
        <v>67613</v>
      </c>
      <c r="U118" s="22" t="n">
        <v>67655</v>
      </c>
      <c r="V118" s="22" t="n">
        <v>67750</v>
      </c>
      <c r="W118" s="22" t="n">
        <v>67806</v>
      </c>
      <c r="X118" s="22" t="n">
        <v>67942</v>
      </c>
      <c r="Y118" s="22" t="n">
        <v>67974</v>
      </c>
      <c r="Z118" s="22" t="n">
        <v>68069</v>
      </c>
      <c r="AA118" s="22" t="n">
        <v>68142</v>
      </c>
      <c r="AB118" s="22" t="n">
        <v>68306</v>
      </c>
      <c r="AC118" s="22" t="n">
        <v>68355</v>
      </c>
      <c r="AD118" s="22" t="n">
        <v>68456</v>
      </c>
      <c r="AE118" s="22" t="n">
        <v>68525</v>
      </c>
      <c r="AF118" s="22" t="n">
        <v>68673</v>
      </c>
    </row>
    <row r="119" customFormat="false" ht="15" hidden="false" customHeight="false" outlineLevel="0" collapsed="false">
      <c r="A119" s="22" t="s">
        <v>149</v>
      </c>
      <c r="B119" s="22" t="s">
        <v>3</v>
      </c>
      <c r="C119" s="22" t="s">
        <v>149</v>
      </c>
      <c r="D119" s="22" t="n">
        <v>15380</v>
      </c>
      <c r="E119" s="22" t="s">
        <v>132</v>
      </c>
      <c r="F119" s="22" t="s">
        <v>5</v>
      </c>
      <c r="G119" s="22" t="s">
        <v>131</v>
      </c>
      <c r="H119" s="22" t="s">
        <v>131</v>
      </c>
      <c r="I119" s="22" t="n">
        <v>1.582</v>
      </c>
      <c r="J119" s="22" t="n">
        <v>1.603</v>
      </c>
      <c r="K119" s="22" t="n">
        <v>1.616</v>
      </c>
      <c r="L119" s="22" t="n">
        <v>1.6</v>
      </c>
      <c r="M119" s="22" t="n">
        <v>1.619</v>
      </c>
      <c r="N119" s="22" t="n">
        <v>1.662</v>
      </c>
      <c r="O119" s="22" t="n">
        <v>1.663</v>
      </c>
      <c r="P119" s="22" t="n">
        <v>1.694</v>
      </c>
      <c r="Q119" s="22" t="n">
        <v>1.715</v>
      </c>
      <c r="R119" s="22" t="n">
        <v>1.723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</row>
    <row r="120" customFormat="false" ht="15" hidden="false" customHeight="false" outlineLevel="0" collapsed="false">
      <c r="A120" s="22" t="s">
        <v>149</v>
      </c>
      <c r="B120" s="22" t="s">
        <v>3</v>
      </c>
      <c r="C120" s="22" t="s">
        <v>149</v>
      </c>
      <c r="D120" s="22" t="n">
        <v>15380</v>
      </c>
      <c r="E120" s="22" t="s">
        <v>134</v>
      </c>
      <c r="F120" s="22" t="s">
        <v>135</v>
      </c>
      <c r="G120" s="22" t="s">
        <v>131</v>
      </c>
      <c r="H120" s="22" t="s">
        <v>131</v>
      </c>
      <c r="I120" s="22" t="n">
        <v>0.0648</v>
      </c>
      <c r="J120" s="22" t="n">
        <v>0.0548</v>
      </c>
      <c r="K120" s="22" t="n">
        <v>0.0541</v>
      </c>
      <c r="L120" s="22" t="n">
        <v>0.0335</v>
      </c>
      <c r="M120" s="22" t="n">
        <v>0.0222</v>
      </c>
      <c r="N120" s="22" t="n">
        <v>0.0195</v>
      </c>
      <c r="O120" s="22" t="n">
        <v>0.011</v>
      </c>
      <c r="P120" s="22" t="n">
        <v>0.0208</v>
      </c>
      <c r="Q120" s="22" t="n">
        <v>0.0162</v>
      </c>
      <c r="R120" s="22" t="n">
        <v>0.0089</v>
      </c>
      <c r="S120" s="22" t="n">
        <v>0.01</v>
      </c>
      <c r="T120" s="22" t="n">
        <v>0.011</v>
      </c>
      <c r="U120" s="22" t="n">
        <v>0.013</v>
      </c>
      <c r="V120" s="22" t="n">
        <v>0.016</v>
      </c>
      <c r="W120" s="22" t="n">
        <v>0.019</v>
      </c>
      <c r="X120" s="22" t="n">
        <v>0.02</v>
      </c>
      <c r="Y120" s="22" t="n">
        <v>0.018</v>
      </c>
      <c r="Z120" s="22" t="n">
        <v>0.017</v>
      </c>
      <c r="AA120" s="22" t="n">
        <v>0.017</v>
      </c>
      <c r="AB120" s="22" t="n">
        <v>0.015</v>
      </c>
      <c r="AC120" s="22" t="n">
        <v>0.015</v>
      </c>
      <c r="AD120" s="22" t="n">
        <v>0.014</v>
      </c>
      <c r="AE120" s="22" t="n">
        <v>0.014</v>
      </c>
      <c r="AF120" s="22" t="n">
        <v>0.014</v>
      </c>
    </row>
    <row r="121" customFormat="false" ht="15" hidden="false" customHeight="false" outlineLevel="0" collapsed="false">
      <c r="A121" s="22" t="s">
        <v>149</v>
      </c>
      <c r="B121" s="22" t="s">
        <v>3</v>
      </c>
      <c r="C121" s="22" t="s">
        <v>149</v>
      </c>
      <c r="D121" s="22" t="n">
        <v>15380</v>
      </c>
      <c r="E121" s="22" t="s">
        <v>136</v>
      </c>
      <c r="F121" s="22" t="s">
        <v>137</v>
      </c>
      <c r="G121" s="22" t="s">
        <v>131</v>
      </c>
      <c r="H121" s="22" t="s">
        <v>131</v>
      </c>
      <c r="I121" s="22" t="n">
        <v>8</v>
      </c>
      <c r="J121" s="22" t="n">
        <v>5</v>
      </c>
      <c r="K121" s="22" t="n">
        <v>3</v>
      </c>
      <c r="L121" s="22" t="n">
        <v>1</v>
      </c>
      <c r="M121" s="22" t="n">
        <v>3</v>
      </c>
      <c r="N121" s="22" t="n">
        <v>4</v>
      </c>
      <c r="O121" s="22" t="n">
        <v>5</v>
      </c>
      <c r="P121" s="22" t="n">
        <v>7</v>
      </c>
      <c r="Q121" s="22" t="n">
        <v>6</v>
      </c>
      <c r="R121" s="22" t="n">
        <v>5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customFormat="false" ht="15" hidden="false" customHeight="false" outlineLevel="0" collapsed="false">
      <c r="A122" s="22" t="s">
        <v>79</v>
      </c>
      <c r="B122" s="22" t="s">
        <v>3</v>
      </c>
      <c r="C122" s="22" t="s">
        <v>79</v>
      </c>
      <c r="D122" s="22" t="n">
        <v>15980</v>
      </c>
      <c r="E122" s="22" t="s">
        <v>129</v>
      </c>
      <c r="F122" s="22" t="s">
        <v>130</v>
      </c>
      <c r="G122" s="22" t="s">
        <v>131</v>
      </c>
      <c r="H122" s="22" t="s">
        <v>131</v>
      </c>
      <c r="I122" s="22" t="n">
        <v>1.89446630876531</v>
      </c>
      <c r="J122" s="22" t="n">
        <v>1.86335833698027</v>
      </c>
      <c r="K122" s="22" t="n">
        <v>1.8424797664368</v>
      </c>
      <c r="L122" s="22" t="n">
        <v>1.80940574482382</v>
      </c>
      <c r="M122" s="22" t="n">
        <v>1.79806519557734</v>
      </c>
      <c r="N122" s="22" t="n">
        <v>1.79040014294903</v>
      </c>
      <c r="O122" s="22" t="n">
        <v>1.75705999075517</v>
      </c>
      <c r="P122" s="22" t="n">
        <v>1.7172407792672</v>
      </c>
      <c r="Q122" s="22" t="n">
        <v>1.68888823767678</v>
      </c>
      <c r="R122" s="22" t="n">
        <v>1.65385796862275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</row>
    <row r="123" customFormat="false" ht="15" hidden="false" customHeight="false" outlineLevel="0" collapsed="false">
      <c r="A123" s="22" t="s">
        <v>79</v>
      </c>
      <c r="B123" s="22" t="s">
        <v>3</v>
      </c>
      <c r="C123" s="22" t="s">
        <v>79</v>
      </c>
      <c r="D123" s="22" t="n">
        <v>15980</v>
      </c>
      <c r="E123" s="22" t="s">
        <v>132</v>
      </c>
      <c r="F123" s="22" t="s">
        <v>6</v>
      </c>
      <c r="G123" s="22" t="s">
        <v>131</v>
      </c>
      <c r="H123" s="22" t="s">
        <v>131</v>
      </c>
      <c r="I123" s="22" t="n">
        <v>1.868</v>
      </c>
      <c r="J123" s="22" t="n">
        <v>1.821</v>
      </c>
      <c r="K123" s="22" t="n">
        <v>1.757</v>
      </c>
      <c r="L123" s="22" t="n">
        <v>1.713</v>
      </c>
      <c r="M123" s="22" t="n">
        <v>1.721</v>
      </c>
      <c r="N123" s="22" t="n">
        <v>1.716</v>
      </c>
      <c r="O123" s="22" t="n">
        <v>1.649</v>
      </c>
      <c r="P123" s="22" t="n">
        <v>1.58</v>
      </c>
      <c r="Q123" s="22" t="n">
        <v>1.56</v>
      </c>
      <c r="R123" s="22" t="n">
        <v>1.582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</row>
    <row r="124" customFormat="false" ht="15" hidden="false" customHeight="false" outlineLevel="0" collapsed="false">
      <c r="A124" s="22" t="s">
        <v>79</v>
      </c>
      <c r="B124" s="22" t="s">
        <v>3</v>
      </c>
      <c r="C124" s="22" t="s">
        <v>79</v>
      </c>
      <c r="D124" s="22" t="n">
        <v>15980</v>
      </c>
      <c r="E124" s="22" t="s">
        <v>132</v>
      </c>
      <c r="F124" s="22" t="s">
        <v>133</v>
      </c>
      <c r="G124" s="22" t="s">
        <v>131</v>
      </c>
      <c r="H124" s="22" t="s">
        <v>131</v>
      </c>
      <c r="I124" s="22" t="n">
        <v>54183</v>
      </c>
      <c r="J124" s="22" t="n">
        <v>55437</v>
      </c>
      <c r="K124" s="22" t="n">
        <v>56590</v>
      </c>
      <c r="L124" s="22" t="n">
        <v>57704</v>
      </c>
      <c r="M124" s="22" t="n">
        <v>58890</v>
      </c>
      <c r="N124" s="22" t="n">
        <v>59678</v>
      </c>
      <c r="O124" s="22" t="n">
        <v>60520</v>
      </c>
      <c r="P124" s="22" t="n">
        <v>61298</v>
      </c>
      <c r="Q124" s="22" t="n">
        <v>62515</v>
      </c>
      <c r="R124" s="22" t="n">
        <v>63421</v>
      </c>
      <c r="S124" s="22" t="n">
        <v>64198</v>
      </c>
      <c r="T124" s="22" t="n">
        <v>65266</v>
      </c>
      <c r="U124" s="22" t="n">
        <v>65989</v>
      </c>
      <c r="V124" s="22" t="n">
        <v>66309</v>
      </c>
      <c r="W124" s="22" t="n">
        <v>66725</v>
      </c>
      <c r="X124" s="22" t="n">
        <v>67477</v>
      </c>
      <c r="Y124" s="22" t="n">
        <v>67776</v>
      </c>
      <c r="Z124" s="22" t="n">
        <v>67975</v>
      </c>
      <c r="AA124" s="22" t="n">
        <v>67975</v>
      </c>
      <c r="AB124" s="22" t="n">
        <v>68289</v>
      </c>
      <c r="AC124" s="22" t="n">
        <v>68548</v>
      </c>
      <c r="AD124" s="22" t="n">
        <v>68720</v>
      </c>
      <c r="AE124" s="22" t="n">
        <v>68703</v>
      </c>
      <c r="AF124" s="22" t="n">
        <v>69001</v>
      </c>
    </row>
    <row r="125" customFormat="false" ht="15" hidden="false" customHeight="false" outlineLevel="0" collapsed="false">
      <c r="A125" s="22" t="s">
        <v>79</v>
      </c>
      <c r="B125" s="22" t="s">
        <v>3</v>
      </c>
      <c r="C125" s="22" t="s">
        <v>79</v>
      </c>
      <c r="D125" s="22" t="n">
        <v>15980</v>
      </c>
      <c r="E125" s="22" t="s">
        <v>132</v>
      </c>
      <c r="F125" s="22" t="s">
        <v>5</v>
      </c>
      <c r="G125" s="22" t="s">
        <v>131</v>
      </c>
      <c r="H125" s="22" t="s">
        <v>131</v>
      </c>
      <c r="I125" s="22" t="n">
        <v>1.912</v>
      </c>
      <c r="J125" s="22" t="n">
        <v>1.865</v>
      </c>
      <c r="K125" s="22" t="n">
        <v>1.815</v>
      </c>
      <c r="L125" s="22" t="n">
        <v>1.762</v>
      </c>
      <c r="M125" s="22" t="n">
        <v>1.777</v>
      </c>
      <c r="N125" s="22" t="n">
        <v>1.764</v>
      </c>
      <c r="O125" s="22" t="n">
        <v>1.715</v>
      </c>
      <c r="P125" s="22" t="n">
        <v>1.658</v>
      </c>
      <c r="Q125" s="22" t="n">
        <v>1.661</v>
      </c>
      <c r="R125" s="22" t="n">
        <v>1.682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customFormat="false" ht="15" hidden="false" customHeight="false" outlineLevel="0" collapsed="false">
      <c r="A126" s="22" t="s">
        <v>79</v>
      </c>
      <c r="B126" s="22" t="s">
        <v>3</v>
      </c>
      <c r="C126" s="22" t="s">
        <v>79</v>
      </c>
      <c r="D126" s="22" t="n">
        <v>15980</v>
      </c>
      <c r="E126" s="22" t="s">
        <v>134</v>
      </c>
      <c r="F126" s="22" t="s">
        <v>135</v>
      </c>
      <c r="G126" s="22" t="s">
        <v>131</v>
      </c>
      <c r="H126" s="22" t="s">
        <v>131</v>
      </c>
      <c r="I126" s="22" t="n">
        <v>-0.0924</v>
      </c>
      <c r="J126" s="22" t="n">
        <v>-0.0956</v>
      </c>
      <c r="K126" s="22" t="n">
        <v>-0.0903</v>
      </c>
      <c r="L126" s="22" t="n">
        <v>-0.084</v>
      </c>
      <c r="M126" s="22" t="n">
        <v>-0.0754</v>
      </c>
      <c r="N126" s="22" t="n">
        <v>-0.0665</v>
      </c>
      <c r="O126" s="22" t="n">
        <v>-0.0814</v>
      </c>
      <c r="P126" s="22" t="n">
        <v>-0.0931</v>
      </c>
      <c r="Q126" s="22" t="n">
        <v>-0.1113</v>
      </c>
      <c r="R126" s="22" t="n">
        <v>-0.0935</v>
      </c>
      <c r="S126" s="22" t="n">
        <v>-0.081</v>
      </c>
      <c r="T126" s="22" t="n">
        <v>-0.061</v>
      </c>
      <c r="U126" s="22" t="n">
        <v>-0.036</v>
      </c>
      <c r="V126" s="22" t="n">
        <v>0.005</v>
      </c>
      <c r="W126" s="22" t="n">
        <v>0.037</v>
      </c>
      <c r="X126" s="22" t="n">
        <v>0.038</v>
      </c>
      <c r="Y126" s="22" t="n">
        <v>0.034</v>
      </c>
      <c r="Z126" s="22" t="n">
        <v>0.034</v>
      </c>
      <c r="AA126" s="22" t="n">
        <v>0.04</v>
      </c>
      <c r="AB126" s="22" t="n">
        <v>0.037</v>
      </c>
      <c r="AC126" s="22" t="n">
        <v>0.035</v>
      </c>
      <c r="AD126" s="22" t="n">
        <v>0.032</v>
      </c>
      <c r="AE126" s="22" t="n">
        <v>0.038</v>
      </c>
      <c r="AF126" s="22" t="n">
        <v>0.039</v>
      </c>
    </row>
    <row r="127" customFormat="false" ht="15" hidden="false" customHeight="false" outlineLevel="0" collapsed="false">
      <c r="A127" s="22" t="s">
        <v>79</v>
      </c>
      <c r="B127" s="22" t="s">
        <v>3</v>
      </c>
      <c r="C127" s="22" t="s">
        <v>79</v>
      </c>
      <c r="D127" s="22" t="n">
        <v>15980</v>
      </c>
      <c r="E127" s="22" t="s">
        <v>136</v>
      </c>
      <c r="F127" s="22" t="s">
        <v>137</v>
      </c>
      <c r="G127" s="22" t="s">
        <v>131</v>
      </c>
      <c r="H127" s="22" t="s">
        <v>131</v>
      </c>
      <c r="I127" s="22" t="n">
        <v>11</v>
      </c>
      <c r="J127" s="22" t="n">
        <v>13</v>
      </c>
      <c r="K127" s="22" t="n">
        <v>15</v>
      </c>
      <c r="L127" s="22" t="n">
        <v>17</v>
      </c>
      <c r="M127" s="22" t="n">
        <v>13</v>
      </c>
      <c r="N127" s="22" t="n">
        <v>12</v>
      </c>
      <c r="O127" s="22" t="n">
        <v>11</v>
      </c>
      <c r="P127" s="22" t="n">
        <v>8</v>
      </c>
      <c r="Q127" s="22" t="n">
        <v>5</v>
      </c>
      <c r="R127" s="22" t="n">
        <v>4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customFormat="false" ht="15" hidden="false" customHeight="false" outlineLevel="0" collapsed="false">
      <c r="A128" s="22" t="s">
        <v>150</v>
      </c>
      <c r="B128" s="22" t="s">
        <v>3</v>
      </c>
      <c r="C128" s="22" t="s">
        <v>150</v>
      </c>
      <c r="D128" s="22" t="n">
        <v>16580</v>
      </c>
      <c r="E128" s="22" t="s">
        <v>132</v>
      </c>
      <c r="F128" s="22" t="s">
        <v>6</v>
      </c>
      <c r="G128" s="22" t="s">
        <v>131</v>
      </c>
      <c r="H128" s="22" t="s">
        <v>131</v>
      </c>
      <c r="I128" s="22" t="n">
        <v>1.075</v>
      </c>
      <c r="J128" s="22" t="n">
        <v>1.074</v>
      </c>
      <c r="K128" s="22" t="n">
        <v>1.114</v>
      </c>
      <c r="L128" s="22" t="n">
        <v>1.13</v>
      </c>
      <c r="M128" s="22" t="n">
        <v>1.158</v>
      </c>
      <c r="N128" s="22" t="n">
        <v>1.226</v>
      </c>
      <c r="O128" s="22" t="n">
        <v>1.213</v>
      </c>
      <c r="P128" s="22" t="n">
        <v>1.246</v>
      </c>
      <c r="Q128" s="22" t="n">
        <v>1.317</v>
      </c>
      <c r="R128" s="22" t="n">
        <v>1.315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customFormat="false" ht="15" hidden="false" customHeight="false" outlineLevel="0" collapsed="false">
      <c r="A129" s="22" t="s">
        <v>150</v>
      </c>
      <c r="B129" s="22" t="s">
        <v>3</v>
      </c>
      <c r="C129" s="22" t="s">
        <v>150</v>
      </c>
      <c r="D129" s="22" t="n">
        <v>16580</v>
      </c>
      <c r="E129" s="22" t="s">
        <v>132</v>
      </c>
      <c r="F129" s="22" t="s">
        <v>133</v>
      </c>
      <c r="G129" s="22" t="s">
        <v>131</v>
      </c>
      <c r="H129" s="22" t="s">
        <v>131</v>
      </c>
      <c r="I129" s="22" t="n">
        <v>27402</v>
      </c>
      <c r="J129" s="22" t="n">
        <v>27419</v>
      </c>
      <c r="K129" s="22" t="n">
        <v>27514</v>
      </c>
      <c r="L129" s="22" t="n">
        <v>27532</v>
      </c>
      <c r="M129" s="22" t="n">
        <v>27532</v>
      </c>
      <c r="N129" s="22" t="n">
        <v>27532</v>
      </c>
      <c r="O129" s="22" t="n">
        <v>27512</v>
      </c>
      <c r="P129" s="22" t="n">
        <v>27680</v>
      </c>
      <c r="Q129" s="22" t="n">
        <v>27680</v>
      </c>
      <c r="R129" s="22" t="n">
        <v>27680</v>
      </c>
      <c r="S129" s="22" t="n">
        <v>27702</v>
      </c>
      <c r="T129" s="22" t="n">
        <v>27735</v>
      </c>
      <c r="U129" s="22" t="n">
        <v>27769</v>
      </c>
      <c r="V129" s="22" t="n">
        <v>27781</v>
      </c>
      <c r="W129" s="22" t="n">
        <v>27901</v>
      </c>
      <c r="X129" s="22" t="n">
        <v>27968</v>
      </c>
      <c r="Y129" s="22" t="n">
        <v>28020</v>
      </c>
      <c r="Z129" s="22" t="n">
        <v>28030</v>
      </c>
      <c r="AA129" s="22" t="n">
        <v>28144</v>
      </c>
      <c r="AB129" s="22" t="n">
        <v>28203</v>
      </c>
      <c r="AC129" s="22" t="n">
        <v>28260</v>
      </c>
      <c r="AD129" s="22" t="n">
        <v>28276</v>
      </c>
      <c r="AE129" s="22" t="n">
        <v>28392</v>
      </c>
      <c r="AF129" s="22" t="n">
        <v>28454</v>
      </c>
    </row>
    <row r="130" customFormat="false" ht="15" hidden="false" customHeight="false" outlineLevel="0" collapsed="false">
      <c r="A130" s="22" t="s">
        <v>150</v>
      </c>
      <c r="B130" s="22" t="s">
        <v>3</v>
      </c>
      <c r="C130" s="22" t="s">
        <v>150</v>
      </c>
      <c r="D130" s="22" t="n">
        <v>16580</v>
      </c>
      <c r="E130" s="22" t="s">
        <v>132</v>
      </c>
      <c r="F130" s="22" t="s">
        <v>5</v>
      </c>
      <c r="G130" s="22" t="s">
        <v>131</v>
      </c>
      <c r="H130" s="22" t="s">
        <v>131</v>
      </c>
      <c r="I130" s="22" t="n">
        <v>1.079</v>
      </c>
      <c r="J130" s="22" t="n">
        <v>1.083</v>
      </c>
      <c r="K130" s="22" t="n">
        <v>1.118</v>
      </c>
      <c r="L130" s="22" t="n">
        <v>1.133</v>
      </c>
      <c r="M130" s="22" t="n">
        <v>1.159</v>
      </c>
      <c r="N130" s="22" t="n">
        <v>1.226</v>
      </c>
      <c r="O130" s="22" t="n">
        <v>1.213</v>
      </c>
      <c r="P130" s="22" t="n">
        <v>1.246</v>
      </c>
      <c r="Q130" s="22" t="n">
        <v>1.332</v>
      </c>
      <c r="R130" s="22" t="n">
        <v>1.324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</row>
    <row r="131" customFormat="false" ht="15" hidden="false" customHeight="false" outlineLevel="0" collapsed="false">
      <c r="A131" s="22" t="s">
        <v>150</v>
      </c>
      <c r="B131" s="22" t="s">
        <v>3</v>
      </c>
      <c r="C131" s="22" t="s">
        <v>150</v>
      </c>
      <c r="D131" s="22" t="n">
        <v>16580</v>
      </c>
      <c r="E131" s="22" t="s">
        <v>134</v>
      </c>
      <c r="F131" s="22" t="s">
        <v>135</v>
      </c>
      <c r="G131" s="22" t="s">
        <v>131</v>
      </c>
      <c r="H131" s="22" t="s">
        <v>131</v>
      </c>
      <c r="I131" s="22" t="n">
        <v>0.0578</v>
      </c>
      <c r="J131" s="22" t="n">
        <v>0.0395</v>
      </c>
      <c r="K131" s="22" t="n">
        <v>0.0488</v>
      </c>
      <c r="L131" s="22" t="n">
        <v>0.0439</v>
      </c>
      <c r="M131" s="22" t="n">
        <v>0.0517</v>
      </c>
      <c r="N131" s="22" t="n">
        <v>0.0693</v>
      </c>
      <c r="O131" s="22" t="n">
        <v>0.0538</v>
      </c>
      <c r="P131" s="22" t="n">
        <v>0.0663</v>
      </c>
      <c r="Q131" s="22" t="n">
        <v>0.0577</v>
      </c>
      <c r="R131" s="22" t="n">
        <v>0.0579</v>
      </c>
      <c r="S131" s="22" t="n">
        <v>0.057</v>
      </c>
      <c r="T131" s="22" t="n">
        <v>0.044</v>
      </c>
      <c r="U131" s="22" t="n">
        <v>0.032</v>
      </c>
      <c r="V131" s="22" t="n">
        <v>0.026</v>
      </c>
      <c r="W131" s="22" t="n">
        <v>0.025</v>
      </c>
      <c r="X131" s="22" t="n">
        <v>0.02</v>
      </c>
      <c r="Y131" s="22" t="n">
        <v>0.019</v>
      </c>
      <c r="Z131" s="22" t="n">
        <v>0.022</v>
      </c>
      <c r="AA131" s="22" t="n">
        <v>0.024</v>
      </c>
      <c r="AB131" s="22" t="n">
        <v>0.021</v>
      </c>
      <c r="AC131" s="22" t="n">
        <v>0.02</v>
      </c>
      <c r="AD131" s="22" t="n">
        <v>0.019</v>
      </c>
      <c r="AE131" s="22" t="n">
        <v>0.024</v>
      </c>
      <c r="AF131" s="22" t="n">
        <v>0.024</v>
      </c>
    </row>
    <row r="132" customFormat="false" ht="15" hidden="false" customHeight="false" outlineLevel="0" collapsed="false">
      <c r="A132" s="22" t="s">
        <v>150</v>
      </c>
      <c r="B132" s="22" t="s">
        <v>3</v>
      </c>
      <c r="C132" s="22" t="s">
        <v>150</v>
      </c>
      <c r="D132" s="22" t="n">
        <v>16580</v>
      </c>
      <c r="E132" s="22" t="s">
        <v>136</v>
      </c>
      <c r="F132" s="22" t="s">
        <v>137</v>
      </c>
      <c r="G132" s="22" t="s">
        <v>131</v>
      </c>
      <c r="H132" s="22" t="s">
        <v>131</v>
      </c>
      <c r="I132" s="22" t="n">
        <v>1</v>
      </c>
      <c r="J132" s="22" t="n">
        <v>0</v>
      </c>
      <c r="K132" s="22" t="n">
        <v>0</v>
      </c>
      <c r="L132" s="22" t="n">
        <v>0</v>
      </c>
      <c r="M132" s="22" t="n">
        <v>0</v>
      </c>
      <c r="N132" s="22" t="n">
        <v>0</v>
      </c>
      <c r="O132" s="22" t="n">
        <v>1</v>
      </c>
      <c r="P132" s="22" t="n">
        <v>1</v>
      </c>
      <c r="Q132" s="22" t="n">
        <v>1</v>
      </c>
      <c r="R132" s="22" t="n">
        <v>1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customFormat="false" ht="15" hidden="false" customHeight="false" outlineLevel="0" collapsed="false">
      <c r="A133" s="22" t="s">
        <v>48</v>
      </c>
      <c r="B133" s="22" t="s">
        <v>3</v>
      </c>
      <c r="C133" s="22" t="s">
        <v>48</v>
      </c>
      <c r="D133" s="22" t="n">
        <v>16700</v>
      </c>
      <c r="E133" s="22" t="s">
        <v>129</v>
      </c>
      <c r="F133" s="22" t="s">
        <v>130</v>
      </c>
      <c r="G133" s="22" t="s">
        <v>131</v>
      </c>
      <c r="H133" s="22" t="s">
        <v>131</v>
      </c>
      <c r="I133" s="22" t="n">
        <v>1.76181368661835</v>
      </c>
      <c r="J133" s="22" t="n">
        <v>1.78121786603267</v>
      </c>
      <c r="K133" s="22" t="n">
        <v>1.77629308006689</v>
      </c>
      <c r="L133" s="22" t="n">
        <v>1.78488700707026</v>
      </c>
      <c r="M133" s="22" t="n">
        <v>1.77915194700205</v>
      </c>
      <c r="N133" s="22" t="n">
        <v>1.7705838895507</v>
      </c>
      <c r="O133" s="22" t="n">
        <v>1.81828968517938</v>
      </c>
      <c r="P133" s="22" t="n">
        <v>1.82162550102658</v>
      </c>
      <c r="Q133" s="22" t="n">
        <v>1.81901622177377</v>
      </c>
      <c r="R133" s="22" t="n">
        <v>1.81987165732411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</row>
    <row r="134" customFormat="false" ht="15" hidden="false" customHeight="false" outlineLevel="0" collapsed="false">
      <c r="A134" s="22" t="s">
        <v>48</v>
      </c>
      <c r="B134" s="22" t="s">
        <v>3</v>
      </c>
      <c r="C134" s="22" t="s">
        <v>48</v>
      </c>
      <c r="D134" s="22" t="n">
        <v>16700</v>
      </c>
      <c r="E134" s="22" t="s">
        <v>132</v>
      </c>
      <c r="F134" s="22" t="s">
        <v>6</v>
      </c>
      <c r="G134" s="22" t="s">
        <v>131</v>
      </c>
      <c r="H134" s="22" t="s">
        <v>131</v>
      </c>
      <c r="I134" s="22" t="n">
        <v>1.787</v>
      </c>
      <c r="J134" s="22" t="n">
        <v>1.804</v>
      </c>
      <c r="K134" s="22" t="n">
        <v>1.827</v>
      </c>
      <c r="L134" s="22" t="n">
        <v>1.789</v>
      </c>
      <c r="M134" s="22" t="n">
        <v>1.787</v>
      </c>
      <c r="N134" s="22" t="n">
        <v>1.801</v>
      </c>
      <c r="O134" s="22" t="n">
        <v>1.797</v>
      </c>
      <c r="P134" s="22" t="n">
        <v>1.775</v>
      </c>
      <c r="Q134" s="22" t="n">
        <v>1.795</v>
      </c>
      <c r="R134" s="22" t="n">
        <v>1.83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customFormat="false" ht="15" hidden="false" customHeight="false" outlineLevel="0" collapsed="false">
      <c r="A135" s="22" t="s">
        <v>48</v>
      </c>
      <c r="B135" s="22" t="s">
        <v>3</v>
      </c>
      <c r="C135" s="22" t="s">
        <v>48</v>
      </c>
      <c r="D135" s="22" t="n">
        <v>16700</v>
      </c>
      <c r="E135" s="22" t="s">
        <v>132</v>
      </c>
      <c r="F135" s="22" t="s">
        <v>133</v>
      </c>
      <c r="G135" s="22" t="s">
        <v>131</v>
      </c>
      <c r="H135" s="22" t="s">
        <v>131</v>
      </c>
      <c r="I135" s="22" t="n">
        <v>74292</v>
      </c>
      <c r="J135" s="22" t="n">
        <v>75094</v>
      </c>
      <c r="K135" s="22" t="n">
        <v>76418</v>
      </c>
      <c r="L135" s="22" t="n">
        <v>78087</v>
      </c>
      <c r="M135" s="22" t="n">
        <v>78936</v>
      </c>
      <c r="N135" s="22" t="n">
        <v>80685</v>
      </c>
      <c r="O135" s="22" t="n">
        <v>81087</v>
      </c>
      <c r="P135" s="22" t="n">
        <v>81541</v>
      </c>
      <c r="Q135" s="22" t="n">
        <v>81758</v>
      </c>
      <c r="R135" s="22" t="n">
        <v>82086</v>
      </c>
      <c r="S135" s="22" t="n">
        <v>82486</v>
      </c>
      <c r="T135" s="22" t="n">
        <v>83381</v>
      </c>
      <c r="U135" s="22" t="n">
        <v>83606</v>
      </c>
      <c r="V135" s="22" t="n">
        <v>84054</v>
      </c>
      <c r="W135" s="22" t="n">
        <v>85034</v>
      </c>
      <c r="X135" s="22" t="n">
        <v>86128</v>
      </c>
      <c r="Y135" s="22" t="n">
        <v>86644</v>
      </c>
      <c r="Z135" s="22" t="n">
        <v>86694</v>
      </c>
      <c r="AA135" s="22" t="n">
        <v>86694</v>
      </c>
      <c r="AB135" s="22" t="n">
        <v>87475</v>
      </c>
      <c r="AC135" s="22" t="n">
        <v>87908</v>
      </c>
      <c r="AD135" s="22" t="n">
        <v>87878</v>
      </c>
      <c r="AE135" s="22" t="n">
        <v>87802</v>
      </c>
      <c r="AF135" s="22" t="n">
        <v>88540</v>
      </c>
    </row>
    <row r="136" customFormat="false" ht="15" hidden="false" customHeight="false" outlineLevel="0" collapsed="false">
      <c r="A136" s="22" t="s">
        <v>48</v>
      </c>
      <c r="B136" s="22" t="s">
        <v>3</v>
      </c>
      <c r="C136" s="22" t="s">
        <v>48</v>
      </c>
      <c r="D136" s="22" t="n">
        <v>16700</v>
      </c>
      <c r="E136" s="22" t="s">
        <v>132</v>
      </c>
      <c r="F136" s="22" t="s">
        <v>5</v>
      </c>
      <c r="G136" s="22" t="s">
        <v>131</v>
      </c>
      <c r="H136" s="22" t="s">
        <v>131</v>
      </c>
      <c r="I136" s="22" t="n">
        <v>1.801</v>
      </c>
      <c r="J136" s="22" t="n">
        <v>1.82</v>
      </c>
      <c r="K136" s="22" t="n">
        <v>1.845</v>
      </c>
      <c r="L136" s="22" t="n">
        <v>1.806</v>
      </c>
      <c r="M136" s="22" t="n">
        <v>1.81</v>
      </c>
      <c r="N136" s="22" t="n">
        <v>1.821</v>
      </c>
      <c r="O136" s="22" t="n">
        <v>1.825</v>
      </c>
      <c r="P136" s="22" t="n">
        <v>1.811</v>
      </c>
      <c r="Q136" s="22" t="n">
        <v>1.826</v>
      </c>
      <c r="R136" s="22" t="n">
        <v>1.867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</row>
    <row r="137" customFormat="false" ht="15" hidden="false" customHeight="false" outlineLevel="0" collapsed="false">
      <c r="A137" s="22" t="s">
        <v>48</v>
      </c>
      <c r="B137" s="22" t="s">
        <v>3</v>
      </c>
      <c r="C137" s="22" t="s">
        <v>48</v>
      </c>
      <c r="D137" s="22" t="n">
        <v>16700</v>
      </c>
      <c r="E137" s="22" t="s">
        <v>134</v>
      </c>
      <c r="F137" s="22" t="s">
        <v>135</v>
      </c>
      <c r="G137" s="22" t="s">
        <v>131</v>
      </c>
      <c r="H137" s="22" t="s">
        <v>131</v>
      </c>
      <c r="I137" s="22" t="n">
        <v>0.0191</v>
      </c>
      <c r="J137" s="22" t="n">
        <v>0.0135</v>
      </c>
      <c r="K137" s="22" t="n">
        <v>0.0009</v>
      </c>
      <c r="L137" s="22" t="n">
        <v>-0.0062</v>
      </c>
      <c r="M137" s="22" t="n">
        <v>-0.0075</v>
      </c>
      <c r="N137" s="22" t="n">
        <v>-0.0028</v>
      </c>
      <c r="O137" s="22" t="n">
        <v>-0.0145</v>
      </c>
      <c r="P137" s="22" t="n">
        <v>-0.0153</v>
      </c>
      <c r="Q137" s="22" t="n">
        <v>0.004</v>
      </c>
      <c r="R137" s="22" t="n">
        <v>0.0068</v>
      </c>
      <c r="S137" s="22" t="n">
        <v>0.01</v>
      </c>
      <c r="T137" s="22" t="n">
        <v>0.016</v>
      </c>
      <c r="U137" s="22" t="n">
        <v>0.025</v>
      </c>
      <c r="V137" s="22" t="n">
        <v>0.025</v>
      </c>
      <c r="W137" s="22" t="n">
        <v>0.026</v>
      </c>
      <c r="X137" s="22" t="n">
        <v>0.026</v>
      </c>
      <c r="Y137" s="22" t="n">
        <v>0.025</v>
      </c>
      <c r="Z137" s="22" t="n">
        <v>0.024</v>
      </c>
      <c r="AA137" s="22" t="n">
        <v>0.025</v>
      </c>
      <c r="AB137" s="22" t="n">
        <v>0.023</v>
      </c>
      <c r="AC137" s="22" t="n">
        <v>0.022</v>
      </c>
      <c r="AD137" s="22" t="n">
        <v>0.022</v>
      </c>
      <c r="AE137" s="22" t="n">
        <v>0.022</v>
      </c>
      <c r="AF137" s="22" t="n">
        <v>0.022</v>
      </c>
    </row>
    <row r="138" customFormat="false" ht="15" hidden="false" customHeight="false" outlineLevel="0" collapsed="false">
      <c r="A138" s="22" t="s">
        <v>48</v>
      </c>
      <c r="B138" s="22" t="s">
        <v>3</v>
      </c>
      <c r="C138" s="22" t="s">
        <v>48</v>
      </c>
      <c r="D138" s="22" t="n">
        <v>16700</v>
      </c>
      <c r="E138" s="22" t="s">
        <v>136</v>
      </c>
      <c r="F138" s="22" t="s">
        <v>137</v>
      </c>
      <c r="G138" s="22" t="s">
        <v>131</v>
      </c>
      <c r="H138" s="22" t="s">
        <v>131</v>
      </c>
      <c r="I138" s="22" t="n">
        <v>8</v>
      </c>
      <c r="J138" s="22" t="n">
        <v>7</v>
      </c>
      <c r="K138" s="22" t="n">
        <v>6</v>
      </c>
      <c r="L138" s="22" t="n">
        <v>9</v>
      </c>
      <c r="M138" s="22" t="n">
        <v>9</v>
      </c>
      <c r="N138" s="22" t="n">
        <v>11</v>
      </c>
      <c r="O138" s="22" t="n">
        <v>8</v>
      </c>
      <c r="P138" s="22" t="n">
        <v>8</v>
      </c>
      <c r="Q138" s="22" t="n">
        <v>10</v>
      </c>
      <c r="R138" s="22" t="n">
        <v>9</v>
      </c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customFormat="false" ht="15" hidden="false" customHeight="false" outlineLevel="0" collapsed="false">
      <c r="A139" s="22" t="s">
        <v>68</v>
      </c>
      <c r="B139" s="22" t="s">
        <v>3</v>
      </c>
      <c r="C139" s="22" t="s">
        <v>68</v>
      </c>
      <c r="D139" s="22" t="n">
        <v>16740</v>
      </c>
      <c r="E139" s="22" t="s">
        <v>129</v>
      </c>
      <c r="F139" s="22" t="s">
        <v>130</v>
      </c>
      <c r="G139" s="22" t="s">
        <v>131</v>
      </c>
      <c r="H139" s="22" t="s">
        <v>131</v>
      </c>
      <c r="I139" s="22" t="n">
        <v>1.67246216230041</v>
      </c>
      <c r="J139" s="22" t="n">
        <v>1.68212732090014</v>
      </c>
      <c r="K139" s="22" t="n">
        <v>1.67534078849049</v>
      </c>
      <c r="L139" s="22" t="n">
        <v>1.66998850270413</v>
      </c>
      <c r="M139" s="22" t="n">
        <v>1.66699439773249</v>
      </c>
      <c r="N139" s="22" t="n">
        <v>1.68112161504525</v>
      </c>
      <c r="O139" s="22" t="n">
        <v>1.69159882245734</v>
      </c>
      <c r="P139" s="22" t="n">
        <v>1.68982722692852</v>
      </c>
      <c r="Q139" s="22" t="n">
        <v>1.68062293690678</v>
      </c>
      <c r="R139" s="22" t="n">
        <v>1.66057800708159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customFormat="false" ht="15" hidden="false" customHeight="false" outlineLevel="0" collapsed="false">
      <c r="A140" s="22" t="s">
        <v>68</v>
      </c>
      <c r="B140" s="22" t="s">
        <v>3</v>
      </c>
      <c r="C140" s="22" t="s">
        <v>68</v>
      </c>
      <c r="D140" s="22" t="n">
        <v>16740</v>
      </c>
      <c r="E140" s="22" t="s">
        <v>132</v>
      </c>
      <c r="F140" s="22" t="s">
        <v>6</v>
      </c>
      <c r="G140" s="22" t="s">
        <v>131</v>
      </c>
      <c r="H140" s="22" t="s">
        <v>131</v>
      </c>
      <c r="I140" s="22" t="n">
        <v>1.618</v>
      </c>
      <c r="J140" s="22" t="n">
        <v>1.624</v>
      </c>
      <c r="K140" s="22" t="n">
        <v>1.626</v>
      </c>
      <c r="L140" s="22" t="n">
        <v>1.604</v>
      </c>
      <c r="M140" s="22" t="n">
        <v>1.602</v>
      </c>
      <c r="N140" s="22" t="n">
        <v>1.615</v>
      </c>
      <c r="O140" s="22" t="n">
        <v>1.605</v>
      </c>
      <c r="P140" s="22" t="n">
        <v>1.566</v>
      </c>
      <c r="Q140" s="22" t="n">
        <v>1.564</v>
      </c>
      <c r="R140" s="22" t="n">
        <v>1.585</v>
      </c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</row>
    <row r="141" customFormat="false" ht="15" hidden="false" customHeight="false" outlineLevel="0" collapsed="false">
      <c r="A141" s="22" t="s">
        <v>68</v>
      </c>
      <c r="B141" s="22" t="s">
        <v>3</v>
      </c>
      <c r="C141" s="22" t="s">
        <v>68</v>
      </c>
      <c r="D141" s="22" t="n">
        <v>16740</v>
      </c>
      <c r="E141" s="22" t="s">
        <v>132</v>
      </c>
      <c r="F141" s="22" t="s">
        <v>133</v>
      </c>
      <c r="G141" s="22" t="s">
        <v>131</v>
      </c>
      <c r="H141" s="22" t="s">
        <v>131</v>
      </c>
      <c r="I141" s="22" t="n">
        <v>229075</v>
      </c>
      <c r="J141" s="22" t="n">
        <v>232463</v>
      </c>
      <c r="K141" s="22" t="n">
        <v>237489</v>
      </c>
      <c r="L141" s="22" t="n">
        <v>242356</v>
      </c>
      <c r="M141" s="22" t="n">
        <v>246751</v>
      </c>
      <c r="N141" s="22" t="n">
        <v>250871</v>
      </c>
      <c r="O141" s="22" t="n">
        <v>254484</v>
      </c>
      <c r="P141" s="22" t="n">
        <v>256826</v>
      </c>
      <c r="Q141" s="22" t="n">
        <v>259276</v>
      </c>
      <c r="R141" s="22" t="n">
        <v>261346</v>
      </c>
      <c r="S141" s="22" t="n">
        <v>263015</v>
      </c>
      <c r="T141" s="22" t="n">
        <v>265660</v>
      </c>
      <c r="U141" s="22" t="n">
        <v>268358</v>
      </c>
      <c r="V141" s="22" t="n">
        <v>272891</v>
      </c>
      <c r="W141" s="22" t="n">
        <v>276249</v>
      </c>
      <c r="X141" s="22" t="n">
        <v>278120</v>
      </c>
      <c r="Y141" s="22" t="n">
        <v>278644</v>
      </c>
      <c r="Z141" s="22" t="n">
        <v>279076</v>
      </c>
      <c r="AA141" s="22" t="n">
        <v>280715</v>
      </c>
      <c r="AB141" s="22" t="n">
        <v>282171</v>
      </c>
      <c r="AC141" s="22" t="n">
        <v>282390</v>
      </c>
      <c r="AD141" s="22" t="n">
        <v>282666</v>
      </c>
      <c r="AE141" s="22" t="n">
        <v>284227</v>
      </c>
      <c r="AF141" s="22" t="n">
        <v>285639</v>
      </c>
    </row>
    <row r="142" customFormat="false" ht="15" hidden="false" customHeight="false" outlineLevel="0" collapsed="false">
      <c r="A142" s="22" t="s">
        <v>68</v>
      </c>
      <c r="B142" s="22" t="s">
        <v>3</v>
      </c>
      <c r="C142" s="22" t="s">
        <v>68</v>
      </c>
      <c r="D142" s="22" t="n">
        <v>16740</v>
      </c>
      <c r="E142" s="22" t="s">
        <v>132</v>
      </c>
      <c r="F142" s="22" t="s">
        <v>5</v>
      </c>
      <c r="G142" s="22" t="s">
        <v>131</v>
      </c>
      <c r="H142" s="22" t="s">
        <v>131</v>
      </c>
      <c r="I142" s="22" t="n">
        <v>1.636</v>
      </c>
      <c r="J142" s="22" t="n">
        <v>1.644</v>
      </c>
      <c r="K142" s="22" t="n">
        <v>1.648</v>
      </c>
      <c r="L142" s="22" t="n">
        <v>1.63</v>
      </c>
      <c r="M142" s="22" t="n">
        <v>1.628</v>
      </c>
      <c r="N142" s="22" t="n">
        <v>1.642</v>
      </c>
      <c r="O142" s="22" t="n">
        <v>1.637</v>
      </c>
      <c r="P142" s="22" t="n">
        <v>1.61</v>
      </c>
      <c r="Q142" s="22" t="n">
        <v>1.615</v>
      </c>
      <c r="R142" s="22" t="n">
        <v>1.642</v>
      </c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customFormat="false" ht="15" hidden="false" customHeight="false" outlineLevel="0" collapsed="false">
      <c r="A143" s="22" t="s">
        <v>68</v>
      </c>
      <c r="B143" s="22" t="s">
        <v>3</v>
      </c>
      <c r="C143" s="22" t="s">
        <v>68</v>
      </c>
      <c r="D143" s="22" t="n">
        <v>16740</v>
      </c>
      <c r="E143" s="22" t="s">
        <v>134</v>
      </c>
      <c r="F143" s="22" t="s">
        <v>135</v>
      </c>
      <c r="G143" s="22" t="s">
        <v>131</v>
      </c>
      <c r="H143" s="22" t="s">
        <v>131</v>
      </c>
      <c r="I143" s="22" t="n">
        <v>-0.0246</v>
      </c>
      <c r="J143" s="22" t="n">
        <v>-0.0315</v>
      </c>
      <c r="K143" s="22" t="n">
        <v>-0.031</v>
      </c>
      <c r="L143" s="22" t="n">
        <v>-0.0205</v>
      </c>
      <c r="M143" s="22" t="n">
        <v>-0.0154</v>
      </c>
      <c r="N143" s="22" t="n">
        <v>-0.0141</v>
      </c>
      <c r="O143" s="22" t="n">
        <v>-0.0238</v>
      </c>
      <c r="P143" s="22" t="n">
        <v>-0.0305</v>
      </c>
      <c r="Q143" s="22" t="n">
        <v>-0.0321</v>
      </c>
      <c r="R143" s="22" t="n">
        <v>-0.0311</v>
      </c>
      <c r="S143" s="22" t="n">
        <v>-0.024</v>
      </c>
      <c r="T143" s="22" t="n">
        <v>-0.014</v>
      </c>
      <c r="U143" s="22" t="n">
        <v>-0.001</v>
      </c>
      <c r="V143" s="22" t="n">
        <v>0.019</v>
      </c>
      <c r="W143" s="22" t="n">
        <v>0.034</v>
      </c>
      <c r="X143" s="22" t="n">
        <v>0.037</v>
      </c>
      <c r="Y143" s="22" t="n">
        <v>0.036</v>
      </c>
      <c r="Z143" s="22" t="n">
        <v>0.037</v>
      </c>
      <c r="AA143" s="22" t="n">
        <v>0.043</v>
      </c>
      <c r="AB143" s="22" t="n">
        <v>0.045</v>
      </c>
      <c r="AC143" s="22" t="n">
        <v>0.045</v>
      </c>
      <c r="AD143" s="22" t="n">
        <v>0.045</v>
      </c>
      <c r="AE143" s="22" t="n">
        <v>0.048</v>
      </c>
      <c r="AF143" s="22" t="n">
        <v>0.049</v>
      </c>
    </row>
    <row r="144" customFormat="false" ht="15" hidden="false" customHeight="false" outlineLevel="0" collapsed="false">
      <c r="A144" s="22" t="s">
        <v>68</v>
      </c>
      <c r="B144" s="22" t="s">
        <v>3</v>
      </c>
      <c r="C144" s="22" t="s">
        <v>68</v>
      </c>
      <c r="D144" s="22" t="n">
        <v>16740</v>
      </c>
      <c r="E144" s="22" t="s">
        <v>136</v>
      </c>
      <c r="F144" s="22" t="s">
        <v>137</v>
      </c>
      <c r="G144" s="22" t="s">
        <v>131</v>
      </c>
      <c r="H144" s="22" t="s">
        <v>131</v>
      </c>
      <c r="I144" s="22" t="n">
        <v>43</v>
      </c>
      <c r="J144" s="22" t="n">
        <v>35</v>
      </c>
      <c r="K144" s="22" t="n">
        <v>33</v>
      </c>
      <c r="L144" s="22" t="n">
        <v>39</v>
      </c>
      <c r="M144" s="22" t="n">
        <v>37</v>
      </c>
      <c r="N144" s="22" t="n">
        <v>39</v>
      </c>
      <c r="O144" s="22" t="n">
        <v>38</v>
      </c>
      <c r="P144" s="22" t="n">
        <v>32</v>
      </c>
      <c r="Q144" s="22" t="n">
        <v>31</v>
      </c>
      <c r="R144" s="22" t="n">
        <v>23</v>
      </c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customFormat="false" ht="15" hidden="false" customHeight="false" outlineLevel="0" collapsed="false">
      <c r="A145" s="22" t="s">
        <v>39</v>
      </c>
      <c r="B145" s="22" t="s">
        <v>3</v>
      </c>
      <c r="C145" s="22" t="s">
        <v>39</v>
      </c>
      <c r="D145" s="22" t="n">
        <v>16860</v>
      </c>
      <c r="E145" s="22" t="s">
        <v>129</v>
      </c>
      <c r="F145" s="22" t="s">
        <v>130</v>
      </c>
      <c r="G145" s="22" t="s">
        <v>131</v>
      </c>
      <c r="H145" s="22" t="s">
        <v>131</v>
      </c>
      <c r="I145" s="22" t="n">
        <v>1.38863255019225</v>
      </c>
      <c r="J145" s="22" t="n">
        <v>1.37230236564368</v>
      </c>
      <c r="K145" s="22" t="n">
        <v>1.37991071843763</v>
      </c>
      <c r="L145" s="22" t="n">
        <v>1.37231523252115</v>
      </c>
      <c r="M145" s="22" t="n">
        <v>1.36304445590921</v>
      </c>
      <c r="N145" s="22" t="n">
        <v>1.37156343449508</v>
      </c>
      <c r="O145" s="22" t="n">
        <v>1.38023438943611</v>
      </c>
      <c r="P145" s="22" t="n">
        <v>1.35953895224518</v>
      </c>
      <c r="Q145" s="22" t="n">
        <v>1.35972642330597</v>
      </c>
      <c r="R145" s="22" t="n">
        <v>1.36063194653437</v>
      </c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</row>
    <row r="146" customFormat="false" ht="15" hidden="false" customHeight="false" outlineLevel="0" collapsed="false">
      <c r="A146" s="22" t="s">
        <v>39</v>
      </c>
      <c r="B146" s="22" t="s">
        <v>3</v>
      </c>
      <c r="C146" s="22" t="s">
        <v>39</v>
      </c>
      <c r="D146" s="22" t="n">
        <v>16860</v>
      </c>
      <c r="E146" s="22" t="s">
        <v>132</v>
      </c>
      <c r="F146" s="22" t="s">
        <v>6</v>
      </c>
      <c r="G146" s="22" t="s">
        <v>131</v>
      </c>
      <c r="H146" s="22" t="s">
        <v>131</v>
      </c>
      <c r="I146" s="22" t="n">
        <v>1.399</v>
      </c>
      <c r="J146" s="22" t="n">
        <v>1.436</v>
      </c>
      <c r="K146" s="22" t="n">
        <v>1.429</v>
      </c>
      <c r="L146" s="22" t="n">
        <v>1.394</v>
      </c>
      <c r="M146" s="22" t="n">
        <v>1.382</v>
      </c>
      <c r="N146" s="22" t="n">
        <v>1.405</v>
      </c>
      <c r="O146" s="22" t="n">
        <v>1.407</v>
      </c>
      <c r="P146" s="22" t="n">
        <v>1.4</v>
      </c>
      <c r="Q146" s="22" t="n">
        <v>1.395</v>
      </c>
      <c r="R146" s="22" t="n">
        <v>1.395</v>
      </c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customFormat="false" ht="15" hidden="false" customHeight="false" outlineLevel="0" collapsed="false">
      <c r="A147" s="22" t="s">
        <v>39</v>
      </c>
      <c r="B147" s="22" t="s">
        <v>3</v>
      </c>
      <c r="C147" s="22" t="s">
        <v>39</v>
      </c>
      <c r="D147" s="22" t="n">
        <v>16860</v>
      </c>
      <c r="E147" s="22" t="s">
        <v>132</v>
      </c>
      <c r="F147" s="22" t="s">
        <v>133</v>
      </c>
      <c r="G147" s="22" t="s">
        <v>131</v>
      </c>
      <c r="H147" s="22" t="s">
        <v>131</v>
      </c>
      <c r="I147" s="22" t="n">
        <v>34075</v>
      </c>
      <c r="J147" s="22" t="n">
        <v>34339</v>
      </c>
      <c r="K147" s="22" t="n">
        <v>34654</v>
      </c>
      <c r="L147" s="22" t="n">
        <v>34945</v>
      </c>
      <c r="M147" s="22" t="n">
        <v>35182</v>
      </c>
      <c r="N147" s="22" t="n">
        <v>35448</v>
      </c>
      <c r="O147" s="22" t="n">
        <v>35526</v>
      </c>
      <c r="P147" s="22" t="n">
        <v>35526</v>
      </c>
      <c r="Q147" s="22" t="n">
        <v>35526</v>
      </c>
      <c r="R147" s="22" t="n">
        <v>35526</v>
      </c>
      <c r="S147" s="22" t="n">
        <v>35614</v>
      </c>
      <c r="T147" s="22" t="n">
        <v>35658</v>
      </c>
      <c r="U147" s="22" t="n">
        <v>35658</v>
      </c>
      <c r="V147" s="22" t="n">
        <v>35750</v>
      </c>
      <c r="W147" s="22" t="n">
        <v>36300</v>
      </c>
      <c r="X147" s="22" t="n">
        <v>36444</v>
      </c>
      <c r="Y147" s="22" t="n">
        <v>36267</v>
      </c>
      <c r="Z147" s="22" t="n">
        <v>36326</v>
      </c>
      <c r="AA147" s="22" t="n">
        <v>36855</v>
      </c>
      <c r="AB147" s="22" t="n">
        <v>36977</v>
      </c>
      <c r="AC147" s="22" t="n">
        <v>36782</v>
      </c>
      <c r="AD147" s="22" t="n">
        <v>36830</v>
      </c>
      <c r="AE147" s="22" t="n">
        <v>37358</v>
      </c>
      <c r="AF147" s="22" t="n">
        <v>37486</v>
      </c>
    </row>
    <row r="148" customFormat="false" ht="15" hidden="false" customHeight="false" outlineLevel="0" collapsed="false">
      <c r="A148" s="22" t="s">
        <v>39</v>
      </c>
      <c r="B148" s="22" t="s">
        <v>3</v>
      </c>
      <c r="C148" s="22" t="s">
        <v>39</v>
      </c>
      <c r="D148" s="22" t="n">
        <v>16860</v>
      </c>
      <c r="E148" s="22" t="s">
        <v>132</v>
      </c>
      <c r="F148" s="22" t="s">
        <v>5</v>
      </c>
      <c r="G148" s="22" t="s">
        <v>131</v>
      </c>
      <c r="H148" s="22" t="s">
        <v>131</v>
      </c>
      <c r="I148" s="22" t="n">
        <v>1.412</v>
      </c>
      <c r="J148" s="22" t="n">
        <v>1.448</v>
      </c>
      <c r="K148" s="22" t="n">
        <v>1.447</v>
      </c>
      <c r="L148" s="22" t="n">
        <v>1.414</v>
      </c>
      <c r="M148" s="22" t="n">
        <v>1.407</v>
      </c>
      <c r="N148" s="22" t="n">
        <v>1.437</v>
      </c>
      <c r="O148" s="22" t="n">
        <v>1.431</v>
      </c>
      <c r="P148" s="22" t="n">
        <v>1.418</v>
      </c>
      <c r="Q148" s="22" t="n">
        <v>1.424</v>
      </c>
      <c r="R148" s="22" t="n">
        <v>1.44</v>
      </c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customFormat="false" ht="15" hidden="false" customHeight="false" outlineLevel="0" collapsed="false">
      <c r="A149" s="22" t="s">
        <v>39</v>
      </c>
      <c r="B149" s="22" t="s">
        <v>3</v>
      </c>
      <c r="C149" s="22" t="s">
        <v>39</v>
      </c>
      <c r="D149" s="22" t="n">
        <v>16860</v>
      </c>
      <c r="E149" s="22" t="s">
        <v>134</v>
      </c>
      <c r="F149" s="22" t="s">
        <v>135</v>
      </c>
      <c r="G149" s="22" t="s">
        <v>131</v>
      </c>
      <c r="H149" s="22" t="s">
        <v>131</v>
      </c>
      <c r="I149" s="22" t="n">
        <v>-0.0225</v>
      </c>
      <c r="J149" s="22" t="n">
        <v>-0.0031</v>
      </c>
      <c r="K149" s="22" t="n">
        <v>-0.0037</v>
      </c>
      <c r="L149" s="22" t="n">
        <v>-0.012</v>
      </c>
      <c r="M149" s="22" t="n">
        <v>-0.0112</v>
      </c>
      <c r="N149" s="22" t="n">
        <v>-0.0347</v>
      </c>
      <c r="O149" s="22" t="n">
        <v>-0.035</v>
      </c>
      <c r="P149" s="22" t="n">
        <v>-0.018</v>
      </c>
      <c r="Q149" s="22" t="n">
        <v>-0.0179</v>
      </c>
      <c r="R149" s="22" t="n">
        <v>-0.0201</v>
      </c>
      <c r="S149" s="22" t="n">
        <v>-0.015</v>
      </c>
      <c r="T149" s="22" t="n">
        <v>-0.006</v>
      </c>
      <c r="U149" s="22" t="n">
        <v>0.008</v>
      </c>
      <c r="V149" s="22" t="n">
        <v>0.023</v>
      </c>
      <c r="W149" s="22" t="n">
        <v>0.024</v>
      </c>
      <c r="X149" s="22" t="n">
        <v>0.025</v>
      </c>
      <c r="Y149" s="22" t="n">
        <v>0.026</v>
      </c>
      <c r="Z149" s="22" t="n">
        <v>0.026</v>
      </c>
      <c r="AA149" s="22" t="n">
        <v>0.024</v>
      </c>
      <c r="AB149" s="22" t="n">
        <v>0.021</v>
      </c>
      <c r="AC149" s="22" t="n">
        <v>0.02</v>
      </c>
      <c r="AD149" s="22" t="n">
        <v>0.019</v>
      </c>
      <c r="AE149" s="22" t="n">
        <v>0.02</v>
      </c>
      <c r="AF149" s="22" t="n">
        <v>0.023</v>
      </c>
    </row>
    <row r="150" customFormat="false" ht="15" hidden="false" customHeight="false" outlineLevel="0" collapsed="false">
      <c r="A150" s="22" t="s">
        <v>39</v>
      </c>
      <c r="B150" s="22" t="s">
        <v>3</v>
      </c>
      <c r="C150" s="22" t="s">
        <v>39</v>
      </c>
      <c r="D150" s="22" t="n">
        <v>16860</v>
      </c>
      <c r="E150" s="22" t="s">
        <v>136</v>
      </c>
      <c r="F150" s="22" t="s">
        <v>137</v>
      </c>
      <c r="G150" s="22" t="s">
        <v>131</v>
      </c>
      <c r="H150" s="22" t="s">
        <v>131</v>
      </c>
      <c r="I150" s="22" t="n">
        <v>2</v>
      </c>
      <c r="J150" s="22" t="n">
        <v>2</v>
      </c>
      <c r="K150" s="22" t="n">
        <v>0</v>
      </c>
      <c r="L150" s="22" t="n">
        <v>0</v>
      </c>
      <c r="M150" s="22" t="n">
        <v>1</v>
      </c>
      <c r="N150" s="22" t="n">
        <v>1</v>
      </c>
      <c r="O150" s="22" t="n">
        <v>2</v>
      </c>
      <c r="P150" s="22" t="n">
        <v>2</v>
      </c>
      <c r="Q150" s="22" t="n">
        <v>2</v>
      </c>
      <c r="R150" s="22" t="n">
        <v>2</v>
      </c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customFormat="false" ht="15" hidden="false" customHeight="false" outlineLevel="0" collapsed="false">
      <c r="A151" s="22" t="s">
        <v>151</v>
      </c>
      <c r="B151" s="22" t="s">
        <v>3</v>
      </c>
      <c r="C151" s="22" t="s">
        <v>151</v>
      </c>
      <c r="D151" s="22" t="n">
        <v>216980</v>
      </c>
      <c r="E151" s="22" t="s">
        <v>129</v>
      </c>
      <c r="F151" s="22" t="s">
        <v>130</v>
      </c>
      <c r="G151" s="22" t="s">
        <v>131</v>
      </c>
      <c r="H151" s="22" t="s">
        <v>131</v>
      </c>
      <c r="I151" s="22" t="n">
        <v>2.3660575454026</v>
      </c>
      <c r="J151" s="22" t="n">
        <v>2.39553843824191</v>
      </c>
      <c r="K151" s="22" t="n">
        <v>2.43539868964133</v>
      </c>
      <c r="L151" s="22" t="n">
        <v>2.4389251230617</v>
      </c>
      <c r="M151" s="22" t="n">
        <v>2.43250736685018</v>
      </c>
      <c r="N151" s="22" t="n">
        <v>2.45542954997089</v>
      </c>
      <c r="O151" s="22" t="n">
        <v>2.54064618450096</v>
      </c>
      <c r="P151" s="22" t="n">
        <v>2.57150908196567</v>
      </c>
      <c r="Q151" s="22" t="n">
        <v>2.58856800364258</v>
      </c>
      <c r="R151" s="22" t="n">
        <v>2.61944781378743</v>
      </c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customFormat="false" ht="15" hidden="false" customHeight="false" outlineLevel="0" collapsed="false">
      <c r="A152" s="22" t="s">
        <v>151</v>
      </c>
      <c r="B152" s="22" t="s">
        <v>3</v>
      </c>
      <c r="C152" s="22" t="s">
        <v>151</v>
      </c>
      <c r="D152" s="22" t="n">
        <v>216980</v>
      </c>
      <c r="E152" s="22" t="s">
        <v>132</v>
      </c>
      <c r="F152" s="22" t="s">
        <v>6</v>
      </c>
      <c r="G152" s="22" t="s">
        <v>131</v>
      </c>
      <c r="H152" s="22" t="s">
        <v>131</v>
      </c>
      <c r="I152" s="22" t="n">
        <v>2.333</v>
      </c>
      <c r="J152" s="22" t="n">
        <v>2.375</v>
      </c>
      <c r="K152" s="22" t="n">
        <v>2.418</v>
      </c>
      <c r="L152" s="22" t="n">
        <v>2.429</v>
      </c>
      <c r="M152" s="22" t="n">
        <v>2.464</v>
      </c>
      <c r="N152" s="22" t="n">
        <v>2.556</v>
      </c>
      <c r="O152" s="22" t="n">
        <v>2.597</v>
      </c>
      <c r="P152" s="22" t="n">
        <v>2.578</v>
      </c>
      <c r="Q152" s="22" t="n">
        <v>2.611</v>
      </c>
      <c r="R152" s="22" t="n">
        <v>2.666</v>
      </c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customFormat="false" ht="15" hidden="false" customHeight="false" outlineLevel="0" collapsed="false">
      <c r="A153" s="22" t="s">
        <v>151</v>
      </c>
      <c r="B153" s="22" t="s">
        <v>3</v>
      </c>
      <c r="C153" s="22" t="s">
        <v>151</v>
      </c>
      <c r="D153" s="22" t="n">
        <v>216980</v>
      </c>
      <c r="E153" s="22" t="s">
        <v>132</v>
      </c>
      <c r="F153" s="22" t="s">
        <v>133</v>
      </c>
      <c r="G153" s="22" t="s">
        <v>131</v>
      </c>
      <c r="H153" s="22" t="s">
        <v>131</v>
      </c>
      <c r="I153" s="22" t="n">
        <v>760208</v>
      </c>
      <c r="J153" s="22" t="n">
        <v>762096</v>
      </c>
      <c r="K153" s="22" t="n">
        <v>763805</v>
      </c>
      <c r="L153" s="22" t="n">
        <v>765038</v>
      </c>
      <c r="M153" s="22" t="n">
        <v>766095</v>
      </c>
      <c r="N153" s="22" t="n">
        <v>767197</v>
      </c>
      <c r="O153" s="22" t="n">
        <v>767537</v>
      </c>
      <c r="P153" s="22" t="n">
        <v>768557</v>
      </c>
      <c r="Q153" s="22" t="n">
        <v>769439</v>
      </c>
      <c r="R153" s="22" t="n">
        <v>770503</v>
      </c>
      <c r="S153" s="22" t="n">
        <v>772123</v>
      </c>
      <c r="T153" s="22" t="n">
        <v>773821</v>
      </c>
      <c r="U153" s="22" t="n">
        <v>775005</v>
      </c>
      <c r="V153" s="22" t="n">
        <v>777216</v>
      </c>
      <c r="W153" s="22" t="n">
        <v>779229</v>
      </c>
      <c r="X153" s="22" t="n">
        <v>780683</v>
      </c>
      <c r="Y153" s="22" t="n">
        <v>781365</v>
      </c>
      <c r="Z153" s="22" t="n">
        <v>782310</v>
      </c>
      <c r="AA153" s="22" t="n">
        <v>784449</v>
      </c>
      <c r="AB153" s="22" t="n">
        <v>785868</v>
      </c>
      <c r="AC153" s="22" t="n">
        <v>786540</v>
      </c>
      <c r="AD153" s="22" t="n">
        <v>787466</v>
      </c>
      <c r="AE153" s="22" t="n">
        <v>789563</v>
      </c>
      <c r="AF153" s="22" t="n">
        <v>791039</v>
      </c>
    </row>
    <row r="154" customFormat="false" ht="15" hidden="false" customHeight="false" outlineLevel="0" collapsed="false">
      <c r="A154" s="22" t="s">
        <v>151</v>
      </c>
      <c r="B154" s="22" t="s">
        <v>3</v>
      </c>
      <c r="C154" s="22" t="s">
        <v>151</v>
      </c>
      <c r="D154" s="22" t="n">
        <v>216980</v>
      </c>
      <c r="E154" s="22" t="s">
        <v>132</v>
      </c>
      <c r="F154" s="22" t="s">
        <v>5</v>
      </c>
      <c r="G154" s="22" t="s">
        <v>131</v>
      </c>
      <c r="H154" s="22" t="s">
        <v>131</v>
      </c>
      <c r="I154" s="22" t="n">
        <v>2.353</v>
      </c>
      <c r="J154" s="22" t="n">
        <v>2.393</v>
      </c>
      <c r="K154" s="22" t="n">
        <v>2.437</v>
      </c>
      <c r="L154" s="22" t="n">
        <v>2.447</v>
      </c>
      <c r="M154" s="22" t="n">
        <v>2.48</v>
      </c>
      <c r="N154" s="22" t="n">
        <v>2.57</v>
      </c>
      <c r="O154" s="22" t="n">
        <v>2.609</v>
      </c>
      <c r="P154" s="22" t="n">
        <v>2.592</v>
      </c>
      <c r="Q154" s="22" t="n">
        <v>2.626</v>
      </c>
      <c r="R154" s="22" t="n">
        <v>2.681</v>
      </c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</row>
    <row r="155" customFormat="false" ht="15" hidden="false" customHeight="false" outlineLevel="0" collapsed="false">
      <c r="A155" s="22" t="s">
        <v>151</v>
      </c>
      <c r="B155" s="22" t="s">
        <v>3</v>
      </c>
      <c r="C155" s="22" t="s">
        <v>151</v>
      </c>
      <c r="D155" s="22" t="n">
        <v>216980</v>
      </c>
      <c r="E155" s="22" t="s">
        <v>134</v>
      </c>
      <c r="F155" s="22" t="s">
        <v>135</v>
      </c>
      <c r="G155" s="22" t="s">
        <v>131</v>
      </c>
      <c r="H155" s="22" t="s">
        <v>131</v>
      </c>
      <c r="I155" s="22" t="n">
        <v>0.0319</v>
      </c>
      <c r="J155" s="22" t="n">
        <v>0.0269</v>
      </c>
      <c r="K155" s="22" t="n">
        <v>0.0297</v>
      </c>
      <c r="L155" s="22" t="n">
        <v>0.0332</v>
      </c>
      <c r="M155" s="22" t="n">
        <v>0.0421</v>
      </c>
      <c r="N155" s="22" t="n">
        <v>0.0529</v>
      </c>
      <c r="O155" s="22" t="n">
        <v>0.0443</v>
      </c>
      <c r="P155" s="22" t="n">
        <v>0.0351</v>
      </c>
      <c r="Q155" s="22" t="n">
        <v>0.0348</v>
      </c>
      <c r="R155" s="22" t="n">
        <v>0.0293</v>
      </c>
      <c r="S155" s="22" t="n">
        <v>0.031</v>
      </c>
      <c r="T155" s="22" t="n">
        <v>0.031</v>
      </c>
      <c r="U155" s="22" t="n">
        <v>0.028</v>
      </c>
      <c r="V155" s="22" t="n">
        <v>0.024</v>
      </c>
      <c r="W155" s="22" t="n">
        <v>0.026</v>
      </c>
      <c r="X155" s="22" t="n">
        <v>0.029</v>
      </c>
      <c r="Y155" s="22" t="n">
        <v>0.03</v>
      </c>
      <c r="Z155" s="22" t="n">
        <v>0.029</v>
      </c>
      <c r="AA155" s="22" t="n">
        <v>0.03</v>
      </c>
      <c r="AB155" s="22" t="n">
        <v>0.03</v>
      </c>
      <c r="AC155" s="22" t="n">
        <v>0.03</v>
      </c>
      <c r="AD155" s="22" t="n">
        <v>0.029</v>
      </c>
      <c r="AE155" s="22" t="n">
        <v>0.029</v>
      </c>
      <c r="AF155" s="22" t="n">
        <v>0.029</v>
      </c>
    </row>
    <row r="156" customFormat="false" ht="15" hidden="false" customHeight="false" outlineLevel="0" collapsed="false">
      <c r="A156" s="22" t="s">
        <v>151</v>
      </c>
      <c r="B156" s="22" t="s">
        <v>3</v>
      </c>
      <c r="C156" s="22" t="s">
        <v>151</v>
      </c>
      <c r="D156" s="22" t="n">
        <v>216980</v>
      </c>
      <c r="E156" s="22" t="s">
        <v>136</v>
      </c>
      <c r="F156" s="22" t="s">
        <v>137</v>
      </c>
      <c r="G156" s="22" t="s">
        <v>131</v>
      </c>
      <c r="H156" s="22" t="s">
        <v>131</v>
      </c>
      <c r="I156" s="22" t="n">
        <v>28</v>
      </c>
      <c r="J156" s="22" t="n">
        <v>21</v>
      </c>
      <c r="K156" s="22" t="n">
        <v>23</v>
      </c>
      <c r="L156" s="22" t="n">
        <v>29</v>
      </c>
      <c r="M156" s="22" t="n">
        <v>31</v>
      </c>
      <c r="N156" s="22" t="n">
        <v>43</v>
      </c>
      <c r="O156" s="22" t="n">
        <v>47</v>
      </c>
      <c r="P156" s="22" t="n">
        <v>48</v>
      </c>
      <c r="Q156" s="22" t="n">
        <v>51</v>
      </c>
      <c r="R156" s="22" t="n">
        <v>50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</row>
    <row r="157" customFormat="false" ht="15" hidden="false" customHeight="false" outlineLevel="0" collapsed="false">
      <c r="A157" s="22" t="s">
        <v>38</v>
      </c>
      <c r="B157" s="22" t="s">
        <v>3</v>
      </c>
      <c r="C157" s="22" t="s">
        <v>38</v>
      </c>
      <c r="D157" s="22" t="n">
        <v>17140</v>
      </c>
      <c r="E157" s="22" t="s">
        <v>129</v>
      </c>
      <c r="F157" s="22" t="s">
        <v>130</v>
      </c>
      <c r="G157" s="22" t="s">
        <v>131</v>
      </c>
      <c r="H157" s="22" t="s">
        <v>131</v>
      </c>
      <c r="I157" s="22" t="n">
        <v>1.50610307760601</v>
      </c>
      <c r="J157" s="22" t="n">
        <v>1.51604191236307</v>
      </c>
      <c r="K157" s="22" t="n">
        <v>1.54749738445546</v>
      </c>
      <c r="L157" s="22" t="n">
        <v>1.53638013680696</v>
      </c>
      <c r="M157" s="22" t="n">
        <v>1.55165274034853</v>
      </c>
      <c r="N157" s="22" t="n">
        <v>1.57045711732118</v>
      </c>
      <c r="O157" s="22" t="n">
        <v>1.59067833112596</v>
      </c>
      <c r="P157" s="22" t="n">
        <v>1.60924321756342</v>
      </c>
      <c r="Q157" s="22" t="n">
        <v>1.59785802177335</v>
      </c>
      <c r="R157" s="22" t="n">
        <v>1.57863297389861</v>
      </c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customFormat="false" ht="15" hidden="false" customHeight="false" outlineLevel="0" collapsed="false">
      <c r="A158" s="22" t="s">
        <v>38</v>
      </c>
      <c r="B158" s="22" t="s">
        <v>3</v>
      </c>
      <c r="C158" s="22" t="s">
        <v>38</v>
      </c>
      <c r="D158" s="22" t="n">
        <v>17140</v>
      </c>
      <c r="E158" s="22" t="s">
        <v>132</v>
      </c>
      <c r="F158" s="22" t="s">
        <v>6</v>
      </c>
      <c r="G158" s="22" t="s">
        <v>131</v>
      </c>
      <c r="H158" s="22" t="s">
        <v>131</v>
      </c>
      <c r="I158" s="22" t="n">
        <v>1.471</v>
      </c>
      <c r="J158" s="22" t="n">
        <v>1.499</v>
      </c>
      <c r="K158" s="22" t="n">
        <v>1.524</v>
      </c>
      <c r="L158" s="22" t="n">
        <v>1.52</v>
      </c>
      <c r="M158" s="22" t="n">
        <v>1.54</v>
      </c>
      <c r="N158" s="22" t="n">
        <v>1.587</v>
      </c>
      <c r="O158" s="22" t="n">
        <v>1.605</v>
      </c>
      <c r="P158" s="22" t="n">
        <v>1.589</v>
      </c>
      <c r="Q158" s="22" t="n">
        <v>1.599</v>
      </c>
      <c r="R158" s="22" t="n">
        <v>1.619</v>
      </c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customFormat="false" ht="15" hidden="false" customHeight="false" outlineLevel="0" collapsed="false">
      <c r="A159" s="22" t="s">
        <v>38</v>
      </c>
      <c r="B159" s="22" t="s">
        <v>3</v>
      </c>
      <c r="C159" s="22" t="s">
        <v>38</v>
      </c>
      <c r="D159" s="22" t="n">
        <v>17140</v>
      </c>
      <c r="E159" s="22" t="s">
        <v>132</v>
      </c>
      <c r="F159" s="22" t="s">
        <v>133</v>
      </c>
      <c r="G159" s="22" t="s">
        <v>131</v>
      </c>
      <c r="H159" s="22" t="s">
        <v>131</v>
      </c>
      <c r="I159" s="22" t="n">
        <v>168658</v>
      </c>
      <c r="J159" s="22" t="n">
        <v>169644</v>
      </c>
      <c r="K159" s="22" t="n">
        <v>170254</v>
      </c>
      <c r="L159" s="22" t="n">
        <v>170936</v>
      </c>
      <c r="M159" s="22" t="n">
        <v>171605</v>
      </c>
      <c r="N159" s="22" t="n">
        <v>171928</v>
      </c>
      <c r="O159" s="22" t="n">
        <v>172078</v>
      </c>
      <c r="P159" s="22" t="n">
        <v>172632</v>
      </c>
      <c r="Q159" s="22" t="n">
        <v>173170</v>
      </c>
      <c r="R159" s="22" t="n">
        <v>173811</v>
      </c>
      <c r="S159" s="22" t="n">
        <v>174697</v>
      </c>
      <c r="T159" s="22" t="n">
        <v>175375</v>
      </c>
      <c r="U159" s="22" t="n">
        <v>175853</v>
      </c>
      <c r="V159" s="22" t="n">
        <v>176305</v>
      </c>
      <c r="W159" s="22" t="n">
        <v>176894</v>
      </c>
      <c r="X159" s="22" t="n">
        <v>177373</v>
      </c>
      <c r="Y159" s="22" t="n">
        <v>177543</v>
      </c>
      <c r="Z159" s="22" t="n">
        <v>177800</v>
      </c>
      <c r="AA159" s="22" t="n">
        <v>178023</v>
      </c>
      <c r="AB159" s="22" t="n">
        <v>178494</v>
      </c>
      <c r="AC159" s="22" t="n">
        <v>178657</v>
      </c>
      <c r="AD159" s="22" t="n">
        <v>178908</v>
      </c>
      <c r="AE159" s="22" t="n">
        <v>179125</v>
      </c>
      <c r="AF159" s="22" t="n">
        <v>179593</v>
      </c>
    </row>
    <row r="160" customFormat="false" ht="15" hidden="false" customHeight="false" outlineLevel="0" collapsed="false">
      <c r="A160" s="22" t="s">
        <v>38</v>
      </c>
      <c r="B160" s="22" t="s">
        <v>3</v>
      </c>
      <c r="C160" s="22" t="s">
        <v>38</v>
      </c>
      <c r="D160" s="22" t="n">
        <v>17140</v>
      </c>
      <c r="E160" s="22" t="s">
        <v>132</v>
      </c>
      <c r="F160" s="22" t="s">
        <v>5</v>
      </c>
      <c r="G160" s="22" t="s">
        <v>131</v>
      </c>
      <c r="H160" s="22" t="s">
        <v>131</v>
      </c>
      <c r="I160" s="22" t="n">
        <v>1.48</v>
      </c>
      <c r="J160" s="22" t="n">
        <v>1.506</v>
      </c>
      <c r="K160" s="22" t="n">
        <v>1.533</v>
      </c>
      <c r="L160" s="22" t="n">
        <v>1.531</v>
      </c>
      <c r="M160" s="22" t="n">
        <v>1.548</v>
      </c>
      <c r="N160" s="22" t="n">
        <v>1.595</v>
      </c>
      <c r="O160" s="22" t="n">
        <v>1.613</v>
      </c>
      <c r="P160" s="22" t="n">
        <v>1.597</v>
      </c>
      <c r="Q160" s="22" t="n">
        <v>1.608</v>
      </c>
      <c r="R160" s="22" t="n">
        <v>1.63</v>
      </c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customFormat="false" ht="15" hidden="false" customHeight="false" outlineLevel="0" collapsed="false">
      <c r="A161" s="22" t="s">
        <v>38</v>
      </c>
      <c r="B161" s="22" t="s">
        <v>3</v>
      </c>
      <c r="C161" s="22" t="s">
        <v>38</v>
      </c>
      <c r="D161" s="22" t="n">
        <v>17140</v>
      </c>
      <c r="E161" s="22" t="s">
        <v>134</v>
      </c>
      <c r="F161" s="22" t="s">
        <v>135</v>
      </c>
      <c r="G161" s="22" t="s">
        <v>131</v>
      </c>
      <c r="H161" s="22" t="s">
        <v>131</v>
      </c>
      <c r="I161" s="22" t="n">
        <v>0.0324</v>
      </c>
      <c r="J161" s="22" t="n">
        <v>0.0297</v>
      </c>
      <c r="K161" s="22" t="n">
        <v>0.0282</v>
      </c>
      <c r="L161" s="22" t="n">
        <v>0.0247</v>
      </c>
      <c r="M161" s="22" t="n">
        <v>0.0309</v>
      </c>
      <c r="N161" s="22" t="n">
        <v>0.0353</v>
      </c>
      <c r="O161" s="22" t="n">
        <v>0.0259</v>
      </c>
      <c r="P161" s="22" t="n">
        <v>0.0257</v>
      </c>
      <c r="Q161" s="22" t="n">
        <v>0.0217</v>
      </c>
      <c r="R161" s="22" t="n">
        <v>0.0112</v>
      </c>
      <c r="S161" s="22" t="n">
        <v>0.015</v>
      </c>
      <c r="T161" s="22" t="n">
        <v>0.021</v>
      </c>
      <c r="U161" s="22" t="n">
        <v>0.03</v>
      </c>
      <c r="V161" s="22" t="n">
        <v>0.029</v>
      </c>
      <c r="W161" s="22" t="n">
        <v>0.03</v>
      </c>
      <c r="X161" s="22" t="n">
        <v>0.029</v>
      </c>
      <c r="Y161" s="22" t="n">
        <v>0.028</v>
      </c>
      <c r="Z161" s="22" t="n">
        <v>0.027</v>
      </c>
      <c r="AA161" s="22" t="n">
        <v>0.028</v>
      </c>
      <c r="AB161" s="22" t="n">
        <v>0.027</v>
      </c>
      <c r="AC161" s="22" t="n">
        <v>0.027</v>
      </c>
      <c r="AD161" s="22" t="n">
        <v>0.028</v>
      </c>
      <c r="AE161" s="22" t="n">
        <v>0.029</v>
      </c>
      <c r="AF161" s="22" t="n">
        <v>0.03</v>
      </c>
    </row>
    <row r="162" customFormat="false" ht="15" hidden="false" customHeight="false" outlineLevel="0" collapsed="false">
      <c r="A162" s="22" t="s">
        <v>38</v>
      </c>
      <c r="B162" s="22" t="s">
        <v>3</v>
      </c>
      <c r="C162" s="22" t="s">
        <v>38</v>
      </c>
      <c r="D162" s="22" t="n">
        <v>17140</v>
      </c>
      <c r="E162" s="22" t="s">
        <v>136</v>
      </c>
      <c r="F162" s="22" t="s">
        <v>137</v>
      </c>
      <c r="G162" s="22" t="s">
        <v>131</v>
      </c>
      <c r="H162" s="22" t="s">
        <v>131</v>
      </c>
      <c r="I162" s="22" t="n">
        <v>5</v>
      </c>
      <c r="J162" s="22" t="n">
        <v>5</v>
      </c>
      <c r="K162" s="22" t="n">
        <v>5</v>
      </c>
      <c r="L162" s="22" t="n">
        <v>8</v>
      </c>
      <c r="M162" s="22" t="n">
        <v>12</v>
      </c>
      <c r="N162" s="22" t="n">
        <v>12</v>
      </c>
      <c r="O162" s="22" t="n">
        <v>12</v>
      </c>
      <c r="P162" s="22" t="n">
        <v>12</v>
      </c>
      <c r="Q162" s="22" t="n">
        <v>9</v>
      </c>
      <c r="R162" s="22" t="n">
        <v>12</v>
      </c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customFormat="false" ht="15" hidden="false" customHeight="false" outlineLevel="0" collapsed="false">
      <c r="A163" s="22" t="s">
        <v>152</v>
      </c>
      <c r="B163" s="22" t="s">
        <v>3</v>
      </c>
      <c r="C163" s="22" t="s">
        <v>152</v>
      </c>
      <c r="D163" s="22" t="n">
        <v>17410</v>
      </c>
      <c r="E163" s="22" t="s">
        <v>129</v>
      </c>
      <c r="F163" s="22" t="s">
        <v>130</v>
      </c>
      <c r="G163" s="22" t="s">
        <v>131</v>
      </c>
      <c r="H163" s="22" t="s">
        <v>131</v>
      </c>
      <c r="I163" s="22" t="n">
        <v>1.38336009320481</v>
      </c>
      <c r="J163" s="22" t="n">
        <v>1.37812978978655</v>
      </c>
      <c r="K163" s="22" t="n">
        <v>1.39742621986211</v>
      </c>
      <c r="L163" s="22" t="n">
        <v>1.41933038680696</v>
      </c>
      <c r="M163" s="22" t="n">
        <v>1.43818477581152</v>
      </c>
      <c r="N163" s="22" t="n">
        <v>1.44324940680145</v>
      </c>
      <c r="O163" s="22" t="n">
        <v>1.45450388171732</v>
      </c>
      <c r="P163" s="22" t="n">
        <v>1.48312467534352</v>
      </c>
      <c r="Q163" s="22" t="n">
        <v>1.4966793154863</v>
      </c>
      <c r="R163" s="22" t="n">
        <v>1.52792909617732</v>
      </c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</row>
    <row r="164" customFormat="false" ht="15" hidden="false" customHeight="false" outlineLevel="0" collapsed="false">
      <c r="A164" s="22" t="s">
        <v>152</v>
      </c>
      <c r="B164" s="22" t="s">
        <v>3</v>
      </c>
      <c r="C164" s="22" t="s">
        <v>152</v>
      </c>
      <c r="D164" s="22" t="n">
        <v>17410</v>
      </c>
      <c r="E164" s="22" t="s">
        <v>132</v>
      </c>
      <c r="F164" s="22" t="s">
        <v>6</v>
      </c>
      <c r="G164" s="22" t="s">
        <v>131</v>
      </c>
      <c r="H164" s="22" t="s">
        <v>131</v>
      </c>
      <c r="I164" s="22" t="n">
        <v>1.432</v>
      </c>
      <c r="J164" s="22" t="n">
        <v>1.461</v>
      </c>
      <c r="K164" s="22" t="n">
        <v>1.488</v>
      </c>
      <c r="L164" s="22" t="n">
        <v>1.482</v>
      </c>
      <c r="M164" s="22" t="n">
        <v>1.491</v>
      </c>
      <c r="N164" s="22" t="n">
        <v>1.546</v>
      </c>
      <c r="O164" s="22" t="n">
        <v>1.549</v>
      </c>
      <c r="P164" s="22" t="n">
        <v>1.557</v>
      </c>
      <c r="Q164" s="22" t="n">
        <v>1.576</v>
      </c>
      <c r="R164" s="22" t="n">
        <v>1.597</v>
      </c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</row>
    <row r="165" customFormat="false" ht="15" hidden="false" customHeight="false" outlineLevel="0" collapsed="false">
      <c r="A165" s="22" t="s">
        <v>152</v>
      </c>
      <c r="B165" s="22" t="s">
        <v>3</v>
      </c>
      <c r="C165" s="22" t="s">
        <v>152</v>
      </c>
      <c r="D165" s="22" t="n">
        <v>17410</v>
      </c>
      <c r="E165" s="22" t="s">
        <v>132</v>
      </c>
      <c r="F165" s="22" t="s">
        <v>133</v>
      </c>
      <c r="G165" s="22" t="s">
        <v>131</v>
      </c>
      <c r="H165" s="22" t="s">
        <v>131</v>
      </c>
      <c r="I165" s="22" t="n">
        <v>175423</v>
      </c>
      <c r="J165" s="22" t="n">
        <v>175792</v>
      </c>
      <c r="K165" s="22" t="n">
        <v>176213</v>
      </c>
      <c r="L165" s="22" t="n">
        <v>176688</v>
      </c>
      <c r="M165" s="22" t="n">
        <v>176900</v>
      </c>
      <c r="N165" s="22" t="n">
        <v>177234</v>
      </c>
      <c r="O165" s="22" t="n">
        <v>177848</v>
      </c>
      <c r="P165" s="22" t="n">
        <v>178092</v>
      </c>
      <c r="Q165" s="22" t="n">
        <v>178454</v>
      </c>
      <c r="R165" s="22" t="n">
        <v>178715</v>
      </c>
      <c r="S165" s="22" t="n">
        <v>178941</v>
      </c>
      <c r="T165" s="22" t="n">
        <v>178971</v>
      </c>
      <c r="U165" s="22" t="n">
        <v>179049</v>
      </c>
      <c r="V165" s="22" t="n">
        <v>179300</v>
      </c>
      <c r="W165" s="22" t="n">
        <v>179595</v>
      </c>
      <c r="X165" s="22" t="n">
        <v>179764</v>
      </c>
      <c r="Y165" s="22" t="n">
        <v>180051</v>
      </c>
      <c r="Z165" s="22" t="n">
        <v>180577</v>
      </c>
      <c r="AA165" s="22" t="n">
        <v>180894</v>
      </c>
      <c r="AB165" s="22" t="n">
        <v>181001</v>
      </c>
      <c r="AC165" s="22" t="n">
        <v>181245</v>
      </c>
      <c r="AD165" s="22" t="n">
        <v>181742</v>
      </c>
      <c r="AE165" s="22" t="n">
        <v>182045</v>
      </c>
      <c r="AF165" s="22" t="n">
        <v>182133</v>
      </c>
    </row>
    <row r="166" customFormat="false" ht="15" hidden="false" customHeight="false" outlineLevel="0" collapsed="false">
      <c r="A166" s="22" t="s">
        <v>152</v>
      </c>
      <c r="B166" s="22" t="s">
        <v>3</v>
      </c>
      <c r="C166" s="22" t="s">
        <v>152</v>
      </c>
      <c r="D166" s="22" t="n">
        <v>17410</v>
      </c>
      <c r="E166" s="22" t="s">
        <v>132</v>
      </c>
      <c r="F166" s="22" t="s">
        <v>5</v>
      </c>
      <c r="G166" s="22" t="s">
        <v>131</v>
      </c>
      <c r="H166" s="22" t="s">
        <v>131</v>
      </c>
      <c r="I166" s="22" t="n">
        <v>1.443</v>
      </c>
      <c r="J166" s="22" t="n">
        <v>1.471</v>
      </c>
      <c r="K166" s="22" t="n">
        <v>1.501</v>
      </c>
      <c r="L166" s="22" t="n">
        <v>1.497</v>
      </c>
      <c r="M166" s="22" t="n">
        <v>1.504</v>
      </c>
      <c r="N166" s="22" t="n">
        <v>1.559</v>
      </c>
      <c r="O166" s="22" t="n">
        <v>1.568</v>
      </c>
      <c r="P166" s="22" t="n">
        <v>1.577</v>
      </c>
      <c r="Q166" s="22" t="n">
        <v>1.595</v>
      </c>
      <c r="R166" s="22" t="n">
        <v>1.62</v>
      </c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</row>
    <row r="167" customFormat="false" ht="15" hidden="false" customHeight="false" outlineLevel="0" collapsed="false">
      <c r="A167" s="22" t="s">
        <v>152</v>
      </c>
      <c r="B167" s="22" t="s">
        <v>3</v>
      </c>
      <c r="C167" s="22" t="s">
        <v>152</v>
      </c>
      <c r="D167" s="22" t="n">
        <v>17410</v>
      </c>
      <c r="E167" s="22" t="s">
        <v>134</v>
      </c>
      <c r="F167" s="22" t="s">
        <v>135</v>
      </c>
      <c r="G167" s="22" t="s">
        <v>131</v>
      </c>
      <c r="H167" s="22" t="s">
        <v>131</v>
      </c>
      <c r="I167" s="22" t="n">
        <v>0.0271</v>
      </c>
      <c r="J167" s="22" t="n">
        <v>0.0303</v>
      </c>
      <c r="K167" s="22" t="n">
        <v>0.0297</v>
      </c>
      <c r="L167" s="22" t="n">
        <v>0.0198</v>
      </c>
      <c r="M167" s="22" t="n">
        <v>0.0226</v>
      </c>
      <c r="N167" s="22" t="n">
        <v>0.0265</v>
      </c>
      <c r="O167" s="22" t="n">
        <v>0.0115</v>
      </c>
      <c r="P167" s="22" t="n">
        <v>0.0149</v>
      </c>
      <c r="Q167" s="22" t="n">
        <v>0.0228</v>
      </c>
      <c r="R167" s="22" t="n">
        <v>0.0111</v>
      </c>
      <c r="S167" s="22" t="n">
        <v>0.013</v>
      </c>
      <c r="T167" s="22" t="n">
        <v>0.018</v>
      </c>
      <c r="U167" s="22" t="n">
        <v>0.023</v>
      </c>
      <c r="V167" s="22" t="n">
        <v>0.019</v>
      </c>
      <c r="W167" s="22" t="n">
        <v>0.021</v>
      </c>
      <c r="X167" s="22" t="n">
        <v>0.02</v>
      </c>
      <c r="Y167" s="22" t="n">
        <v>0.021</v>
      </c>
      <c r="Z167" s="22" t="n">
        <v>0.021</v>
      </c>
      <c r="AA167" s="22" t="n">
        <v>0.021</v>
      </c>
      <c r="AB167" s="22" t="n">
        <v>0.02</v>
      </c>
      <c r="AC167" s="22" t="n">
        <v>0.019</v>
      </c>
      <c r="AD167" s="22" t="n">
        <v>0.019</v>
      </c>
      <c r="AE167" s="22" t="n">
        <v>0.019</v>
      </c>
      <c r="AF167" s="22" t="n">
        <v>0.019</v>
      </c>
    </row>
    <row r="168" customFormat="false" ht="15" hidden="false" customHeight="false" outlineLevel="0" collapsed="false">
      <c r="A168" s="22" t="s">
        <v>152</v>
      </c>
      <c r="B168" s="22" t="s">
        <v>3</v>
      </c>
      <c r="C168" s="22" t="s">
        <v>152</v>
      </c>
      <c r="D168" s="22" t="n">
        <v>17410</v>
      </c>
      <c r="E168" s="22" t="s">
        <v>136</v>
      </c>
      <c r="F168" s="22" t="s">
        <v>137</v>
      </c>
      <c r="G168" s="22" t="s">
        <v>131</v>
      </c>
      <c r="H168" s="22" t="s">
        <v>131</v>
      </c>
      <c r="I168" s="22" t="n">
        <v>9</v>
      </c>
      <c r="J168" s="22" t="n">
        <v>8</v>
      </c>
      <c r="K168" s="22" t="n">
        <v>8</v>
      </c>
      <c r="L168" s="22" t="n">
        <v>6</v>
      </c>
      <c r="M168" s="22" t="n">
        <v>4</v>
      </c>
      <c r="N168" s="22" t="n">
        <v>8</v>
      </c>
      <c r="O168" s="22" t="n">
        <v>7</v>
      </c>
      <c r="P168" s="22" t="n">
        <v>8</v>
      </c>
      <c r="Q168" s="22" t="n">
        <v>8</v>
      </c>
      <c r="R168" s="22" t="n">
        <v>4</v>
      </c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customFormat="false" ht="15" hidden="false" customHeight="false" outlineLevel="0" collapsed="false">
      <c r="A169" s="22" t="s">
        <v>153</v>
      </c>
      <c r="B169" s="22" t="s">
        <v>3</v>
      </c>
      <c r="C169" s="22" t="s">
        <v>153</v>
      </c>
      <c r="D169" s="22" t="n">
        <v>17780</v>
      </c>
      <c r="E169" s="22" t="s">
        <v>129</v>
      </c>
      <c r="F169" s="22" t="s">
        <v>130</v>
      </c>
      <c r="G169" s="22" t="s">
        <v>131</v>
      </c>
      <c r="H169" s="22" t="s">
        <v>131</v>
      </c>
      <c r="I169" s="22" t="n">
        <v>1.99779900715247</v>
      </c>
      <c r="J169" s="22" t="n">
        <v>1.89610041219967</v>
      </c>
      <c r="K169" s="22" t="n">
        <v>1.92521033576402</v>
      </c>
      <c r="L169" s="22" t="n">
        <v>1.87537304236429</v>
      </c>
      <c r="M169" s="22" t="n">
        <v>1.96883906468765</v>
      </c>
      <c r="N169" s="22" t="n">
        <v>1.9969288196959</v>
      </c>
      <c r="O169" s="22" t="n">
        <v>2.04029813137178</v>
      </c>
      <c r="P169" s="22" t="n">
        <v>2.06878792580605</v>
      </c>
      <c r="Q169" s="22" t="n">
        <v>2.09296040515361</v>
      </c>
      <c r="R169" s="22" t="n">
        <v>2.10843322262098</v>
      </c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customFormat="false" ht="15" hidden="false" customHeight="false" outlineLevel="0" collapsed="false">
      <c r="A170" s="22" t="s">
        <v>153</v>
      </c>
      <c r="B170" s="22" t="s">
        <v>3</v>
      </c>
      <c r="C170" s="22" t="s">
        <v>153</v>
      </c>
      <c r="D170" s="22" t="n">
        <v>17780</v>
      </c>
      <c r="E170" s="22" t="s">
        <v>132</v>
      </c>
      <c r="F170" s="22" t="s">
        <v>6</v>
      </c>
      <c r="G170" s="22" t="s">
        <v>131</v>
      </c>
      <c r="H170" s="22" t="s">
        <v>131</v>
      </c>
      <c r="I170" s="22" t="n">
        <v>1.298</v>
      </c>
      <c r="J170" s="22" t="n">
        <v>1.312</v>
      </c>
      <c r="K170" s="22" t="n">
        <v>1.33</v>
      </c>
      <c r="L170" s="22" t="n">
        <v>1.328</v>
      </c>
      <c r="M170" s="22" t="n">
        <v>1.329</v>
      </c>
      <c r="N170" s="22" t="n">
        <v>1.371</v>
      </c>
      <c r="O170" s="22" t="n">
        <v>1.409</v>
      </c>
      <c r="P170" s="22" t="n">
        <v>1.417</v>
      </c>
      <c r="Q170" s="22" t="n">
        <v>1.413</v>
      </c>
      <c r="R170" s="22" t="n">
        <v>1.418</v>
      </c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</row>
    <row r="171" customFormat="false" ht="15" hidden="false" customHeight="false" outlineLevel="0" collapsed="false">
      <c r="A171" s="22" t="s">
        <v>153</v>
      </c>
      <c r="B171" s="22" t="s">
        <v>3</v>
      </c>
      <c r="C171" s="22" t="s">
        <v>153</v>
      </c>
      <c r="D171" s="22" t="n">
        <v>17780</v>
      </c>
      <c r="E171" s="22" t="s">
        <v>132</v>
      </c>
      <c r="F171" s="22" t="s">
        <v>133</v>
      </c>
      <c r="G171" s="22" t="s">
        <v>131</v>
      </c>
      <c r="H171" s="22" t="s">
        <v>131</v>
      </c>
      <c r="I171" s="22" t="n">
        <v>26817</v>
      </c>
      <c r="J171" s="22" t="n">
        <v>26913</v>
      </c>
      <c r="K171" s="22" t="n">
        <v>26913</v>
      </c>
      <c r="L171" s="22" t="n">
        <v>26913</v>
      </c>
      <c r="M171" s="22" t="n">
        <v>26913</v>
      </c>
      <c r="N171" s="22" t="n">
        <v>26500</v>
      </c>
      <c r="O171" s="22" t="n">
        <v>26593</v>
      </c>
      <c r="P171" s="22" t="n">
        <v>26688</v>
      </c>
      <c r="Q171" s="22" t="n">
        <v>26757</v>
      </c>
      <c r="R171" s="22" t="n">
        <v>26967</v>
      </c>
      <c r="S171" s="22" t="n">
        <v>26967</v>
      </c>
      <c r="T171" s="22" t="n">
        <v>26967</v>
      </c>
      <c r="U171" s="22" t="n">
        <v>26967</v>
      </c>
      <c r="V171" s="22" t="n">
        <v>26967</v>
      </c>
      <c r="W171" s="22" t="n">
        <v>27250</v>
      </c>
      <c r="X171" s="22" t="n">
        <v>27256</v>
      </c>
      <c r="Y171" s="22" t="n">
        <v>27267</v>
      </c>
      <c r="Z171" s="22" t="n">
        <v>27267</v>
      </c>
      <c r="AA171" s="22" t="n">
        <v>27523</v>
      </c>
      <c r="AB171" s="22" t="n">
        <v>27523</v>
      </c>
      <c r="AC171" s="22" t="n">
        <v>27523</v>
      </c>
      <c r="AD171" s="22" t="n">
        <v>27515</v>
      </c>
      <c r="AE171" s="22" t="n">
        <v>27768</v>
      </c>
      <c r="AF171" s="22" t="n">
        <v>27761</v>
      </c>
    </row>
    <row r="172" customFormat="false" ht="15" hidden="false" customHeight="false" outlineLevel="0" collapsed="false">
      <c r="A172" s="22" t="s">
        <v>153</v>
      </c>
      <c r="B172" s="22" t="s">
        <v>3</v>
      </c>
      <c r="C172" s="22" t="s">
        <v>153</v>
      </c>
      <c r="D172" s="22" t="n">
        <v>17780</v>
      </c>
      <c r="E172" s="22" t="s">
        <v>132</v>
      </c>
      <c r="F172" s="22" t="s">
        <v>5</v>
      </c>
      <c r="G172" s="22" t="s">
        <v>131</v>
      </c>
      <c r="H172" s="22" t="s">
        <v>131</v>
      </c>
      <c r="I172" s="22" t="n">
        <v>1.31</v>
      </c>
      <c r="J172" s="22" t="n">
        <v>1.325</v>
      </c>
      <c r="K172" s="22" t="n">
        <v>1.342</v>
      </c>
      <c r="L172" s="22" t="n">
        <v>1.342</v>
      </c>
      <c r="M172" s="22" t="n">
        <v>1.346</v>
      </c>
      <c r="N172" s="22" t="n">
        <v>1.379</v>
      </c>
      <c r="O172" s="22" t="n">
        <v>1.423</v>
      </c>
      <c r="P172" s="22" t="n">
        <v>1.429</v>
      </c>
      <c r="Q172" s="22" t="n">
        <v>1.424</v>
      </c>
      <c r="R172" s="22" t="n">
        <v>1.429</v>
      </c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customFormat="false" ht="15" hidden="false" customHeight="false" outlineLevel="0" collapsed="false">
      <c r="A173" s="22" t="s">
        <v>153</v>
      </c>
      <c r="B173" s="22" t="s">
        <v>3</v>
      </c>
      <c r="C173" s="22" t="s">
        <v>153</v>
      </c>
      <c r="D173" s="22" t="n">
        <v>17780</v>
      </c>
      <c r="E173" s="22" t="s">
        <v>134</v>
      </c>
      <c r="F173" s="22" t="s">
        <v>135</v>
      </c>
      <c r="G173" s="22" t="s">
        <v>131</v>
      </c>
      <c r="H173" s="22" t="s">
        <v>131</v>
      </c>
      <c r="I173" s="22" t="n">
        <v>0.0364</v>
      </c>
      <c r="J173" s="22" t="n">
        <v>0.0283</v>
      </c>
      <c r="K173" s="22" t="n">
        <v>0.0306</v>
      </c>
      <c r="L173" s="22" t="n">
        <v>0.0229</v>
      </c>
      <c r="M173" s="22" t="n">
        <v>0.0271</v>
      </c>
      <c r="N173" s="22" t="n">
        <v>0.0368</v>
      </c>
      <c r="O173" s="22" t="n">
        <v>0.0273</v>
      </c>
      <c r="P173" s="22" t="n">
        <v>0.0218</v>
      </c>
      <c r="Q173" s="22" t="n">
        <v>0.018</v>
      </c>
      <c r="R173" s="22" t="n">
        <v>-0.0013</v>
      </c>
      <c r="S173" s="22" t="n">
        <v>0.001</v>
      </c>
      <c r="T173" s="22" t="n">
        <v>0.004</v>
      </c>
      <c r="U173" s="22" t="n">
        <v>0.01</v>
      </c>
      <c r="V173" s="22" t="n">
        <v>0.018</v>
      </c>
      <c r="W173" s="22" t="n">
        <v>0.027</v>
      </c>
      <c r="X173" s="22" t="n">
        <v>0.029</v>
      </c>
      <c r="Y173" s="22" t="n">
        <v>0.028</v>
      </c>
      <c r="Z173" s="22" t="n">
        <v>0.028</v>
      </c>
      <c r="AA173" s="22" t="n">
        <v>0.027</v>
      </c>
      <c r="AB173" s="22" t="n">
        <v>0.027</v>
      </c>
      <c r="AC173" s="22" t="n">
        <v>0.028</v>
      </c>
      <c r="AD173" s="22" t="n">
        <v>0.029</v>
      </c>
      <c r="AE173" s="22" t="n">
        <v>0.03</v>
      </c>
      <c r="AF173" s="22" t="n">
        <v>0.032</v>
      </c>
    </row>
    <row r="174" customFormat="false" ht="15" hidden="false" customHeight="false" outlineLevel="0" collapsed="false">
      <c r="A174" s="22" t="s">
        <v>153</v>
      </c>
      <c r="B174" s="22" t="s">
        <v>3</v>
      </c>
      <c r="C174" s="22" t="s">
        <v>153</v>
      </c>
      <c r="D174" s="22" t="n">
        <v>17780</v>
      </c>
      <c r="E174" s="22" t="s">
        <v>136</v>
      </c>
      <c r="F174" s="22" t="s">
        <v>137</v>
      </c>
      <c r="G174" s="22" t="s">
        <v>131</v>
      </c>
      <c r="H174" s="22" t="s">
        <v>131</v>
      </c>
      <c r="I174" s="22" t="n">
        <v>0</v>
      </c>
      <c r="J174" s="22" t="n">
        <v>0</v>
      </c>
      <c r="K174" s="22" t="n">
        <v>1</v>
      </c>
      <c r="L174" s="22" t="n">
        <v>2</v>
      </c>
      <c r="M174" s="22" t="n">
        <v>2</v>
      </c>
      <c r="N174" s="22" t="n">
        <v>2</v>
      </c>
      <c r="O174" s="22" t="n">
        <v>1</v>
      </c>
      <c r="P174" s="22" t="n">
        <v>0</v>
      </c>
      <c r="Q174" s="22" t="n">
        <v>0</v>
      </c>
      <c r="R174" s="22" t="n">
        <v>1</v>
      </c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customFormat="false" ht="15" hidden="false" customHeight="false" outlineLevel="0" collapsed="false">
      <c r="A175" s="22" t="s">
        <v>72</v>
      </c>
      <c r="B175" s="22" t="s">
        <v>3</v>
      </c>
      <c r="C175" s="22" t="s">
        <v>72</v>
      </c>
      <c r="D175" s="22" t="n">
        <v>17820</v>
      </c>
      <c r="E175" s="22" t="s">
        <v>129</v>
      </c>
      <c r="F175" s="22" t="s">
        <v>130</v>
      </c>
      <c r="G175" s="22" t="s">
        <v>131</v>
      </c>
      <c r="H175" s="22" t="s">
        <v>131</v>
      </c>
      <c r="I175" s="22" t="n">
        <v>1.76954412559736</v>
      </c>
      <c r="J175" s="22" t="n">
        <v>1.76643672993775</v>
      </c>
      <c r="K175" s="22" t="n">
        <v>1.74705333349177</v>
      </c>
      <c r="L175" s="22" t="n">
        <v>1.74327390895197</v>
      </c>
      <c r="M175" s="22" t="n">
        <v>1.71773384056547</v>
      </c>
      <c r="N175" s="22" t="n">
        <v>1.71679987583536</v>
      </c>
      <c r="O175" s="22" t="n">
        <v>1.71797087270559</v>
      </c>
      <c r="P175" s="22" t="n">
        <v>1.71346314333209</v>
      </c>
      <c r="Q175" s="22" t="n">
        <v>1.70386890490305</v>
      </c>
      <c r="R175" s="22" t="n">
        <v>1.71887327527392</v>
      </c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customFormat="false" ht="15" hidden="false" customHeight="false" outlineLevel="0" collapsed="false">
      <c r="A176" s="22" t="s">
        <v>72</v>
      </c>
      <c r="B176" s="22" t="s">
        <v>3</v>
      </c>
      <c r="C176" s="22" t="s">
        <v>72</v>
      </c>
      <c r="D176" s="22" t="n">
        <v>17820</v>
      </c>
      <c r="E176" s="22" t="s">
        <v>132</v>
      </c>
      <c r="F176" s="22" t="s">
        <v>6</v>
      </c>
      <c r="G176" s="22" t="s">
        <v>131</v>
      </c>
      <c r="H176" s="22" t="s">
        <v>131</v>
      </c>
      <c r="I176" s="22" t="n">
        <v>1.753</v>
      </c>
      <c r="J176" s="22" t="n">
        <v>1.743</v>
      </c>
      <c r="K176" s="22" t="n">
        <v>1.756</v>
      </c>
      <c r="L176" s="22" t="n">
        <v>1.73</v>
      </c>
      <c r="M176" s="22" t="n">
        <v>1.695</v>
      </c>
      <c r="N176" s="22" t="n">
        <v>1.693</v>
      </c>
      <c r="O176" s="22" t="n">
        <v>1.68</v>
      </c>
      <c r="P176" s="22" t="n">
        <v>1.633</v>
      </c>
      <c r="Q176" s="22" t="n">
        <v>1.651</v>
      </c>
      <c r="R176" s="22" t="n">
        <v>1.682</v>
      </c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customFormat="false" ht="15" hidden="false" customHeight="false" outlineLevel="0" collapsed="false">
      <c r="A177" s="22" t="s">
        <v>72</v>
      </c>
      <c r="B177" s="22" t="s">
        <v>3</v>
      </c>
      <c r="C177" s="22" t="s">
        <v>72</v>
      </c>
      <c r="D177" s="22" t="n">
        <v>17820</v>
      </c>
      <c r="E177" s="22" t="s">
        <v>132</v>
      </c>
      <c r="F177" s="22" t="s">
        <v>133</v>
      </c>
      <c r="G177" s="22" t="s">
        <v>131</v>
      </c>
      <c r="H177" s="22" t="s">
        <v>131</v>
      </c>
      <c r="I177" s="22" t="n">
        <v>56536</v>
      </c>
      <c r="J177" s="22" t="n">
        <v>58145</v>
      </c>
      <c r="K177" s="22" t="n">
        <v>60069</v>
      </c>
      <c r="L177" s="22" t="n">
        <v>61296</v>
      </c>
      <c r="M177" s="22" t="n">
        <v>61807</v>
      </c>
      <c r="N177" s="22" t="n">
        <v>62270</v>
      </c>
      <c r="O177" s="22" t="n">
        <v>62952</v>
      </c>
      <c r="P177" s="22" t="n">
        <v>63341</v>
      </c>
      <c r="Q177" s="22" t="n">
        <v>63481</v>
      </c>
      <c r="R177" s="22" t="n">
        <v>63623</v>
      </c>
      <c r="S177" s="22" t="n">
        <v>63693</v>
      </c>
      <c r="T177" s="22" t="n">
        <v>63807</v>
      </c>
      <c r="U177" s="22" t="n">
        <v>63879</v>
      </c>
      <c r="V177" s="22" t="n">
        <v>64001</v>
      </c>
      <c r="W177" s="22" t="n">
        <v>64287</v>
      </c>
      <c r="X177" s="22" t="n">
        <v>64407</v>
      </c>
      <c r="Y177" s="22" t="n">
        <v>64528</v>
      </c>
      <c r="Z177" s="22" t="n">
        <v>64651</v>
      </c>
      <c r="AA177" s="22" t="n">
        <v>64788</v>
      </c>
      <c r="AB177" s="22" t="n">
        <v>65005</v>
      </c>
      <c r="AC177" s="22" t="n">
        <v>65141</v>
      </c>
      <c r="AD177" s="22" t="n">
        <v>65269</v>
      </c>
      <c r="AE177" s="22" t="n">
        <v>65404</v>
      </c>
      <c r="AF177" s="22" t="n">
        <v>65625</v>
      </c>
    </row>
    <row r="178" customFormat="false" ht="15" hidden="false" customHeight="false" outlineLevel="0" collapsed="false">
      <c r="A178" s="22" t="s">
        <v>72</v>
      </c>
      <c r="B178" s="22" t="s">
        <v>3</v>
      </c>
      <c r="C178" s="22" t="s">
        <v>72</v>
      </c>
      <c r="D178" s="22" t="n">
        <v>17820</v>
      </c>
      <c r="E178" s="22" t="s">
        <v>132</v>
      </c>
      <c r="F178" s="22" t="s">
        <v>5</v>
      </c>
      <c r="G178" s="22" t="s">
        <v>131</v>
      </c>
      <c r="H178" s="22" t="s">
        <v>131</v>
      </c>
      <c r="I178" s="22" t="n">
        <v>1.773</v>
      </c>
      <c r="J178" s="22" t="n">
        <v>1.767</v>
      </c>
      <c r="K178" s="22" t="n">
        <v>1.777</v>
      </c>
      <c r="L178" s="22" t="n">
        <v>1.745</v>
      </c>
      <c r="M178" s="22" t="n">
        <v>1.721</v>
      </c>
      <c r="N178" s="22" t="n">
        <v>1.718</v>
      </c>
      <c r="O178" s="22" t="n">
        <v>1.706</v>
      </c>
      <c r="P178" s="22" t="n">
        <v>1.677</v>
      </c>
      <c r="Q178" s="22" t="n">
        <v>1.699</v>
      </c>
      <c r="R178" s="22" t="n">
        <v>1.737</v>
      </c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</row>
    <row r="179" customFormat="false" ht="15" hidden="false" customHeight="false" outlineLevel="0" collapsed="false">
      <c r="A179" s="22" t="s">
        <v>72</v>
      </c>
      <c r="B179" s="22" t="s">
        <v>3</v>
      </c>
      <c r="C179" s="22" t="s">
        <v>72</v>
      </c>
      <c r="D179" s="22" t="n">
        <v>17820</v>
      </c>
      <c r="E179" s="22" t="s">
        <v>134</v>
      </c>
      <c r="F179" s="22" t="s">
        <v>135</v>
      </c>
      <c r="G179" s="22" t="s">
        <v>131</v>
      </c>
      <c r="H179" s="22" t="s">
        <v>131</v>
      </c>
      <c r="I179" s="22" t="n">
        <v>-0.0197</v>
      </c>
      <c r="J179" s="22" t="n">
        <v>-0.0298</v>
      </c>
      <c r="K179" s="22" t="n">
        <v>-0.024</v>
      </c>
      <c r="L179" s="22" t="n">
        <v>-0.0287</v>
      </c>
      <c r="M179" s="22" t="n">
        <v>-0.0372</v>
      </c>
      <c r="N179" s="22" t="n">
        <v>-0.0388</v>
      </c>
      <c r="O179" s="22" t="n">
        <v>-0.0549</v>
      </c>
      <c r="P179" s="22" t="n">
        <v>-0.079</v>
      </c>
      <c r="Q179" s="22" t="n">
        <v>-0.0428</v>
      </c>
      <c r="R179" s="22" t="n">
        <v>-0.028</v>
      </c>
      <c r="S179" s="22" t="n">
        <v>-0.017</v>
      </c>
      <c r="T179" s="22" t="n">
        <v>-0.001</v>
      </c>
      <c r="U179" s="22" t="n">
        <v>0.019</v>
      </c>
      <c r="V179" s="22" t="n">
        <v>0.021</v>
      </c>
      <c r="W179" s="22" t="n">
        <v>0.026</v>
      </c>
      <c r="X179" s="22" t="n">
        <v>0.026</v>
      </c>
      <c r="Y179" s="22" t="n">
        <v>0.021</v>
      </c>
      <c r="Z179" s="22" t="n">
        <v>0.02</v>
      </c>
      <c r="AA179" s="22" t="n">
        <v>0.025</v>
      </c>
      <c r="AB179" s="22" t="n">
        <v>0.024</v>
      </c>
      <c r="AC179" s="22" t="n">
        <v>0.018</v>
      </c>
      <c r="AD179" s="22" t="n">
        <v>0.017</v>
      </c>
      <c r="AE179" s="22" t="n">
        <v>0.022</v>
      </c>
      <c r="AF179" s="22" t="n">
        <v>0.022</v>
      </c>
    </row>
    <row r="180" customFormat="false" ht="15" hidden="false" customHeight="false" outlineLevel="0" collapsed="false">
      <c r="A180" s="22" t="s">
        <v>72</v>
      </c>
      <c r="B180" s="22" t="s">
        <v>3</v>
      </c>
      <c r="C180" s="22" t="s">
        <v>72</v>
      </c>
      <c r="D180" s="22" t="n">
        <v>17820</v>
      </c>
      <c r="E180" s="22" t="s">
        <v>136</v>
      </c>
      <c r="F180" s="22" t="s">
        <v>137</v>
      </c>
      <c r="G180" s="22" t="s">
        <v>131</v>
      </c>
      <c r="H180" s="22" t="s">
        <v>131</v>
      </c>
      <c r="I180" s="22" t="n">
        <v>4</v>
      </c>
      <c r="J180" s="22" t="n">
        <v>2</v>
      </c>
      <c r="K180" s="22" t="n">
        <v>2</v>
      </c>
      <c r="L180" s="22" t="n">
        <v>2</v>
      </c>
      <c r="M180" s="22" t="n">
        <v>2</v>
      </c>
      <c r="N180" s="22" t="n">
        <v>3</v>
      </c>
      <c r="O180" s="22" t="n">
        <v>3</v>
      </c>
      <c r="P180" s="22" t="n">
        <v>4</v>
      </c>
      <c r="Q180" s="22" t="n">
        <v>3</v>
      </c>
      <c r="R180" s="22" t="n">
        <v>2</v>
      </c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customFormat="false" ht="15" hidden="false" customHeight="false" outlineLevel="0" collapsed="false">
      <c r="A181" s="22" t="s">
        <v>51</v>
      </c>
      <c r="B181" s="22" t="s">
        <v>3</v>
      </c>
      <c r="C181" s="22" t="s">
        <v>51</v>
      </c>
      <c r="D181" s="22" t="n">
        <v>17900</v>
      </c>
      <c r="E181" s="22" t="s">
        <v>129</v>
      </c>
      <c r="F181" s="22" t="s">
        <v>130</v>
      </c>
      <c r="G181" s="22" t="s">
        <v>131</v>
      </c>
      <c r="H181" s="22" t="s">
        <v>131</v>
      </c>
      <c r="I181" s="22" t="n">
        <v>1.3053352599205</v>
      </c>
      <c r="J181" s="22" t="n">
        <v>1.30827425862111</v>
      </c>
      <c r="K181" s="22" t="n">
        <v>1.33463532266524</v>
      </c>
      <c r="L181" s="22" t="n">
        <v>1.33469960505848</v>
      </c>
      <c r="M181" s="22" t="n">
        <v>1.31677723963052</v>
      </c>
      <c r="N181" s="22" t="n">
        <v>1.31942147205571</v>
      </c>
      <c r="O181" s="22" t="n">
        <v>1.35176603648456</v>
      </c>
      <c r="P181" s="22" t="n">
        <v>1.36912082283593</v>
      </c>
      <c r="Q181" s="22" t="n">
        <v>1.35224089032758</v>
      </c>
      <c r="R181" s="22" t="n">
        <v>1.35488193683636</v>
      </c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</row>
    <row r="182" customFormat="false" ht="15" hidden="false" customHeight="false" outlineLevel="0" collapsed="false">
      <c r="A182" s="22" t="s">
        <v>51</v>
      </c>
      <c r="B182" s="22" t="s">
        <v>3</v>
      </c>
      <c r="C182" s="22" t="s">
        <v>51</v>
      </c>
      <c r="D182" s="22" t="n">
        <v>17900</v>
      </c>
      <c r="E182" s="22" t="s">
        <v>132</v>
      </c>
      <c r="F182" s="22" t="s">
        <v>6</v>
      </c>
      <c r="G182" s="22" t="s">
        <v>131</v>
      </c>
      <c r="H182" s="22" t="s">
        <v>131</v>
      </c>
      <c r="I182" s="22" t="n">
        <v>1.294</v>
      </c>
      <c r="J182" s="22" t="n">
        <v>1.31</v>
      </c>
      <c r="K182" s="22" t="n">
        <v>1.325</v>
      </c>
      <c r="L182" s="22" t="n">
        <v>1.309</v>
      </c>
      <c r="M182" s="22" t="n">
        <v>1.321</v>
      </c>
      <c r="N182" s="22" t="n">
        <v>1.341</v>
      </c>
      <c r="O182" s="22" t="n">
        <v>1.366</v>
      </c>
      <c r="P182" s="22" t="n">
        <v>1.355</v>
      </c>
      <c r="Q182" s="22" t="n">
        <v>1.344</v>
      </c>
      <c r="R182" s="22" t="n">
        <v>1.364</v>
      </c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customFormat="false" ht="15" hidden="false" customHeight="false" outlineLevel="0" collapsed="false">
      <c r="A183" s="22" t="s">
        <v>51</v>
      </c>
      <c r="B183" s="22" t="s">
        <v>3</v>
      </c>
      <c r="C183" s="22" t="s">
        <v>51</v>
      </c>
      <c r="D183" s="22" t="n">
        <v>17900</v>
      </c>
      <c r="E183" s="22" t="s">
        <v>132</v>
      </c>
      <c r="F183" s="22" t="s">
        <v>133</v>
      </c>
      <c r="G183" s="22" t="s">
        <v>131</v>
      </c>
      <c r="H183" s="22" t="s">
        <v>131</v>
      </c>
      <c r="I183" s="22" t="n">
        <v>48604</v>
      </c>
      <c r="J183" s="22" t="n">
        <v>48988</v>
      </c>
      <c r="K183" s="22" t="n">
        <v>49236</v>
      </c>
      <c r="L183" s="22" t="n">
        <v>49402</v>
      </c>
      <c r="M183" s="22" t="n">
        <v>49434</v>
      </c>
      <c r="N183" s="22" t="n">
        <v>49500</v>
      </c>
      <c r="O183" s="22" t="n">
        <v>49716</v>
      </c>
      <c r="P183" s="22" t="n">
        <v>49860</v>
      </c>
      <c r="Q183" s="22" t="n">
        <v>49860</v>
      </c>
      <c r="R183" s="22" t="n">
        <v>50168</v>
      </c>
      <c r="S183" s="22" t="n">
        <v>50168</v>
      </c>
      <c r="T183" s="22" t="n">
        <v>50168</v>
      </c>
      <c r="U183" s="22" t="n">
        <v>50504</v>
      </c>
      <c r="V183" s="22" t="n">
        <v>50661</v>
      </c>
      <c r="W183" s="22" t="n">
        <v>51007</v>
      </c>
      <c r="X183" s="22" t="n">
        <v>51318</v>
      </c>
      <c r="Y183" s="22" t="n">
        <v>51318</v>
      </c>
      <c r="Z183" s="22" t="n">
        <v>51397</v>
      </c>
      <c r="AA183" s="22" t="n">
        <v>51715</v>
      </c>
      <c r="AB183" s="22" t="n">
        <v>51998</v>
      </c>
      <c r="AC183" s="22" t="n">
        <v>51978</v>
      </c>
      <c r="AD183" s="22" t="n">
        <v>52040</v>
      </c>
      <c r="AE183" s="22" t="n">
        <v>52348</v>
      </c>
      <c r="AF183" s="22" t="n">
        <v>52621</v>
      </c>
    </row>
    <row r="184" customFormat="false" ht="15" hidden="false" customHeight="false" outlineLevel="0" collapsed="false">
      <c r="A184" s="22" t="s">
        <v>51</v>
      </c>
      <c r="B184" s="22" t="s">
        <v>3</v>
      </c>
      <c r="C184" s="22" t="s">
        <v>51</v>
      </c>
      <c r="D184" s="22" t="n">
        <v>17900</v>
      </c>
      <c r="E184" s="22" t="s">
        <v>132</v>
      </c>
      <c r="F184" s="22" t="s">
        <v>5</v>
      </c>
      <c r="G184" s="22" t="s">
        <v>131</v>
      </c>
      <c r="H184" s="22" t="s">
        <v>131</v>
      </c>
      <c r="I184" s="22" t="n">
        <v>1.301</v>
      </c>
      <c r="J184" s="22" t="n">
        <v>1.317</v>
      </c>
      <c r="K184" s="22" t="n">
        <v>1.331</v>
      </c>
      <c r="L184" s="22" t="n">
        <v>1.313</v>
      </c>
      <c r="M184" s="22" t="n">
        <v>1.329</v>
      </c>
      <c r="N184" s="22" t="n">
        <v>1.346</v>
      </c>
      <c r="O184" s="22" t="n">
        <v>1.373</v>
      </c>
      <c r="P184" s="22" t="n">
        <v>1.363</v>
      </c>
      <c r="Q184" s="22" t="n">
        <v>1.359</v>
      </c>
      <c r="R184" s="22" t="n">
        <v>1.375</v>
      </c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customFormat="false" ht="15" hidden="false" customHeight="false" outlineLevel="0" collapsed="false">
      <c r="A185" s="22" t="s">
        <v>51</v>
      </c>
      <c r="B185" s="22" t="s">
        <v>3</v>
      </c>
      <c r="C185" s="22" t="s">
        <v>51</v>
      </c>
      <c r="D185" s="22" t="n">
        <v>17900</v>
      </c>
      <c r="E185" s="22" t="s">
        <v>134</v>
      </c>
      <c r="F185" s="22" t="s">
        <v>135</v>
      </c>
      <c r="G185" s="22" t="s">
        <v>131</v>
      </c>
      <c r="H185" s="22" t="s">
        <v>131</v>
      </c>
      <c r="I185" s="22" t="n">
        <v>0.0107</v>
      </c>
      <c r="J185" s="22" t="n">
        <v>0.0051</v>
      </c>
      <c r="K185" s="22" t="n">
        <v>0.009</v>
      </c>
      <c r="L185" s="22" t="n">
        <v>0.001</v>
      </c>
      <c r="M185" s="22" t="n">
        <v>0.0169</v>
      </c>
      <c r="N185" s="22" t="n">
        <v>0.025</v>
      </c>
      <c r="O185" s="22" t="n">
        <v>0.0205</v>
      </c>
      <c r="P185" s="22" t="n">
        <v>0.0242</v>
      </c>
      <c r="Q185" s="22" t="n">
        <v>0.0055</v>
      </c>
      <c r="R185" s="22" t="n">
        <v>0.0032</v>
      </c>
      <c r="S185" s="22" t="n">
        <v>0.007</v>
      </c>
      <c r="T185" s="22" t="n">
        <v>0.002</v>
      </c>
      <c r="U185" s="22" t="n">
        <v>0.008</v>
      </c>
      <c r="V185" s="22" t="n">
        <v>0.005</v>
      </c>
      <c r="W185" s="22" t="n">
        <v>0.007</v>
      </c>
      <c r="X185" s="22" t="n">
        <v>0.016</v>
      </c>
      <c r="Y185" s="22" t="n">
        <v>0.019</v>
      </c>
      <c r="Z185" s="22" t="n">
        <v>0.017</v>
      </c>
      <c r="AA185" s="22" t="n">
        <v>0.02</v>
      </c>
      <c r="AB185" s="22" t="n">
        <v>0.024</v>
      </c>
      <c r="AC185" s="22" t="n">
        <v>0.026</v>
      </c>
      <c r="AD185" s="22" t="n">
        <v>0.023</v>
      </c>
      <c r="AE185" s="22" t="n">
        <v>0.022</v>
      </c>
      <c r="AF185" s="22" t="n">
        <v>0.022</v>
      </c>
    </row>
    <row r="186" customFormat="false" ht="15" hidden="false" customHeight="false" outlineLevel="0" collapsed="false">
      <c r="A186" s="22" t="s">
        <v>51</v>
      </c>
      <c r="B186" s="22" t="s">
        <v>3</v>
      </c>
      <c r="C186" s="22" t="s">
        <v>51</v>
      </c>
      <c r="D186" s="22" t="n">
        <v>17900</v>
      </c>
      <c r="E186" s="22" t="s">
        <v>136</v>
      </c>
      <c r="F186" s="22" t="s">
        <v>137</v>
      </c>
      <c r="G186" s="22" t="s">
        <v>131</v>
      </c>
      <c r="H186" s="22" t="s">
        <v>131</v>
      </c>
      <c r="I186" s="22" t="n">
        <v>2</v>
      </c>
      <c r="J186" s="22" t="n">
        <v>3</v>
      </c>
      <c r="K186" s="22" t="n">
        <v>3</v>
      </c>
      <c r="L186" s="22" t="n">
        <v>3</v>
      </c>
      <c r="M186" s="22" t="n">
        <v>2</v>
      </c>
      <c r="N186" s="22" t="n">
        <v>1</v>
      </c>
      <c r="O186" s="22" t="n">
        <v>1</v>
      </c>
      <c r="P186" s="22" t="n">
        <v>2</v>
      </c>
      <c r="Q186" s="22" t="n">
        <v>3</v>
      </c>
      <c r="R186" s="22" t="n">
        <v>3</v>
      </c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customFormat="false" ht="15" hidden="false" customHeight="false" outlineLevel="0" collapsed="false">
      <c r="A187" s="22" t="s">
        <v>154</v>
      </c>
      <c r="B187" s="22" t="s">
        <v>3</v>
      </c>
      <c r="C187" s="22" t="s">
        <v>154</v>
      </c>
      <c r="D187" s="22" t="n">
        <v>17980</v>
      </c>
      <c r="E187" s="22" t="s">
        <v>129</v>
      </c>
      <c r="F187" s="22" t="s">
        <v>130</v>
      </c>
      <c r="G187" s="22" t="s">
        <v>131</v>
      </c>
      <c r="H187" s="22" t="s">
        <v>131</v>
      </c>
      <c r="I187" s="22" t="n">
        <v>0.985362841845251</v>
      </c>
      <c r="J187" s="22" t="n">
        <v>0.995351993466669</v>
      </c>
      <c r="K187" s="22" t="n">
        <v>1.00828129134489</v>
      </c>
      <c r="L187" s="22" t="n">
        <v>1.01190631185951</v>
      </c>
      <c r="M187" s="22" t="n">
        <v>1.00794397476604</v>
      </c>
      <c r="N187" s="22" t="n">
        <v>1.01613408391544</v>
      </c>
      <c r="O187" s="22" t="n">
        <v>1.02139689836266</v>
      </c>
      <c r="P187" s="22" t="n">
        <v>1.02817108053384</v>
      </c>
      <c r="Q187" s="22" t="n">
        <v>1.03254100096347</v>
      </c>
      <c r="R187" s="22" t="n">
        <v>1.03854761024494</v>
      </c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</row>
    <row r="188" customFormat="false" ht="15" hidden="false" customHeight="false" outlineLevel="0" collapsed="false">
      <c r="A188" s="22" t="s">
        <v>154</v>
      </c>
      <c r="B188" s="22" t="s">
        <v>3</v>
      </c>
      <c r="C188" s="22" t="s">
        <v>154</v>
      </c>
      <c r="D188" s="22" t="n">
        <v>17980</v>
      </c>
      <c r="E188" s="22" t="s">
        <v>132</v>
      </c>
      <c r="F188" s="22" t="s">
        <v>6</v>
      </c>
      <c r="G188" s="22" t="s">
        <v>131</v>
      </c>
      <c r="H188" s="22" t="s">
        <v>131</v>
      </c>
      <c r="I188" s="22" t="n">
        <v>1.008</v>
      </c>
      <c r="J188" s="22" t="n">
        <v>1.024</v>
      </c>
      <c r="K188" s="22" t="n">
        <v>1.028</v>
      </c>
      <c r="L188" s="22" t="n">
        <v>1.033</v>
      </c>
      <c r="M188" s="22" t="n">
        <v>1.041</v>
      </c>
      <c r="N188" s="22" t="n">
        <v>1.053</v>
      </c>
      <c r="O188" s="22" t="n">
        <v>1.077</v>
      </c>
      <c r="P188" s="22" t="n">
        <v>1.075</v>
      </c>
      <c r="Q188" s="22" t="n">
        <v>1.072</v>
      </c>
      <c r="R188" s="22" t="n">
        <v>1.096</v>
      </c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customFormat="false" ht="15" hidden="false" customHeight="false" outlineLevel="0" collapsed="false">
      <c r="A189" s="22" t="s">
        <v>154</v>
      </c>
      <c r="B189" s="22" t="s">
        <v>3</v>
      </c>
      <c r="C189" s="22" t="s">
        <v>154</v>
      </c>
      <c r="D189" s="22" t="n">
        <v>17980</v>
      </c>
      <c r="E189" s="22" t="s">
        <v>132</v>
      </c>
      <c r="F189" s="22" t="s">
        <v>133</v>
      </c>
      <c r="G189" s="22" t="s">
        <v>131</v>
      </c>
      <c r="H189" s="22" t="s">
        <v>131</v>
      </c>
      <c r="I189" s="22" t="n">
        <v>25095</v>
      </c>
      <c r="J189" s="22" t="n">
        <v>25506</v>
      </c>
      <c r="K189" s="22" t="n">
        <v>25620</v>
      </c>
      <c r="L189" s="22" t="n">
        <v>25696</v>
      </c>
      <c r="M189" s="22" t="n">
        <v>25696</v>
      </c>
      <c r="N189" s="22" t="n">
        <v>25696</v>
      </c>
      <c r="O189" s="22" t="n">
        <v>25696</v>
      </c>
      <c r="P189" s="22" t="n">
        <v>25458</v>
      </c>
      <c r="Q189" s="22" t="n">
        <v>25458</v>
      </c>
      <c r="R189" s="22" t="n">
        <v>25458</v>
      </c>
      <c r="S189" s="22" t="n">
        <v>25458</v>
      </c>
      <c r="T189" s="22" t="n">
        <v>25458</v>
      </c>
      <c r="U189" s="22" t="n">
        <v>25458</v>
      </c>
      <c r="V189" s="22" t="n">
        <v>25458</v>
      </c>
      <c r="W189" s="22" t="n">
        <v>25458</v>
      </c>
      <c r="X189" s="22" t="n">
        <v>25535</v>
      </c>
      <c r="Y189" s="22" t="n">
        <v>25634</v>
      </c>
      <c r="Z189" s="22" t="n">
        <v>25699</v>
      </c>
      <c r="AA189" s="22" t="n">
        <v>25716</v>
      </c>
      <c r="AB189" s="22" t="n">
        <v>25811</v>
      </c>
      <c r="AC189" s="22" t="n">
        <v>25919</v>
      </c>
      <c r="AD189" s="22" t="n">
        <v>25995</v>
      </c>
      <c r="AE189" s="22" t="n">
        <v>26006</v>
      </c>
      <c r="AF189" s="22" t="n">
        <v>26091</v>
      </c>
    </row>
    <row r="190" customFormat="false" ht="15" hidden="false" customHeight="false" outlineLevel="0" collapsed="false">
      <c r="A190" s="22" t="s">
        <v>154</v>
      </c>
      <c r="B190" s="22" t="s">
        <v>3</v>
      </c>
      <c r="C190" s="22" t="s">
        <v>154</v>
      </c>
      <c r="D190" s="22" t="n">
        <v>17980</v>
      </c>
      <c r="E190" s="22" t="s">
        <v>132</v>
      </c>
      <c r="F190" s="22" t="s">
        <v>5</v>
      </c>
      <c r="G190" s="22" t="s">
        <v>131</v>
      </c>
      <c r="H190" s="22" t="s">
        <v>131</v>
      </c>
      <c r="I190" s="22" t="n">
        <v>1.012</v>
      </c>
      <c r="J190" s="22" t="n">
        <v>1.027</v>
      </c>
      <c r="K190" s="22" t="n">
        <v>1.032</v>
      </c>
      <c r="L190" s="22" t="n">
        <v>1.038</v>
      </c>
      <c r="M190" s="22" t="n">
        <v>1.044</v>
      </c>
      <c r="N190" s="22" t="n">
        <v>1.057</v>
      </c>
      <c r="O190" s="22" t="n">
        <v>1.081</v>
      </c>
      <c r="P190" s="22" t="n">
        <v>1.08</v>
      </c>
      <c r="Q190" s="22" t="n">
        <v>1.081</v>
      </c>
      <c r="R190" s="22" t="n">
        <v>1.1</v>
      </c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</row>
    <row r="191" customFormat="false" ht="15" hidden="false" customHeight="false" outlineLevel="0" collapsed="false">
      <c r="A191" s="22" t="s">
        <v>154</v>
      </c>
      <c r="B191" s="22" t="s">
        <v>3</v>
      </c>
      <c r="C191" s="22" t="s">
        <v>154</v>
      </c>
      <c r="D191" s="22" t="n">
        <v>17980</v>
      </c>
      <c r="E191" s="22" t="s">
        <v>134</v>
      </c>
      <c r="F191" s="22" t="s">
        <v>135</v>
      </c>
      <c r="G191" s="22" t="s">
        <v>131</v>
      </c>
      <c r="H191" s="22" t="s">
        <v>131</v>
      </c>
      <c r="I191" s="22" t="n">
        <v>0.0372</v>
      </c>
      <c r="J191" s="22" t="n">
        <v>0.0364</v>
      </c>
      <c r="K191" s="22" t="n">
        <v>0.039</v>
      </c>
      <c r="L191" s="22" t="n">
        <v>0.0458</v>
      </c>
      <c r="M191" s="22" t="n">
        <v>0.0383</v>
      </c>
      <c r="N191" s="22" t="n">
        <v>0.0238</v>
      </c>
      <c r="O191" s="22" t="n">
        <v>0.022</v>
      </c>
      <c r="P191" s="22" t="n">
        <v>0.019</v>
      </c>
      <c r="Q191" s="22" t="n">
        <v>0.0041</v>
      </c>
      <c r="R191" s="22" t="n">
        <v>0.0236</v>
      </c>
      <c r="S191" s="22" t="n">
        <v>0.025</v>
      </c>
      <c r="T191" s="22" t="n">
        <v>0.027</v>
      </c>
      <c r="U191" s="22" t="n">
        <v>0.03</v>
      </c>
      <c r="V191" s="22" t="n">
        <v>0.032</v>
      </c>
      <c r="W191" s="22" t="n">
        <v>0.034</v>
      </c>
      <c r="X191" s="22" t="n">
        <v>0.033</v>
      </c>
      <c r="Y191" s="22" t="n">
        <v>0.031</v>
      </c>
      <c r="Z191" s="22" t="n">
        <v>0.028</v>
      </c>
      <c r="AA191" s="22" t="n">
        <v>0.027</v>
      </c>
      <c r="AB191" s="22" t="n">
        <v>0.025</v>
      </c>
      <c r="AC191" s="22" t="n">
        <v>0.024</v>
      </c>
      <c r="AD191" s="22" t="n">
        <v>0.023</v>
      </c>
      <c r="AE191" s="22" t="n">
        <v>0.022</v>
      </c>
      <c r="AF191" s="22" t="n">
        <v>0.023</v>
      </c>
    </row>
    <row r="192" customFormat="false" ht="15" hidden="false" customHeight="false" outlineLevel="0" collapsed="false">
      <c r="A192" s="22" t="s">
        <v>154</v>
      </c>
      <c r="B192" s="22" t="s">
        <v>3</v>
      </c>
      <c r="C192" s="22" t="s">
        <v>154</v>
      </c>
      <c r="D192" s="22" t="n">
        <v>17980</v>
      </c>
      <c r="E192" s="22" t="s">
        <v>136</v>
      </c>
      <c r="F192" s="22" t="s">
        <v>137</v>
      </c>
      <c r="G192" s="22" t="s">
        <v>131</v>
      </c>
      <c r="H192" s="22" t="s">
        <v>131</v>
      </c>
      <c r="I192" s="22" t="n">
        <v>0</v>
      </c>
      <c r="J192" s="22" t="n">
        <v>0</v>
      </c>
      <c r="K192" s="22" t="n">
        <v>0</v>
      </c>
      <c r="L192" s="22" t="n">
        <v>0</v>
      </c>
      <c r="M192" s="22" t="n">
        <v>0</v>
      </c>
      <c r="N192" s="22" t="n">
        <v>0</v>
      </c>
      <c r="O192" s="22" t="n">
        <v>0</v>
      </c>
      <c r="P192" s="22" t="n">
        <v>0</v>
      </c>
      <c r="Q192" s="22" t="n">
        <v>0</v>
      </c>
      <c r="R192" s="22" t="n">
        <v>0</v>
      </c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</row>
    <row r="193" customFormat="false" ht="15" hidden="false" customHeight="false" outlineLevel="0" collapsed="false">
      <c r="A193" s="22" t="s">
        <v>29</v>
      </c>
      <c r="B193" s="22" t="s">
        <v>3</v>
      </c>
      <c r="C193" s="22" t="s">
        <v>29</v>
      </c>
      <c r="D193" s="22" t="n">
        <v>18140</v>
      </c>
      <c r="E193" s="22" t="s">
        <v>129</v>
      </c>
      <c r="F193" s="22" t="s">
        <v>130</v>
      </c>
      <c r="G193" s="22" t="s">
        <v>131</v>
      </c>
      <c r="H193" s="22" t="s">
        <v>131</v>
      </c>
      <c r="I193" s="22" t="n">
        <v>1.31398598915003</v>
      </c>
      <c r="J193" s="22" t="n">
        <v>1.33363074951895</v>
      </c>
      <c r="K193" s="22" t="n">
        <v>1.35221638755646</v>
      </c>
      <c r="L193" s="22" t="n">
        <v>1.34664311594626</v>
      </c>
      <c r="M193" s="22" t="n">
        <v>1.35038723957895</v>
      </c>
      <c r="N193" s="22" t="n">
        <v>1.36710325279519</v>
      </c>
      <c r="O193" s="22" t="n">
        <v>1.38623368759571</v>
      </c>
      <c r="P193" s="22" t="n">
        <v>1.40853363641575</v>
      </c>
      <c r="Q193" s="22" t="n">
        <v>1.41444003822216</v>
      </c>
      <c r="R193" s="22" t="n">
        <v>1.42323320809454</v>
      </c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customFormat="false" ht="15" hidden="false" customHeight="false" outlineLevel="0" collapsed="false">
      <c r="A194" s="22" t="s">
        <v>29</v>
      </c>
      <c r="B194" s="22" t="s">
        <v>3</v>
      </c>
      <c r="C194" s="22" t="s">
        <v>29</v>
      </c>
      <c r="D194" s="22" t="n">
        <v>18140</v>
      </c>
      <c r="E194" s="22" t="s">
        <v>132</v>
      </c>
      <c r="F194" s="22" t="s">
        <v>6</v>
      </c>
      <c r="G194" s="22" t="s">
        <v>131</v>
      </c>
      <c r="H194" s="22" t="s">
        <v>131</v>
      </c>
      <c r="I194" s="22" t="n">
        <v>1.394</v>
      </c>
      <c r="J194" s="22" t="n">
        <v>1.426</v>
      </c>
      <c r="K194" s="22" t="n">
        <v>1.441</v>
      </c>
      <c r="L194" s="22" t="n">
        <v>1.429</v>
      </c>
      <c r="M194" s="22" t="n">
        <v>1.448</v>
      </c>
      <c r="N194" s="22" t="n">
        <v>1.482</v>
      </c>
      <c r="O194" s="22" t="n">
        <v>1.486</v>
      </c>
      <c r="P194" s="22" t="n">
        <v>1.453</v>
      </c>
      <c r="Q194" s="22" t="n">
        <v>1.47</v>
      </c>
      <c r="R194" s="22" t="n">
        <v>1.494</v>
      </c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customFormat="false" ht="15" hidden="false" customHeight="false" outlineLevel="0" collapsed="false">
      <c r="A195" s="22" t="s">
        <v>29</v>
      </c>
      <c r="B195" s="22" t="s">
        <v>3</v>
      </c>
      <c r="C195" s="22" t="s">
        <v>29</v>
      </c>
      <c r="D195" s="22" t="n">
        <v>18140</v>
      </c>
      <c r="E195" s="22" t="s">
        <v>132</v>
      </c>
      <c r="F195" s="22" t="s">
        <v>133</v>
      </c>
      <c r="G195" s="22" t="s">
        <v>131</v>
      </c>
      <c r="H195" s="22" t="s">
        <v>131</v>
      </c>
      <c r="I195" s="22" t="n">
        <v>205402</v>
      </c>
      <c r="J195" s="22" t="n">
        <v>206924</v>
      </c>
      <c r="K195" s="22" t="n">
        <v>208862</v>
      </c>
      <c r="L195" s="22" t="n">
        <v>210054</v>
      </c>
      <c r="M195" s="22" t="n">
        <v>210575</v>
      </c>
      <c r="N195" s="22" t="n">
        <v>212932</v>
      </c>
      <c r="O195" s="22" t="n">
        <v>215135</v>
      </c>
      <c r="P195" s="22" t="n">
        <v>216889</v>
      </c>
      <c r="Q195" s="22" t="n">
        <v>218082</v>
      </c>
      <c r="R195" s="22" t="n">
        <v>219896</v>
      </c>
      <c r="S195" s="22" t="n">
        <v>221866</v>
      </c>
      <c r="T195" s="22" t="n">
        <v>222774</v>
      </c>
      <c r="U195" s="22" t="n">
        <v>224483</v>
      </c>
      <c r="V195" s="22" t="n">
        <v>226174</v>
      </c>
      <c r="W195" s="22" t="n">
        <v>227297</v>
      </c>
      <c r="X195" s="22" t="n">
        <v>228309</v>
      </c>
      <c r="Y195" s="22" t="n">
        <v>229363</v>
      </c>
      <c r="Z195" s="22" t="n">
        <v>231051</v>
      </c>
      <c r="AA195" s="22" t="n">
        <v>232136</v>
      </c>
      <c r="AB195" s="22" t="n">
        <v>233092</v>
      </c>
      <c r="AC195" s="22" t="n">
        <v>234047</v>
      </c>
      <c r="AD195" s="22" t="n">
        <v>235653</v>
      </c>
      <c r="AE195" s="22" t="n">
        <v>236691</v>
      </c>
      <c r="AF195" s="22" t="n">
        <v>237664</v>
      </c>
    </row>
    <row r="196" customFormat="false" ht="15" hidden="false" customHeight="false" outlineLevel="0" collapsed="false">
      <c r="A196" s="22" t="s">
        <v>29</v>
      </c>
      <c r="B196" s="22" t="s">
        <v>3</v>
      </c>
      <c r="C196" s="22" t="s">
        <v>29</v>
      </c>
      <c r="D196" s="22" t="n">
        <v>18140</v>
      </c>
      <c r="E196" s="22" t="s">
        <v>132</v>
      </c>
      <c r="F196" s="22" t="s">
        <v>5</v>
      </c>
      <c r="G196" s="22" t="s">
        <v>131</v>
      </c>
      <c r="H196" s="22" t="s">
        <v>131</v>
      </c>
      <c r="I196" s="22" t="n">
        <v>1.404</v>
      </c>
      <c r="J196" s="22" t="n">
        <v>1.436</v>
      </c>
      <c r="K196" s="22" t="n">
        <v>1.451</v>
      </c>
      <c r="L196" s="22" t="n">
        <v>1.44</v>
      </c>
      <c r="M196" s="22" t="n">
        <v>1.46</v>
      </c>
      <c r="N196" s="22" t="n">
        <v>1.494</v>
      </c>
      <c r="O196" s="22" t="n">
        <v>1.5</v>
      </c>
      <c r="P196" s="22" t="n">
        <v>1.472</v>
      </c>
      <c r="Q196" s="22" t="n">
        <v>1.488</v>
      </c>
      <c r="R196" s="22" t="n">
        <v>1.511</v>
      </c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customFormat="false" ht="15" hidden="false" customHeight="false" outlineLevel="0" collapsed="false">
      <c r="A197" s="22" t="s">
        <v>29</v>
      </c>
      <c r="B197" s="22" t="s">
        <v>3</v>
      </c>
      <c r="C197" s="22" t="s">
        <v>29</v>
      </c>
      <c r="D197" s="22" t="n">
        <v>18140</v>
      </c>
      <c r="E197" s="22" t="s">
        <v>134</v>
      </c>
      <c r="F197" s="22" t="s">
        <v>135</v>
      </c>
      <c r="G197" s="22" t="s">
        <v>131</v>
      </c>
      <c r="H197" s="22" t="s">
        <v>131</v>
      </c>
      <c r="I197" s="22" t="n">
        <v>0.0255</v>
      </c>
      <c r="J197" s="22" t="n">
        <v>0.0276</v>
      </c>
      <c r="K197" s="22" t="n">
        <v>0.0264</v>
      </c>
      <c r="L197" s="22" t="n">
        <v>0.0279</v>
      </c>
      <c r="M197" s="22" t="n">
        <v>0.0323</v>
      </c>
      <c r="N197" s="22" t="n">
        <v>0.0287</v>
      </c>
      <c r="O197" s="22" t="n">
        <v>0.014</v>
      </c>
      <c r="P197" s="22" t="n">
        <v>0.0032</v>
      </c>
      <c r="Q197" s="22" t="n">
        <v>0.0035</v>
      </c>
      <c r="R197" s="22" t="n">
        <v>0.0001</v>
      </c>
      <c r="S197" s="22" t="n">
        <v>0.002</v>
      </c>
      <c r="T197" s="22" t="n">
        <v>0.006</v>
      </c>
      <c r="U197" s="22" t="n">
        <v>0.012</v>
      </c>
      <c r="V197" s="22" t="n">
        <v>0.021</v>
      </c>
      <c r="W197" s="22" t="n">
        <v>0.032</v>
      </c>
      <c r="X197" s="22" t="n">
        <v>0.033</v>
      </c>
      <c r="Y197" s="22" t="n">
        <v>0.032</v>
      </c>
      <c r="Z197" s="22" t="n">
        <v>0.031</v>
      </c>
      <c r="AA197" s="22" t="n">
        <v>0.032</v>
      </c>
      <c r="AB197" s="22" t="n">
        <v>0.032</v>
      </c>
      <c r="AC197" s="22" t="n">
        <v>0.031</v>
      </c>
      <c r="AD197" s="22" t="n">
        <v>0.031</v>
      </c>
      <c r="AE197" s="22" t="n">
        <v>0.031</v>
      </c>
      <c r="AF197" s="22" t="n">
        <v>0.031</v>
      </c>
    </row>
    <row r="198" customFormat="false" ht="15" hidden="false" customHeight="false" outlineLevel="0" collapsed="false">
      <c r="A198" s="22" t="s">
        <v>29</v>
      </c>
      <c r="B198" s="22" t="s">
        <v>3</v>
      </c>
      <c r="C198" s="22" t="s">
        <v>29</v>
      </c>
      <c r="D198" s="22" t="n">
        <v>18140</v>
      </c>
      <c r="E198" s="22" t="s">
        <v>136</v>
      </c>
      <c r="F198" s="22" t="s">
        <v>137</v>
      </c>
      <c r="G198" s="22" t="s">
        <v>131</v>
      </c>
      <c r="H198" s="22" t="s">
        <v>131</v>
      </c>
      <c r="I198" s="22" t="n">
        <v>33</v>
      </c>
      <c r="J198" s="22" t="n">
        <v>36</v>
      </c>
      <c r="K198" s="22" t="n">
        <v>31</v>
      </c>
      <c r="L198" s="22" t="n">
        <v>32</v>
      </c>
      <c r="M198" s="22" t="n">
        <v>31</v>
      </c>
      <c r="N198" s="22" t="n">
        <v>26</v>
      </c>
      <c r="O198" s="22" t="n">
        <v>30</v>
      </c>
      <c r="P198" s="22" t="n">
        <v>27</v>
      </c>
      <c r="Q198" s="22" t="n">
        <v>27</v>
      </c>
      <c r="R198" s="22" t="n">
        <v>25</v>
      </c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customFormat="false" ht="15" hidden="false" customHeight="false" outlineLevel="0" collapsed="false">
      <c r="A199" s="22" t="s">
        <v>155</v>
      </c>
      <c r="B199" s="22" t="s">
        <v>3</v>
      </c>
      <c r="C199" s="22" t="s">
        <v>155</v>
      </c>
      <c r="D199" s="22" t="n">
        <v>18580</v>
      </c>
      <c r="E199" s="22" t="s">
        <v>129</v>
      </c>
      <c r="F199" s="22" t="s">
        <v>130</v>
      </c>
      <c r="G199" s="22" t="s">
        <v>131</v>
      </c>
      <c r="H199" s="22" t="s">
        <v>131</v>
      </c>
      <c r="I199" s="22" t="n">
        <v>1.34462319717696</v>
      </c>
      <c r="J199" s="22" t="n">
        <v>1.33595016365015</v>
      </c>
      <c r="K199" s="22" t="n">
        <v>1.34313482222342</v>
      </c>
      <c r="L199" s="22" t="n">
        <v>1.34257409476726</v>
      </c>
      <c r="M199" s="22" t="n">
        <v>1.32696371527938</v>
      </c>
      <c r="N199" s="22" t="n">
        <v>1.33615843606353</v>
      </c>
      <c r="O199" s="22" t="n">
        <v>1.33915736344775</v>
      </c>
      <c r="P199" s="22" t="n">
        <v>1.33177657559804</v>
      </c>
      <c r="Q199" s="22" t="n">
        <v>1.30297489238948</v>
      </c>
      <c r="R199" s="22" t="n">
        <v>1.30173624833507</v>
      </c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customFormat="false" ht="15" hidden="false" customHeight="false" outlineLevel="0" collapsed="false">
      <c r="A200" s="22" t="s">
        <v>155</v>
      </c>
      <c r="B200" s="22" t="s">
        <v>3</v>
      </c>
      <c r="C200" s="22" t="s">
        <v>155</v>
      </c>
      <c r="D200" s="22" t="n">
        <v>18580</v>
      </c>
      <c r="E200" s="22" t="s">
        <v>132</v>
      </c>
      <c r="F200" s="22" t="s">
        <v>6</v>
      </c>
      <c r="G200" s="22" t="s">
        <v>131</v>
      </c>
      <c r="H200" s="22" t="s">
        <v>131</v>
      </c>
      <c r="I200" s="22" t="n">
        <v>1.319</v>
      </c>
      <c r="J200" s="22" t="n">
        <v>1.341</v>
      </c>
      <c r="K200" s="22" t="n">
        <v>1.335</v>
      </c>
      <c r="L200" s="22" t="n">
        <v>1.323</v>
      </c>
      <c r="M200" s="22" t="n">
        <v>1.337</v>
      </c>
      <c r="N200" s="22" t="n">
        <v>1.317</v>
      </c>
      <c r="O200" s="22" t="n">
        <v>1.321</v>
      </c>
      <c r="P200" s="22" t="n">
        <v>1.303</v>
      </c>
      <c r="Q200" s="22" t="n">
        <v>1.31</v>
      </c>
      <c r="R200" s="22" t="n">
        <v>1.337</v>
      </c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customFormat="false" ht="15" hidden="false" customHeight="false" outlineLevel="0" collapsed="false">
      <c r="A201" s="22" t="s">
        <v>155</v>
      </c>
      <c r="B201" s="22" t="s">
        <v>3</v>
      </c>
      <c r="C201" s="22" t="s">
        <v>155</v>
      </c>
      <c r="D201" s="22" t="n">
        <v>18580</v>
      </c>
      <c r="E201" s="22" t="s">
        <v>132</v>
      </c>
      <c r="F201" s="22" t="s">
        <v>133</v>
      </c>
      <c r="G201" s="22" t="s">
        <v>131</v>
      </c>
      <c r="H201" s="22" t="s">
        <v>131</v>
      </c>
      <c r="I201" s="22" t="n">
        <v>36614</v>
      </c>
      <c r="J201" s="22" t="n">
        <v>36904</v>
      </c>
      <c r="K201" s="22" t="n">
        <v>37099</v>
      </c>
      <c r="L201" s="22" t="n">
        <v>37353</v>
      </c>
      <c r="M201" s="22" t="n">
        <v>37443</v>
      </c>
      <c r="N201" s="22" t="n">
        <v>37239</v>
      </c>
      <c r="O201" s="22" t="n">
        <v>37504</v>
      </c>
      <c r="P201" s="22" t="n">
        <v>37585</v>
      </c>
      <c r="Q201" s="22" t="n">
        <v>37604</v>
      </c>
      <c r="R201" s="22" t="n">
        <v>37725</v>
      </c>
      <c r="S201" s="22" t="n">
        <v>37848</v>
      </c>
      <c r="T201" s="22" t="n">
        <v>37848</v>
      </c>
      <c r="U201" s="22" t="n">
        <v>37848</v>
      </c>
      <c r="V201" s="22" t="n">
        <v>37898</v>
      </c>
      <c r="W201" s="22" t="n">
        <v>38026</v>
      </c>
      <c r="X201" s="22" t="n">
        <v>38032</v>
      </c>
      <c r="Y201" s="22" t="n">
        <v>38040</v>
      </c>
      <c r="Z201" s="22" t="n">
        <v>38097</v>
      </c>
      <c r="AA201" s="22" t="n">
        <v>38232</v>
      </c>
      <c r="AB201" s="22" t="n">
        <v>38242</v>
      </c>
      <c r="AC201" s="22" t="n">
        <v>38253</v>
      </c>
      <c r="AD201" s="22" t="n">
        <v>38309</v>
      </c>
      <c r="AE201" s="22" t="n">
        <v>38439</v>
      </c>
      <c r="AF201" s="22" t="n">
        <v>38445</v>
      </c>
    </row>
    <row r="202" customFormat="false" ht="15" hidden="false" customHeight="false" outlineLevel="0" collapsed="false">
      <c r="A202" s="22" t="s">
        <v>155</v>
      </c>
      <c r="B202" s="22" t="s">
        <v>3</v>
      </c>
      <c r="C202" s="22" t="s">
        <v>155</v>
      </c>
      <c r="D202" s="22" t="n">
        <v>18580</v>
      </c>
      <c r="E202" s="22" t="s">
        <v>132</v>
      </c>
      <c r="F202" s="22" t="s">
        <v>5</v>
      </c>
      <c r="G202" s="22" t="s">
        <v>131</v>
      </c>
      <c r="H202" s="22" t="s">
        <v>131</v>
      </c>
      <c r="I202" s="22" t="n">
        <v>1.331</v>
      </c>
      <c r="J202" s="22" t="n">
        <v>1.351</v>
      </c>
      <c r="K202" s="22" t="n">
        <v>1.348</v>
      </c>
      <c r="L202" s="22" t="n">
        <v>1.331</v>
      </c>
      <c r="M202" s="22" t="n">
        <v>1.347</v>
      </c>
      <c r="N202" s="22" t="n">
        <v>1.334</v>
      </c>
      <c r="O202" s="22" t="n">
        <v>1.34</v>
      </c>
      <c r="P202" s="22" t="n">
        <v>1.323</v>
      </c>
      <c r="Q202" s="22" t="n">
        <v>1.329</v>
      </c>
      <c r="R202" s="22" t="n">
        <v>1.359</v>
      </c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customFormat="false" ht="15" hidden="false" customHeight="false" outlineLevel="0" collapsed="false">
      <c r="A203" s="22" t="s">
        <v>155</v>
      </c>
      <c r="B203" s="22" t="s">
        <v>3</v>
      </c>
      <c r="C203" s="22" t="s">
        <v>155</v>
      </c>
      <c r="D203" s="22" t="n">
        <v>18580</v>
      </c>
      <c r="E203" s="22" t="s">
        <v>134</v>
      </c>
      <c r="F203" s="22" t="s">
        <v>135</v>
      </c>
      <c r="G203" s="22" t="s">
        <v>131</v>
      </c>
      <c r="H203" s="22" t="s">
        <v>131</v>
      </c>
      <c r="I203" s="22" t="n">
        <v>-0.0169</v>
      </c>
      <c r="J203" s="22" t="n">
        <v>-0.0129</v>
      </c>
      <c r="K203" s="22" t="n">
        <v>-0.0227</v>
      </c>
      <c r="L203" s="22" t="n">
        <v>-0.0119</v>
      </c>
      <c r="M203" s="22" t="n">
        <v>0.01</v>
      </c>
      <c r="N203" s="22" t="n">
        <v>-0.0147</v>
      </c>
      <c r="O203" s="22" t="n">
        <v>-0.0214</v>
      </c>
      <c r="P203" s="22" t="n">
        <v>-0.0277</v>
      </c>
      <c r="Q203" s="22" t="n">
        <v>-0.0355</v>
      </c>
      <c r="R203" s="22" t="n">
        <v>-0.0036</v>
      </c>
      <c r="S203" s="22" t="n">
        <v>0</v>
      </c>
      <c r="T203" s="22" t="n">
        <v>0.008</v>
      </c>
      <c r="U203" s="22" t="n">
        <v>0.02</v>
      </c>
      <c r="V203" s="22" t="n">
        <v>0.022</v>
      </c>
      <c r="W203" s="22" t="n">
        <v>0.022</v>
      </c>
      <c r="X203" s="22" t="n">
        <v>0.022</v>
      </c>
      <c r="Y203" s="22" t="n">
        <v>0.021</v>
      </c>
      <c r="Z203" s="22" t="n">
        <v>0.021</v>
      </c>
      <c r="AA203" s="22" t="n">
        <v>0.021</v>
      </c>
      <c r="AB203" s="22" t="n">
        <v>0.021</v>
      </c>
      <c r="AC203" s="22" t="n">
        <v>0.021</v>
      </c>
      <c r="AD203" s="22" t="n">
        <v>0.021</v>
      </c>
      <c r="AE203" s="22" t="n">
        <v>0.021</v>
      </c>
      <c r="AF203" s="22" t="n">
        <v>0.022</v>
      </c>
    </row>
    <row r="204" customFormat="false" ht="15" hidden="false" customHeight="false" outlineLevel="0" collapsed="false">
      <c r="A204" s="22" t="s">
        <v>155</v>
      </c>
      <c r="B204" s="22" t="s">
        <v>3</v>
      </c>
      <c r="C204" s="22" t="s">
        <v>155</v>
      </c>
      <c r="D204" s="22" t="n">
        <v>18580</v>
      </c>
      <c r="E204" s="22" t="s">
        <v>136</v>
      </c>
      <c r="F204" s="22" t="s">
        <v>137</v>
      </c>
      <c r="G204" s="22" t="s">
        <v>131</v>
      </c>
      <c r="H204" s="22" t="s">
        <v>131</v>
      </c>
      <c r="I204" s="22" t="n">
        <v>2</v>
      </c>
      <c r="J204" s="22" t="n">
        <v>2</v>
      </c>
      <c r="K204" s="22" t="n">
        <v>1</v>
      </c>
      <c r="L204" s="22" t="n">
        <v>1</v>
      </c>
      <c r="M204" s="22" t="n">
        <v>1</v>
      </c>
      <c r="N204" s="22" t="n">
        <v>1</v>
      </c>
      <c r="O204" s="22" t="n">
        <v>2</v>
      </c>
      <c r="P204" s="22" t="n">
        <v>1</v>
      </c>
      <c r="Q204" s="22" t="n">
        <v>1</v>
      </c>
      <c r="R204" s="22" t="n">
        <v>1</v>
      </c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customFormat="false" ht="15" hidden="false" customHeight="false" outlineLevel="0" collapsed="false">
      <c r="A205" s="22" t="s">
        <v>156</v>
      </c>
      <c r="B205" s="22" t="s">
        <v>3</v>
      </c>
      <c r="C205" s="22" t="s">
        <v>156</v>
      </c>
      <c r="D205" s="22" t="n">
        <v>18880</v>
      </c>
      <c r="E205" s="22" t="s">
        <v>129</v>
      </c>
      <c r="F205" s="22" t="s">
        <v>130</v>
      </c>
      <c r="G205" s="22" t="s">
        <v>131</v>
      </c>
      <c r="H205" s="22" t="s">
        <v>131</v>
      </c>
      <c r="I205" s="22" t="n">
        <v>1.53569570117598</v>
      </c>
      <c r="J205" s="22" t="n">
        <v>1.54674001908476</v>
      </c>
      <c r="K205" s="22" t="n">
        <v>1.56403903839588</v>
      </c>
      <c r="L205" s="22" t="n">
        <v>1.60484459910579</v>
      </c>
      <c r="M205" s="22" t="n">
        <v>1.61985610987218</v>
      </c>
      <c r="N205" s="22" t="n">
        <v>1.62793340709568</v>
      </c>
      <c r="O205" s="22" t="n">
        <v>1.6251724845769</v>
      </c>
      <c r="P205" s="22" t="n">
        <v>1.84315100502793</v>
      </c>
      <c r="Q205" s="22" t="n">
        <v>1.7945020480687</v>
      </c>
      <c r="R205" s="22" t="n">
        <v>1.78228476854639</v>
      </c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customFormat="false" ht="15" hidden="false" customHeight="false" outlineLevel="0" collapsed="false">
      <c r="A206" s="22" t="s">
        <v>156</v>
      </c>
      <c r="B206" s="22" t="s">
        <v>3</v>
      </c>
      <c r="C206" s="22" t="s">
        <v>156</v>
      </c>
      <c r="D206" s="22" t="n">
        <v>18880</v>
      </c>
      <c r="E206" s="22" t="s">
        <v>132</v>
      </c>
      <c r="F206" s="22" t="s">
        <v>6</v>
      </c>
      <c r="G206" s="22" t="s">
        <v>131</v>
      </c>
      <c r="H206" s="22" t="s">
        <v>131</v>
      </c>
      <c r="I206" s="22" t="n">
        <v>1.803</v>
      </c>
      <c r="J206" s="22" t="n">
        <v>1.863</v>
      </c>
      <c r="K206" s="22" t="n">
        <v>1.883</v>
      </c>
      <c r="L206" s="22" t="n">
        <v>1.799</v>
      </c>
      <c r="M206" s="22" t="n">
        <v>1.759</v>
      </c>
      <c r="N206" s="22" t="n">
        <v>1.725</v>
      </c>
      <c r="O206" s="22" t="n">
        <v>1.713</v>
      </c>
      <c r="P206" s="22" t="n">
        <v>1.662</v>
      </c>
      <c r="Q206" s="22" t="n">
        <v>1.698</v>
      </c>
      <c r="R206" s="22" t="n">
        <v>1.742</v>
      </c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customFormat="false" ht="15" hidden="false" customHeight="false" outlineLevel="0" collapsed="false">
      <c r="A207" s="22" t="s">
        <v>156</v>
      </c>
      <c r="B207" s="22" t="s">
        <v>3</v>
      </c>
      <c r="C207" s="22" t="s">
        <v>156</v>
      </c>
      <c r="D207" s="22" t="n">
        <v>18880</v>
      </c>
      <c r="E207" s="22" t="s">
        <v>132</v>
      </c>
      <c r="F207" s="22" t="s">
        <v>133</v>
      </c>
      <c r="G207" s="22" t="s">
        <v>131</v>
      </c>
      <c r="H207" s="22" t="s">
        <v>131</v>
      </c>
      <c r="I207" s="22" t="n">
        <v>24484</v>
      </c>
      <c r="J207" s="22" t="n">
        <v>24749</v>
      </c>
      <c r="K207" s="22" t="n">
        <v>25133</v>
      </c>
      <c r="L207" s="22" t="n">
        <v>25682</v>
      </c>
      <c r="M207" s="22" t="n">
        <v>26545</v>
      </c>
      <c r="N207" s="22" t="n">
        <v>26876</v>
      </c>
      <c r="O207" s="22" t="n">
        <v>27208</v>
      </c>
      <c r="P207" s="22" t="n">
        <v>27366</v>
      </c>
      <c r="Q207" s="22" t="n">
        <v>27690</v>
      </c>
      <c r="R207" s="22" t="n">
        <v>27941</v>
      </c>
      <c r="S207" s="22" t="n">
        <v>28094</v>
      </c>
      <c r="T207" s="22" t="n">
        <v>28193</v>
      </c>
      <c r="U207" s="22" t="n">
        <v>28227</v>
      </c>
      <c r="V207" s="22" t="n">
        <v>28315</v>
      </c>
      <c r="W207" s="22" t="n">
        <v>28558</v>
      </c>
      <c r="X207" s="22" t="n">
        <v>28657</v>
      </c>
      <c r="Y207" s="22" t="n">
        <v>28698</v>
      </c>
      <c r="Z207" s="22" t="n">
        <v>28797</v>
      </c>
      <c r="AA207" s="22" t="n">
        <v>29051</v>
      </c>
      <c r="AB207" s="22" t="n">
        <v>29161</v>
      </c>
      <c r="AC207" s="22" t="n">
        <v>29211</v>
      </c>
      <c r="AD207" s="22" t="n">
        <v>29315</v>
      </c>
      <c r="AE207" s="22" t="n">
        <v>29569</v>
      </c>
      <c r="AF207" s="22" t="n">
        <v>29675</v>
      </c>
    </row>
    <row r="208" customFormat="false" ht="15" hidden="false" customHeight="false" outlineLevel="0" collapsed="false">
      <c r="A208" s="22" t="s">
        <v>156</v>
      </c>
      <c r="B208" s="22" t="s">
        <v>3</v>
      </c>
      <c r="C208" s="22" t="s">
        <v>156</v>
      </c>
      <c r="D208" s="22" t="n">
        <v>18880</v>
      </c>
      <c r="E208" s="22" t="s">
        <v>132</v>
      </c>
      <c r="F208" s="22" t="s">
        <v>5</v>
      </c>
      <c r="G208" s="22" t="s">
        <v>131</v>
      </c>
      <c r="H208" s="22" t="s">
        <v>131</v>
      </c>
      <c r="I208" s="22" t="n">
        <v>1.834</v>
      </c>
      <c r="J208" s="22" t="n">
        <v>1.893</v>
      </c>
      <c r="K208" s="22" t="n">
        <v>1.92</v>
      </c>
      <c r="L208" s="22" t="n">
        <v>1.837</v>
      </c>
      <c r="M208" s="22" t="n">
        <v>1.814</v>
      </c>
      <c r="N208" s="22" t="n">
        <v>1.779</v>
      </c>
      <c r="O208" s="22" t="n">
        <v>1.759</v>
      </c>
      <c r="P208" s="22" t="n">
        <v>1.722</v>
      </c>
      <c r="Q208" s="22" t="n">
        <v>1.759</v>
      </c>
      <c r="R208" s="22" t="n">
        <v>1.789</v>
      </c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</row>
    <row r="209" customFormat="false" ht="15" hidden="false" customHeight="false" outlineLevel="0" collapsed="false">
      <c r="A209" s="22" t="s">
        <v>156</v>
      </c>
      <c r="B209" s="22" t="s">
        <v>3</v>
      </c>
      <c r="C209" s="22" t="s">
        <v>156</v>
      </c>
      <c r="D209" s="22" t="n">
        <v>18880</v>
      </c>
      <c r="E209" s="22" t="s">
        <v>134</v>
      </c>
      <c r="F209" s="22" t="s">
        <v>135</v>
      </c>
      <c r="G209" s="22" t="s">
        <v>131</v>
      </c>
      <c r="H209" s="22" t="s">
        <v>131</v>
      </c>
      <c r="I209" s="22" t="n">
        <v>-0.051</v>
      </c>
      <c r="J209" s="22" t="n">
        <v>-0.0305</v>
      </c>
      <c r="K209" s="22" t="n">
        <v>-0.0015</v>
      </c>
      <c r="L209" s="22" t="n">
        <v>-0.0062</v>
      </c>
      <c r="M209" s="22" t="n">
        <v>-0.0148</v>
      </c>
      <c r="N209" s="22" t="n">
        <v>-0.0506</v>
      </c>
      <c r="O209" s="22" t="n">
        <v>-0.0679</v>
      </c>
      <c r="P209" s="22" t="n">
        <v>-0.07</v>
      </c>
      <c r="Q209" s="22" t="n">
        <v>-0.0471</v>
      </c>
      <c r="R209" s="22" t="n">
        <v>-0.0153</v>
      </c>
      <c r="S209" s="22" t="n">
        <v>-0.006</v>
      </c>
      <c r="T209" s="22" t="n">
        <v>0.006</v>
      </c>
      <c r="U209" s="22" t="n">
        <v>0.019</v>
      </c>
      <c r="V209" s="22" t="n">
        <v>0.024</v>
      </c>
      <c r="W209" s="22" t="n">
        <v>0.028</v>
      </c>
      <c r="X209" s="22" t="n">
        <v>0.026</v>
      </c>
      <c r="Y209" s="22" t="n">
        <v>0.022</v>
      </c>
      <c r="Z209" s="22" t="n">
        <v>0.023</v>
      </c>
      <c r="AA209" s="22" t="n">
        <v>0.03</v>
      </c>
      <c r="AB209" s="22" t="n">
        <v>0.031</v>
      </c>
      <c r="AC209" s="22" t="n">
        <v>0.027</v>
      </c>
      <c r="AD209" s="22" t="n">
        <v>0.028</v>
      </c>
      <c r="AE209" s="22" t="n">
        <v>0.033</v>
      </c>
      <c r="AF209" s="22" t="n">
        <v>0.033</v>
      </c>
    </row>
    <row r="210" customFormat="false" ht="15" hidden="false" customHeight="false" outlineLevel="0" collapsed="false">
      <c r="A210" s="22" t="s">
        <v>156</v>
      </c>
      <c r="B210" s="22" t="s">
        <v>3</v>
      </c>
      <c r="C210" s="22" t="s">
        <v>156</v>
      </c>
      <c r="D210" s="22" t="n">
        <v>18880</v>
      </c>
      <c r="E210" s="22" t="s">
        <v>136</v>
      </c>
      <c r="F210" s="22" t="s">
        <v>137</v>
      </c>
      <c r="G210" s="22" t="s">
        <v>131</v>
      </c>
      <c r="H210" s="22" t="s">
        <v>131</v>
      </c>
      <c r="I210" s="22" t="n">
        <v>6</v>
      </c>
      <c r="J210" s="22" t="n">
        <v>5</v>
      </c>
      <c r="K210" s="22" t="n">
        <v>3</v>
      </c>
      <c r="L210" s="22" t="n">
        <v>2</v>
      </c>
      <c r="M210" s="22" t="n">
        <v>2</v>
      </c>
      <c r="N210" s="22" t="n">
        <v>2</v>
      </c>
      <c r="O210" s="22" t="n">
        <v>2</v>
      </c>
      <c r="P210" s="22" t="n">
        <v>2</v>
      </c>
      <c r="Q210" s="22" t="n">
        <v>2</v>
      </c>
      <c r="R210" s="22" t="n">
        <v>2</v>
      </c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customFormat="false" ht="15" hidden="false" customHeight="false" outlineLevel="0" collapsed="false">
      <c r="A211" s="22" t="s">
        <v>78</v>
      </c>
      <c r="B211" s="22" t="s">
        <v>3</v>
      </c>
      <c r="C211" s="22" t="s">
        <v>78</v>
      </c>
      <c r="D211" s="22" t="n">
        <v>19124</v>
      </c>
      <c r="E211" s="22" t="s">
        <v>129</v>
      </c>
      <c r="F211" s="22" t="s">
        <v>130</v>
      </c>
      <c r="G211" s="22" t="s">
        <v>131</v>
      </c>
      <c r="H211" s="22" t="s">
        <v>131</v>
      </c>
      <c r="I211" s="22" t="n">
        <v>1.83980049130456</v>
      </c>
      <c r="J211" s="22" t="n">
        <v>1.84540469083087</v>
      </c>
      <c r="K211" s="22" t="n">
        <v>1.8429029025557</v>
      </c>
      <c r="L211" s="22" t="n">
        <v>1.82992427612038</v>
      </c>
      <c r="M211" s="22" t="n">
        <v>1.82483834728041</v>
      </c>
      <c r="N211" s="22" t="n">
        <v>1.81666447413001</v>
      </c>
      <c r="O211" s="22" t="n">
        <v>1.81455677784652</v>
      </c>
      <c r="P211" s="22" t="n">
        <v>1.81076047451043</v>
      </c>
      <c r="Q211" s="22" t="n">
        <v>1.80091263434258</v>
      </c>
      <c r="R211" s="22" t="n">
        <v>1.79753873250139</v>
      </c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customFormat="false" ht="15" hidden="false" customHeight="false" outlineLevel="0" collapsed="false">
      <c r="A212" s="22" t="s">
        <v>78</v>
      </c>
      <c r="B212" s="22" t="s">
        <v>3</v>
      </c>
      <c r="C212" s="22" t="s">
        <v>78</v>
      </c>
      <c r="D212" s="22" t="n">
        <v>19124</v>
      </c>
      <c r="E212" s="22" t="s">
        <v>132</v>
      </c>
      <c r="F212" s="22" t="s">
        <v>6</v>
      </c>
      <c r="G212" s="22" t="s">
        <v>131</v>
      </c>
      <c r="H212" s="22" t="s">
        <v>131</v>
      </c>
      <c r="I212" s="22" t="n">
        <v>1.759</v>
      </c>
      <c r="J212" s="22" t="n">
        <v>1.756</v>
      </c>
      <c r="K212" s="22" t="n">
        <v>1.751</v>
      </c>
      <c r="L212" s="22" t="n">
        <v>1.721</v>
      </c>
      <c r="M212" s="22" t="n">
        <v>1.714</v>
      </c>
      <c r="N212" s="22" t="n">
        <v>1.725</v>
      </c>
      <c r="O212" s="22" t="n">
        <v>1.715</v>
      </c>
      <c r="P212" s="22" t="n">
        <v>1.686</v>
      </c>
      <c r="Q212" s="22" t="n">
        <v>1.688</v>
      </c>
      <c r="R212" s="22" t="n">
        <v>1.699</v>
      </c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customFormat="false" ht="15" hidden="false" customHeight="false" outlineLevel="0" collapsed="false">
      <c r="A213" s="22" t="s">
        <v>78</v>
      </c>
      <c r="B213" s="22" t="s">
        <v>3</v>
      </c>
      <c r="C213" s="22" t="s">
        <v>78</v>
      </c>
      <c r="D213" s="22" t="n">
        <v>19124</v>
      </c>
      <c r="E213" s="22" t="s">
        <v>132</v>
      </c>
      <c r="F213" s="22" t="s">
        <v>133</v>
      </c>
      <c r="G213" s="22" t="s">
        <v>131</v>
      </c>
      <c r="H213" s="22" t="s">
        <v>131</v>
      </c>
      <c r="I213" s="22" t="n">
        <v>692970</v>
      </c>
      <c r="J213" s="22" t="n">
        <v>702888</v>
      </c>
      <c r="K213" s="22" t="n">
        <v>710798</v>
      </c>
      <c r="L213" s="22" t="n">
        <v>719758</v>
      </c>
      <c r="M213" s="22" t="n">
        <v>726428</v>
      </c>
      <c r="N213" s="22" t="n">
        <v>733548</v>
      </c>
      <c r="O213" s="22" t="n">
        <v>738304</v>
      </c>
      <c r="P213" s="22" t="n">
        <v>742223</v>
      </c>
      <c r="Q213" s="22" t="n">
        <v>746683</v>
      </c>
      <c r="R213" s="22" t="n">
        <v>751845</v>
      </c>
      <c r="S213" s="22" t="n">
        <v>757536</v>
      </c>
      <c r="T213" s="22" t="n">
        <v>761996</v>
      </c>
      <c r="U213" s="22" t="n">
        <v>766006</v>
      </c>
      <c r="V213" s="22" t="n">
        <v>770753</v>
      </c>
      <c r="W213" s="22" t="n">
        <v>776385</v>
      </c>
      <c r="X213" s="22" t="n">
        <v>781388</v>
      </c>
      <c r="Y213" s="22" t="n">
        <v>783952</v>
      </c>
      <c r="Z213" s="22" t="n">
        <v>785121</v>
      </c>
      <c r="AA213" s="22" t="n">
        <v>785549</v>
      </c>
      <c r="AB213" s="22" t="n">
        <v>790080</v>
      </c>
      <c r="AC213" s="22" t="n">
        <v>792370</v>
      </c>
      <c r="AD213" s="22" t="n">
        <v>793560</v>
      </c>
      <c r="AE213" s="22" t="n">
        <v>794435</v>
      </c>
      <c r="AF213" s="22" t="n">
        <v>799730</v>
      </c>
    </row>
    <row r="214" customFormat="false" ht="15" hidden="false" customHeight="false" outlineLevel="0" collapsed="false">
      <c r="A214" s="22" t="s">
        <v>78</v>
      </c>
      <c r="B214" s="22" t="s">
        <v>3</v>
      </c>
      <c r="C214" s="22" t="s">
        <v>78</v>
      </c>
      <c r="D214" s="22" t="n">
        <v>19124</v>
      </c>
      <c r="E214" s="22" t="s">
        <v>132</v>
      </c>
      <c r="F214" s="22" t="s">
        <v>5</v>
      </c>
      <c r="G214" s="22" t="s">
        <v>131</v>
      </c>
      <c r="H214" s="22" t="s">
        <v>131</v>
      </c>
      <c r="I214" s="22" t="n">
        <v>1.774</v>
      </c>
      <c r="J214" s="22" t="n">
        <v>1.778</v>
      </c>
      <c r="K214" s="22" t="n">
        <v>1.776</v>
      </c>
      <c r="L214" s="22" t="n">
        <v>1.745</v>
      </c>
      <c r="M214" s="22" t="n">
        <v>1.738</v>
      </c>
      <c r="N214" s="22" t="n">
        <v>1.753</v>
      </c>
      <c r="O214" s="22" t="n">
        <v>1.75</v>
      </c>
      <c r="P214" s="22" t="n">
        <v>1.727</v>
      </c>
      <c r="Q214" s="22" t="n">
        <v>1.732</v>
      </c>
      <c r="R214" s="22" t="n">
        <v>1.749</v>
      </c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customFormat="false" ht="15" hidden="false" customHeight="false" outlineLevel="0" collapsed="false">
      <c r="A215" s="22" t="s">
        <v>78</v>
      </c>
      <c r="B215" s="22" t="s">
        <v>3</v>
      </c>
      <c r="C215" s="22" t="s">
        <v>78</v>
      </c>
      <c r="D215" s="22" t="n">
        <v>19124</v>
      </c>
      <c r="E215" s="22" t="s">
        <v>134</v>
      </c>
      <c r="F215" s="22" t="s">
        <v>135</v>
      </c>
      <c r="G215" s="22" t="s">
        <v>131</v>
      </c>
      <c r="H215" s="22" t="s">
        <v>131</v>
      </c>
      <c r="I215" s="22" t="n">
        <v>-0.0204</v>
      </c>
      <c r="J215" s="22" t="n">
        <v>-0.0273</v>
      </c>
      <c r="K215" s="22" t="n">
        <v>-0.0329</v>
      </c>
      <c r="L215" s="22" t="n">
        <v>-0.0332</v>
      </c>
      <c r="M215" s="22" t="n">
        <v>-0.0273</v>
      </c>
      <c r="N215" s="22" t="n">
        <v>-0.0229</v>
      </c>
      <c r="O215" s="22" t="n">
        <v>-0.0316</v>
      </c>
      <c r="P215" s="22" t="n">
        <v>-0.0322</v>
      </c>
      <c r="Q215" s="22" t="n">
        <v>-0.0284</v>
      </c>
      <c r="R215" s="22" t="n">
        <v>-0.0272</v>
      </c>
      <c r="S215" s="22" t="n">
        <v>-0.018</v>
      </c>
      <c r="T215" s="22" t="n">
        <v>-0.005</v>
      </c>
      <c r="U215" s="22" t="n">
        <v>0.013</v>
      </c>
      <c r="V215" s="22" t="n">
        <v>0.025</v>
      </c>
      <c r="W215" s="22" t="n">
        <v>0.028</v>
      </c>
      <c r="X215" s="22" t="n">
        <v>0.028</v>
      </c>
      <c r="Y215" s="22" t="n">
        <v>0.022</v>
      </c>
      <c r="Z215" s="22" t="n">
        <v>0.021</v>
      </c>
      <c r="AA215" s="22" t="n">
        <v>0.026</v>
      </c>
      <c r="AB215" s="22" t="n">
        <v>0.027</v>
      </c>
      <c r="AC215" s="22" t="n">
        <v>0.023</v>
      </c>
      <c r="AD215" s="22" t="n">
        <v>0.024</v>
      </c>
      <c r="AE215" s="22" t="n">
        <v>0.031</v>
      </c>
      <c r="AF215" s="22" t="n">
        <v>0.034</v>
      </c>
    </row>
    <row r="216" customFormat="false" ht="15" hidden="false" customHeight="false" outlineLevel="0" collapsed="false">
      <c r="A216" s="22" t="s">
        <v>78</v>
      </c>
      <c r="B216" s="22" t="s">
        <v>3</v>
      </c>
      <c r="C216" s="22" t="s">
        <v>78</v>
      </c>
      <c r="D216" s="22" t="n">
        <v>19124</v>
      </c>
      <c r="E216" s="22" t="s">
        <v>136</v>
      </c>
      <c r="F216" s="22" t="s">
        <v>137</v>
      </c>
      <c r="G216" s="22" t="s">
        <v>131</v>
      </c>
      <c r="H216" s="22" t="s">
        <v>131</v>
      </c>
      <c r="I216" s="22" t="n">
        <v>62</v>
      </c>
      <c r="J216" s="22" t="n">
        <v>68</v>
      </c>
      <c r="K216" s="22" t="n">
        <v>60</v>
      </c>
      <c r="L216" s="22" t="n">
        <v>63</v>
      </c>
      <c r="M216" s="22" t="n">
        <v>69</v>
      </c>
      <c r="N216" s="22" t="n">
        <v>68</v>
      </c>
      <c r="O216" s="22" t="n">
        <v>68</v>
      </c>
      <c r="P216" s="22" t="n">
        <v>74</v>
      </c>
      <c r="Q216" s="22" t="n">
        <v>74</v>
      </c>
      <c r="R216" s="22" t="n">
        <v>65</v>
      </c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customFormat="false" ht="15" hidden="false" customHeight="false" outlineLevel="0" collapsed="false">
      <c r="A217" s="22" t="s">
        <v>157</v>
      </c>
      <c r="B217" s="22" t="s">
        <v>3</v>
      </c>
      <c r="C217" s="22" t="s">
        <v>157</v>
      </c>
      <c r="D217" s="22" t="n">
        <v>19430</v>
      </c>
      <c r="E217" s="22" t="s">
        <v>129</v>
      </c>
      <c r="F217" s="22" t="s">
        <v>130</v>
      </c>
      <c r="G217" s="22" t="s">
        <v>131</v>
      </c>
      <c r="H217" s="22" t="s">
        <v>131</v>
      </c>
      <c r="I217" s="22" t="n">
        <v>1.33818983948607</v>
      </c>
      <c r="J217" s="22" t="n">
        <v>1.35115792051809</v>
      </c>
      <c r="K217" s="22" t="n">
        <v>1.35866780862</v>
      </c>
      <c r="L217" s="22" t="n">
        <v>1.36533887072285</v>
      </c>
      <c r="M217" s="22" t="n">
        <v>1.37737344254182</v>
      </c>
      <c r="N217" s="22" t="n">
        <v>1.39615219985753</v>
      </c>
      <c r="O217" s="22" t="n">
        <v>1.43614055481839</v>
      </c>
      <c r="P217" s="22" t="n">
        <v>1.44048659791053</v>
      </c>
      <c r="Q217" s="22" t="n">
        <v>1.4487640314519</v>
      </c>
      <c r="R217" s="22" t="n">
        <v>1.47945885579973</v>
      </c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</row>
    <row r="218" customFormat="false" ht="15" hidden="false" customHeight="false" outlineLevel="0" collapsed="false">
      <c r="A218" s="22" t="s">
        <v>157</v>
      </c>
      <c r="B218" s="22" t="s">
        <v>3</v>
      </c>
      <c r="C218" s="22" t="s">
        <v>157</v>
      </c>
      <c r="D218" s="22" t="n">
        <v>19430</v>
      </c>
      <c r="E218" s="22" t="s">
        <v>132</v>
      </c>
      <c r="F218" s="22" t="s">
        <v>6</v>
      </c>
      <c r="G218" s="22" t="s">
        <v>131</v>
      </c>
      <c r="H218" s="22" t="s">
        <v>131</v>
      </c>
      <c r="I218" s="22" t="n">
        <v>1.251</v>
      </c>
      <c r="J218" s="22" t="n">
        <v>1.274</v>
      </c>
      <c r="K218" s="22" t="n">
        <v>1.301</v>
      </c>
      <c r="L218" s="22" t="n">
        <v>1.299</v>
      </c>
      <c r="M218" s="22" t="n">
        <v>1.308</v>
      </c>
      <c r="N218" s="22" t="n">
        <v>1.35</v>
      </c>
      <c r="O218" s="22" t="n">
        <v>1.364</v>
      </c>
      <c r="P218" s="22" t="n">
        <v>1.361</v>
      </c>
      <c r="Q218" s="22" t="n">
        <v>1.37</v>
      </c>
      <c r="R218" s="22" t="n">
        <v>1.382</v>
      </c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</row>
    <row r="219" customFormat="false" ht="15" hidden="false" customHeight="false" outlineLevel="0" collapsed="false">
      <c r="A219" s="22" t="s">
        <v>157</v>
      </c>
      <c r="B219" s="22" t="s">
        <v>3</v>
      </c>
      <c r="C219" s="22" t="s">
        <v>157</v>
      </c>
      <c r="D219" s="22" t="n">
        <v>19430</v>
      </c>
      <c r="E219" s="22" t="s">
        <v>132</v>
      </c>
      <c r="F219" s="22" t="s">
        <v>133</v>
      </c>
      <c r="G219" s="22" t="s">
        <v>131</v>
      </c>
      <c r="H219" s="22" t="s">
        <v>131</v>
      </c>
      <c r="I219" s="22" t="n">
        <v>57140</v>
      </c>
      <c r="J219" s="22" t="n">
        <v>57419</v>
      </c>
      <c r="K219" s="22" t="n">
        <v>57621</v>
      </c>
      <c r="L219" s="22" t="n">
        <v>57664</v>
      </c>
      <c r="M219" s="22" t="n">
        <v>57664</v>
      </c>
      <c r="N219" s="22" t="n">
        <v>57811</v>
      </c>
      <c r="O219" s="22" t="n">
        <v>57934</v>
      </c>
      <c r="P219" s="22" t="n">
        <v>58129</v>
      </c>
      <c r="Q219" s="22" t="n">
        <v>58356</v>
      </c>
      <c r="R219" s="22" t="n">
        <v>58485</v>
      </c>
      <c r="S219" s="22" t="n">
        <v>58616</v>
      </c>
      <c r="T219" s="22" t="n">
        <v>58870</v>
      </c>
      <c r="U219" s="22" t="n">
        <v>59119</v>
      </c>
      <c r="V219" s="22" t="n">
        <v>59244</v>
      </c>
      <c r="W219" s="22" t="n">
        <v>59337</v>
      </c>
      <c r="X219" s="22" t="n">
        <v>59515</v>
      </c>
      <c r="Y219" s="22" t="n">
        <v>59650</v>
      </c>
      <c r="Z219" s="22" t="n">
        <v>59633</v>
      </c>
      <c r="AA219" s="22" t="n">
        <v>59727</v>
      </c>
      <c r="AB219" s="22" t="n">
        <v>59905</v>
      </c>
      <c r="AC219" s="22" t="n">
        <v>60044</v>
      </c>
      <c r="AD219" s="22" t="n">
        <v>60028</v>
      </c>
      <c r="AE219" s="22" t="n">
        <v>60120</v>
      </c>
      <c r="AF219" s="22" t="n">
        <v>60292</v>
      </c>
    </row>
    <row r="220" customFormat="false" ht="15" hidden="false" customHeight="false" outlineLevel="0" collapsed="false">
      <c r="A220" s="22" t="s">
        <v>157</v>
      </c>
      <c r="B220" s="22" t="s">
        <v>3</v>
      </c>
      <c r="C220" s="22" t="s">
        <v>157</v>
      </c>
      <c r="D220" s="22" t="n">
        <v>19430</v>
      </c>
      <c r="E220" s="22" t="s">
        <v>132</v>
      </c>
      <c r="F220" s="22" t="s">
        <v>5</v>
      </c>
      <c r="G220" s="22" t="s">
        <v>131</v>
      </c>
      <c r="H220" s="22" t="s">
        <v>131</v>
      </c>
      <c r="I220" s="22" t="n">
        <v>1.257</v>
      </c>
      <c r="J220" s="22" t="n">
        <v>1.279</v>
      </c>
      <c r="K220" s="22" t="n">
        <v>1.307</v>
      </c>
      <c r="L220" s="22" t="n">
        <v>1.307</v>
      </c>
      <c r="M220" s="22" t="n">
        <v>1.317</v>
      </c>
      <c r="N220" s="22" t="n">
        <v>1.358</v>
      </c>
      <c r="O220" s="22" t="n">
        <v>1.379</v>
      </c>
      <c r="P220" s="22" t="n">
        <v>1.373</v>
      </c>
      <c r="Q220" s="22" t="n">
        <v>1.379</v>
      </c>
      <c r="R220" s="22" t="n">
        <v>1.39</v>
      </c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</row>
    <row r="221" customFormat="false" ht="15" hidden="false" customHeight="false" outlineLevel="0" collapsed="false">
      <c r="A221" s="22" t="s">
        <v>157</v>
      </c>
      <c r="B221" s="22" t="s">
        <v>3</v>
      </c>
      <c r="C221" s="22" t="s">
        <v>157</v>
      </c>
      <c r="D221" s="22" t="n">
        <v>19430</v>
      </c>
      <c r="E221" s="22" t="s">
        <v>134</v>
      </c>
      <c r="F221" s="22" t="s">
        <v>135</v>
      </c>
      <c r="G221" s="22" t="s">
        <v>131</v>
      </c>
      <c r="H221" s="22" t="s">
        <v>131</v>
      </c>
      <c r="I221" s="22" t="n">
        <v>0.048</v>
      </c>
      <c r="J221" s="22" t="n">
        <v>0.0534</v>
      </c>
      <c r="K221" s="22" t="n">
        <v>0.0483</v>
      </c>
      <c r="L221" s="22" t="n">
        <v>0.0384</v>
      </c>
      <c r="M221" s="22" t="n">
        <v>0.0341</v>
      </c>
      <c r="N221" s="22" t="n">
        <v>0.0368</v>
      </c>
      <c r="O221" s="22" t="n">
        <v>0.0317</v>
      </c>
      <c r="P221" s="22" t="n">
        <v>0.0253</v>
      </c>
      <c r="Q221" s="22" t="n">
        <v>0.0259</v>
      </c>
      <c r="R221" s="22" t="n">
        <v>0.0168</v>
      </c>
      <c r="S221" s="22" t="n">
        <v>0.018</v>
      </c>
      <c r="T221" s="22" t="n">
        <v>0.021</v>
      </c>
      <c r="U221" s="22" t="n">
        <v>0.024</v>
      </c>
      <c r="V221" s="22" t="n">
        <v>0.028</v>
      </c>
      <c r="W221" s="22" t="n">
        <v>0.033</v>
      </c>
      <c r="X221" s="22" t="n">
        <v>0.036</v>
      </c>
      <c r="Y221" s="22" t="n">
        <v>0.035</v>
      </c>
      <c r="Z221" s="22" t="n">
        <v>0.033</v>
      </c>
      <c r="AA221" s="22" t="n">
        <v>0.031</v>
      </c>
      <c r="AB221" s="22" t="n">
        <v>0.031</v>
      </c>
      <c r="AC221" s="22" t="n">
        <v>0.03</v>
      </c>
      <c r="AD221" s="22" t="n">
        <v>0.032</v>
      </c>
      <c r="AE221" s="22" t="n">
        <v>0.033</v>
      </c>
      <c r="AF221" s="22" t="n">
        <v>0.035</v>
      </c>
    </row>
    <row r="222" customFormat="false" ht="15" hidden="false" customHeight="false" outlineLevel="0" collapsed="false">
      <c r="A222" s="22" t="s">
        <v>157</v>
      </c>
      <c r="B222" s="22" t="s">
        <v>3</v>
      </c>
      <c r="C222" s="22" t="s">
        <v>157</v>
      </c>
      <c r="D222" s="22" t="n">
        <v>19430</v>
      </c>
      <c r="E222" s="22" t="s">
        <v>136</v>
      </c>
      <c r="F222" s="22" t="s">
        <v>137</v>
      </c>
      <c r="G222" s="22" t="s">
        <v>131</v>
      </c>
      <c r="H222" s="22" t="s">
        <v>131</v>
      </c>
      <c r="I222" s="22" t="n">
        <v>2</v>
      </c>
      <c r="J222" s="22" t="n">
        <v>1</v>
      </c>
      <c r="K222" s="22" t="n">
        <v>1</v>
      </c>
      <c r="L222" s="22" t="n">
        <v>2</v>
      </c>
      <c r="M222" s="22" t="n">
        <v>1</v>
      </c>
      <c r="N222" s="22" t="n">
        <v>1</v>
      </c>
      <c r="O222" s="22" t="n">
        <v>4</v>
      </c>
      <c r="P222" s="22" t="n">
        <v>4</v>
      </c>
      <c r="Q222" s="22" t="n">
        <v>4</v>
      </c>
      <c r="R222" s="22" t="n">
        <v>4</v>
      </c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</row>
    <row r="223" customFormat="false" ht="15" hidden="false" customHeight="false" outlineLevel="0" collapsed="false">
      <c r="A223" s="22" t="s">
        <v>158</v>
      </c>
      <c r="B223" s="22" t="s">
        <v>3</v>
      </c>
      <c r="C223" s="22" t="s">
        <v>158</v>
      </c>
      <c r="D223" s="22" t="n">
        <v>19660</v>
      </c>
      <c r="E223" s="22" t="s">
        <v>129</v>
      </c>
      <c r="F223" s="22" t="s">
        <v>130</v>
      </c>
      <c r="G223" s="22" t="s">
        <v>131</v>
      </c>
      <c r="H223" s="22" t="s">
        <v>131</v>
      </c>
      <c r="I223" s="22" t="n">
        <v>1.64380148635553</v>
      </c>
      <c r="J223" s="22" t="n">
        <v>1.63147759864753</v>
      </c>
      <c r="K223" s="22" t="n">
        <v>1.61750672123053</v>
      </c>
      <c r="L223" s="22" t="n">
        <v>1.60894832905495</v>
      </c>
      <c r="M223" s="22" t="n">
        <v>1.61041356068607</v>
      </c>
      <c r="N223" s="22" t="n">
        <v>1.60188264814492</v>
      </c>
      <c r="O223" s="22" t="n">
        <v>1.5828602709479</v>
      </c>
      <c r="P223" s="22" t="n">
        <v>1.57210372806833</v>
      </c>
      <c r="Q223" s="22" t="n">
        <v>1.55126159323025</v>
      </c>
      <c r="R223" s="22" t="n">
        <v>1.54243666721384</v>
      </c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customFormat="false" ht="15" hidden="false" customHeight="false" outlineLevel="0" collapsed="false">
      <c r="A224" s="22" t="s">
        <v>158</v>
      </c>
      <c r="B224" s="22" t="s">
        <v>3</v>
      </c>
      <c r="C224" s="22" t="s">
        <v>158</v>
      </c>
      <c r="D224" s="22" t="n">
        <v>19660</v>
      </c>
      <c r="E224" s="22" t="s">
        <v>132</v>
      </c>
      <c r="F224" s="22" t="s">
        <v>6</v>
      </c>
      <c r="G224" s="22" t="s">
        <v>131</v>
      </c>
      <c r="H224" s="22" t="s">
        <v>131</v>
      </c>
      <c r="I224" s="22" t="n">
        <v>1.555</v>
      </c>
      <c r="J224" s="22" t="n">
        <v>1.555</v>
      </c>
      <c r="K224" s="22" t="n">
        <v>1.547</v>
      </c>
      <c r="L224" s="22" t="n">
        <v>1.545</v>
      </c>
      <c r="M224" s="22" t="n">
        <v>1.538</v>
      </c>
      <c r="N224" s="22" t="n">
        <v>1.543</v>
      </c>
      <c r="O224" s="22" t="n">
        <v>1.534</v>
      </c>
      <c r="P224" s="22" t="n">
        <v>1.503</v>
      </c>
      <c r="Q224" s="22" t="n">
        <v>1.488</v>
      </c>
      <c r="R224" s="22" t="n">
        <v>1.499</v>
      </c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customFormat="false" ht="15" hidden="false" customHeight="false" outlineLevel="0" collapsed="false">
      <c r="A225" s="22" t="s">
        <v>158</v>
      </c>
      <c r="B225" s="22" t="s">
        <v>3</v>
      </c>
      <c r="C225" s="22" t="s">
        <v>158</v>
      </c>
      <c r="D225" s="22" t="n">
        <v>19660</v>
      </c>
      <c r="E225" s="22" t="s">
        <v>132</v>
      </c>
      <c r="F225" s="22" t="s">
        <v>133</v>
      </c>
      <c r="G225" s="22" t="s">
        <v>131</v>
      </c>
      <c r="H225" s="22" t="s">
        <v>131</v>
      </c>
      <c r="I225" s="22" t="n">
        <v>39560</v>
      </c>
      <c r="J225" s="22" t="n">
        <v>39935</v>
      </c>
      <c r="K225" s="22" t="n">
        <v>40128</v>
      </c>
      <c r="L225" s="22" t="n">
        <v>40846</v>
      </c>
      <c r="M225" s="22" t="n">
        <v>41691</v>
      </c>
      <c r="N225" s="22" t="n">
        <v>42185</v>
      </c>
      <c r="O225" s="22" t="n">
        <v>42457</v>
      </c>
      <c r="P225" s="22" t="n">
        <v>42583</v>
      </c>
      <c r="Q225" s="22" t="n">
        <v>42838</v>
      </c>
      <c r="R225" s="22" t="n">
        <v>43100</v>
      </c>
      <c r="S225" s="22" t="n">
        <v>43649</v>
      </c>
      <c r="T225" s="22" t="n">
        <v>44107</v>
      </c>
      <c r="U225" s="22" t="n">
        <v>44107</v>
      </c>
      <c r="V225" s="22" t="n">
        <v>44107</v>
      </c>
      <c r="W225" s="22" t="n">
        <v>44464</v>
      </c>
      <c r="X225" s="22" t="n">
        <v>44900</v>
      </c>
      <c r="Y225" s="22" t="n">
        <v>44900</v>
      </c>
      <c r="Z225" s="22" t="n">
        <v>44951</v>
      </c>
      <c r="AA225" s="22" t="n">
        <v>45391</v>
      </c>
      <c r="AB225" s="22" t="n">
        <v>45843</v>
      </c>
      <c r="AC225" s="22" t="n">
        <v>45895</v>
      </c>
      <c r="AD225" s="22" t="n">
        <v>45962</v>
      </c>
      <c r="AE225" s="22" t="n">
        <v>46400</v>
      </c>
      <c r="AF225" s="22" t="n">
        <v>46868</v>
      </c>
    </row>
    <row r="226" customFormat="false" ht="15" hidden="false" customHeight="false" outlineLevel="0" collapsed="false">
      <c r="A226" s="22" t="s">
        <v>158</v>
      </c>
      <c r="B226" s="22" t="s">
        <v>3</v>
      </c>
      <c r="C226" s="22" t="s">
        <v>158</v>
      </c>
      <c r="D226" s="22" t="n">
        <v>19660</v>
      </c>
      <c r="E226" s="22" t="s">
        <v>132</v>
      </c>
      <c r="F226" s="22" t="s">
        <v>5</v>
      </c>
      <c r="G226" s="22" t="s">
        <v>131</v>
      </c>
      <c r="H226" s="22" t="s">
        <v>131</v>
      </c>
      <c r="I226" s="22" t="n">
        <v>1.584</v>
      </c>
      <c r="J226" s="22" t="n">
        <v>1.588</v>
      </c>
      <c r="K226" s="22" t="n">
        <v>1.584</v>
      </c>
      <c r="L226" s="22" t="n">
        <v>1.577</v>
      </c>
      <c r="M226" s="22" t="n">
        <v>1.566</v>
      </c>
      <c r="N226" s="22" t="n">
        <v>1.583</v>
      </c>
      <c r="O226" s="22" t="n">
        <v>1.574</v>
      </c>
      <c r="P226" s="22" t="n">
        <v>1.55</v>
      </c>
      <c r="Q226" s="22" t="n">
        <v>1.545</v>
      </c>
      <c r="R226" s="22" t="n">
        <v>1.563</v>
      </c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customFormat="false" ht="15" hidden="false" customHeight="false" outlineLevel="0" collapsed="false">
      <c r="A227" s="22" t="s">
        <v>158</v>
      </c>
      <c r="B227" s="22" t="s">
        <v>3</v>
      </c>
      <c r="C227" s="22" t="s">
        <v>158</v>
      </c>
      <c r="D227" s="22" t="n">
        <v>19660</v>
      </c>
      <c r="E227" s="22" t="s">
        <v>134</v>
      </c>
      <c r="F227" s="22" t="s">
        <v>135</v>
      </c>
      <c r="G227" s="22" t="s">
        <v>131</v>
      </c>
      <c r="H227" s="22" t="s">
        <v>131</v>
      </c>
      <c r="I227" s="22" t="n">
        <v>-0.0587</v>
      </c>
      <c r="J227" s="22" t="n">
        <v>-0.0573</v>
      </c>
      <c r="K227" s="22" t="n">
        <v>-0.0559</v>
      </c>
      <c r="L227" s="22" t="n">
        <v>-0.0278</v>
      </c>
      <c r="M227" s="22" t="n">
        <v>-0.0152</v>
      </c>
      <c r="N227" s="22" t="n">
        <v>-0.0152</v>
      </c>
      <c r="O227" s="22" t="n">
        <v>-0.0209</v>
      </c>
      <c r="P227" s="22" t="n">
        <v>-0.041</v>
      </c>
      <c r="Q227" s="22" t="n">
        <v>-0.0448</v>
      </c>
      <c r="R227" s="22" t="n">
        <v>-0.0418</v>
      </c>
      <c r="S227" s="22" t="n">
        <v>-0.034</v>
      </c>
      <c r="T227" s="22" t="n">
        <v>-0.022</v>
      </c>
      <c r="U227" s="22" t="n">
        <v>-0.01</v>
      </c>
      <c r="V227" s="22" t="n">
        <v>0.014</v>
      </c>
      <c r="W227" s="22" t="n">
        <v>0.034</v>
      </c>
      <c r="X227" s="22" t="n">
        <v>0.032</v>
      </c>
      <c r="Y227" s="22" t="n">
        <v>0.034</v>
      </c>
      <c r="Z227" s="22" t="n">
        <v>0.031</v>
      </c>
      <c r="AA227" s="22" t="n">
        <v>0.039</v>
      </c>
      <c r="AB227" s="22" t="n">
        <v>0.04</v>
      </c>
      <c r="AC227" s="22" t="n">
        <v>0.043</v>
      </c>
      <c r="AD227" s="22" t="n">
        <v>0.038</v>
      </c>
      <c r="AE227" s="22" t="n">
        <v>0.043</v>
      </c>
      <c r="AF227" s="22" t="n">
        <v>0.045</v>
      </c>
    </row>
    <row r="228" customFormat="false" ht="15" hidden="false" customHeight="false" outlineLevel="0" collapsed="false">
      <c r="A228" s="22" t="s">
        <v>158</v>
      </c>
      <c r="B228" s="22" t="s">
        <v>3</v>
      </c>
      <c r="C228" s="22" t="s">
        <v>158</v>
      </c>
      <c r="D228" s="22" t="n">
        <v>19660</v>
      </c>
      <c r="E228" s="22" t="s">
        <v>136</v>
      </c>
      <c r="F228" s="22" t="s">
        <v>137</v>
      </c>
      <c r="G228" s="22" t="s">
        <v>131</v>
      </c>
      <c r="H228" s="22" t="s">
        <v>131</v>
      </c>
      <c r="I228" s="22" t="n">
        <v>5</v>
      </c>
      <c r="J228" s="22" t="n">
        <v>4</v>
      </c>
      <c r="K228" s="22" t="n">
        <v>7</v>
      </c>
      <c r="L228" s="22" t="n">
        <v>5</v>
      </c>
      <c r="M228" s="22" t="n">
        <v>5</v>
      </c>
      <c r="N228" s="22" t="n">
        <v>5</v>
      </c>
      <c r="O228" s="22" t="n">
        <v>4</v>
      </c>
      <c r="P228" s="22" t="n">
        <v>4</v>
      </c>
      <c r="Q228" s="22" t="n">
        <v>3</v>
      </c>
      <c r="R228" s="22" t="n">
        <v>2</v>
      </c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</row>
    <row r="229" customFormat="false" ht="15" hidden="false" customHeight="false" outlineLevel="0" collapsed="false">
      <c r="A229" s="22" t="s">
        <v>85</v>
      </c>
      <c r="B229" s="22" t="s">
        <v>3</v>
      </c>
      <c r="C229" s="22" t="s">
        <v>85</v>
      </c>
      <c r="D229" s="22" t="n">
        <v>19740</v>
      </c>
      <c r="E229" s="22" t="s">
        <v>129</v>
      </c>
      <c r="F229" s="22" t="s">
        <v>130</v>
      </c>
      <c r="G229" s="22" t="s">
        <v>131</v>
      </c>
      <c r="H229" s="22" t="s">
        <v>131</v>
      </c>
      <c r="I229" s="22" t="n">
        <v>2.14035061624567</v>
      </c>
      <c r="J229" s="22" t="n">
        <v>2.15116037912572</v>
      </c>
      <c r="K229" s="22" t="n">
        <v>2.1712764523613</v>
      </c>
      <c r="L229" s="22" t="n">
        <v>2.17663409651495</v>
      </c>
      <c r="M229" s="22" t="n">
        <v>2.17434438938635</v>
      </c>
      <c r="N229" s="22" t="n">
        <v>2.16852389677027</v>
      </c>
      <c r="O229" s="22" t="n">
        <v>2.16363036287222</v>
      </c>
      <c r="P229" s="22" t="n">
        <v>2.13981325490279</v>
      </c>
      <c r="Q229" s="22" t="n">
        <v>2.11297447350037</v>
      </c>
      <c r="R229" s="22" t="n">
        <v>2.09702634266398</v>
      </c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customFormat="false" ht="15" hidden="false" customHeight="false" outlineLevel="0" collapsed="false">
      <c r="A230" s="22" t="s">
        <v>85</v>
      </c>
      <c r="B230" s="22" t="s">
        <v>3</v>
      </c>
      <c r="C230" s="22" t="s">
        <v>85</v>
      </c>
      <c r="D230" s="22" t="n">
        <v>19740</v>
      </c>
      <c r="E230" s="22" t="s">
        <v>132</v>
      </c>
      <c r="F230" s="22" t="s">
        <v>6</v>
      </c>
      <c r="G230" s="22" t="s">
        <v>131</v>
      </c>
      <c r="H230" s="22" t="s">
        <v>131</v>
      </c>
      <c r="I230" s="22" t="n">
        <v>2.147</v>
      </c>
      <c r="J230" s="22" t="n">
        <v>2.18</v>
      </c>
      <c r="K230" s="22" t="n">
        <v>2.189</v>
      </c>
      <c r="L230" s="22" t="n">
        <v>2.091</v>
      </c>
      <c r="M230" s="22" t="n">
        <v>2.06</v>
      </c>
      <c r="N230" s="22" t="n">
        <v>2.082</v>
      </c>
      <c r="O230" s="22" t="n">
        <v>2.043</v>
      </c>
      <c r="P230" s="22" t="n">
        <v>1.961</v>
      </c>
      <c r="Q230" s="22" t="n">
        <v>1.95</v>
      </c>
      <c r="R230" s="22" t="n">
        <v>1.979</v>
      </c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customFormat="false" ht="15" hidden="false" customHeight="false" outlineLevel="0" collapsed="false">
      <c r="A231" s="22" t="s">
        <v>85</v>
      </c>
      <c r="B231" s="22" t="s">
        <v>3</v>
      </c>
      <c r="C231" s="22" t="s">
        <v>85</v>
      </c>
      <c r="D231" s="22" t="n">
        <v>19740</v>
      </c>
      <c r="E231" s="22" t="s">
        <v>132</v>
      </c>
      <c r="F231" s="22" t="s">
        <v>133</v>
      </c>
      <c r="G231" s="22" t="s">
        <v>131</v>
      </c>
      <c r="H231" s="22" t="s">
        <v>131</v>
      </c>
      <c r="I231" s="22" t="n">
        <v>334624</v>
      </c>
      <c r="J231" s="22" t="n">
        <v>338922</v>
      </c>
      <c r="K231" s="22" t="n">
        <v>345007</v>
      </c>
      <c r="L231" s="22" t="n">
        <v>349669</v>
      </c>
      <c r="M231" s="22" t="n">
        <v>352196</v>
      </c>
      <c r="N231" s="22" t="n">
        <v>355122</v>
      </c>
      <c r="O231" s="22" t="n">
        <v>358085</v>
      </c>
      <c r="P231" s="22" t="n">
        <v>360242</v>
      </c>
      <c r="Q231" s="22" t="n">
        <v>362303</v>
      </c>
      <c r="R231" s="22" t="n">
        <v>364323</v>
      </c>
      <c r="S231" s="22" t="n">
        <v>365745</v>
      </c>
      <c r="T231" s="22" t="n">
        <v>367941</v>
      </c>
      <c r="U231" s="22" t="n">
        <v>369938</v>
      </c>
      <c r="V231" s="22" t="n">
        <v>372197</v>
      </c>
      <c r="W231" s="22" t="n">
        <v>375143</v>
      </c>
      <c r="X231" s="22" t="n">
        <v>376865</v>
      </c>
      <c r="Y231" s="22" t="n">
        <v>378073</v>
      </c>
      <c r="Z231" s="22" t="n">
        <v>379112</v>
      </c>
      <c r="AA231" s="22" t="n">
        <v>379523</v>
      </c>
      <c r="AB231" s="22" t="n">
        <v>380706</v>
      </c>
      <c r="AC231" s="22" t="n">
        <v>382008</v>
      </c>
      <c r="AD231" s="22" t="n">
        <v>383059</v>
      </c>
      <c r="AE231" s="22" t="n">
        <v>383387</v>
      </c>
      <c r="AF231" s="22" t="n">
        <v>384420</v>
      </c>
    </row>
    <row r="232" customFormat="false" ht="15" hidden="false" customHeight="false" outlineLevel="0" collapsed="false">
      <c r="A232" s="22" t="s">
        <v>85</v>
      </c>
      <c r="B232" s="22" t="s">
        <v>3</v>
      </c>
      <c r="C232" s="22" t="s">
        <v>85</v>
      </c>
      <c r="D232" s="22" t="n">
        <v>19740</v>
      </c>
      <c r="E232" s="22" t="s">
        <v>132</v>
      </c>
      <c r="F232" s="22" t="s">
        <v>5</v>
      </c>
      <c r="G232" s="22" t="s">
        <v>131</v>
      </c>
      <c r="H232" s="22" t="s">
        <v>131</v>
      </c>
      <c r="I232" s="22" t="n">
        <v>2.171</v>
      </c>
      <c r="J232" s="22" t="n">
        <v>2.201</v>
      </c>
      <c r="K232" s="22" t="n">
        <v>2.209</v>
      </c>
      <c r="L232" s="22" t="n">
        <v>2.116</v>
      </c>
      <c r="M232" s="22" t="n">
        <v>2.093</v>
      </c>
      <c r="N232" s="22" t="n">
        <v>2.127</v>
      </c>
      <c r="O232" s="22" t="n">
        <v>2.106</v>
      </c>
      <c r="P232" s="22" t="n">
        <v>2.043</v>
      </c>
      <c r="Q232" s="22" t="n">
        <v>2.053</v>
      </c>
      <c r="R232" s="22" t="n">
        <v>2.087</v>
      </c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customFormat="false" ht="15" hidden="false" customHeight="false" outlineLevel="0" collapsed="false">
      <c r="A233" s="22" t="s">
        <v>85</v>
      </c>
      <c r="B233" s="22" t="s">
        <v>3</v>
      </c>
      <c r="C233" s="22" t="s">
        <v>85</v>
      </c>
      <c r="D233" s="22" t="n">
        <v>19740</v>
      </c>
      <c r="E233" s="22" t="s">
        <v>134</v>
      </c>
      <c r="F233" s="22" t="s">
        <v>135</v>
      </c>
      <c r="G233" s="22" t="s">
        <v>131</v>
      </c>
      <c r="H233" s="22" t="s">
        <v>131</v>
      </c>
      <c r="I233" s="22" t="n">
        <v>0.0053</v>
      </c>
      <c r="J233" s="22" t="n">
        <v>0</v>
      </c>
      <c r="K233" s="22" t="n">
        <v>-0.0064</v>
      </c>
      <c r="L233" s="22" t="n">
        <v>-0.0342</v>
      </c>
      <c r="M233" s="22" t="n">
        <v>-0.0433</v>
      </c>
      <c r="N233" s="22" t="n">
        <v>-0.0517</v>
      </c>
      <c r="O233" s="22" t="n">
        <v>-0.0768</v>
      </c>
      <c r="P233" s="22" t="n">
        <v>-0.0754</v>
      </c>
      <c r="Q233" s="22" t="n">
        <v>-0.0642</v>
      </c>
      <c r="R233" s="22" t="n">
        <v>-0.0541</v>
      </c>
      <c r="S233" s="22" t="n">
        <v>-0.048</v>
      </c>
      <c r="T233" s="22" t="n">
        <v>-0.036</v>
      </c>
      <c r="U233" s="22" t="n">
        <v>-0.018</v>
      </c>
      <c r="V233" s="22" t="n">
        <v>0.006</v>
      </c>
      <c r="W233" s="22" t="n">
        <v>0.024</v>
      </c>
      <c r="X233" s="22" t="n">
        <v>0.022</v>
      </c>
      <c r="Y233" s="22" t="n">
        <v>0.021</v>
      </c>
      <c r="Z233" s="22" t="n">
        <v>0.021</v>
      </c>
      <c r="AA233" s="22" t="n">
        <v>0.022</v>
      </c>
      <c r="AB233" s="22" t="n">
        <v>0.022</v>
      </c>
      <c r="AC233" s="22" t="n">
        <v>0.022</v>
      </c>
      <c r="AD233" s="22" t="n">
        <v>0.022</v>
      </c>
      <c r="AE233" s="22" t="n">
        <v>0.023</v>
      </c>
      <c r="AF233" s="22" t="n">
        <v>0.024</v>
      </c>
    </row>
    <row r="234" customFormat="false" ht="15" hidden="false" customHeight="false" outlineLevel="0" collapsed="false">
      <c r="A234" s="22" t="s">
        <v>85</v>
      </c>
      <c r="B234" s="22" t="s">
        <v>3</v>
      </c>
      <c r="C234" s="22" t="s">
        <v>85</v>
      </c>
      <c r="D234" s="22" t="n">
        <v>19740</v>
      </c>
      <c r="E234" s="22" t="s">
        <v>136</v>
      </c>
      <c r="F234" s="22" t="s">
        <v>137</v>
      </c>
      <c r="G234" s="22" t="s">
        <v>131</v>
      </c>
      <c r="H234" s="22" t="s">
        <v>131</v>
      </c>
      <c r="I234" s="22" t="n">
        <v>29</v>
      </c>
      <c r="J234" s="22" t="n">
        <v>22</v>
      </c>
      <c r="K234" s="22" t="n">
        <v>23</v>
      </c>
      <c r="L234" s="22" t="n">
        <v>28</v>
      </c>
      <c r="M234" s="22" t="n">
        <v>29</v>
      </c>
      <c r="N234" s="22" t="n">
        <v>37</v>
      </c>
      <c r="O234" s="22" t="n">
        <v>33</v>
      </c>
      <c r="P234" s="22" t="n">
        <v>31</v>
      </c>
      <c r="Q234" s="22" t="n">
        <v>31</v>
      </c>
      <c r="R234" s="22" t="n">
        <v>25</v>
      </c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customFormat="false" ht="15" hidden="false" customHeight="false" outlineLevel="0" collapsed="false">
      <c r="A235" s="22" t="s">
        <v>76</v>
      </c>
      <c r="B235" s="22" t="s">
        <v>3</v>
      </c>
      <c r="C235" s="22" t="s">
        <v>76</v>
      </c>
      <c r="D235" s="22" t="n">
        <v>19780</v>
      </c>
      <c r="E235" s="22" t="s">
        <v>129</v>
      </c>
      <c r="F235" s="22" t="s">
        <v>130</v>
      </c>
      <c r="G235" s="22" t="s">
        <v>131</v>
      </c>
      <c r="H235" s="22" t="s">
        <v>131</v>
      </c>
      <c r="I235" s="22" t="n">
        <v>1.26027142893595</v>
      </c>
      <c r="J235" s="22" t="n">
        <v>1.26150371231113</v>
      </c>
      <c r="K235" s="22" t="n">
        <v>1.26679728871462</v>
      </c>
      <c r="L235" s="22" t="n">
        <v>1.26372578005645</v>
      </c>
      <c r="M235" s="22" t="n">
        <v>1.25699320612712</v>
      </c>
      <c r="N235" s="22" t="n">
        <v>1.2451007741718</v>
      </c>
      <c r="O235" s="22" t="n">
        <v>1.28281920359734</v>
      </c>
      <c r="P235" s="22" t="n">
        <v>1.29040304164103</v>
      </c>
      <c r="Q235" s="22" t="n">
        <v>1.32509121786454</v>
      </c>
      <c r="R235" s="22" t="n">
        <v>1.32820557815482</v>
      </c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customFormat="false" ht="15" hidden="false" customHeight="false" outlineLevel="0" collapsed="false">
      <c r="A236" s="22" t="s">
        <v>76</v>
      </c>
      <c r="B236" s="22" t="s">
        <v>3</v>
      </c>
      <c r="C236" s="22" t="s">
        <v>76</v>
      </c>
      <c r="D236" s="22" t="n">
        <v>19780</v>
      </c>
      <c r="E236" s="22" t="s">
        <v>132</v>
      </c>
      <c r="F236" s="22" t="s">
        <v>6</v>
      </c>
      <c r="G236" s="22" t="s">
        <v>131</v>
      </c>
      <c r="H236" s="22" t="s">
        <v>131</v>
      </c>
      <c r="I236" s="22" t="n">
        <v>1.237</v>
      </c>
      <c r="J236" s="22" t="n">
        <v>1.254</v>
      </c>
      <c r="K236" s="22" t="n">
        <v>1.272</v>
      </c>
      <c r="L236" s="22" t="n">
        <v>1.263</v>
      </c>
      <c r="M236" s="22" t="n">
        <v>1.264</v>
      </c>
      <c r="N236" s="22" t="n">
        <v>1.29</v>
      </c>
      <c r="O236" s="22" t="n">
        <v>1.286</v>
      </c>
      <c r="P236" s="22" t="n">
        <v>1.253</v>
      </c>
      <c r="Q236" s="22" t="n">
        <v>1.272</v>
      </c>
      <c r="R236" s="22" t="n">
        <v>1.297</v>
      </c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customFormat="false" ht="15" hidden="false" customHeight="false" outlineLevel="0" collapsed="false">
      <c r="A237" s="22" t="s">
        <v>76</v>
      </c>
      <c r="B237" s="22" t="s">
        <v>3</v>
      </c>
      <c r="C237" s="22" t="s">
        <v>76</v>
      </c>
      <c r="D237" s="22" t="n">
        <v>19780</v>
      </c>
      <c r="E237" s="22" t="s">
        <v>132</v>
      </c>
      <c r="F237" s="22" t="s">
        <v>133</v>
      </c>
      <c r="G237" s="22" t="s">
        <v>131</v>
      </c>
      <c r="H237" s="22" t="s">
        <v>131</v>
      </c>
      <c r="I237" s="22" t="n">
        <v>57920</v>
      </c>
      <c r="J237" s="22" t="n">
        <v>58491</v>
      </c>
      <c r="K237" s="22" t="n">
        <v>59232</v>
      </c>
      <c r="L237" s="22" t="n">
        <v>59695</v>
      </c>
      <c r="M237" s="22" t="n">
        <v>59904</v>
      </c>
      <c r="N237" s="22" t="n">
        <v>60080</v>
      </c>
      <c r="O237" s="22" t="n">
        <v>60353</v>
      </c>
      <c r="P237" s="22" t="n">
        <v>60457</v>
      </c>
      <c r="Q237" s="22" t="n">
        <v>60490</v>
      </c>
      <c r="R237" s="22" t="n">
        <v>60685</v>
      </c>
      <c r="S237" s="22" t="n">
        <v>61118</v>
      </c>
      <c r="T237" s="22" t="n">
        <v>61437</v>
      </c>
      <c r="U237" s="22" t="n">
        <v>61938</v>
      </c>
      <c r="V237" s="22" t="n">
        <v>62231</v>
      </c>
      <c r="W237" s="22" t="n">
        <v>62673</v>
      </c>
      <c r="X237" s="22" t="n">
        <v>62927</v>
      </c>
      <c r="Y237" s="22" t="n">
        <v>62943</v>
      </c>
      <c r="Z237" s="22" t="n">
        <v>62943</v>
      </c>
      <c r="AA237" s="22" t="n">
        <v>63099</v>
      </c>
      <c r="AB237" s="22" t="n">
        <v>63325</v>
      </c>
      <c r="AC237" s="22" t="n">
        <v>63302</v>
      </c>
      <c r="AD237" s="22" t="n">
        <v>63262</v>
      </c>
      <c r="AE237" s="22" t="n">
        <v>63396</v>
      </c>
      <c r="AF237" s="22" t="n">
        <v>63614</v>
      </c>
    </row>
    <row r="238" customFormat="false" ht="15" hidden="false" customHeight="false" outlineLevel="0" collapsed="false">
      <c r="A238" s="22" t="s">
        <v>76</v>
      </c>
      <c r="B238" s="22" t="s">
        <v>3</v>
      </c>
      <c r="C238" s="22" t="s">
        <v>76</v>
      </c>
      <c r="D238" s="22" t="n">
        <v>19780</v>
      </c>
      <c r="E238" s="22" t="s">
        <v>132</v>
      </c>
      <c r="F238" s="22" t="s">
        <v>5</v>
      </c>
      <c r="G238" s="22" t="s">
        <v>131</v>
      </c>
      <c r="H238" s="22" t="s">
        <v>131</v>
      </c>
      <c r="I238" s="22" t="n">
        <v>1.248</v>
      </c>
      <c r="J238" s="22" t="n">
        <v>1.265</v>
      </c>
      <c r="K238" s="22" t="n">
        <v>1.284</v>
      </c>
      <c r="L238" s="22" t="n">
        <v>1.276</v>
      </c>
      <c r="M238" s="22" t="n">
        <v>1.276</v>
      </c>
      <c r="N238" s="22" t="n">
        <v>1.301</v>
      </c>
      <c r="O238" s="22" t="n">
        <v>1.301</v>
      </c>
      <c r="P238" s="22" t="n">
        <v>1.281</v>
      </c>
      <c r="Q238" s="22" t="n">
        <v>1.3</v>
      </c>
      <c r="R238" s="22" t="n">
        <v>1.324</v>
      </c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customFormat="false" ht="15" hidden="false" customHeight="false" outlineLevel="0" collapsed="false">
      <c r="A239" s="22" t="s">
        <v>76</v>
      </c>
      <c r="B239" s="22" t="s">
        <v>3</v>
      </c>
      <c r="C239" s="22" t="s">
        <v>76</v>
      </c>
      <c r="D239" s="22" t="n">
        <v>19780</v>
      </c>
      <c r="E239" s="22" t="s">
        <v>134</v>
      </c>
      <c r="F239" s="22" t="s">
        <v>135</v>
      </c>
      <c r="G239" s="22" t="s">
        <v>131</v>
      </c>
      <c r="H239" s="22" t="s">
        <v>131</v>
      </c>
      <c r="I239" s="22" t="n">
        <v>0.0278</v>
      </c>
      <c r="J239" s="22" t="n">
        <v>0.0261</v>
      </c>
      <c r="K239" s="22" t="n">
        <v>0.0213</v>
      </c>
      <c r="L239" s="22" t="n">
        <v>0.0138</v>
      </c>
      <c r="M239" s="22" t="n">
        <v>0.0077</v>
      </c>
      <c r="N239" s="22" t="n">
        <v>0.0071</v>
      </c>
      <c r="O239" s="22" t="n">
        <v>-0.0128</v>
      </c>
      <c r="P239" s="22" t="n">
        <v>-0.0305</v>
      </c>
      <c r="Q239" s="22" t="n">
        <v>-0.0146</v>
      </c>
      <c r="R239" s="22" t="n">
        <v>-0.0093</v>
      </c>
      <c r="S239" s="22" t="n">
        <v>-0.006</v>
      </c>
      <c r="T239" s="22" t="n">
        <v>0</v>
      </c>
      <c r="U239" s="22" t="n">
        <v>0.009</v>
      </c>
      <c r="V239" s="22" t="n">
        <v>0.021</v>
      </c>
      <c r="W239" s="22" t="n">
        <v>0.026</v>
      </c>
      <c r="X239" s="22" t="n">
        <v>0.024</v>
      </c>
      <c r="Y239" s="22" t="n">
        <v>0.023</v>
      </c>
      <c r="Z239" s="22" t="n">
        <v>0.024</v>
      </c>
      <c r="AA239" s="22" t="n">
        <v>0.025</v>
      </c>
      <c r="AB239" s="22" t="n">
        <v>0.026</v>
      </c>
      <c r="AC239" s="22" t="n">
        <v>0.025</v>
      </c>
      <c r="AD239" s="22" t="n">
        <v>0.025</v>
      </c>
      <c r="AE239" s="22" t="n">
        <v>0.026</v>
      </c>
      <c r="AF239" s="22" t="n">
        <v>0.027</v>
      </c>
    </row>
    <row r="240" customFormat="false" ht="15" hidden="false" customHeight="false" outlineLevel="0" collapsed="false">
      <c r="A240" s="22" t="s">
        <v>76</v>
      </c>
      <c r="B240" s="22" t="s">
        <v>3</v>
      </c>
      <c r="C240" s="22" t="s">
        <v>76</v>
      </c>
      <c r="D240" s="22" t="n">
        <v>19780</v>
      </c>
      <c r="E240" s="22" t="s">
        <v>136</v>
      </c>
      <c r="F240" s="22" t="s">
        <v>137</v>
      </c>
      <c r="G240" s="22" t="s">
        <v>131</v>
      </c>
      <c r="H240" s="22" t="s">
        <v>131</v>
      </c>
      <c r="I240" s="22" t="n">
        <v>12</v>
      </c>
      <c r="J240" s="22" t="n">
        <v>8</v>
      </c>
      <c r="K240" s="22" t="n">
        <v>7</v>
      </c>
      <c r="L240" s="22" t="n">
        <v>7</v>
      </c>
      <c r="M240" s="22" t="n">
        <v>8</v>
      </c>
      <c r="N240" s="22" t="n">
        <v>11</v>
      </c>
      <c r="O240" s="22" t="n">
        <v>12</v>
      </c>
      <c r="P240" s="22" t="n">
        <v>12</v>
      </c>
      <c r="Q240" s="22" t="n">
        <v>7</v>
      </c>
      <c r="R240" s="22" t="n">
        <v>5</v>
      </c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</row>
    <row r="241" customFormat="false" ht="15" hidden="false" customHeight="false" outlineLevel="0" collapsed="false">
      <c r="A241" s="22" t="s">
        <v>159</v>
      </c>
      <c r="B241" s="22" t="s">
        <v>3</v>
      </c>
      <c r="C241" s="22" t="s">
        <v>159</v>
      </c>
      <c r="D241" s="22" t="n">
        <v>19820</v>
      </c>
      <c r="E241" s="22" t="s">
        <v>129</v>
      </c>
      <c r="F241" s="22" t="s">
        <v>130</v>
      </c>
      <c r="G241" s="22" t="s">
        <v>131</v>
      </c>
      <c r="H241" s="22" t="s">
        <v>131</v>
      </c>
      <c r="I241" s="22" t="n">
        <v>1.31857770034017</v>
      </c>
      <c r="J241" s="22" t="n">
        <v>1.33133802733147</v>
      </c>
      <c r="K241" s="22" t="n">
        <v>1.36070752613558</v>
      </c>
      <c r="L241" s="22" t="n">
        <v>1.39876554373131</v>
      </c>
      <c r="M241" s="22" t="n">
        <v>1.41668586027508</v>
      </c>
      <c r="N241" s="22" t="n">
        <v>1.42564776041858</v>
      </c>
      <c r="O241" s="22" t="n">
        <v>1.44208860543644</v>
      </c>
      <c r="P241" s="22" t="n">
        <v>1.45856871443278</v>
      </c>
      <c r="Q241" s="22" t="n">
        <v>1.44433499343092</v>
      </c>
      <c r="R241" s="22" t="n">
        <v>1.45653661892328</v>
      </c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customFormat="false" ht="15" hidden="false" customHeight="false" outlineLevel="0" collapsed="false">
      <c r="A242" s="22" t="s">
        <v>159</v>
      </c>
      <c r="B242" s="22" t="s">
        <v>3</v>
      </c>
      <c r="C242" s="22" t="s">
        <v>159</v>
      </c>
      <c r="D242" s="22" t="n">
        <v>19820</v>
      </c>
      <c r="E242" s="22" t="s">
        <v>132</v>
      </c>
      <c r="F242" s="22" t="s">
        <v>6</v>
      </c>
      <c r="G242" s="22" t="s">
        <v>131</v>
      </c>
      <c r="H242" s="22" t="s">
        <v>131</v>
      </c>
      <c r="I242" s="22" t="n">
        <v>1.371</v>
      </c>
      <c r="J242" s="22" t="n">
        <v>1.397</v>
      </c>
      <c r="K242" s="22" t="n">
        <v>1.419</v>
      </c>
      <c r="L242" s="22" t="n">
        <v>1.422</v>
      </c>
      <c r="M242" s="22" t="n">
        <v>1.425</v>
      </c>
      <c r="N242" s="22" t="n">
        <v>1.45</v>
      </c>
      <c r="O242" s="22" t="n">
        <v>1.473</v>
      </c>
      <c r="P242" s="22" t="n">
        <v>1.462</v>
      </c>
      <c r="Q242" s="22" t="n">
        <v>1.469</v>
      </c>
      <c r="R242" s="22" t="n">
        <v>1.495</v>
      </c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customFormat="false" ht="15" hidden="false" customHeight="false" outlineLevel="0" collapsed="false">
      <c r="A243" s="22" t="s">
        <v>159</v>
      </c>
      <c r="B243" s="22" t="s">
        <v>3</v>
      </c>
      <c r="C243" s="22" t="s">
        <v>159</v>
      </c>
      <c r="D243" s="22" t="n">
        <v>19820</v>
      </c>
      <c r="E243" s="22" t="s">
        <v>132</v>
      </c>
      <c r="F243" s="22" t="s">
        <v>133</v>
      </c>
      <c r="G243" s="22" t="s">
        <v>131</v>
      </c>
      <c r="H243" s="22" t="s">
        <v>131</v>
      </c>
      <c r="I243" s="22" t="n">
        <v>281972</v>
      </c>
      <c r="J243" s="22" t="n">
        <v>282450</v>
      </c>
      <c r="K243" s="22" t="n">
        <v>282954</v>
      </c>
      <c r="L243" s="22" t="n">
        <v>283363</v>
      </c>
      <c r="M243" s="22" t="n">
        <v>283620</v>
      </c>
      <c r="N243" s="22" t="n">
        <v>284182</v>
      </c>
      <c r="O243" s="22" t="n">
        <v>284440</v>
      </c>
      <c r="P243" s="22" t="n">
        <v>284605</v>
      </c>
      <c r="Q243" s="22" t="n">
        <v>284816</v>
      </c>
      <c r="R243" s="22" t="n">
        <v>285677</v>
      </c>
      <c r="S243" s="22" t="n">
        <v>287058</v>
      </c>
      <c r="T243" s="22" t="n">
        <v>287312</v>
      </c>
      <c r="U243" s="22" t="n">
        <v>287451</v>
      </c>
      <c r="V243" s="22" t="n">
        <v>287930</v>
      </c>
      <c r="W243" s="22" t="n">
        <v>288916</v>
      </c>
      <c r="X243" s="22" t="n">
        <v>288754</v>
      </c>
      <c r="Y243" s="22" t="n">
        <v>288754</v>
      </c>
      <c r="Z243" s="22" t="n">
        <v>288754</v>
      </c>
      <c r="AA243" s="22" t="n">
        <v>289402</v>
      </c>
      <c r="AB243" s="22" t="n">
        <v>289236</v>
      </c>
      <c r="AC243" s="22" t="n">
        <v>289244</v>
      </c>
      <c r="AD243" s="22" t="n">
        <v>289246</v>
      </c>
      <c r="AE243" s="22" t="n">
        <v>289887</v>
      </c>
      <c r="AF243" s="22" t="n">
        <v>289650</v>
      </c>
    </row>
    <row r="244" customFormat="false" ht="15" hidden="false" customHeight="false" outlineLevel="0" collapsed="false">
      <c r="A244" s="22" t="s">
        <v>159</v>
      </c>
      <c r="B244" s="22" t="s">
        <v>3</v>
      </c>
      <c r="C244" s="22" t="s">
        <v>159</v>
      </c>
      <c r="D244" s="22" t="n">
        <v>19820</v>
      </c>
      <c r="E244" s="22" t="s">
        <v>132</v>
      </c>
      <c r="F244" s="22" t="s">
        <v>5</v>
      </c>
      <c r="G244" s="22" t="s">
        <v>131</v>
      </c>
      <c r="H244" s="22" t="s">
        <v>131</v>
      </c>
      <c r="I244" s="22" t="n">
        <v>1.377</v>
      </c>
      <c r="J244" s="22" t="n">
        <v>1.402</v>
      </c>
      <c r="K244" s="22" t="n">
        <v>1.424</v>
      </c>
      <c r="L244" s="22" t="n">
        <v>1.429</v>
      </c>
      <c r="M244" s="22" t="n">
        <v>1.43</v>
      </c>
      <c r="N244" s="22" t="n">
        <v>1.455</v>
      </c>
      <c r="O244" s="22" t="n">
        <v>1.479</v>
      </c>
      <c r="P244" s="22" t="n">
        <v>1.469</v>
      </c>
      <c r="Q244" s="22" t="n">
        <v>1.475</v>
      </c>
      <c r="R244" s="22" t="n">
        <v>1.501</v>
      </c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customFormat="false" ht="15" hidden="false" customHeight="false" outlineLevel="0" collapsed="false">
      <c r="A245" s="22" t="s">
        <v>159</v>
      </c>
      <c r="B245" s="22" t="s">
        <v>3</v>
      </c>
      <c r="C245" s="22" t="s">
        <v>159</v>
      </c>
      <c r="D245" s="22" t="n">
        <v>19820</v>
      </c>
      <c r="E245" s="22" t="s">
        <v>134</v>
      </c>
      <c r="F245" s="22" t="s">
        <v>135</v>
      </c>
      <c r="G245" s="22" t="s">
        <v>131</v>
      </c>
      <c r="H245" s="22" t="s">
        <v>131</v>
      </c>
      <c r="I245" s="22" t="n">
        <v>0.0193</v>
      </c>
      <c r="J245" s="22" t="n">
        <v>0.0201</v>
      </c>
      <c r="K245" s="22" t="n">
        <v>0.0309</v>
      </c>
      <c r="L245" s="22" t="n">
        <v>0.0399</v>
      </c>
      <c r="M245" s="22" t="n">
        <v>0.036</v>
      </c>
      <c r="N245" s="22" t="n">
        <v>0.0287</v>
      </c>
      <c r="O245" s="22" t="n">
        <v>0.0165</v>
      </c>
      <c r="P245" s="22" t="n">
        <v>0.0055</v>
      </c>
      <c r="Q245" s="22" t="n">
        <v>0.009</v>
      </c>
      <c r="R245" s="22" t="n">
        <v>0.0139</v>
      </c>
      <c r="S245" s="22" t="n">
        <v>0.018</v>
      </c>
      <c r="T245" s="22" t="n">
        <v>0.022</v>
      </c>
      <c r="U245" s="22" t="n">
        <v>0.02</v>
      </c>
      <c r="V245" s="22" t="n">
        <v>0.022</v>
      </c>
      <c r="W245" s="22" t="n">
        <v>0.03</v>
      </c>
      <c r="X245" s="22" t="n">
        <v>0.031</v>
      </c>
      <c r="Y245" s="22" t="n">
        <v>0.03</v>
      </c>
      <c r="Z245" s="22" t="n">
        <v>0.025</v>
      </c>
      <c r="AA245" s="22" t="n">
        <v>0.027</v>
      </c>
      <c r="AB245" s="22" t="n">
        <v>0.029</v>
      </c>
      <c r="AC245" s="22" t="n">
        <v>0.029</v>
      </c>
      <c r="AD245" s="22" t="n">
        <v>0.024</v>
      </c>
      <c r="AE245" s="22" t="n">
        <v>0.023</v>
      </c>
      <c r="AF245" s="22" t="n">
        <v>0.024</v>
      </c>
    </row>
    <row r="246" customFormat="false" ht="15" hidden="false" customHeight="false" outlineLevel="0" collapsed="false">
      <c r="A246" s="22" t="s">
        <v>159</v>
      </c>
      <c r="B246" s="22" t="s">
        <v>3</v>
      </c>
      <c r="C246" s="22" t="s">
        <v>159</v>
      </c>
      <c r="D246" s="22" t="n">
        <v>19820</v>
      </c>
      <c r="E246" s="22" t="s">
        <v>136</v>
      </c>
      <c r="F246" s="22" t="s">
        <v>137</v>
      </c>
      <c r="G246" s="22" t="s">
        <v>131</v>
      </c>
      <c r="H246" s="22" t="s">
        <v>131</v>
      </c>
      <c r="I246" s="22" t="n">
        <v>12</v>
      </c>
      <c r="J246" s="22" t="n">
        <v>11</v>
      </c>
      <c r="K246" s="22" t="n">
        <v>10</v>
      </c>
      <c r="L246" s="22" t="n">
        <v>10</v>
      </c>
      <c r="M246" s="22" t="n">
        <v>9</v>
      </c>
      <c r="N246" s="22" t="n">
        <v>7</v>
      </c>
      <c r="O246" s="22" t="n">
        <v>6</v>
      </c>
      <c r="P246" s="22" t="n">
        <v>4</v>
      </c>
      <c r="Q246" s="22" t="n">
        <v>5</v>
      </c>
      <c r="R246" s="22" t="n">
        <v>7</v>
      </c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customFormat="false" ht="15" hidden="false" customHeight="false" outlineLevel="0" collapsed="false">
      <c r="A247" s="22" t="s">
        <v>160</v>
      </c>
      <c r="B247" s="22" t="s">
        <v>3</v>
      </c>
      <c r="C247" s="22" t="s">
        <v>160</v>
      </c>
      <c r="D247" s="22" t="n">
        <v>21340</v>
      </c>
      <c r="E247" s="22" t="s">
        <v>129</v>
      </c>
      <c r="F247" s="22" t="s">
        <v>130</v>
      </c>
      <c r="G247" s="22" t="s">
        <v>131</v>
      </c>
      <c r="H247" s="22" t="s">
        <v>131</v>
      </c>
      <c r="I247" s="22" t="n">
        <v>1.29651884863388</v>
      </c>
      <c r="J247" s="22" t="n">
        <v>1.30479677229935</v>
      </c>
      <c r="K247" s="22" t="n">
        <v>1.32611353760986</v>
      </c>
      <c r="L247" s="22" t="n">
        <v>1.35149426617008</v>
      </c>
      <c r="M247" s="22" t="n">
        <v>1.35728247168249</v>
      </c>
      <c r="N247" s="22" t="n">
        <v>1.37083426930877</v>
      </c>
      <c r="O247" s="22" t="n">
        <v>1.32646007536323</v>
      </c>
      <c r="P247" s="22" t="n">
        <v>1.33484007546428</v>
      </c>
      <c r="Q247" s="22" t="n">
        <v>1.34263937098092</v>
      </c>
      <c r="R247" s="22" t="n">
        <v>1.36134703076344</v>
      </c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customFormat="false" ht="15" hidden="false" customHeight="false" outlineLevel="0" collapsed="false">
      <c r="A248" s="22" t="s">
        <v>160</v>
      </c>
      <c r="B248" s="22" t="s">
        <v>3</v>
      </c>
      <c r="C248" s="22" t="s">
        <v>160</v>
      </c>
      <c r="D248" s="22" t="n">
        <v>21340</v>
      </c>
      <c r="E248" s="22" t="s">
        <v>132</v>
      </c>
      <c r="F248" s="22" t="s">
        <v>6</v>
      </c>
      <c r="G248" s="22" t="s">
        <v>131</v>
      </c>
      <c r="H248" s="22" t="s">
        <v>131</v>
      </c>
      <c r="I248" s="22" t="n">
        <v>1.285</v>
      </c>
      <c r="J248" s="22" t="n">
        <v>1.312</v>
      </c>
      <c r="K248" s="22" t="n">
        <v>1.313</v>
      </c>
      <c r="L248" s="22" t="n">
        <v>1.297</v>
      </c>
      <c r="M248" s="22" t="n">
        <v>1.298</v>
      </c>
      <c r="N248" s="22" t="n">
        <v>1.314</v>
      </c>
      <c r="O248" s="22" t="n">
        <v>1.339</v>
      </c>
      <c r="P248" s="22" t="n">
        <v>1.336</v>
      </c>
      <c r="Q248" s="22" t="n">
        <v>1.357</v>
      </c>
      <c r="R248" s="22" t="n">
        <v>1.364</v>
      </c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customFormat="false" ht="15" hidden="false" customHeight="false" outlineLevel="0" collapsed="false">
      <c r="A249" s="22" t="s">
        <v>160</v>
      </c>
      <c r="B249" s="22" t="s">
        <v>3</v>
      </c>
      <c r="C249" s="22" t="s">
        <v>160</v>
      </c>
      <c r="D249" s="22" t="n">
        <v>21340</v>
      </c>
      <c r="E249" s="22" t="s">
        <v>132</v>
      </c>
      <c r="F249" s="22" t="s">
        <v>133</v>
      </c>
      <c r="G249" s="22" t="s">
        <v>131</v>
      </c>
      <c r="H249" s="22" t="s">
        <v>131</v>
      </c>
      <c r="I249" s="22" t="n">
        <v>55418</v>
      </c>
      <c r="J249" s="22" t="n">
        <v>55538</v>
      </c>
      <c r="K249" s="22" t="n">
        <v>55829</v>
      </c>
      <c r="L249" s="22" t="n">
        <v>55959</v>
      </c>
      <c r="M249" s="22" t="n">
        <v>55959</v>
      </c>
      <c r="N249" s="22" t="n">
        <v>55959</v>
      </c>
      <c r="O249" s="22" t="n">
        <v>55959</v>
      </c>
      <c r="P249" s="22" t="n">
        <v>55989</v>
      </c>
      <c r="Q249" s="22" t="n">
        <v>56079</v>
      </c>
      <c r="R249" s="22" t="n">
        <v>56109</v>
      </c>
      <c r="S249" s="22" t="n">
        <v>56109</v>
      </c>
      <c r="T249" s="22" t="n">
        <v>56209</v>
      </c>
      <c r="U249" s="22" t="n">
        <v>56309</v>
      </c>
      <c r="V249" s="22" t="n">
        <v>56309</v>
      </c>
      <c r="W249" s="22" t="n">
        <v>56309</v>
      </c>
      <c r="X249" s="22" t="n">
        <v>56309</v>
      </c>
      <c r="Y249" s="22" t="n">
        <v>56365</v>
      </c>
      <c r="Z249" s="22" t="n">
        <v>56360</v>
      </c>
      <c r="AA249" s="22" t="n">
        <v>56360</v>
      </c>
      <c r="AB249" s="22" t="n">
        <v>56363</v>
      </c>
      <c r="AC249" s="22" t="n">
        <v>56425</v>
      </c>
      <c r="AD249" s="22" t="n">
        <v>56431</v>
      </c>
      <c r="AE249" s="22" t="n">
        <v>56444</v>
      </c>
      <c r="AF249" s="22" t="n">
        <v>56458</v>
      </c>
    </row>
    <row r="250" customFormat="false" ht="15" hidden="false" customHeight="false" outlineLevel="0" collapsed="false">
      <c r="A250" s="22" t="s">
        <v>160</v>
      </c>
      <c r="B250" s="22" t="s">
        <v>3</v>
      </c>
      <c r="C250" s="22" t="s">
        <v>160</v>
      </c>
      <c r="D250" s="22" t="n">
        <v>21340</v>
      </c>
      <c r="E250" s="22" t="s">
        <v>132</v>
      </c>
      <c r="F250" s="22" t="s">
        <v>5</v>
      </c>
      <c r="G250" s="22" t="s">
        <v>131</v>
      </c>
      <c r="H250" s="22" t="s">
        <v>131</v>
      </c>
      <c r="I250" s="22" t="n">
        <v>1.294</v>
      </c>
      <c r="J250" s="22" t="n">
        <v>1.316</v>
      </c>
      <c r="K250" s="22" t="n">
        <v>1.316</v>
      </c>
      <c r="L250" s="22" t="n">
        <v>1.301</v>
      </c>
      <c r="M250" s="22" t="n">
        <v>1.306</v>
      </c>
      <c r="N250" s="22" t="n">
        <v>1.323</v>
      </c>
      <c r="O250" s="22" t="n">
        <v>1.345</v>
      </c>
      <c r="P250" s="22" t="n">
        <v>1.345</v>
      </c>
      <c r="Q250" s="22" t="n">
        <v>1.359</v>
      </c>
      <c r="R250" s="22" t="n">
        <v>1.366</v>
      </c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</row>
    <row r="251" customFormat="false" ht="15" hidden="false" customHeight="false" outlineLevel="0" collapsed="false">
      <c r="A251" s="22" t="s">
        <v>160</v>
      </c>
      <c r="B251" s="22" t="s">
        <v>3</v>
      </c>
      <c r="C251" s="22" t="s">
        <v>160</v>
      </c>
      <c r="D251" s="22" t="n">
        <v>21340</v>
      </c>
      <c r="E251" s="22" t="s">
        <v>134</v>
      </c>
      <c r="F251" s="22" t="s">
        <v>135</v>
      </c>
      <c r="G251" s="22" t="s">
        <v>131</v>
      </c>
      <c r="H251" s="22" t="s">
        <v>131</v>
      </c>
      <c r="I251" s="22" t="n">
        <v>0.0153</v>
      </c>
      <c r="J251" s="22" t="n">
        <v>0.0202</v>
      </c>
      <c r="K251" s="22" t="n">
        <v>0.0249</v>
      </c>
      <c r="L251" s="22" t="n">
        <v>0.0217</v>
      </c>
      <c r="M251" s="22" t="n">
        <v>0.0111</v>
      </c>
      <c r="N251" s="22" t="n">
        <v>-0.0056</v>
      </c>
      <c r="O251" s="22" t="n">
        <v>0.0011</v>
      </c>
      <c r="P251" s="22" t="n">
        <v>0.0096</v>
      </c>
      <c r="Q251" s="22" t="n">
        <v>0.022</v>
      </c>
      <c r="R251" s="22" t="n">
        <v>0.0276</v>
      </c>
      <c r="S251" s="22" t="n">
        <v>0.024</v>
      </c>
      <c r="T251" s="22" t="n">
        <v>0.02</v>
      </c>
      <c r="U251" s="22" t="n">
        <v>0.024</v>
      </c>
      <c r="V251" s="22" t="n">
        <v>0.023</v>
      </c>
      <c r="W251" s="22" t="n">
        <v>0.021</v>
      </c>
      <c r="X251" s="22" t="n">
        <v>0.021</v>
      </c>
      <c r="Y251" s="22" t="n">
        <v>0.021</v>
      </c>
      <c r="Z251" s="22" t="n">
        <v>0.02</v>
      </c>
      <c r="AA251" s="22" t="n">
        <v>0.021</v>
      </c>
      <c r="AB251" s="22" t="n">
        <v>0.021</v>
      </c>
      <c r="AC251" s="22" t="n">
        <v>0.02</v>
      </c>
      <c r="AD251" s="22" t="n">
        <v>0.021</v>
      </c>
      <c r="AE251" s="22" t="n">
        <v>0.022</v>
      </c>
      <c r="AF251" s="22" t="n">
        <v>0.023</v>
      </c>
    </row>
    <row r="252" customFormat="false" ht="15" hidden="false" customHeight="false" outlineLevel="0" collapsed="false">
      <c r="A252" s="22" t="s">
        <v>160</v>
      </c>
      <c r="B252" s="22" t="s">
        <v>3</v>
      </c>
      <c r="C252" s="22" t="s">
        <v>160</v>
      </c>
      <c r="D252" s="22" t="n">
        <v>21340</v>
      </c>
      <c r="E252" s="22" t="s">
        <v>136</v>
      </c>
      <c r="F252" s="22" t="s">
        <v>137</v>
      </c>
      <c r="G252" s="22" t="s">
        <v>131</v>
      </c>
      <c r="H252" s="22" t="s">
        <v>131</v>
      </c>
      <c r="I252" s="22" t="n">
        <v>1</v>
      </c>
      <c r="J252" s="22" t="n">
        <v>1</v>
      </c>
      <c r="K252" s="22" t="n">
        <v>1</v>
      </c>
      <c r="L252" s="22" t="n">
        <v>1</v>
      </c>
      <c r="M252" s="22" t="n">
        <v>1</v>
      </c>
      <c r="N252" s="22" t="n">
        <v>1</v>
      </c>
      <c r="O252" s="22" t="n">
        <v>1</v>
      </c>
      <c r="P252" s="22" t="n">
        <v>1</v>
      </c>
      <c r="Q252" s="22" t="n">
        <v>1</v>
      </c>
      <c r="R252" s="22" t="n">
        <v>0</v>
      </c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customFormat="false" ht="15" hidden="false" customHeight="false" outlineLevel="0" collapsed="false">
      <c r="A253" s="22" t="s">
        <v>161</v>
      </c>
      <c r="B253" s="22" t="s">
        <v>3</v>
      </c>
      <c r="C253" s="22" t="s">
        <v>161</v>
      </c>
      <c r="D253" s="22" t="n">
        <v>21660</v>
      </c>
      <c r="E253" s="22" t="s">
        <v>129</v>
      </c>
      <c r="F253" s="22" t="s">
        <v>130</v>
      </c>
      <c r="G253" s="22" t="s">
        <v>131</v>
      </c>
      <c r="H253" s="22" t="s">
        <v>131</v>
      </c>
      <c r="I253" s="22" t="n">
        <v>1.77155642626898</v>
      </c>
      <c r="J253" s="22" t="n">
        <v>1.78624330735244</v>
      </c>
      <c r="K253" s="22" t="n">
        <v>1.80169406675785</v>
      </c>
      <c r="L253" s="22" t="n">
        <v>1.91830307704061</v>
      </c>
      <c r="M253" s="22" t="n">
        <v>1.91922260917924</v>
      </c>
      <c r="N253" s="22" t="n">
        <v>1.91379031774789</v>
      </c>
      <c r="O253" s="22" t="n">
        <v>1.92560769613252</v>
      </c>
      <c r="P253" s="22" t="n">
        <v>1.94263801409777</v>
      </c>
      <c r="Q253" s="22" t="n">
        <v>1.93839663719749</v>
      </c>
      <c r="R253" s="22" t="n">
        <v>1.91500775797085</v>
      </c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</row>
    <row r="254" customFormat="false" ht="15" hidden="false" customHeight="false" outlineLevel="0" collapsed="false">
      <c r="A254" s="22" t="s">
        <v>161</v>
      </c>
      <c r="B254" s="22" t="s">
        <v>3</v>
      </c>
      <c r="C254" s="22" t="s">
        <v>161</v>
      </c>
      <c r="D254" s="22" t="n">
        <v>21660</v>
      </c>
      <c r="E254" s="22" t="s">
        <v>132</v>
      </c>
      <c r="F254" s="22" t="s">
        <v>6</v>
      </c>
      <c r="G254" s="22" t="s">
        <v>131</v>
      </c>
      <c r="H254" s="22" t="s">
        <v>131</v>
      </c>
      <c r="I254" s="22" t="n">
        <v>1.8</v>
      </c>
      <c r="J254" s="22" t="n">
        <v>1.808</v>
      </c>
      <c r="K254" s="22" t="n">
        <v>1.835</v>
      </c>
      <c r="L254" s="22" t="n">
        <v>1.798</v>
      </c>
      <c r="M254" s="22" t="n">
        <v>1.808</v>
      </c>
      <c r="N254" s="22" t="n">
        <v>1.867</v>
      </c>
      <c r="O254" s="22" t="n">
        <v>1.899</v>
      </c>
      <c r="P254" s="22" t="n">
        <v>1.866</v>
      </c>
      <c r="Q254" s="22" t="n">
        <v>1.844</v>
      </c>
      <c r="R254" s="22" t="n">
        <v>1.871</v>
      </c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customFormat="false" ht="15" hidden="false" customHeight="false" outlineLevel="0" collapsed="false">
      <c r="A255" s="22" t="s">
        <v>161</v>
      </c>
      <c r="B255" s="22" t="s">
        <v>3</v>
      </c>
      <c r="C255" s="22" t="s">
        <v>161</v>
      </c>
      <c r="D255" s="22" t="n">
        <v>21660</v>
      </c>
      <c r="E255" s="22" t="s">
        <v>132</v>
      </c>
      <c r="F255" s="22" t="s">
        <v>133</v>
      </c>
      <c r="G255" s="22" t="s">
        <v>131</v>
      </c>
      <c r="H255" s="22" t="s">
        <v>131</v>
      </c>
      <c r="I255" s="22" t="n">
        <v>25997</v>
      </c>
      <c r="J255" s="22" t="n">
        <v>25997</v>
      </c>
      <c r="K255" s="22" t="n">
        <v>26205</v>
      </c>
      <c r="L255" s="22" t="n">
        <v>26267</v>
      </c>
      <c r="M255" s="22" t="n">
        <v>26267</v>
      </c>
      <c r="N255" s="22" t="n">
        <v>26360</v>
      </c>
      <c r="O255" s="22" t="n">
        <v>26509</v>
      </c>
      <c r="P255" s="22" t="n">
        <v>26465</v>
      </c>
      <c r="Q255" s="22" t="n">
        <v>26465</v>
      </c>
      <c r="R255" s="22" t="n">
        <v>26465</v>
      </c>
      <c r="S255" s="22" t="n">
        <v>26465</v>
      </c>
      <c r="T255" s="22" t="n">
        <v>26465</v>
      </c>
      <c r="U255" s="22" t="n">
        <v>26465</v>
      </c>
      <c r="V255" s="22" t="n">
        <v>26465</v>
      </c>
      <c r="W255" s="22" t="n">
        <v>26617</v>
      </c>
      <c r="X255" s="22" t="n">
        <v>26626</v>
      </c>
      <c r="Y255" s="22" t="n">
        <v>26633</v>
      </c>
      <c r="Z255" s="22" t="n">
        <v>26645</v>
      </c>
      <c r="AA255" s="22" t="n">
        <v>26807</v>
      </c>
      <c r="AB255" s="22" t="n">
        <v>26822</v>
      </c>
      <c r="AC255" s="22" t="n">
        <v>26832</v>
      </c>
      <c r="AD255" s="22" t="n">
        <v>26842</v>
      </c>
      <c r="AE255" s="22" t="n">
        <v>27001</v>
      </c>
      <c r="AF255" s="22" t="n">
        <v>27012</v>
      </c>
    </row>
    <row r="256" customFormat="false" ht="15" hidden="false" customHeight="false" outlineLevel="0" collapsed="false">
      <c r="A256" s="22" t="s">
        <v>161</v>
      </c>
      <c r="B256" s="22" t="s">
        <v>3</v>
      </c>
      <c r="C256" s="22" t="s">
        <v>161</v>
      </c>
      <c r="D256" s="22" t="n">
        <v>21660</v>
      </c>
      <c r="E256" s="22" t="s">
        <v>132</v>
      </c>
      <c r="F256" s="22" t="s">
        <v>5</v>
      </c>
      <c r="G256" s="22" t="s">
        <v>131</v>
      </c>
      <c r="H256" s="22" t="s">
        <v>131</v>
      </c>
      <c r="I256" s="22" t="n">
        <v>1.816</v>
      </c>
      <c r="J256" s="22" t="n">
        <v>1.831</v>
      </c>
      <c r="K256" s="22" t="n">
        <v>1.856</v>
      </c>
      <c r="L256" s="22" t="n">
        <v>1.822</v>
      </c>
      <c r="M256" s="22" t="n">
        <v>1.828</v>
      </c>
      <c r="N256" s="22" t="n">
        <v>1.879</v>
      </c>
      <c r="O256" s="22" t="n">
        <v>1.916</v>
      </c>
      <c r="P256" s="22" t="n">
        <v>1.881</v>
      </c>
      <c r="Q256" s="22" t="n">
        <v>1.87</v>
      </c>
      <c r="R256" s="22" t="n">
        <v>1.903</v>
      </c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</row>
    <row r="257" customFormat="false" ht="15" hidden="false" customHeight="false" outlineLevel="0" collapsed="false">
      <c r="A257" s="22" t="s">
        <v>161</v>
      </c>
      <c r="B257" s="22" t="s">
        <v>3</v>
      </c>
      <c r="C257" s="22" t="s">
        <v>161</v>
      </c>
      <c r="D257" s="22" t="n">
        <v>21660</v>
      </c>
      <c r="E257" s="22" t="s">
        <v>134</v>
      </c>
      <c r="F257" s="22" t="s">
        <v>135</v>
      </c>
      <c r="G257" s="22" t="s">
        <v>131</v>
      </c>
      <c r="H257" s="22" t="s">
        <v>131</v>
      </c>
      <c r="I257" s="22" t="n">
        <v>0.004</v>
      </c>
      <c r="J257" s="22" t="n">
        <v>0.0119</v>
      </c>
      <c r="K257" s="22" t="n">
        <v>0.0248</v>
      </c>
      <c r="L257" s="22" t="n">
        <v>0.0063</v>
      </c>
      <c r="M257" s="22" t="n">
        <v>0.007</v>
      </c>
      <c r="N257" s="22" t="n">
        <v>0.0188</v>
      </c>
      <c r="O257" s="22" t="n">
        <v>0.0032</v>
      </c>
      <c r="P257" s="22" t="n">
        <v>0.0092</v>
      </c>
      <c r="Q257" s="22" t="n">
        <v>-0.0053</v>
      </c>
      <c r="R257" s="22" t="n">
        <v>-0.0099</v>
      </c>
      <c r="S257" s="22" t="n">
        <v>-0.007</v>
      </c>
      <c r="T257" s="22" t="n">
        <v>0.008</v>
      </c>
      <c r="U257" s="22" t="n">
        <v>0.024</v>
      </c>
      <c r="V257" s="22" t="n">
        <v>0.018</v>
      </c>
      <c r="W257" s="22" t="n">
        <v>0.02</v>
      </c>
      <c r="X257" s="22" t="n">
        <v>0.022</v>
      </c>
      <c r="Y257" s="22" t="n">
        <v>0.022</v>
      </c>
      <c r="Z257" s="22" t="n">
        <v>0.024</v>
      </c>
      <c r="AA257" s="22" t="n">
        <v>0.032</v>
      </c>
      <c r="AB257" s="22" t="n">
        <v>0.031</v>
      </c>
      <c r="AC257" s="22" t="n">
        <v>0.033</v>
      </c>
      <c r="AD257" s="22" t="n">
        <v>0.031</v>
      </c>
      <c r="AE257" s="22" t="n">
        <v>0.033</v>
      </c>
      <c r="AF257" s="22" t="n">
        <v>0.031</v>
      </c>
    </row>
    <row r="258" customFormat="false" ht="15" hidden="false" customHeight="false" outlineLevel="0" collapsed="false">
      <c r="A258" s="22" t="s">
        <v>161</v>
      </c>
      <c r="B258" s="22" t="s">
        <v>3</v>
      </c>
      <c r="C258" s="22" t="s">
        <v>161</v>
      </c>
      <c r="D258" s="22" t="n">
        <v>21660</v>
      </c>
      <c r="E258" s="22" t="s">
        <v>136</v>
      </c>
      <c r="F258" s="22" t="s">
        <v>137</v>
      </c>
      <c r="G258" s="22" t="s">
        <v>131</v>
      </c>
      <c r="H258" s="22" t="s">
        <v>131</v>
      </c>
      <c r="I258" s="22" t="n">
        <v>1</v>
      </c>
      <c r="J258" s="22" t="n">
        <v>0</v>
      </c>
      <c r="K258" s="22" t="n">
        <v>1</v>
      </c>
      <c r="L258" s="22" t="n">
        <v>1</v>
      </c>
      <c r="M258" s="22" t="n">
        <v>1</v>
      </c>
      <c r="N258" s="22" t="n">
        <v>1</v>
      </c>
      <c r="O258" s="22" t="n">
        <v>0</v>
      </c>
      <c r="P258" s="22" t="n">
        <v>0</v>
      </c>
      <c r="Q258" s="22" t="n">
        <v>0</v>
      </c>
      <c r="R258" s="22" t="n">
        <v>1</v>
      </c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customFormat="false" ht="15" hidden="false" customHeight="false" outlineLevel="0" collapsed="false">
      <c r="A259" s="22" t="s">
        <v>162</v>
      </c>
      <c r="B259" s="22" t="s">
        <v>3</v>
      </c>
      <c r="C259" s="22" t="s">
        <v>162</v>
      </c>
      <c r="D259" s="22" t="n">
        <v>22020</v>
      </c>
      <c r="E259" s="22" t="s">
        <v>132</v>
      </c>
      <c r="F259" s="22" t="s">
        <v>6</v>
      </c>
      <c r="G259" s="22" t="s">
        <v>131</v>
      </c>
      <c r="H259" s="22" t="s">
        <v>131</v>
      </c>
      <c r="I259" s="22" t="n">
        <v>1.063</v>
      </c>
      <c r="J259" s="22" t="n">
        <v>1.066</v>
      </c>
      <c r="K259" s="22" t="n">
        <v>1.088</v>
      </c>
      <c r="L259" s="22" t="n">
        <v>1.082</v>
      </c>
      <c r="M259" s="22" t="n">
        <v>1.092</v>
      </c>
      <c r="N259" s="22" t="n">
        <v>1.129</v>
      </c>
      <c r="O259" s="22" t="n">
        <v>1.136</v>
      </c>
      <c r="P259" s="22" t="n">
        <v>1.131</v>
      </c>
      <c r="Q259" s="22" t="n">
        <v>1.171</v>
      </c>
      <c r="R259" s="22" t="n">
        <v>1.201</v>
      </c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</row>
    <row r="260" customFormat="false" ht="15" hidden="false" customHeight="false" outlineLevel="0" collapsed="false">
      <c r="A260" s="22" t="s">
        <v>162</v>
      </c>
      <c r="B260" s="22" t="s">
        <v>3</v>
      </c>
      <c r="C260" s="22" t="s">
        <v>162</v>
      </c>
      <c r="D260" s="22" t="n">
        <v>22020</v>
      </c>
      <c r="E260" s="22" t="s">
        <v>132</v>
      </c>
      <c r="F260" s="22" t="s">
        <v>133</v>
      </c>
      <c r="G260" s="22" t="s">
        <v>131</v>
      </c>
      <c r="H260" s="22" t="s">
        <v>131</v>
      </c>
      <c r="I260" s="22" t="n">
        <v>38088</v>
      </c>
      <c r="J260" s="22" t="n">
        <v>38580</v>
      </c>
      <c r="K260" s="22" t="n">
        <v>38776</v>
      </c>
      <c r="L260" s="22" t="n">
        <v>39035</v>
      </c>
      <c r="M260" s="22" t="n">
        <v>39065</v>
      </c>
      <c r="N260" s="22" t="n">
        <v>39102</v>
      </c>
      <c r="O260" s="22" t="n">
        <v>39138</v>
      </c>
      <c r="P260" s="22" t="n">
        <v>39192</v>
      </c>
      <c r="Q260" s="22" t="n">
        <v>39228</v>
      </c>
      <c r="R260" s="22" t="n">
        <v>39228</v>
      </c>
      <c r="S260" s="22" t="n">
        <v>39228</v>
      </c>
      <c r="T260" s="22" t="n">
        <v>39361</v>
      </c>
      <c r="U260" s="22" t="n">
        <v>39424</v>
      </c>
      <c r="V260" s="22" t="n">
        <v>39424</v>
      </c>
      <c r="W260" s="22" t="n">
        <v>39637</v>
      </c>
      <c r="X260" s="22" t="n">
        <v>39677</v>
      </c>
      <c r="Y260" s="22" t="n">
        <v>39747</v>
      </c>
      <c r="Z260" s="22" t="n">
        <v>39755</v>
      </c>
      <c r="AA260" s="22" t="n">
        <v>39978</v>
      </c>
      <c r="AB260" s="22" t="n">
        <v>40018</v>
      </c>
      <c r="AC260" s="22" t="n">
        <v>40099</v>
      </c>
      <c r="AD260" s="22" t="n">
        <v>40108</v>
      </c>
      <c r="AE260" s="22" t="n">
        <v>40333</v>
      </c>
      <c r="AF260" s="22" t="n">
        <v>40375</v>
      </c>
    </row>
    <row r="261" customFormat="false" ht="15" hidden="false" customHeight="false" outlineLevel="0" collapsed="false">
      <c r="A261" s="22" t="s">
        <v>162</v>
      </c>
      <c r="B261" s="22" t="s">
        <v>3</v>
      </c>
      <c r="C261" s="22" t="s">
        <v>162</v>
      </c>
      <c r="D261" s="22" t="n">
        <v>22020</v>
      </c>
      <c r="E261" s="22" t="s">
        <v>132</v>
      </c>
      <c r="F261" s="22" t="s">
        <v>5</v>
      </c>
      <c r="G261" s="22" t="s">
        <v>131</v>
      </c>
      <c r="H261" s="22" t="s">
        <v>131</v>
      </c>
      <c r="I261" s="22" t="n">
        <v>1.066</v>
      </c>
      <c r="J261" s="22" t="n">
        <v>1.071</v>
      </c>
      <c r="K261" s="22" t="n">
        <v>1.093</v>
      </c>
      <c r="L261" s="22" t="n">
        <v>1.086</v>
      </c>
      <c r="M261" s="22" t="n">
        <v>1.099</v>
      </c>
      <c r="N261" s="22" t="n">
        <v>1.136</v>
      </c>
      <c r="O261" s="22" t="n">
        <v>1.143</v>
      </c>
      <c r="P261" s="22" t="n">
        <v>1.146</v>
      </c>
      <c r="Q261" s="22" t="n">
        <v>1.186</v>
      </c>
      <c r="R261" s="22" t="n">
        <v>1.213</v>
      </c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customFormat="false" ht="15" hidden="false" customHeight="false" outlineLevel="0" collapsed="false">
      <c r="A262" s="22" t="s">
        <v>162</v>
      </c>
      <c r="B262" s="22" t="s">
        <v>3</v>
      </c>
      <c r="C262" s="22" t="s">
        <v>162</v>
      </c>
      <c r="D262" s="22" t="n">
        <v>22020</v>
      </c>
      <c r="E262" s="22" t="s">
        <v>134</v>
      </c>
      <c r="F262" s="22" t="s">
        <v>135</v>
      </c>
      <c r="G262" s="22" t="s">
        <v>131</v>
      </c>
      <c r="H262" s="22" t="s">
        <v>131</v>
      </c>
      <c r="I262" s="22" t="n">
        <v>0.0498</v>
      </c>
      <c r="J262" s="22" t="n">
        <v>0.0305</v>
      </c>
      <c r="K262" s="22" t="n">
        <v>0.0293</v>
      </c>
      <c r="L262" s="22" t="n">
        <v>-0.0021</v>
      </c>
      <c r="M262" s="22" t="n">
        <v>0.0048</v>
      </c>
      <c r="N262" s="22" t="n">
        <v>0.0315</v>
      </c>
      <c r="O262" s="22" t="n">
        <v>0.0282</v>
      </c>
      <c r="P262" s="22" t="n">
        <v>0.0258</v>
      </c>
      <c r="Q262" s="22" t="n">
        <v>0.0237</v>
      </c>
      <c r="R262" s="22" t="n">
        <v>0.0204</v>
      </c>
      <c r="S262" s="22" t="n">
        <v>0.026</v>
      </c>
      <c r="T262" s="22" t="n">
        <v>0.031</v>
      </c>
      <c r="U262" s="22" t="n">
        <v>0.025</v>
      </c>
      <c r="V262" s="22" t="n">
        <v>0.024</v>
      </c>
      <c r="W262" s="22" t="n">
        <v>0.028</v>
      </c>
      <c r="X262" s="22" t="n">
        <v>0.028</v>
      </c>
      <c r="Y262" s="22" t="n">
        <v>0.024</v>
      </c>
      <c r="Z262" s="22" t="n">
        <v>0.023</v>
      </c>
      <c r="AA262" s="22" t="n">
        <v>0.028</v>
      </c>
      <c r="AB262" s="22" t="n">
        <v>0.03</v>
      </c>
      <c r="AC262" s="22" t="n">
        <v>0.024</v>
      </c>
      <c r="AD262" s="22" t="n">
        <v>0.025</v>
      </c>
      <c r="AE262" s="22" t="n">
        <v>0.031</v>
      </c>
      <c r="AF262" s="22" t="n">
        <v>0.031</v>
      </c>
    </row>
    <row r="263" customFormat="false" ht="15" hidden="false" customHeight="false" outlineLevel="0" collapsed="false">
      <c r="A263" s="22" t="s">
        <v>162</v>
      </c>
      <c r="B263" s="22" t="s">
        <v>3</v>
      </c>
      <c r="C263" s="22" t="s">
        <v>162</v>
      </c>
      <c r="D263" s="22" t="n">
        <v>22020</v>
      </c>
      <c r="E263" s="22" t="s">
        <v>136</v>
      </c>
      <c r="F263" s="22" t="s">
        <v>137</v>
      </c>
      <c r="G263" s="22" t="s">
        <v>131</v>
      </c>
      <c r="H263" s="22" t="s">
        <v>131</v>
      </c>
      <c r="I263" s="22" t="n">
        <v>3</v>
      </c>
      <c r="J263" s="22" t="n">
        <v>3</v>
      </c>
      <c r="K263" s="22" t="n">
        <v>2</v>
      </c>
      <c r="L263" s="22" t="n">
        <v>1</v>
      </c>
      <c r="M263" s="22" t="n">
        <v>1</v>
      </c>
      <c r="N263" s="22" t="n">
        <v>0</v>
      </c>
      <c r="O263" s="22" t="n">
        <v>1</v>
      </c>
      <c r="P263" s="22" t="n">
        <v>1</v>
      </c>
      <c r="Q263" s="22" t="n">
        <v>1</v>
      </c>
      <c r="R263" s="22" t="n">
        <v>1</v>
      </c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</row>
    <row r="264" customFormat="false" ht="15" hidden="false" customHeight="false" outlineLevel="0" collapsed="false">
      <c r="A264" s="22" t="s">
        <v>163</v>
      </c>
      <c r="B264" s="22" t="s">
        <v>3</v>
      </c>
      <c r="C264" s="22" t="s">
        <v>163</v>
      </c>
      <c r="D264" s="22" t="n">
        <v>22180</v>
      </c>
      <c r="E264" s="22" t="s">
        <v>129</v>
      </c>
      <c r="F264" s="22" t="s">
        <v>130</v>
      </c>
      <c r="G264" s="22" t="s">
        <v>131</v>
      </c>
      <c r="H264" s="22" t="s">
        <v>131</v>
      </c>
      <c r="I264" s="22" t="n">
        <v>1.14852764322584</v>
      </c>
      <c r="J264" s="22" t="n">
        <v>1.15834561977561</v>
      </c>
      <c r="K264" s="22" t="n">
        <v>1.16322902392507</v>
      </c>
      <c r="L264" s="22" t="n">
        <v>1.16284263207047</v>
      </c>
      <c r="M264" s="22" t="n">
        <v>1.17287454219268</v>
      </c>
      <c r="N264" s="22" t="n">
        <v>1.19527941935483</v>
      </c>
      <c r="O264" s="22" t="n">
        <v>1.18670183144376</v>
      </c>
      <c r="P264" s="22" t="n">
        <v>1.19241213637459</v>
      </c>
      <c r="Q264" s="22" t="n">
        <v>1.19550639891158</v>
      </c>
      <c r="R264" s="22" t="n">
        <v>1.18727897146835</v>
      </c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</row>
    <row r="265" customFormat="false" ht="15" hidden="false" customHeight="false" outlineLevel="0" collapsed="false">
      <c r="A265" s="22" t="s">
        <v>163</v>
      </c>
      <c r="B265" s="22" t="s">
        <v>3</v>
      </c>
      <c r="C265" s="22" t="s">
        <v>163</v>
      </c>
      <c r="D265" s="22" t="n">
        <v>22180</v>
      </c>
      <c r="E265" s="22" t="s">
        <v>132</v>
      </c>
      <c r="F265" s="22" t="s">
        <v>6</v>
      </c>
      <c r="G265" s="22" t="s">
        <v>131</v>
      </c>
      <c r="H265" s="22" t="s">
        <v>131</v>
      </c>
      <c r="I265" s="22" t="n">
        <v>1.185</v>
      </c>
      <c r="J265" s="22" t="n">
        <v>1.202</v>
      </c>
      <c r="K265" s="22" t="n">
        <v>1.218</v>
      </c>
      <c r="L265" s="22" t="n">
        <v>1.216</v>
      </c>
      <c r="M265" s="22" t="n">
        <v>1.211</v>
      </c>
      <c r="N265" s="22" t="n">
        <v>1.217</v>
      </c>
      <c r="O265" s="22" t="n">
        <v>1.226</v>
      </c>
      <c r="P265" s="22" t="n">
        <v>1.216</v>
      </c>
      <c r="Q265" s="22" t="n">
        <v>1.224</v>
      </c>
      <c r="R265" s="22" t="n">
        <v>1.217</v>
      </c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</row>
    <row r="266" customFormat="false" ht="15" hidden="false" customHeight="false" outlineLevel="0" collapsed="false">
      <c r="A266" s="22" t="s">
        <v>163</v>
      </c>
      <c r="B266" s="22" t="s">
        <v>3</v>
      </c>
      <c r="C266" s="22" t="s">
        <v>163</v>
      </c>
      <c r="D266" s="22" t="n">
        <v>22180</v>
      </c>
      <c r="E266" s="22" t="s">
        <v>132</v>
      </c>
      <c r="F266" s="22" t="s">
        <v>133</v>
      </c>
      <c r="G266" s="22" t="s">
        <v>131</v>
      </c>
      <c r="H266" s="22" t="s">
        <v>131</v>
      </c>
      <c r="I266" s="22" t="n">
        <v>25700</v>
      </c>
      <c r="J266" s="22" t="n">
        <v>26034</v>
      </c>
      <c r="K266" s="22" t="n">
        <v>26115</v>
      </c>
      <c r="L266" s="22" t="n">
        <v>26166</v>
      </c>
      <c r="M266" s="22" t="n">
        <v>26217</v>
      </c>
      <c r="N266" s="22" t="n">
        <v>26268</v>
      </c>
      <c r="O266" s="22" t="n">
        <v>26439</v>
      </c>
      <c r="P266" s="22" t="n">
        <v>26731</v>
      </c>
      <c r="Q266" s="22" t="n">
        <v>26867</v>
      </c>
      <c r="R266" s="22" t="n">
        <v>26871</v>
      </c>
      <c r="S266" s="22" t="n">
        <v>26875</v>
      </c>
      <c r="T266" s="22" t="n">
        <v>26875</v>
      </c>
      <c r="U266" s="22" t="n">
        <v>26875</v>
      </c>
      <c r="V266" s="22" t="n">
        <v>26875</v>
      </c>
      <c r="W266" s="22" t="n">
        <v>26935</v>
      </c>
      <c r="X266" s="22" t="n">
        <v>26993</v>
      </c>
      <c r="Y266" s="22" t="n">
        <v>27014</v>
      </c>
      <c r="Z266" s="22" t="n">
        <v>27023</v>
      </c>
      <c r="AA266" s="22" t="n">
        <v>27084</v>
      </c>
      <c r="AB266" s="22" t="n">
        <v>27138</v>
      </c>
      <c r="AC266" s="22" t="n">
        <v>27152</v>
      </c>
      <c r="AD266" s="22" t="n">
        <v>27158</v>
      </c>
      <c r="AE266" s="22" t="n">
        <v>27218</v>
      </c>
      <c r="AF266" s="22" t="n">
        <v>27275</v>
      </c>
    </row>
    <row r="267" customFormat="false" ht="15" hidden="false" customHeight="false" outlineLevel="0" collapsed="false">
      <c r="A267" s="22" t="s">
        <v>163</v>
      </c>
      <c r="B267" s="22" t="s">
        <v>3</v>
      </c>
      <c r="C267" s="22" t="s">
        <v>163</v>
      </c>
      <c r="D267" s="22" t="n">
        <v>22180</v>
      </c>
      <c r="E267" s="22" t="s">
        <v>132</v>
      </c>
      <c r="F267" s="22" t="s">
        <v>5</v>
      </c>
      <c r="G267" s="22" t="s">
        <v>131</v>
      </c>
      <c r="H267" s="22" t="s">
        <v>131</v>
      </c>
      <c r="I267" s="22" t="n">
        <v>1.195</v>
      </c>
      <c r="J267" s="22" t="n">
        <v>1.213</v>
      </c>
      <c r="K267" s="22" t="n">
        <v>1.231</v>
      </c>
      <c r="L267" s="22" t="n">
        <v>1.223</v>
      </c>
      <c r="M267" s="22" t="n">
        <v>1.217</v>
      </c>
      <c r="N267" s="22" t="n">
        <v>1.224</v>
      </c>
      <c r="O267" s="22" t="n">
        <v>1.231</v>
      </c>
      <c r="P267" s="22" t="n">
        <v>1.222</v>
      </c>
      <c r="Q267" s="22" t="n">
        <v>1.234</v>
      </c>
      <c r="R267" s="22" t="n">
        <v>1.228</v>
      </c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</row>
    <row r="268" customFormat="false" ht="15" hidden="false" customHeight="false" outlineLevel="0" collapsed="false">
      <c r="A268" s="22" t="s">
        <v>163</v>
      </c>
      <c r="B268" s="22" t="s">
        <v>3</v>
      </c>
      <c r="C268" s="22" t="s">
        <v>163</v>
      </c>
      <c r="D268" s="22" t="n">
        <v>22180</v>
      </c>
      <c r="E268" s="22" t="s">
        <v>134</v>
      </c>
      <c r="F268" s="22" t="s">
        <v>135</v>
      </c>
      <c r="G268" s="22" t="s">
        <v>131</v>
      </c>
      <c r="H268" s="22" t="s">
        <v>131</v>
      </c>
      <c r="I268" s="22" t="n">
        <v>-0.0298</v>
      </c>
      <c r="J268" s="22" t="n">
        <v>-0.0129</v>
      </c>
      <c r="K268" s="22" t="n">
        <v>0.0065</v>
      </c>
      <c r="L268" s="22" t="n">
        <v>0.0189</v>
      </c>
      <c r="M268" s="22" t="n">
        <v>0.0179</v>
      </c>
      <c r="N268" s="22" t="n">
        <v>0.0154</v>
      </c>
      <c r="O268" s="22" t="n">
        <v>0.005</v>
      </c>
      <c r="P268" s="22" t="n">
        <v>0.0017</v>
      </c>
      <c r="Q268" s="22" t="n">
        <v>0.0139</v>
      </c>
      <c r="R268" s="22" t="n">
        <v>-0.0015</v>
      </c>
      <c r="S268" s="22" t="n">
        <v>0.002</v>
      </c>
      <c r="T268" s="22" t="n">
        <v>0.017</v>
      </c>
      <c r="U268" s="22" t="n">
        <v>0.038</v>
      </c>
      <c r="V268" s="22" t="n">
        <v>0.04</v>
      </c>
      <c r="W268" s="22" t="n">
        <v>0.038</v>
      </c>
      <c r="X268" s="22" t="n">
        <v>0.037</v>
      </c>
      <c r="Y268" s="22" t="n">
        <v>0.031</v>
      </c>
      <c r="Z268" s="22" t="n">
        <v>0.032</v>
      </c>
      <c r="AA268" s="22" t="n">
        <v>0.03</v>
      </c>
      <c r="AB268" s="22" t="n">
        <v>0.027</v>
      </c>
      <c r="AC268" s="22" t="n">
        <v>0.02</v>
      </c>
      <c r="AD268" s="22" t="n">
        <v>0.025</v>
      </c>
      <c r="AE268" s="22" t="n">
        <v>0.023</v>
      </c>
      <c r="AF268" s="22" t="n">
        <v>0.024</v>
      </c>
    </row>
    <row r="269" customFormat="false" ht="15" hidden="false" customHeight="false" outlineLevel="0" collapsed="false">
      <c r="A269" s="22" t="s">
        <v>163</v>
      </c>
      <c r="B269" s="22" t="s">
        <v>3</v>
      </c>
      <c r="C269" s="22" t="s">
        <v>163</v>
      </c>
      <c r="D269" s="22" t="n">
        <v>22180</v>
      </c>
      <c r="E269" s="22" t="s">
        <v>136</v>
      </c>
      <c r="F269" s="22" t="s">
        <v>137</v>
      </c>
      <c r="G269" s="22" t="s">
        <v>131</v>
      </c>
      <c r="H269" s="22" t="s">
        <v>131</v>
      </c>
      <c r="I269" s="22" t="n">
        <v>3</v>
      </c>
      <c r="J269" s="22" t="n">
        <v>1</v>
      </c>
      <c r="K269" s="22" t="n">
        <v>0</v>
      </c>
      <c r="L269" s="22" t="n">
        <v>0</v>
      </c>
      <c r="M269" s="22" t="n">
        <v>0</v>
      </c>
      <c r="N269" s="22" t="n">
        <v>0</v>
      </c>
      <c r="O269" s="22" t="n">
        <v>0</v>
      </c>
      <c r="P269" s="22" t="n">
        <v>0</v>
      </c>
      <c r="Q269" s="22" t="n">
        <v>0</v>
      </c>
      <c r="R269" s="22" t="n">
        <v>0</v>
      </c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customFormat="false" ht="15" hidden="false" customHeight="false" outlineLevel="0" collapsed="false">
      <c r="A270" s="22" t="s">
        <v>36</v>
      </c>
      <c r="B270" s="22" t="s">
        <v>3</v>
      </c>
      <c r="C270" s="22" t="s">
        <v>36</v>
      </c>
      <c r="D270" s="22" t="n">
        <v>22220</v>
      </c>
      <c r="E270" s="22" t="s">
        <v>129</v>
      </c>
      <c r="F270" s="22" t="s">
        <v>130</v>
      </c>
      <c r="G270" s="22" t="s">
        <v>131</v>
      </c>
      <c r="H270" s="22" t="s">
        <v>131</v>
      </c>
      <c r="I270" s="22" t="n">
        <v>1.26479485734014</v>
      </c>
      <c r="J270" s="22" t="n">
        <v>1.25567366009607</v>
      </c>
      <c r="K270" s="22" t="n">
        <v>1.27859382201041</v>
      </c>
      <c r="L270" s="22" t="n">
        <v>1.28152442948146</v>
      </c>
      <c r="M270" s="22" t="n">
        <v>1.29161777337314</v>
      </c>
      <c r="N270" s="22" t="n">
        <v>1.28786529091975</v>
      </c>
      <c r="O270" s="22" t="n">
        <v>1.2978499042828</v>
      </c>
      <c r="P270" s="22" t="n">
        <v>1.33914561081913</v>
      </c>
      <c r="Q270" s="22" t="n">
        <v>1.33566644814027</v>
      </c>
      <c r="R270" s="22" t="n">
        <v>1.33611136636906</v>
      </c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customFormat="false" ht="15" hidden="false" customHeight="false" outlineLevel="0" collapsed="false">
      <c r="A271" s="22" t="s">
        <v>36</v>
      </c>
      <c r="B271" s="22" t="s">
        <v>3</v>
      </c>
      <c r="C271" s="22" t="s">
        <v>36</v>
      </c>
      <c r="D271" s="22" t="n">
        <v>22220</v>
      </c>
      <c r="E271" s="22" t="s">
        <v>132</v>
      </c>
      <c r="F271" s="22" t="s">
        <v>6</v>
      </c>
      <c r="G271" s="22" t="s">
        <v>131</v>
      </c>
      <c r="H271" s="22" t="s">
        <v>131</v>
      </c>
      <c r="I271" s="22" t="n">
        <v>1.293</v>
      </c>
      <c r="J271" s="22" t="n">
        <v>1.293</v>
      </c>
      <c r="K271" s="22" t="n">
        <v>1.314</v>
      </c>
      <c r="L271" s="22" t="n">
        <v>1.317</v>
      </c>
      <c r="M271" s="22" t="n">
        <v>1.325</v>
      </c>
      <c r="N271" s="22" t="n">
        <v>1.349</v>
      </c>
      <c r="O271" s="22" t="n">
        <v>1.382</v>
      </c>
      <c r="P271" s="22" t="n">
        <v>1.367</v>
      </c>
      <c r="Q271" s="22" t="n">
        <v>1.364</v>
      </c>
      <c r="R271" s="22" t="n">
        <v>1.372</v>
      </c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customFormat="false" ht="15" hidden="false" customHeight="false" outlineLevel="0" collapsed="false">
      <c r="A272" s="22" t="s">
        <v>36</v>
      </c>
      <c r="B272" s="22" t="s">
        <v>3</v>
      </c>
      <c r="C272" s="22" t="s">
        <v>36</v>
      </c>
      <c r="D272" s="22" t="n">
        <v>22220</v>
      </c>
      <c r="E272" s="22" t="s">
        <v>132</v>
      </c>
      <c r="F272" s="22" t="s">
        <v>133</v>
      </c>
      <c r="G272" s="22" t="s">
        <v>131</v>
      </c>
      <c r="H272" s="22" t="s">
        <v>131</v>
      </c>
      <c r="I272" s="22" t="n">
        <v>40527</v>
      </c>
      <c r="J272" s="22" t="n">
        <v>41163</v>
      </c>
      <c r="K272" s="22" t="n">
        <v>41545</v>
      </c>
      <c r="L272" s="22" t="n">
        <v>42067</v>
      </c>
      <c r="M272" s="22" t="n">
        <v>42285</v>
      </c>
      <c r="N272" s="22" t="n">
        <v>42536</v>
      </c>
      <c r="O272" s="22" t="n">
        <v>43014</v>
      </c>
      <c r="P272" s="22" t="n">
        <v>43415</v>
      </c>
      <c r="Q272" s="22" t="n">
        <v>43640</v>
      </c>
      <c r="R272" s="22" t="n">
        <v>43883</v>
      </c>
      <c r="S272" s="22" t="n">
        <v>44040</v>
      </c>
      <c r="T272" s="22" t="n">
        <v>44382</v>
      </c>
      <c r="U272" s="22" t="n">
        <v>45297</v>
      </c>
      <c r="V272" s="22" t="n">
        <v>45715</v>
      </c>
      <c r="W272" s="22" t="n">
        <v>45904</v>
      </c>
      <c r="X272" s="22" t="n">
        <v>45988</v>
      </c>
      <c r="Y272" s="22" t="n">
        <v>46202</v>
      </c>
      <c r="Z272" s="22" t="n">
        <v>46647</v>
      </c>
      <c r="AA272" s="22" t="n">
        <v>46886</v>
      </c>
      <c r="AB272" s="22" t="n">
        <v>47037</v>
      </c>
      <c r="AC272" s="22" t="n">
        <v>47328</v>
      </c>
      <c r="AD272" s="22" t="n">
        <v>47853</v>
      </c>
      <c r="AE272" s="22" t="n">
        <v>48124</v>
      </c>
      <c r="AF272" s="22" t="n">
        <v>48309</v>
      </c>
    </row>
    <row r="273" customFormat="false" ht="15" hidden="false" customHeight="false" outlineLevel="0" collapsed="false">
      <c r="A273" s="22" t="s">
        <v>36</v>
      </c>
      <c r="B273" s="22" t="s">
        <v>3</v>
      </c>
      <c r="C273" s="22" t="s">
        <v>36</v>
      </c>
      <c r="D273" s="22" t="n">
        <v>22220</v>
      </c>
      <c r="E273" s="22" t="s">
        <v>132</v>
      </c>
      <c r="F273" s="22" t="s">
        <v>5</v>
      </c>
      <c r="G273" s="22" t="s">
        <v>131</v>
      </c>
      <c r="H273" s="22" t="s">
        <v>131</v>
      </c>
      <c r="I273" s="22" t="n">
        <v>1.299</v>
      </c>
      <c r="J273" s="22" t="n">
        <v>1.298</v>
      </c>
      <c r="K273" s="22" t="n">
        <v>1.319</v>
      </c>
      <c r="L273" s="22" t="n">
        <v>1.323</v>
      </c>
      <c r="M273" s="22" t="n">
        <v>1.329</v>
      </c>
      <c r="N273" s="22" t="n">
        <v>1.353</v>
      </c>
      <c r="O273" s="22" t="n">
        <v>1.391</v>
      </c>
      <c r="P273" s="22" t="n">
        <v>1.379</v>
      </c>
      <c r="Q273" s="22" t="n">
        <v>1.385</v>
      </c>
      <c r="R273" s="22" t="n">
        <v>1.392</v>
      </c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customFormat="false" ht="15" hidden="false" customHeight="false" outlineLevel="0" collapsed="false">
      <c r="A274" s="22" t="s">
        <v>36</v>
      </c>
      <c r="B274" s="22" t="s">
        <v>3</v>
      </c>
      <c r="C274" s="22" t="s">
        <v>36</v>
      </c>
      <c r="D274" s="22" t="n">
        <v>22220</v>
      </c>
      <c r="E274" s="22" t="s">
        <v>134</v>
      </c>
      <c r="F274" s="22" t="s">
        <v>135</v>
      </c>
      <c r="G274" s="22" t="s">
        <v>131</v>
      </c>
      <c r="H274" s="22" t="s">
        <v>131</v>
      </c>
      <c r="I274" s="22" t="n">
        <v>0.0289</v>
      </c>
      <c r="J274" s="22" t="n">
        <v>0.0275</v>
      </c>
      <c r="K274" s="22" t="n">
        <v>0.022</v>
      </c>
      <c r="L274" s="22" t="n">
        <v>0.0236</v>
      </c>
      <c r="M274" s="22" t="n">
        <v>0.0286</v>
      </c>
      <c r="N274" s="22" t="n">
        <v>0.0307</v>
      </c>
      <c r="O274" s="22" t="n">
        <v>0.0231</v>
      </c>
      <c r="P274" s="22" t="n">
        <v>-0.0021</v>
      </c>
      <c r="Q274" s="22" t="n">
        <v>-0.0067</v>
      </c>
      <c r="R274" s="22" t="n">
        <v>-0.0224</v>
      </c>
      <c r="S274" s="22" t="n">
        <v>-0.02</v>
      </c>
      <c r="T274" s="22" t="n">
        <v>-0.016</v>
      </c>
      <c r="U274" s="22" t="n">
        <v>-0.009</v>
      </c>
      <c r="V274" s="22" t="n">
        <v>0</v>
      </c>
      <c r="W274" s="22" t="n">
        <v>0.01</v>
      </c>
      <c r="X274" s="22" t="n">
        <v>0.023</v>
      </c>
      <c r="Y274" s="22" t="n">
        <v>0.025</v>
      </c>
      <c r="Z274" s="22" t="n">
        <v>0.024</v>
      </c>
      <c r="AA274" s="22" t="n">
        <v>0.026</v>
      </c>
      <c r="AB274" s="22" t="n">
        <v>0.025</v>
      </c>
      <c r="AC274" s="22" t="n">
        <v>0.024</v>
      </c>
      <c r="AD274" s="22" t="n">
        <v>0.024</v>
      </c>
      <c r="AE274" s="22" t="n">
        <v>0.025</v>
      </c>
      <c r="AF274" s="22" t="n">
        <v>0.024</v>
      </c>
    </row>
    <row r="275" customFormat="false" ht="15" hidden="false" customHeight="false" outlineLevel="0" collapsed="false">
      <c r="A275" s="22" t="s">
        <v>36</v>
      </c>
      <c r="B275" s="22" t="s">
        <v>3</v>
      </c>
      <c r="C275" s="22" t="s">
        <v>36</v>
      </c>
      <c r="D275" s="22" t="n">
        <v>22220</v>
      </c>
      <c r="E275" s="22" t="s">
        <v>136</v>
      </c>
      <c r="F275" s="22" t="s">
        <v>137</v>
      </c>
      <c r="G275" s="22" t="s">
        <v>131</v>
      </c>
      <c r="H275" s="22" t="s">
        <v>131</v>
      </c>
      <c r="I275" s="22" t="n">
        <v>7</v>
      </c>
      <c r="J275" s="22" t="n">
        <v>6</v>
      </c>
      <c r="K275" s="22" t="n">
        <v>4</v>
      </c>
      <c r="L275" s="22" t="n">
        <v>4</v>
      </c>
      <c r="M275" s="22" t="n">
        <v>6</v>
      </c>
      <c r="N275" s="22" t="n">
        <v>7</v>
      </c>
      <c r="O275" s="22" t="n">
        <v>7</v>
      </c>
      <c r="P275" s="22" t="n">
        <v>8</v>
      </c>
      <c r="Q275" s="22" t="n">
        <v>5</v>
      </c>
      <c r="R275" s="22" t="n">
        <v>4</v>
      </c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</row>
    <row r="276" customFormat="false" ht="15" hidden="false" customHeight="false" outlineLevel="0" collapsed="false">
      <c r="A276" s="22" t="s">
        <v>164</v>
      </c>
      <c r="B276" s="22" t="s">
        <v>3</v>
      </c>
      <c r="C276" s="22" t="s">
        <v>164</v>
      </c>
      <c r="D276" s="22" t="n">
        <v>22420</v>
      </c>
      <c r="E276" s="22" t="s">
        <v>129</v>
      </c>
      <c r="F276" s="22" t="s">
        <v>130</v>
      </c>
      <c r="G276" s="22" t="s">
        <v>131</v>
      </c>
      <c r="H276" s="22" t="s">
        <v>131</v>
      </c>
      <c r="I276" s="22" t="n">
        <v>0.947886911333265</v>
      </c>
      <c r="J276" s="22" t="n">
        <v>0.95697733543084</v>
      </c>
      <c r="K276" s="22" t="n">
        <v>0.972276057578862</v>
      </c>
      <c r="L276" s="22" t="n">
        <v>0.978758622075928</v>
      </c>
      <c r="M276" s="22" t="n">
        <v>0.987926718416551</v>
      </c>
      <c r="N276" s="22" t="n">
        <v>0.947194500170985</v>
      </c>
      <c r="O276" s="22" t="n">
        <v>0.97721287547952</v>
      </c>
      <c r="P276" s="22" t="n">
        <v>1.01528473583715</v>
      </c>
      <c r="Q276" s="22" t="n">
        <v>1.02449904707749</v>
      </c>
      <c r="R276" s="22" t="n">
        <v>1.03508020499713</v>
      </c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customFormat="false" ht="15" hidden="false" customHeight="false" outlineLevel="0" collapsed="false">
      <c r="A277" s="22" t="s">
        <v>164</v>
      </c>
      <c r="B277" s="22" t="s">
        <v>3</v>
      </c>
      <c r="C277" s="22" t="s">
        <v>164</v>
      </c>
      <c r="D277" s="22" t="n">
        <v>22420</v>
      </c>
      <c r="E277" s="22" t="s">
        <v>132</v>
      </c>
      <c r="F277" s="22" t="s">
        <v>6</v>
      </c>
      <c r="G277" s="22" t="s">
        <v>131</v>
      </c>
      <c r="H277" s="22" t="s">
        <v>131</v>
      </c>
      <c r="I277" s="22" t="n">
        <v>1.123</v>
      </c>
      <c r="J277" s="22" t="n">
        <v>1.128</v>
      </c>
      <c r="K277" s="22" t="n">
        <v>1.135</v>
      </c>
      <c r="L277" s="22" t="n">
        <v>1.145</v>
      </c>
      <c r="M277" s="22" t="n">
        <v>1.152</v>
      </c>
      <c r="N277" s="22" t="n">
        <v>1.178</v>
      </c>
      <c r="O277" s="22" t="n">
        <v>1.192</v>
      </c>
      <c r="P277" s="22" t="n">
        <v>1.204</v>
      </c>
      <c r="Q277" s="22" t="n">
        <v>1.211</v>
      </c>
      <c r="R277" s="22" t="n">
        <v>1.227</v>
      </c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</row>
    <row r="278" customFormat="false" ht="15" hidden="false" customHeight="false" outlineLevel="0" collapsed="false">
      <c r="A278" s="22" t="s">
        <v>164</v>
      </c>
      <c r="B278" s="22" t="s">
        <v>3</v>
      </c>
      <c r="C278" s="22" t="s">
        <v>164</v>
      </c>
      <c r="D278" s="22" t="n">
        <v>22420</v>
      </c>
      <c r="E278" s="22" t="s">
        <v>132</v>
      </c>
      <c r="F278" s="22" t="s">
        <v>133</v>
      </c>
      <c r="G278" s="22" t="s">
        <v>131</v>
      </c>
      <c r="H278" s="22" t="s">
        <v>131</v>
      </c>
      <c r="I278" s="22" t="n">
        <v>25210</v>
      </c>
      <c r="J278" s="22" t="n">
        <v>25210</v>
      </c>
      <c r="K278" s="22" t="n">
        <v>25210</v>
      </c>
      <c r="L278" s="22" t="n">
        <v>25210</v>
      </c>
      <c r="M278" s="22" t="n">
        <v>25210</v>
      </c>
      <c r="N278" s="22" t="n">
        <v>25260</v>
      </c>
      <c r="O278" s="22" t="n">
        <v>25260</v>
      </c>
      <c r="P278" s="22" t="n">
        <v>25260</v>
      </c>
      <c r="Q278" s="22" t="n">
        <v>25260</v>
      </c>
      <c r="R278" s="22" t="n">
        <v>25260</v>
      </c>
      <c r="S278" s="22" t="n">
        <v>25260</v>
      </c>
      <c r="T278" s="22" t="n">
        <v>25260</v>
      </c>
      <c r="U278" s="22" t="n">
        <v>25260</v>
      </c>
      <c r="V278" s="22" t="n">
        <v>25260</v>
      </c>
      <c r="W278" s="22" t="n">
        <v>25300</v>
      </c>
      <c r="X278" s="22" t="n">
        <v>25302</v>
      </c>
      <c r="Y278" s="22" t="n">
        <v>25303</v>
      </c>
      <c r="Z278" s="22" t="n">
        <v>25305</v>
      </c>
      <c r="AA278" s="22" t="n">
        <v>25344</v>
      </c>
      <c r="AB278" s="22" t="n">
        <v>25345</v>
      </c>
      <c r="AC278" s="22" t="n">
        <v>25346</v>
      </c>
      <c r="AD278" s="22" t="n">
        <v>25347</v>
      </c>
      <c r="AE278" s="22" t="n">
        <v>25385</v>
      </c>
      <c r="AF278" s="22" t="n">
        <v>25385</v>
      </c>
    </row>
    <row r="279" customFormat="false" ht="15" hidden="false" customHeight="false" outlineLevel="0" collapsed="false">
      <c r="A279" s="22" t="s">
        <v>164</v>
      </c>
      <c r="B279" s="22" t="s">
        <v>3</v>
      </c>
      <c r="C279" s="22" t="s">
        <v>164</v>
      </c>
      <c r="D279" s="22" t="n">
        <v>22420</v>
      </c>
      <c r="E279" s="22" t="s">
        <v>132</v>
      </c>
      <c r="F279" s="22" t="s">
        <v>5</v>
      </c>
      <c r="G279" s="22" t="s">
        <v>131</v>
      </c>
      <c r="H279" s="22" t="s">
        <v>131</v>
      </c>
      <c r="I279" s="22" t="n">
        <v>1.125</v>
      </c>
      <c r="J279" s="22" t="n">
        <v>1.134</v>
      </c>
      <c r="K279" s="22" t="n">
        <v>1.145</v>
      </c>
      <c r="L279" s="22" t="n">
        <v>1.148</v>
      </c>
      <c r="M279" s="22" t="n">
        <v>1.154</v>
      </c>
      <c r="N279" s="22" t="n">
        <v>1.179</v>
      </c>
      <c r="O279" s="22" t="n">
        <v>1.194</v>
      </c>
      <c r="P279" s="22" t="n">
        <v>1.206</v>
      </c>
      <c r="Q279" s="22" t="n">
        <v>1.215</v>
      </c>
      <c r="R279" s="22" t="n">
        <v>1.23</v>
      </c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</row>
    <row r="280" customFormat="false" ht="15" hidden="false" customHeight="false" outlineLevel="0" collapsed="false">
      <c r="A280" s="22" t="s">
        <v>164</v>
      </c>
      <c r="B280" s="22" t="s">
        <v>3</v>
      </c>
      <c r="C280" s="22" t="s">
        <v>164</v>
      </c>
      <c r="D280" s="22" t="n">
        <v>22420</v>
      </c>
      <c r="E280" s="22" t="s">
        <v>134</v>
      </c>
      <c r="F280" s="22" t="s">
        <v>135</v>
      </c>
      <c r="G280" s="22" t="s">
        <v>131</v>
      </c>
      <c r="H280" s="22" t="s">
        <v>131</v>
      </c>
      <c r="I280" s="22" t="n">
        <v>0.0323</v>
      </c>
      <c r="J280" s="22" t="n">
        <v>0.0299</v>
      </c>
      <c r="K280" s="22" t="n">
        <v>0.0282</v>
      </c>
      <c r="L280" s="22" t="n">
        <v>0.0355</v>
      </c>
      <c r="M280" s="22" t="n">
        <v>0.0261</v>
      </c>
      <c r="N280" s="22" t="n">
        <v>0.0388</v>
      </c>
      <c r="O280" s="22" t="n">
        <v>0.0365</v>
      </c>
      <c r="P280" s="22" t="n">
        <v>0.0313</v>
      </c>
      <c r="Q280" s="22" t="n">
        <v>0.0269</v>
      </c>
      <c r="R280" s="22" t="n">
        <v>0.0223</v>
      </c>
      <c r="S280" s="22" t="n">
        <v>0.028</v>
      </c>
      <c r="T280" s="22" t="n">
        <v>0.03</v>
      </c>
      <c r="U280" s="22" t="n">
        <v>0.034</v>
      </c>
      <c r="V280" s="22" t="n">
        <v>0.036</v>
      </c>
      <c r="W280" s="22" t="n">
        <v>0.039</v>
      </c>
      <c r="X280" s="22" t="n">
        <v>0.041</v>
      </c>
      <c r="Y280" s="22" t="n">
        <v>0.043</v>
      </c>
      <c r="Z280" s="22" t="n">
        <v>0.04</v>
      </c>
      <c r="AA280" s="22" t="n">
        <v>0.042</v>
      </c>
      <c r="AB280" s="22" t="n">
        <v>0.042</v>
      </c>
      <c r="AC280" s="22" t="n">
        <v>0.043</v>
      </c>
      <c r="AD280" s="22" t="n">
        <v>0.043</v>
      </c>
      <c r="AE280" s="22" t="n">
        <v>0.043</v>
      </c>
      <c r="AF280" s="22" t="n">
        <v>0.043</v>
      </c>
    </row>
    <row r="281" customFormat="false" ht="15" hidden="false" customHeight="false" outlineLevel="0" collapsed="false">
      <c r="A281" s="22" t="s">
        <v>164</v>
      </c>
      <c r="B281" s="22" t="s">
        <v>3</v>
      </c>
      <c r="C281" s="22" t="s">
        <v>164</v>
      </c>
      <c r="D281" s="22" t="n">
        <v>22420</v>
      </c>
      <c r="E281" s="22" t="s">
        <v>136</v>
      </c>
      <c r="F281" s="22" t="s">
        <v>137</v>
      </c>
      <c r="G281" s="22" t="s">
        <v>131</v>
      </c>
      <c r="H281" s="22" t="s">
        <v>131</v>
      </c>
      <c r="I281" s="22" t="n">
        <v>1</v>
      </c>
      <c r="J281" s="22" t="n">
        <v>0</v>
      </c>
      <c r="K281" s="22" t="n">
        <v>0</v>
      </c>
      <c r="L281" s="22" t="n">
        <v>0</v>
      </c>
      <c r="M281" s="22" t="n">
        <v>0</v>
      </c>
      <c r="N281" s="22" t="n">
        <v>0</v>
      </c>
      <c r="O281" s="22" t="n">
        <v>0</v>
      </c>
      <c r="P281" s="22" t="n">
        <v>0</v>
      </c>
      <c r="Q281" s="22" t="n">
        <v>0</v>
      </c>
      <c r="R281" s="22" t="n">
        <v>0</v>
      </c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customFormat="false" ht="15" hidden="false" customHeight="false" outlineLevel="0" collapsed="false">
      <c r="A282" s="22" t="s">
        <v>49</v>
      </c>
      <c r="B282" s="22" t="s">
        <v>3</v>
      </c>
      <c r="C282" s="22" t="s">
        <v>49</v>
      </c>
      <c r="D282" s="22" t="n">
        <v>22660</v>
      </c>
      <c r="E282" s="22" t="s">
        <v>129</v>
      </c>
      <c r="F282" s="22" t="s">
        <v>130</v>
      </c>
      <c r="G282" s="22" t="s">
        <v>131</v>
      </c>
      <c r="H282" s="22" t="s">
        <v>131</v>
      </c>
      <c r="I282" s="22" t="n">
        <v>1.83823436399389</v>
      </c>
      <c r="J282" s="22" t="n">
        <v>1.83695265280457</v>
      </c>
      <c r="K282" s="22" t="n">
        <v>1.8628306546326</v>
      </c>
      <c r="L282" s="22" t="n">
        <v>1.87313403895458</v>
      </c>
      <c r="M282" s="22" t="n">
        <v>1.90569240357299</v>
      </c>
      <c r="N282" s="22" t="n">
        <v>1.91613712519024</v>
      </c>
      <c r="O282" s="22" t="n">
        <v>1.94617892696237</v>
      </c>
      <c r="P282" s="22" t="n">
        <v>1.93307699325078</v>
      </c>
      <c r="Q282" s="22" t="n">
        <v>1.9203510452794</v>
      </c>
      <c r="R282" s="22" t="n">
        <v>1.91999554539251</v>
      </c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</row>
    <row r="283" customFormat="false" ht="15" hidden="false" customHeight="false" outlineLevel="0" collapsed="false">
      <c r="A283" s="22" t="s">
        <v>49</v>
      </c>
      <c r="B283" s="22" t="s">
        <v>3</v>
      </c>
      <c r="C283" s="22" t="s">
        <v>49</v>
      </c>
      <c r="D283" s="22" t="n">
        <v>22660</v>
      </c>
      <c r="E283" s="22" t="s">
        <v>132</v>
      </c>
      <c r="F283" s="22" t="s">
        <v>6</v>
      </c>
      <c r="G283" s="22" t="s">
        <v>131</v>
      </c>
      <c r="H283" s="22" t="s">
        <v>131</v>
      </c>
      <c r="I283" s="22" t="n">
        <v>1.952</v>
      </c>
      <c r="J283" s="22" t="n">
        <v>2.028</v>
      </c>
      <c r="K283" s="22" t="n">
        <v>2.041</v>
      </c>
      <c r="L283" s="22" t="n">
        <v>1.927</v>
      </c>
      <c r="M283" s="22" t="n">
        <v>1.925</v>
      </c>
      <c r="N283" s="22" t="n">
        <v>2.028</v>
      </c>
      <c r="O283" s="22" t="n">
        <v>1.999</v>
      </c>
      <c r="P283" s="22" t="n">
        <v>1.884</v>
      </c>
      <c r="Q283" s="22" t="n">
        <v>1.924</v>
      </c>
      <c r="R283" s="22" t="n">
        <v>2.024</v>
      </c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</row>
    <row r="284" customFormat="false" ht="15" hidden="false" customHeight="false" outlineLevel="0" collapsed="false">
      <c r="A284" s="22" t="s">
        <v>49</v>
      </c>
      <c r="B284" s="22" t="s">
        <v>3</v>
      </c>
      <c r="C284" s="22" t="s">
        <v>49</v>
      </c>
      <c r="D284" s="22" t="n">
        <v>22660</v>
      </c>
      <c r="E284" s="22" t="s">
        <v>132</v>
      </c>
      <c r="F284" s="22" t="s">
        <v>133</v>
      </c>
      <c r="G284" s="22" t="s">
        <v>131</v>
      </c>
      <c r="H284" s="22" t="s">
        <v>131</v>
      </c>
      <c r="I284" s="22" t="n">
        <v>23560</v>
      </c>
      <c r="J284" s="22" t="n">
        <v>23716</v>
      </c>
      <c r="K284" s="22" t="n">
        <v>24085</v>
      </c>
      <c r="L284" s="22" t="n">
        <v>24356</v>
      </c>
      <c r="M284" s="22" t="n">
        <v>24229</v>
      </c>
      <c r="N284" s="22" t="n">
        <v>24367</v>
      </c>
      <c r="O284" s="22" t="n">
        <v>24499</v>
      </c>
      <c r="P284" s="22" t="n">
        <v>24627</v>
      </c>
      <c r="Q284" s="22" t="n">
        <v>24713</v>
      </c>
      <c r="R284" s="22" t="n">
        <v>24829</v>
      </c>
      <c r="S284" s="22" t="n">
        <v>24950</v>
      </c>
      <c r="T284" s="22" t="n">
        <v>25145</v>
      </c>
      <c r="U284" s="22" t="n">
        <v>25651</v>
      </c>
      <c r="V284" s="22" t="n">
        <v>25992</v>
      </c>
      <c r="W284" s="22" t="n">
        <v>26186</v>
      </c>
      <c r="X284" s="22" t="n">
        <v>26348</v>
      </c>
      <c r="Y284" s="22" t="n">
        <v>26410</v>
      </c>
      <c r="Z284" s="22" t="n">
        <v>26410</v>
      </c>
      <c r="AA284" s="22" t="n">
        <v>26410</v>
      </c>
      <c r="AB284" s="22" t="n">
        <v>26428</v>
      </c>
      <c r="AC284" s="22" t="n">
        <v>26481</v>
      </c>
      <c r="AD284" s="22" t="n">
        <v>26473</v>
      </c>
      <c r="AE284" s="22" t="n">
        <v>26468</v>
      </c>
      <c r="AF284" s="22" t="n">
        <v>26482</v>
      </c>
    </row>
    <row r="285" customFormat="false" ht="15" hidden="false" customHeight="false" outlineLevel="0" collapsed="false">
      <c r="A285" s="22" t="s">
        <v>49</v>
      </c>
      <c r="B285" s="22" t="s">
        <v>3</v>
      </c>
      <c r="C285" s="22" t="s">
        <v>49</v>
      </c>
      <c r="D285" s="22" t="n">
        <v>22660</v>
      </c>
      <c r="E285" s="22" t="s">
        <v>132</v>
      </c>
      <c r="F285" s="22" t="s">
        <v>5</v>
      </c>
      <c r="G285" s="22" t="s">
        <v>131</v>
      </c>
      <c r="H285" s="22" t="s">
        <v>131</v>
      </c>
      <c r="I285" s="22" t="n">
        <v>1.974</v>
      </c>
      <c r="J285" s="22" t="n">
        <v>2.047</v>
      </c>
      <c r="K285" s="22" t="n">
        <v>2.049</v>
      </c>
      <c r="L285" s="22" t="n">
        <v>1.946</v>
      </c>
      <c r="M285" s="22" t="n">
        <v>1.94</v>
      </c>
      <c r="N285" s="22" t="n">
        <v>2.042</v>
      </c>
      <c r="O285" s="22" t="n">
        <v>2.018</v>
      </c>
      <c r="P285" s="22" t="n">
        <v>1.92</v>
      </c>
      <c r="Q285" s="22" t="n">
        <v>1.956</v>
      </c>
      <c r="R285" s="22" t="n">
        <v>2.045</v>
      </c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</row>
    <row r="286" customFormat="false" ht="15" hidden="false" customHeight="false" outlineLevel="0" collapsed="false">
      <c r="A286" s="22" t="s">
        <v>49</v>
      </c>
      <c r="B286" s="22" t="s">
        <v>3</v>
      </c>
      <c r="C286" s="22" t="s">
        <v>49</v>
      </c>
      <c r="D286" s="22" t="n">
        <v>22660</v>
      </c>
      <c r="E286" s="22" t="s">
        <v>134</v>
      </c>
      <c r="F286" s="22" t="s">
        <v>135</v>
      </c>
      <c r="G286" s="22" t="s">
        <v>131</v>
      </c>
      <c r="H286" s="22" t="s">
        <v>131</v>
      </c>
      <c r="I286" s="22" t="n">
        <v>-0.0006</v>
      </c>
      <c r="J286" s="22" t="n">
        <v>0.019</v>
      </c>
      <c r="K286" s="22" t="n">
        <v>0.0123</v>
      </c>
      <c r="L286" s="22" t="n">
        <v>-0.0133</v>
      </c>
      <c r="M286" s="22" t="n">
        <v>-0.0083</v>
      </c>
      <c r="N286" s="22" t="n">
        <v>0.0107</v>
      </c>
      <c r="O286" s="22" t="n">
        <v>-0.0175</v>
      </c>
      <c r="P286" s="22" t="n">
        <v>-0.0236</v>
      </c>
      <c r="Q286" s="22" t="n">
        <v>-0.0013</v>
      </c>
      <c r="R286" s="22" t="n">
        <v>-0.0062</v>
      </c>
      <c r="S286" s="22" t="n">
        <v>-0.001</v>
      </c>
      <c r="T286" s="22" t="n">
        <v>0.006</v>
      </c>
      <c r="U286" s="22" t="n">
        <v>0.01</v>
      </c>
      <c r="V286" s="22" t="n">
        <v>0.015</v>
      </c>
      <c r="W286" s="22" t="n">
        <v>0.022</v>
      </c>
      <c r="X286" s="22" t="n">
        <v>0.024</v>
      </c>
      <c r="Y286" s="22" t="n">
        <v>0.019</v>
      </c>
      <c r="Z286" s="22" t="n">
        <v>0.018</v>
      </c>
      <c r="AA286" s="22" t="n">
        <v>0.025</v>
      </c>
      <c r="AB286" s="22" t="n">
        <v>0.026</v>
      </c>
      <c r="AC286" s="22" t="n">
        <v>0.02</v>
      </c>
      <c r="AD286" s="22" t="n">
        <v>0.019</v>
      </c>
      <c r="AE286" s="22" t="n">
        <v>0.024</v>
      </c>
      <c r="AF286" s="22" t="n">
        <v>0.025</v>
      </c>
    </row>
    <row r="287" customFormat="false" ht="15" hidden="false" customHeight="false" outlineLevel="0" collapsed="false">
      <c r="A287" s="22" t="s">
        <v>49</v>
      </c>
      <c r="B287" s="22" t="s">
        <v>3</v>
      </c>
      <c r="C287" s="22" t="s">
        <v>49</v>
      </c>
      <c r="D287" s="22" t="n">
        <v>22660</v>
      </c>
      <c r="E287" s="22" t="s">
        <v>136</v>
      </c>
      <c r="F287" s="22" t="s">
        <v>137</v>
      </c>
      <c r="G287" s="22" t="s">
        <v>131</v>
      </c>
      <c r="H287" s="22" t="s">
        <v>131</v>
      </c>
      <c r="I287" s="22" t="n">
        <v>2</v>
      </c>
      <c r="J287" s="22" t="n">
        <v>0</v>
      </c>
      <c r="K287" s="22" t="n">
        <v>1</v>
      </c>
      <c r="L287" s="22" t="n">
        <v>1</v>
      </c>
      <c r="M287" s="22" t="n">
        <v>1</v>
      </c>
      <c r="N287" s="22" t="n">
        <v>6</v>
      </c>
      <c r="O287" s="22" t="n">
        <v>7</v>
      </c>
      <c r="P287" s="22" t="n">
        <v>7</v>
      </c>
      <c r="Q287" s="22" t="n">
        <v>7</v>
      </c>
      <c r="R287" s="22" t="n">
        <v>2</v>
      </c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</row>
    <row r="288" customFormat="false" ht="15" hidden="false" customHeight="false" outlineLevel="0" collapsed="false">
      <c r="A288" s="22" t="s">
        <v>54</v>
      </c>
      <c r="B288" s="22" t="s">
        <v>3</v>
      </c>
      <c r="C288" s="22" t="s">
        <v>54</v>
      </c>
      <c r="D288" s="22" t="n">
        <v>22744</v>
      </c>
      <c r="E288" s="22" t="s">
        <v>129</v>
      </c>
      <c r="F288" s="22" t="s">
        <v>130</v>
      </c>
      <c r="G288" s="22" t="s">
        <v>131</v>
      </c>
      <c r="H288" s="22" t="s">
        <v>131</v>
      </c>
      <c r="I288" s="22" t="n">
        <v>2.38480697164714</v>
      </c>
      <c r="J288" s="22" t="n">
        <v>2.39920013105415</v>
      </c>
      <c r="K288" s="22" t="n">
        <v>2.41027365862406</v>
      </c>
      <c r="L288" s="22" t="n">
        <v>2.4142366338893</v>
      </c>
      <c r="M288" s="22" t="n">
        <v>2.41671951510247</v>
      </c>
      <c r="N288" s="22" t="n">
        <v>2.4177628972616</v>
      </c>
      <c r="O288" s="22" t="n">
        <v>2.42322307016269</v>
      </c>
      <c r="P288" s="22" t="n">
        <v>2.43653123088471</v>
      </c>
      <c r="Q288" s="22" t="n">
        <v>2.44600653301163</v>
      </c>
      <c r="R288" s="22" t="n">
        <v>2.44790670860986</v>
      </c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</row>
    <row r="289" customFormat="false" ht="15" hidden="false" customHeight="false" outlineLevel="0" collapsed="false">
      <c r="A289" s="22" t="s">
        <v>54</v>
      </c>
      <c r="B289" s="22" t="s">
        <v>3</v>
      </c>
      <c r="C289" s="22" t="s">
        <v>54</v>
      </c>
      <c r="D289" s="22" t="n">
        <v>22744</v>
      </c>
      <c r="E289" s="22" t="s">
        <v>132</v>
      </c>
      <c r="F289" s="22" t="s">
        <v>6</v>
      </c>
      <c r="G289" s="22" t="s">
        <v>131</v>
      </c>
      <c r="H289" s="22" t="s">
        <v>131</v>
      </c>
      <c r="I289" s="22" t="n">
        <v>2.381</v>
      </c>
      <c r="J289" s="22" t="n">
        <v>2.398</v>
      </c>
      <c r="K289" s="22" t="n">
        <v>2.374</v>
      </c>
      <c r="L289" s="22" t="n">
        <v>2.354</v>
      </c>
      <c r="M289" s="22" t="n">
        <v>2.376</v>
      </c>
      <c r="N289" s="22" t="n">
        <v>2.418</v>
      </c>
      <c r="O289" s="22" t="n">
        <v>2.417</v>
      </c>
      <c r="P289" s="22" t="n">
        <v>2.389</v>
      </c>
      <c r="Q289" s="22" t="n">
        <v>2.408</v>
      </c>
      <c r="R289" s="22" t="n">
        <v>2.43</v>
      </c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</row>
    <row r="290" customFormat="false" ht="15" hidden="false" customHeight="false" outlineLevel="0" collapsed="false">
      <c r="A290" s="22" t="s">
        <v>54</v>
      </c>
      <c r="B290" s="22" t="s">
        <v>3</v>
      </c>
      <c r="C290" s="22" t="s">
        <v>54</v>
      </c>
      <c r="D290" s="22" t="n">
        <v>22744</v>
      </c>
      <c r="E290" s="22" t="s">
        <v>132</v>
      </c>
      <c r="F290" s="22" t="s">
        <v>133</v>
      </c>
      <c r="G290" s="22" t="s">
        <v>131</v>
      </c>
      <c r="H290" s="22" t="s">
        <v>131</v>
      </c>
      <c r="I290" s="22" t="n">
        <v>203955</v>
      </c>
      <c r="J290" s="22" t="n">
        <v>204794</v>
      </c>
      <c r="K290" s="22" t="n">
        <v>206833</v>
      </c>
      <c r="L290" s="22" t="n">
        <v>208182</v>
      </c>
      <c r="M290" s="22" t="n">
        <v>209349</v>
      </c>
      <c r="N290" s="22" t="n">
        <v>210112</v>
      </c>
      <c r="O290" s="22" t="n">
        <v>210873</v>
      </c>
      <c r="P290" s="22" t="n">
        <v>212241</v>
      </c>
      <c r="Q290" s="22" t="n">
        <v>213123</v>
      </c>
      <c r="R290" s="22" t="n">
        <v>214441</v>
      </c>
      <c r="S290" s="22" t="n">
        <v>215107</v>
      </c>
      <c r="T290" s="22" t="n">
        <v>216559</v>
      </c>
      <c r="U290" s="22" t="n">
        <v>217848</v>
      </c>
      <c r="V290" s="22" t="n">
        <v>218818</v>
      </c>
      <c r="W290" s="22" t="n">
        <v>219590</v>
      </c>
      <c r="X290" s="22" t="n">
        <v>219726</v>
      </c>
      <c r="Y290" s="22" t="n">
        <v>220500</v>
      </c>
      <c r="Z290" s="22" t="n">
        <v>221002</v>
      </c>
      <c r="AA290" s="22" t="n">
        <v>221099</v>
      </c>
      <c r="AB290" s="22" t="n">
        <v>221150</v>
      </c>
      <c r="AC290" s="22" t="n">
        <v>221876</v>
      </c>
      <c r="AD290" s="22" t="n">
        <v>222348</v>
      </c>
      <c r="AE290" s="22" t="n">
        <v>222428</v>
      </c>
      <c r="AF290" s="22" t="n">
        <v>222486</v>
      </c>
    </row>
    <row r="291" customFormat="false" ht="15" hidden="false" customHeight="false" outlineLevel="0" collapsed="false">
      <c r="A291" s="22" t="s">
        <v>54</v>
      </c>
      <c r="B291" s="22" t="s">
        <v>3</v>
      </c>
      <c r="C291" s="22" t="s">
        <v>54</v>
      </c>
      <c r="D291" s="22" t="n">
        <v>22744</v>
      </c>
      <c r="E291" s="22" t="s">
        <v>132</v>
      </c>
      <c r="F291" s="22" t="s">
        <v>5</v>
      </c>
      <c r="G291" s="22" t="s">
        <v>131</v>
      </c>
      <c r="H291" s="22" t="s">
        <v>131</v>
      </c>
      <c r="I291" s="22" t="n">
        <v>2.397</v>
      </c>
      <c r="J291" s="22" t="n">
        <v>2.417</v>
      </c>
      <c r="K291" s="22" t="n">
        <v>2.395</v>
      </c>
      <c r="L291" s="22" t="n">
        <v>2.378</v>
      </c>
      <c r="M291" s="22" t="n">
        <v>2.398</v>
      </c>
      <c r="N291" s="22" t="n">
        <v>2.434</v>
      </c>
      <c r="O291" s="22" t="n">
        <v>2.441</v>
      </c>
      <c r="P291" s="22" t="n">
        <v>2.416</v>
      </c>
      <c r="Q291" s="22" t="n">
        <v>2.44</v>
      </c>
      <c r="R291" s="22" t="n">
        <v>2.461</v>
      </c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</row>
    <row r="292" customFormat="false" ht="15" hidden="false" customHeight="false" outlineLevel="0" collapsed="false">
      <c r="A292" s="22" t="s">
        <v>54</v>
      </c>
      <c r="B292" s="22" t="s">
        <v>3</v>
      </c>
      <c r="C292" s="22" t="s">
        <v>54</v>
      </c>
      <c r="D292" s="22" t="n">
        <v>22744</v>
      </c>
      <c r="E292" s="22" t="s">
        <v>134</v>
      </c>
      <c r="F292" s="22" t="s">
        <v>135</v>
      </c>
      <c r="G292" s="22" t="s">
        <v>131</v>
      </c>
      <c r="H292" s="22" t="s">
        <v>131</v>
      </c>
      <c r="I292" s="22" t="n">
        <v>-0.0012</v>
      </c>
      <c r="J292" s="22" t="n">
        <v>-0.0067</v>
      </c>
      <c r="K292" s="22" t="n">
        <v>-0.0107</v>
      </c>
      <c r="L292" s="22" t="n">
        <v>-0.0092</v>
      </c>
      <c r="M292" s="22" t="n">
        <v>-0.009</v>
      </c>
      <c r="N292" s="22" t="n">
        <v>-0.0106</v>
      </c>
      <c r="O292" s="22" t="n">
        <v>-0.0091</v>
      </c>
      <c r="P292" s="22" t="n">
        <v>-0.0088</v>
      </c>
      <c r="Q292" s="22" t="n">
        <v>-0.0122</v>
      </c>
      <c r="R292" s="22" t="n">
        <v>-0.0091</v>
      </c>
      <c r="S292" s="22" t="n">
        <v>-0.004</v>
      </c>
      <c r="T292" s="22" t="n">
        <v>0.004</v>
      </c>
      <c r="U292" s="22" t="n">
        <v>0.013</v>
      </c>
      <c r="V292" s="22" t="n">
        <v>0.028</v>
      </c>
      <c r="W292" s="22" t="n">
        <v>0.031</v>
      </c>
      <c r="X292" s="22" t="n">
        <v>0.03</v>
      </c>
      <c r="Y292" s="22" t="n">
        <v>0.027</v>
      </c>
      <c r="Z292" s="22" t="n">
        <v>0.026</v>
      </c>
      <c r="AA292" s="22" t="n">
        <v>0.026</v>
      </c>
      <c r="AB292" s="22" t="n">
        <v>0.025</v>
      </c>
      <c r="AC292" s="22" t="n">
        <v>0.021</v>
      </c>
      <c r="AD292" s="22" t="n">
        <v>0.02</v>
      </c>
      <c r="AE292" s="22" t="n">
        <v>0.023</v>
      </c>
      <c r="AF292" s="22" t="n">
        <v>0.023</v>
      </c>
    </row>
    <row r="293" customFormat="false" ht="15" hidden="false" customHeight="false" outlineLevel="0" collapsed="false">
      <c r="A293" s="22" t="s">
        <v>54</v>
      </c>
      <c r="B293" s="22" t="s">
        <v>3</v>
      </c>
      <c r="C293" s="22" t="s">
        <v>54</v>
      </c>
      <c r="D293" s="22" t="n">
        <v>22744</v>
      </c>
      <c r="E293" s="22" t="s">
        <v>136</v>
      </c>
      <c r="F293" s="22" t="s">
        <v>137</v>
      </c>
      <c r="G293" s="22" t="s">
        <v>131</v>
      </c>
      <c r="H293" s="22" t="s">
        <v>131</v>
      </c>
      <c r="I293" s="22" t="n">
        <v>14</v>
      </c>
      <c r="J293" s="22" t="n">
        <v>14</v>
      </c>
      <c r="K293" s="22" t="n">
        <v>8</v>
      </c>
      <c r="L293" s="22" t="n">
        <v>9</v>
      </c>
      <c r="M293" s="22" t="n">
        <v>10</v>
      </c>
      <c r="N293" s="22" t="n">
        <v>15</v>
      </c>
      <c r="O293" s="22" t="n">
        <v>13</v>
      </c>
      <c r="P293" s="22" t="n">
        <v>10</v>
      </c>
      <c r="Q293" s="22" t="n">
        <v>10</v>
      </c>
      <c r="R293" s="22" t="n">
        <v>7</v>
      </c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</row>
    <row r="294" customFormat="false" ht="15" hidden="false" customHeight="false" outlineLevel="0" collapsed="false">
      <c r="A294" s="22" t="s">
        <v>165</v>
      </c>
      <c r="B294" s="22" t="s">
        <v>3</v>
      </c>
      <c r="C294" s="22" t="s">
        <v>165</v>
      </c>
      <c r="D294" s="22" t="n">
        <v>23060</v>
      </c>
      <c r="E294" s="22" t="s">
        <v>129</v>
      </c>
      <c r="F294" s="22" t="s">
        <v>130</v>
      </c>
      <c r="G294" s="22" t="s">
        <v>131</v>
      </c>
      <c r="H294" s="22" t="s">
        <v>131</v>
      </c>
      <c r="I294" s="22" t="n">
        <v>1.1381699787394</v>
      </c>
      <c r="J294" s="22" t="n">
        <v>1.14752343330157</v>
      </c>
      <c r="K294" s="22" t="n">
        <v>1.16273275183427</v>
      </c>
      <c r="L294" s="22" t="n">
        <v>1.18836893865996</v>
      </c>
      <c r="M294" s="22" t="n">
        <v>1.19211138841278</v>
      </c>
      <c r="N294" s="22" t="n">
        <v>1.19564923910549</v>
      </c>
      <c r="O294" s="22" t="n">
        <v>1.20602157049477</v>
      </c>
      <c r="P294" s="22" t="n">
        <v>1.21962232846729</v>
      </c>
      <c r="Q294" s="22" t="n">
        <v>1.34990294695859</v>
      </c>
      <c r="R294" s="22" t="n">
        <v>1.36198333352518</v>
      </c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customFormat="false" ht="15" hidden="false" customHeight="false" outlineLevel="0" collapsed="false">
      <c r="A295" s="22" t="s">
        <v>165</v>
      </c>
      <c r="B295" s="22" t="s">
        <v>3</v>
      </c>
      <c r="C295" s="22" t="s">
        <v>165</v>
      </c>
      <c r="D295" s="22" t="n">
        <v>23060</v>
      </c>
      <c r="E295" s="22" t="s">
        <v>132</v>
      </c>
      <c r="F295" s="22" t="s">
        <v>6</v>
      </c>
      <c r="G295" s="22" t="s">
        <v>131</v>
      </c>
      <c r="H295" s="22" t="s">
        <v>131</v>
      </c>
      <c r="I295" s="22" t="n">
        <v>1.227</v>
      </c>
      <c r="J295" s="22" t="n">
        <v>1.216</v>
      </c>
      <c r="K295" s="22" t="n">
        <v>1.254</v>
      </c>
      <c r="L295" s="22" t="n">
        <v>1.257</v>
      </c>
      <c r="M295" s="22" t="n">
        <v>1.26</v>
      </c>
      <c r="N295" s="22" t="n">
        <v>1.259</v>
      </c>
      <c r="O295" s="22" t="n">
        <v>1.264</v>
      </c>
      <c r="P295" s="22" t="n">
        <v>1.27</v>
      </c>
      <c r="Q295" s="22" t="n">
        <v>1.301</v>
      </c>
      <c r="R295" s="22" t="n">
        <v>1.336</v>
      </c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</row>
    <row r="296" customFormat="false" ht="15" hidden="false" customHeight="false" outlineLevel="0" collapsed="false">
      <c r="A296" s="22" t="s">
        <v>165</v>
      </c>
      <c r="B296" s="22" t="s">
        <v>3</v>
      </c>
      <c r="C296" s="22" t="s">
        <v>165</v>
      </c>
      <c r="D296" s="22" t="n">
        <v>23060</v>
      </c>
      <c r="E296" s="22" t="s">
        <v>132</v>
      </c>
      <c r="F296" s="22" t="s">
        <v>133</v>
      </c>
      <c r="G296" s="22" t="s">
        <v>131</v>
      </c>
      <c r="H296" s="22" t="s">
        <v>131</v>
      </c>
      <c r="I296" s="22" t="n">
        <v>29062</v>
      </c>
      <c r="J296" s="22" t="n">
        <v>29185</v>
      </c>
      <c r="K296" s="22" t="n">
        <v>29277</v>
      </c>
      <c r="L296" s="22" t="n">
        <v>29520</v>
      </c>
      <c r="M296" s="22" t="n">
        <v>29718</v>
      </c>
      <c r="N296" s="22" t="n">
        <v>29774</v>
      </c>
      <c r="O296" s="22" t="n">
        <v>29833</v>
      </c>
      <c r="P296" s="22" t="n">
        <v>30010</v>
      </c>
      <c r="Q296" s="22" t="n">
        <v>30070</v>
      </c>
      <c r="R296" s="22" t="n">
        <v>30302</v>
      </c>
      <c r="S296" s="22" t="n">
        <v>30317</v>
      </c>
      <c r="T296" s="22" t="n">
        <v>30322</v>
      </c>
      <c r="U296" s="22" t="n">
        <v>30346</v>
      </c>
      <c r="V296" s="22" t="n">
        <v>30364</v>
      </c>
      <c r="W296" s="22" t="n">
        <v>30415</v>
      </c>
      <c r="X296" s="22" t="n">
        <v>30506</v>
      </c>
      <c r="Y296" s="22" t="n">
        <v>30506</v>
      </c>
      <c r="Z296" s="22" t="n">
        <v>30506</v>
      </c>
      <c r="AA296" s="22" t="n">
        <v>30522</v>
      </c>
      <c r="AB296" s="22" t="n">
        <v>30547</v>
      </c>
      <c r="AC296" s="22" t="n">
        <v>30539</v>
      </c>
      <c r="AD296" s="22" t="n">
        <v>30539</v>
      </c>
      <c r="AE296" s="22" t="n">
        <v>30555</v>
      </c>
      <c r="AF296" s="22" t="n">
        <v>30585</v>
      </c>
    </row>
    <row r="297" customFormat="false" ht="15" hidden="false" customHeight="false" outlineLevel="0" collapsed="false">
      <c r="A297" s="22" t="s">
        <v>165</v>
      </c>
      <c r="B297" s="22" t="s">
        <v>3</v>
      </c>
      <c r="C297" s="22" t="s">
        <v>165</v>
      </c>
      <c r="D297" s="22" t="n">
        <v>23060</v>
      </c>
      <c r="E297" s="22" t="s">
        <v>132</v>
      </c>
      <c r="F297" s="22" t="s">
        <v>5</v>
      </c>
      <c r="G297" s="22" t="s">
        <v>131</v>
      </c>
      <c r="H297" s="22" t="s">
        <v>131</v>
      </c>
      <c r="I297" s="22" t="n">
        <v>1.23</v>
      </c>
      <c r="J297" s="22" t="n">
        <v>1.219</v>
      </c>
      <c r="K297" s="22" t="n">
        <v>1.255</v>
      </c>
      <c r="L297" s="22" t="n">
        <v>1.261</v>
      </c>
      <c r="M297" s="22" t="n">
        <v>1.266</v>
      </c>
      <c r="N297" s="22" t="n">
        <v>1.265</v>
      </c>
      <c r="O297" s="22" t="n">
        <v>1.269</v>
      </c>
      <c r="P297" s="22" t="n">
        <v>1.278</v>
      </c>
      <c r="Q297" s="22" t="n">
        <v>1.313</v>
      </c>
      <c r="R297" s="22" t="n">
        <v>1.347</v>
      </c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</row>
    <row r="298" customFormat="false" ht="15" hidden="false" customHeight="false" outlineLevel="0" collapsed="false">
      <c r="A298" s="22" t="s">
        <v>165</v>
      </c>
      <c r="B298" s="22" t="s">
        <v>3</v>
      </c>
      <c r="C298" s="22" t="s">
        <v>165</v>
      </c>
      <c r="D298" s="22" t="n">
        <v>23060</v>
      </c>
      <c r="E298" s="22" t="s">
        <v>134</v>
      </c>
      <c r="F298" s="22" t="s">
        <v>135</v>
      </c>
      <c r="G298" s="22" t="s">
        <v>131</v>
      </c>
      <c r="H298" s="22" t="s">
        <v>131</v>
      </c>
      <c r="I298" s="22" t="n">
        <v>-0.005</v>
      </c>
      <c r="J298" s="22" t="n">
        <v>0.0024</v>
      </c>
      <c r="K298" s="22" t="n">
        <v>0.0363</v>
      </c>
      <c r="L298" s="22" t="n">
        <v>0.0329</v>
      </c>
      <c r="M298" s="22" t="n">
        <v>0.0292</v>
      </c>
      <c r="N298" s="22" t="n">
        <v>0.0329</v>
      </c>
      <c r="O298" s="22" t="n">
        <v>-0.0054</v>
      </c>
      <c r="P298" s="22" t="n">
        <v>-0.0049</v>
      </c>
      <c r="Q298" s="22" t="n">
        <v>0.0227</v>
      </c>
      <c r="R298" s="22" t="n">
        <v>0.0419</v>
      </c>
      <c r="S298" s="22" t="n">
        <v>0.036</v>
      </c>
      <c r="T298" s="22" t="n">
        <v>0.034</v>
      </c>
      <c r="U298" s="22" t="n">
        <v>0.031</v>
      </c>
      <c r="V298" s="22" t="n">
        <v>0.025</v>
      </c>
      <c r="W298" s="22" t="n">
        <v>0.029</v>
      </c>
      <c r="X298" s="22" t="n">
        <v>0.028</v>
      </c>
      <c r="Y298" s="22" t="n">
        <v>0.022</v>
      </c>
      <c r="Z298" s="22" t="n">
        <v>0.023</v>
      </c>
      <c r="AA298" s="22" t="n">
        <v>0.029</v>
      </c>
      <c r="AB298" s="22" t="n">
        <v>0.03</v>
      </c>
      <c r="AC298" s="22" t="n">
        <v>0.025</v>
      </c>
      <c r="AD298" s="22" t="n">
        <v>0.026</v>
      </c>
      <c r="AE298" s="22" t="n">
        <v>0.032</v>
      </c>
      <c r="AF298" s="22" t="n">
        <v>0.033</v>
      </c>
    </row>
    <row r="299" customFormat="false" ht="15" hidden="false" customHeight="false" outlineLevel="0" collapsed="false">
      <c r="A299" s="22" t="s">
        <v>165</v>
      </c>
      <c r="B299" s="22" t="s">
        <v>3</v>
      </c>
      <c r="C299" s="22" t="s">
        <v>165</v>
      </c>
      <c r="D299" s="22" t="n">
        <v>23060</v>
      </c>
      <c r="E299" s="22" t="s">
        <v>136</v>
      </c>
      <c r="F299" s="22" t="s">
        <v>137</v>
      </c>
      <c r="G299" s="22" t="s">
        <v>131</v>
      </c>
      <c r="H299" s="22" t="s">
        <v>131</v>
      </c>
      <c r="I299" s="22" t="n">
        <v>3</v>
      </c>
      <c r="J299" s="22" t="n">
        <v>2</v>
      </c>
      <c r="K299" s="22" t="n">
        <v>2</v>
      </c>
      <c r="L299" s="22" t="n">
        <v>1</v>
      </c>
      <c r="M299" s="22" t="n">
        <v>0</v>
      </c>
      <c r="N299" s="22" t="n">
        <v>1</v>
      </c>
      <c r="O299" s="22" t="n">
        <v>2</v>
      </c>
      <c r="P299" s="22" t="n">
        <v>2</v>
      </c>
      <c r="Q299" s="22" t="n">
        <v>3</v>
      </c>
      <c r="R299" s="22" t="n">
        <v>2</v>
      </c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</row>
    <row r="300" customFormat="false" ht="15" hidden="false" customHeight="false" outlineLevel="0" collapsed="false">
      <c r="A300" s="22" t="s">
        <v>71</v>
      </c>
      <c r="B300" s="22" t="s">
        <v>3</v>
      </c>
      <c r="C300" s="22" t="s">
        <v>71</v>
      </c>
      <c r="D300" s="22" t="n">
        <v>223104</v>
      </c>
      <c r="E300" s="22" t="s">
        <v>129</v>
      </c>
      <c r="F300" s="22" t="s">
        <v>130</v>
      </c>
      <c r="G300" s="22" t="s">
        <v>131</v>
      </c>
      <c r="H300" s="22" t="s">
        <v>131</v>
      </c>
      <c r="I300" s="22" t="n">
        <v>1.64520331534928</v>
      </c>
      <c r="J300" s="22" t="n">
        <v>1.64085951555182</v>
      </c>
      <c r="K300" s="22" t="n">
        <v>1.63773636946983</v>
      </c>
      <c r="L300" s="22" t="n">
        <v>1.65062826372236</v>
      </c>
      <c r="M300" s="22" t="n">
        <v>1.64414609974929</v>
      </c>
      <c r="N300" s="22" t="n">
        <v>1.63771644218799</v>
      </c>
      <c r="O300" s="22" t="n">
        <v>1.64067094128482</v>
      </c>
      <c r="P300" s="22" t="n">
        <v>1.64112529325865</v>
      </c>
      <c r="Q300" s="22" t="n">
        <v>1.63085036091892</v>
      </c>
      <c r="R300" s="22" t="n">
        <v>1.62785877365975</v>
      </c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</row>
    <row r="301" customFormat="false" ht="15" hidden="false" customHeight="false" outlineLevel="0" collapsed="false">
      <c r="A301" s="22" t="s">
        <v>71</v>
      </c>
      <c r="B301" s="22" t="s">
        <v>3</v>
      </c>
      <c r="C301" s="22" t="s">
        <v>71</v>
      </c>
      <c r="D301" s="22" t="n">
        <v>223104</v>
      </c>
      <c r="E301" s="22" t="s">
        <v>132</v>
      </c>
      <c r="F301" s="22" t="s">
        <v>6</v>
      </c>
      <c r="G301" s="22" t="s">
        <v>131</v>
      </c>
      <c r="H301" s="22" t="s">
        <v>131</v>
      </c>
      <c r="I301" s="22" t="n">
        <v>1.603</v>
      </c>
      <c r="J301" s="22" t="n">
        <v>1.61</v>
      </c>
      <c r="K301" s="22" t="n">
        <v>1.605</v>
      </c>
      <c r="L301" s="22" t="n">
        <v>1.577</v>
      </c>
      <c r="M301" s="22" t="n">
        <v>1.576</v>
      </c>
      <c r="N301" s="22" t="n">
        <v>1.591</v>
      </c>
      <c r="O301" s="22" t="n">
        <v>1.592</v>
      </c>
      <c r="P301" s="22" t="n">
        <v>1.56</v>
      </c>
      <c r="Q301" s="22" t="n">
        <v>1.554</v>
      </c>
      <c r="R301" s="22" t="n">
        <v>1.566</v>
      </c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customFormat="false" ht="15" hidden="false" customHeight="false" outlineLevel="0" collapsed="false">
      <c r="A302" s="22" t="s">
        <v>71</v>
      </c>
      <c r="B302" s="22" t="s">
        <v>3</v>
      </c>
      <c r="C302" s="22" t="s">
        <v>71</v>
      </c>
      <c r="D302" s="22" t="n">
        <v>223104</v>
      </c>
      <c r="E302" s="22" t="s">
        <v>132</v>
      </c>
      <c r="F302" s="22" t="s">
        <v>133</v>
      </c>
      <c r="G302" s="22" t="s">
        <v>131</v>
      </c>
      <c r="H302" s="22" t="s">
        <v>131</v>
      </c>
      <c r="I302" s="22" t="n">
        <v>234067</v>
      </c>
      <c r="J302" s="22" t="n">
        <v>236616</v>
      </c>
      <c r="K302" s="22" t="n">
        <v>238773</v>
      </c>
      <c r="L302" s="22" t="n">
        <v>240124</v>
      </c>
      <c r="M302" s="22" t="n">
        <v>241078</v>
      </c>
      <c r="N302" s="22" t="n">
        <v>242210</v>
      </c>
      <c r="O302" s="22" t="n">
        <v>244771</v>
      </c>
      <c r="P302" s="22" t="n">
        <v>248055</v>
      </c>
      <c r="Q302" s="22" t="n">
        <v>250306</v>
      </c>
      <c r="R302" s="22" t="n">
        <v>251382</v>
      </c>
      <c r="S302" s="22" t="n">
        <v>252649</v>
      </c>
      <c r="T302" s="22" t="n">
        <v>254206</v>
      </c>
      <c r="U302" s="22" t="n">
        <v>255381</v>
      </c>
      <c r="V302" s="22" t="n">
        <v>256607</v>
      </c>
      <c r="W302" s="22" t="n">
        <v>258385</v>
      </c>
      <c r="X302" s="22" t="n">
        <v>259850</v>
      </c>
      <c r="Y302" s="22" t="n">
        <v>260387</v>
      </c>
      <c r="Z302" s="22" t="n">
        <v>260851</v>
      </c>
      <c r="AA302" s="22" t="n">
        <v>262439</v>
      </c>
      <c r="AB302" s="22" t="n">
        <v>263745</v>
      </c>
      <c r="AC302" s="22" t="n">
        <v>264155</v>
      </c>
      <c r="AD302" s="22" t="n">
        <v>264631</v>
      </c>
      <c r="AE302" s="22" t="n">
        <v>266363</v>
      </c>
      <c r="AF302" s="22" t="n">
        <v>267877</v>
      </c>
    </row>
    <row r="303" customFormat="false" ht="15" hidden="false" customHeight="false" outlineLevel="0" collapsed="false">
      <c r="A303" s="22" t="s">
        <v>71</v>
      </c>
      <c r="B303" s="22" t="s">
        <v>3</v>
      </c>
      <c r="C303" s="22" t="s">
        <v>71</v>
      </c>
      <c r="D303" s="22" t="n">
        <v>223104</v>
      </c>
      <c r="E303" s="22" t="s">
        <v>132</v>
      </c>
      <c r="F303" s="22" t="s">
        <v>5</v>
      </c>
      <c r="G303" s="22" t="s">
        <v>131</v>
      </c>
      <c r="H303" s="22" t="s">
        <v>131</v>
      </c>
      <c r="I303" s="22" t="n">
        <v>1.628</v>
      </c>
      <c r="J303" s="22" t="n">
        <v>1.636</v>
      </c>
      <c r="K303" s="22" t="n">
        <v>1.63</v>
      </c>
      <c r="L303" s="22" t="n">
        <v>1.605</v>
      </c>
      <c r="M303" s="22" t="n">
        <v>1.604</v>
      </c>
      <c r="N303" s="22" t="n">
        <v>1.619</v>
      </c>
      <c r="O303" s="22" t="n">
        <v>1.622</v>
      </c>
      <c r="P303" s="22" t="n">
        <v>1.594</v>
      </c>
      <c r="Q303" s="22" t="n">
        <v>1.59</v>
      </c>
      <c r="R303" s="22" t="n">
        <v>1.607</v>
      </c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</row>
    <row r="304" customFormat="false" ht="15" hidden="false" customHeight="false" outlineLevel="0" collapsed="false">
      <c r="A304" s="22" t="s">
        <v>71</v>
      </c>
      <c r="B304" s="22" t="s">
        <v>3</v>
      </c>
      <c r="C304" s="22" t="s">
        <v>71</v>
      </c>
      <c r="D304" s="22" t="n">
        <v>223104</v>
      </c>
      <c r="E304" s="22" t="s">
        <v>134</v>
      </c>
      <c r="F304" s="22" t="s">
        <v>135</v>
      </c>
      <c r="G304" s="22" t="s">
        <v>131</v>
      </c>
      <c r="H304" s="22" t="s">
        <v>131</v>
      </c>
      <c r="I304" s="22" t="n">
        <v>-0.0201</v>
      </c>
      <c r="J304" s="22" t="n">
        <v>-0.0198</v>
      </c>
      <c r="K304" s="22" t="n">
        <v>-0.0225</v>
      </c>
      <c r="L304" s="22" t="n">
        <v>-0.0226</v>
      </c>
      <c r="M304" s="22" t="n">
        <v>-0.0193</v>
      </c>
      <c r="N304" s="22" t="n">
        <v>-0.0198</v>
      </c>
      <c r="O304" s="22" t="n">
        <v>-0.0209</v>
      </c>
      <c r="P304" s="22" t="n">
        <v>-0.0212</v>
      </c>
      <c r="Q304" s="22" t="n">
        <v>-0.021</v>
      </c>
      <c r="R304" s="22" t="n">
        <v>-0.0236</v>
      </c>
      <c r="S304" s="22" t="n">
        <v>-0.02</v>
      </c>
      <c r="T304" s="22" t="n">
        <v>-0.015</v>
      </c>
      <c r="U304" s="22" t="n">
        <v>-0.01</v>
      </c>
      <c r="V304" s="22" t="n">
        <v>0.001</v>
      </c>
      <c r="W304" s="22" t="n">
        <v>0.014</v>
      </c>
      <c r="X304" s="22" t="n">
        <v>0.03</v>
      </c>
      <c r="Y304" s="22" t="n">
        <v>0.032</v>
      </c>
      <c r="Z304" s="22" t="n">
        <v>0.03</v>
      </c>
      <c r="AA304" s="22" t="n">
        <v>0.033</v>
      </c>
      <c r="AB304" s="22" t="n">
        <v>0.033</v>
      </c>
      <c r="AC304" s="22" t="n">
        <v>0.032</v>
      </c>
      <c r="AD304" s="22" t="n">
        <v>0.03</v>
      </c>
      <c r="AE304" s="22" t="n">
        <v>0.03</v>
      </c>
      <c r="AF304" s="22" t="n">
        <v>0.031</v>
      </c>
    </row>
    <row r="305" customFormat="false" ht="15" hidden="false" customHeight="false" outlineLevel="0" collapsed="false">
      <c r="A305" s="22" t="s">
        <v>71</v>
      </c>
      <c r="B305" s="22" t="s">
        <v>3</v>
      </c>
      <c r="C305" s="22" t="s">
        <v>71</v>
      </c>
      <c r="D305" s="22" t="n">
        <v>223104</v>
      </c>
      <c r="E305" s="22" t="s">
        <v>136</v>
      </c>
      <c r="F305" s="22" t="s">
        <v>137</v>
      </c>
      <c r="G305" s="22" t="s">
        <v>131</v>
      </c>
      <c r="H305" s="22" t="s">
        <v>131</v>
      </c>
      <c r="I305" s="22" t="n">
        <v>25</v>
      </c>
      <c r="J305" s="22" t="n">
        <v>28</v>
      </c>
      <c r="K305" s="22" t="n">
        <v>25</v>
      </c>
      <c r="L305" s="22" t="n">
        <v>22</v>
      </c>
      <c r="M305" s="22" t="n">
        <v>18</v>
      </c>
      <c r="N305" s="22" t="n">
        <v>15</v>
      </c>
      <c r="O305" s="22" t="n">
        <v>19</v>
      </c>
      <c r="P305" s="22" t="n">
        <v>18</v>
      </c>
      <c r="Q305" s="22" t="n">
        <v>21</v>
      </c>
      <c r="R305" s="22" t="n">
        <v>18</v>
      </c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customFormat="false" ht="15" hidden="false" customHeight="false" outlineLevel="0" collapsed="false">
      <c r="A306" s="22" t="s">
        <v>166</v>
      </c>
      <c r="B306" s="22" t="s">
        <v>3</v>
      </c>
      <c r="C306" s="22" t="s">
        <v>166</v>
      </c>
      <c r="D306" s="22" t="n">
        <v>23420</v>
      </c>
      <c r="E306" s="22" t="s">
        <v>129</v>
      </c>
      <c r="F306" s="22" t="s">
        <v>130</v>
      </c>
      <c r="G306" s="22" t="s">
        <v>131</v>
      </c>
      <c r="H306" s="22" t="s">
        <v>131</v>
      </c>
      <c r="I306" s="22" t="n">
        <v>1.42917528316054</v>
      </c>
      <c r="J306" s="22" t="n">
        <v>1.46268882400061</v>
      </c>
      <c r="K306" s="22" t="n">
        <v>1.47816452382008</v>
      </c>
      <c r="L306" s="22" t="n">
        <v>1.54350810912899</v>
      </c>
      <c r="M306" s="22" t="n">
        <v>1.56982412042343</v>
      </c>
      <c r="N306" s="22" t="n">
        <v>1.58181029406998</v>
      </c>
      <c r="O306" s="22" t="n">
        <v>1.55375275762925</v>
      </c>
      <c r="P306" s="22" t="n">
        <v>1.55474370141196</v>
      </c>
      <c r="Q306" s="22" t="n">
        <v>1.54276672768131</v>
      </c>
      <c r="R306" s="22" t="n">
        <v>1.55102728537417</v>
      </c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customFormat="false" ht="15" hidden="false" customHeight="false" outlineLevel="0" collapsed="false">
      <c r="A307" s="22" t="s">
        <v>166</v>
      </c>
      <c r="B307" s="22" t="s">
        <v>3</v>
      </c>
      <c r="C307" s="22" t="s">
        <v>166</v>
      </c>
      <c r="D307" s="22" t="n">
        <v>23420</v>
      </c>
      <c r="E307" s="22" t="s">
        <v>132</v>
      </c>
      <c r="F307" s="22" t="s">
        <v>6</v>
      </c>
      <c r="G307" s="22" t="s">
        <v>131</v>
      </c>
      <c r="H307" s="22" t="s">
        <v>131</v>
      </c>
      <c r="I307" s="22" t="n">
        <v>1.699</v>
      </c>
      <c r="J307" s="22" t="n">
        <v>1.717</v>
      </c>
      <c r="K307" s="22" t="n">
        <v>1.742</v>
      </c>
      <c r="L307" s="22" t="n">
        <v>1.723</v>
      </c>
      <c r="M307" s="22" t="n">
        <v>1.72</v>
      </c>
      <c r="N307" s="22" t="n">
        <v>1.75</v>
      </c>
      <c r="O307" s="22" t="n">
        <v>1.79</v>
      </c>
      <c r="P307" s="22" t="n">
        <v>1.777</v>
      </c>
      <c r="Q307" s="22" t="n">
        <v>1.768</v>
      </c>
      <c r="R307" s="22" t="n">
        <v>1.778</v>
      </c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customFormat="false" ht="15" hidden="false" customHeight="false" outlineLevel="0" collapsed="false">
      <c r="A308" s="22" t="s">
        <v>166</v>
      </c>
      <c r="B308" s="22" t="s">
        <v>3</v>
      </c>
      <c r="C308" s="22" t="s">
        <v>166</v>
      </c>
      <c r="D308" s="22" t="n">
        <v>23420</v>
      </c>
      <c r="E308" s="22" t="s">
        <v>132</v>
      </c>
      <c r="F308" s="22" t="s">
        <v>133</v>
      </c>
      <c r="G308" s="22" t="s">
        <v>131</v>
      </c>
      <c r="H308" s="22" t="s">
        <v>131</v>
      </c>
      <c r="I308" s="22" t="n">
        <v>58480</v>
      </c>
      <c r="J308" s="22" t="n">
        <v>58504</v>
      </c>
      <c r="K308" s="22" t="n">
        <v>58720</v>
      </c>
      <c r="L308" s="22" t="n">
        <v>58777</v>
      </c>
      <c r="M308" s="22" t="n">
        <v>58777</v>
      </c>
      <c r="N308" s="22" t="n">
        <v>58777</v>
      </c>
      <c r="O308" s="22" t="n">
        <v>58777</v>
      </c>
      <c r="P308" s="22" t="n">
        <v>58689</v>
      </c>
      <c r="Q308" s="22" t="n">
        <v>58689</v>
      </c>
      <c r="R308" s="22" t="n">
        <v>58689</v>
      </c>
      <c r="S308" s="22" t="n">
        <v>58689</v>
      </c>
      <c r="T308" s="22" t="n">
        <v>58689</v>
      </c>
      <c r="U308" s="22" t="n">
        <v>58689</v>
      </c>
      <c r="V308" s="22" t="n">
        <v>58689</v>
      </c>
      <c r="W308" s="22" t="n">
        <v>58689</v>
      </c>
      <c r="X308" s="22" t="n">
        <v>58689</v>
      </c>
      <c r="Y308" s="22" t="n">
        <v>58689</v>
      </c>
      <c r="Z308" s="22" t="n">
        <v>58689</v>
      </c>
      <c r="AA308" s="22" t="n">
        <v>58689</v>
      </c>
      <c r="AB308" s="22" t="n">
        <v>58689</v>
      </c>
      <c r="AC308" s="22" t="n">
        <v>58689</v>
      </c>
      <c r="AD308" s="22" t="n">
        <v>58689</v>
      </c>
      <c r="AE308" s="22" t="n">
        <v>58689</v>
      </c>
      <c r="AF308" s="22" t="n">
        <v>58689</v>
      </c>
    </row>
    <row r="309" customFormat="false" ht="15" hidden="false" customHeight="false" outlineLevel="0" collapsed="false">
      <c r="A309" s="22" t="s">
        <v>166</v>
      </c>
      <c r="B309" s="22" t="s">
        <v>3</v>
      </c>
      <c r="C309" s="22" t="s">
        <v>166</v>
      </c>
      <c r="D309" s="22" t="n">
        <v>23420</v>
      </c>
      <c r="E309" s="22" t="s">
        <v>132</v>
      </c>
      <c r="F309" s="22" t="s">
        <v>5</v>
      </c>
      <c r="G309" s="22" t="s">
        <v>131</v>
      </c>
      <c r="H309" s="22" t="s">
        <v>131</v>
      </c>
      <c r="I309" s="22" t="n">
        <v>1.705</v>
      </c>
      <c r="J309" s="22" t="n">
        <v>1.726</v>
      </c>
      <c r="K309" s="22" t="n">
        <v>1.749</v>
      </c>
      <c r="L309" s="22" t="n">
        <v>1.728</v>
      </c>
      <c r="M309" s="22" t="n">
        <v>1.723</v>
      </c>
      <c r="N309" s="22" t="n">
        <v>1.752</v>
      </c>
      <c r="O309" s="22" t="n">
        <v>1.792</v>
      </c>
      <c r="P309" s="22" t="n">
        <v>1.781</v>
      </c>
      <c r="Q309" s="22" t="n">
        <v>1.776</v>
      </c>
      <c r="R309" s="22" t="n">
        <v>1.782</v>
      </c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</row>
    <row r="310" customFormat="false" ht="15" hidden="false" customHeight="false" outlineLevel="0" collapsed="false">
      <c r="A310" s="22" t="s">
        <v>166</v>
      </c>
      <c r="B310" s="22" t="s">
        <v>3</v>
      </c>
      <c r="C310" s="22" t="s">
        <v>166</v>
      </c>
      <c r="D310" s="22" t="n">
        <v>23420</v>
      </c>
      <c r="E310" s="22" t="s">
        <v>134</v>
      </c>
      <c r="F310" s="22" t="s">
        <v>135</v>
      </c>
      <c r="G310" s="22" t="s">
        <v>131</v>
      </c>
      <c r="H310" s="22" t="s">
        <v>131</v>
      </c>
      <c r="I310" s="22" t="n">
        <v>0.0313</v>
      </c>
      <c r="J310" s="22" t="n">
        <v>0.0236</v>
      </c>
      <c r="K310" s="22" t="n">
        <v>0.0256</v>
      </c>
      <c r="L310" s="22" t="n">
        <v>0.0183</v>
      </c>
      <c r="M310" s="22" t="n">
        <v>0.0116</v>
      </c>
      <c r="N310" s="22" t="n">
        <v>0.0123</v>
      </c>
      <c r="O310" s="22" t="n">
        <v>0.0048</v>
      </c>
      <c r="P310" s="22" t="n">
        <v>0.0107</v>
      </c>
      <c r="Q310" s="22" t="n">
        <v>0.0118</v>
      </c>
      <c r="R310" s="22" t="n">
        <v>0.0039</v>
      </c>
      <c r="S310" s="22" t="n">
        <v>0.005</v>
      </c>
      <c r="T310" s="22" t="n">
        <v>0.006</v>
      </c>
      <c r="U310" s="22" t="n">
        <v>0.008</v>
      </c>
      <c r="V310" s="22" t="n">
        <v>0.011</v>
      </c>
      <c r="W310" s="22" t="n">
        <v>0.015</v>
      </c>
      <c r="X310" s="22" t="n">
        <v>0.019</v>
      </c>
      <c r="Y310" s="22" t="n">
        <v>0.021</v>
      </c>
      <c r="Z310" s="22" t="n">
        <v>0.02</v>
      </c>
      <c r="AA310" s="22" t="n">
        <v>0.02</v>
      </c>
      <c r="AB310" s="22" t="n">
        <v>0.019</v>
      </c>
      <c r="AC310" s="22" t="n">
        <v>0.019</v>
      </c>
      <c r="AD310" s="22" t="n">
        <v>0.019</v>
      </c>
      <c r="AE310" s="22" t="n">
        <v>0.018</v>
      </c>
      <c r="AF310" s="22" t="n">
        <v>0.018</v>
      </c>
    </row>
    <row r="311" customFormat="false" ht="15" hidden="false" customHeight="false" outlineLevel="0" collapsed="false">
      <c r="A311" s="22" t="s">
        <v>166</v>
      </c>
      <c r="B311" s="22" t="s">
        <v>3</v>
      </c>
      <c r="C311" s="22" t="s">
        <v>166</v>
      </c>
      <c r="D311" s="22" t="n">
        <v>23420</v>
      </c>
      <c r="E311" s="22" t="s">
        <v>136</v>
      </c>
      <c r="F311" s="22" t="s">
        <v>137</v>
      </c>
      <c r="G311" s="22" t="s">
        <v>131</v>
      </c>
      <c r="H311" s="22" t="s">
        <v>131</v>
      </c>
      <c r="I311" s="22" t="n">
        <v>0</v>
      </c>
      <c r="J311" s="22" t="n">
        <v>0</v>
      </c>
      <c r="K311" s="22" t="n">
        <v>0</v>
      </c>
      <c r="L311" s="22" t="n">
        <v>0</v>
      </c>
      <c r="M311" s="22" t="n">
        <v>0</v>
      </c>
      <c r="N311" s="22" t="n">
        <v>0</v>
      </c>
      <c r="O311" s="22" t="n">
        <v>0</v>
      </c>
      <c r="P311" s="22" t="n">
        <v>0</v>
      </c>
      <c r="Q311" s="22" t="n">
        <v>0</v>
      </c>
      <c r="R311" s="22" t="n">
        <v>0</v>
      </c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customFormat="false" ht="15" hidden="false" customHeight="false" outlineLevel="0" collapsed="false">
      <c r="A312" s="22" t="s">
        <v>167</v>
      </c>
      <c r="B312" s="22" t="s">
        <v>3</v>
      </c>
      <c r="C312" s="22" t="s">
        <v>167</v>
      </c>
      <c r="D312" s="22" t="n">
        <v>23540</v>
      </c>
      <c r="E312" s="22" t="s">
        <v>129</v>
      </c>
      <c r="F312" s="22" t="s">
        <v>130</v>
      </c>
      <c r="G312" s="22" t="s">
        <v>131</v>
      </c>
      <c r="H312" s="22" t="s">
        <v>131</v>
      </c>
      <c r="I312" s="22" t="n">
        <v>1.46776842267259</v>
      </c>
      <c r="J312" s="22" t="n">
        <v>1.4712083602321</v>
      </c>
      <c r="K312" s="22" t="n">
        <v>1.48752597122122</v>
      </c>
      <c r="L312" s="22" t="n">
        <v>1.51104446007219</v>
      </c>
      <c r="M312" s="22" t="n">
        <v>1.50308838478155</v>
      </c>
      <c r="N312" s="22" t="n">
        <v>1.47881990589741</v>
      </c>
      <c r="O312" s="22" t="n">
        <v>1.48437040825233</v>
      </c>
      <c r="P312" s="22" t="n">
        <v>1.53340322836844</v>
      </c>
      <c r="Q312" s="22" t="n">
        <v>1.53075249881685</v>
      </c>
      <c r="R312" s="22" t="n">
        <v>1.51157435868945</v>
      </c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customFormat="false" ht="15" hidden="false" customHeight="false" outlineLevel="0" collapsed="false">
      <c r="A313" s="22" t="s">
        <v>167</v>
      </c>
      <c r="B313" s="22" t="s">
        <v>3</v>
      </c>
      <c r="C313" s="22" t="s">
        <v>167</v>
      </c>
      <c r="D313" s="22" t="n">
        <v>23540</v>
      </c>
      <c r="E313" s="22" t="s">
        <v>132</v>
      </c>
      <c r="F313" s="22" t="s">
        <v>6</v>
      </c>
      <c r="G313" s="22" t="s">
        <v>131</v>
      </c>
      <c r="H313" s="22" t="s">
        <v>131</v>
      </c>
      <c r="I313" s="22" t="n">
        <v>1.52</v>
      </c>
      <c r="J313" s="22" t="n">
        <v>1.532</v>
      </c>
      <c r="K313" s="22" t="n">
        <v>1.543</v>
      </c>
      <c r="L313" s="22" t="n">
        <v>1.503</v>
      </c>
      <c r="M313" s="22" t="n">
        <v>1.517</v>
      </c>
      <c r="N313" s="22" t="n">
        <v>1.553</v>
      </c>
      <c r="O313" s="22" t="n">
        <v>1.553</v>
      </c>
      <c r="P313" s="22" t="n">
        <v>1.532</v>
      </c>
      <c r="Q313" s="22" t="n">
        <v>1.532</v>
      </c>
      <c r="R313" s="22" t="n">
        <v>1.561</v>
      </c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</row>
    <row r="314" customFormat="false" ht="15" hidden="false" customHeight="false" outlineLevel="0" collapsed="false">
      <c r="A314" s="22" t="s">
        <v>167</v>
      </c>
      <c r="B314" s="22" t="s">
        <v>3</v>
      </c>
      <c r="C314" s="22" t="s">
        <v>167</v>
      </c>
      <c r="D314" s="22" t="n">
        <v>23540</v>
      </c>
      <c r="E314" s="22" t="s">
        <v>132</v>
      </c>
      <c r="F314" s="22" t="s">
        <v>133</v>
      </c>
      <c r="G314" s="22" t="s">
        <v>131</v>
      </c>
      <c r="H314" s="22" t="s">
        <v>131</v>
      </c>
      <c r="I314" s="22" t="n">
        <v>30355</v>
      </c>
      <c r="J314" s="22" t="n">
        <v>30496</v>
      </c>
      <c r="K314" s="22" t="n">
        <v>30686</v>
      </c>
      <c r="L314" s="22" t="n">
        <v>30782</v>
      </c>
      <c r="M314" s="22" t="n">
        <v>30919</v>
      </c>
      <c r="N314" s="22" t="n">
        <v>30982</v>
      </c>
      <c r="O314" s="22" t="n">
        <v>31054</v>
      </c>
      <c r="P314" s="22" t="n">
        <v>31105</v>
      </c>
      <c r="Q314" s="22" t="n">
        <v>31156</v>
      </c>
      <c r="R314" s="22" t="n">
        <v>30953</v>
      </c>
      <c r="S314" s="22" t="n">
        <v>31199</v>
      </c>
      <c r="T314" s="22" t="n">
        <v>31304</v>
      </c>
      <c r="U314" s="22" t="n">
        <v>31375</v>
      </c>
      <c r="V314" s="22" t="n">
        <v>31375</v>
      </c>
      <c r="W314" s="22" t="n">
        <v>31457</v>
      </c>
      <c r="X314" s="22" t="n">
        <v>31531</v>
      </c>
      <c r="Y314" s="22" t="n">
        <v>31565</v>
      </c>
      <c r="Z314" s="22" t="n">
        <v>31583</v>
      </c>
      <c r="AA314" s="22" t="n">
        <v>31697</v>
      </c>
      <c r="AB314" s="22" t="n">
        <v>31807</v>
      </c>
      <c r="AC314" s="22" t="n">
        <v>31856</v>
      </c>
      <c r="AD314" s="22" t="n">
        <v>31886</v>
      </c>
      <c r="AE314" s="22" t="n">
        <v>32003</v>
      </c>
      <c r="AF314" s="22" t="n">
        <v>32116</v>
      </c>
    </row>
    <row r="315" customFormat="false" ht="15" hidden="false" customHeight="false" outlineLevel="0" collapsed="false">
      <c r="A315" s="22" t="s">
        <v>167</v>
      </c>
      <c r="B315" s="22" t="s">
        <v>3</v>
      </c>
      <c r="C315" s="22" t="s">
        <v>167</v>
      </c>
      <c r="D315" s="22" t="n">
        <v>23540</v>
      </c>
      <c r="E315" s="22" t="s">
        <v>132</v>
      </c>
      <c r="F315" s="22" t="s">
        <v>5</v>
      </c>
      <c r="G315" s="22" t="s">
        <v>131</v>
      </c>
      <c r="H315" s="22" t="s">
        <v>131</v>
      </c>
      <c r="I315" s="22" t="n">
        <v>1.54</v>
      </c>
      <c r="J315" s="22" t="n">
        <v>1.552</v>
      </c>
      <c r="K315" s="22" t="n">
        <v>1.566</v>
      </c>
      <c r="L315" s="22" t="n">
        <v>1.534</v>
      </c>
      <c r="M315" s="22" t="n">
        <v>1.538</v>
      </c>
      <c r="N315" s="22" t="n">
        <v>1.576</v>
      </c>
      <c r="O315" s="22" t="n">
        <v>1.576</v>
      </c>
      <c r="P315" s="22" t="n">
        <v>1.551</v>
      </c>
      <c r="Q315" s="22" t="n">
        <v>1.555</v>
      </c>
      <c r="R315" s="22" t="n">
        <v>1.58</v>
      </c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customFormat="false" ht="15" hidden="false" customHeight="false" outlineLevel="0" collapsed="false">
      <c r="A316" s="22" t="s">
        <v>167</v>
      </c>
      <c r="B316" s="22" t="s">
        <v>3</v>
      </c>
      <c r="C316" s="22" t="s">
        <v>167</v>
      </c>
      <c r="D316" s="22" t="n">
        <v>23540</v>
      </c>
      <c r="E316" s="22" t="s">
        <v>134</v>
      </c>
      <c r="F316" s="22" t="s">
        <v>135</v>
      </c>
      <c r="G316" s="22" t="s">
        <v>131</v>
      </c>
      <c r="H316" s="22" t="s">
        <v>131</v>
      </c>
      <c r="I316" s="22" t="n">
        <v>0.0054</v>
      </c>
      <c r="J316" s="22" t="n">
        <v>-0.0048</v>
      </c>
      <c r="K316" s="22" t="n">
        <v>0.0058</v>
      </c>
      <c r="L316" s="22" t="n">
        <v>-0.0082</v>
      </c>
      <c r="M316" s="22" t="n">
        <v>-0.0037</v>
      </c>
      <c r="N316" s="22" t="n">
        <v>0.0053</v>
      </c>
      <c r="O316" s="22" t="n">
        <v>0.0015</v>
      </c>
      <c r="P316" s="22" t="n">
        <v>0.0171</v>
      </c>
      <c r="Q316" s="22" t="n">
        <v>0.0065</v>
      </c>
      <c r="R316" s="22" t="n">
        <v>0.007</v>
      </c>
      <c r="S316" s="22" t="n">
        <v>0.013</v>
      </c>
      <c r="T316" s="22" t="n">
        <v>0.017</v>
      </c>
      <c r="U316" s="22" t="n">
        <v>0.017</v>
      </c>
      <c r="V316" s="22" t="n">
        <v>0.016</v>
      </c>
      <c r="W316" s="22" t="n">
        <v>0.025</v>
      </c>
      <c r="X316" s="22" t="n">
        <v>0.032</v>
      </c>
      <c r="Y316" s="22" t="n">
        <v>0.034</v>
      </c>
      <c r="Z316" s="22" t="n">
        <v>0.026</v>
      </c>
      <c r="AA316" s="22" t="n">
        <v>0.024</v>
      </c>
      <c r="AB316" s="22" t="n">
        <v>0.025</v>
      </c>
      <c r="AC316" s="22" t="n">
        <v>0.024</v>
      </c>
      <c r="AD316" s="22" t="n">
        <v>0.018</v>
      </c>
      <c r="AE316" s="22" t="n">
        <v>0.018</v>
      </c>
      <c r="AF316" s="22" t="n">
        <v>0.02</v>
      </c>
    </row>
    <row r="317" customFormat="false" ht="15" hidden="false" customHeight="false" outlineLevel="0" collapsed="false">
      <c r="A317" s="22" t="s">
        <v>167</v>
      </c>
      <c r="B317" s="22" t="s">
        <v>3</v>
      </c>
      <c r="C317" s="22" t="s">
        <v>167</v>
      </c>
      <c r="D317" s="22" t="n">
        <v>23540</v>
      </c>
      <c r="E317" s="22" t="s">
        <v>136</v>
      </c>
      <c r="F317" s="22" t="s">
        <v>137</v>
      </c>
      <c r="G317" s="22" t="s">
        <v>131</v>
      </c>
      <c r="H317" s="22" t="s">
        <v>131</v>
      </c>
      <c r="I317" s="22" t="n">
        <v>2</v>
      </c>
      <c r="J317" s="22" t="n">
        <v>1</v>
      </c>
      <c r="K317" s="22" t="n">
        <v>1</v>
      </c>
      <c r="L317" s="22" t="n">
        <v>1</v>
      </c>
      <c r="M317" s="22" t="n">
        <v>1</v>
      </c>
      <c r="N317" s="22" t="n">
        <v>2</v>
      </c>
      <c r="O317" s="22" t="n">
        <v>1</v>
      </c>
      <c r="P317" s="22" t="n">
        <v>1</v>
      </c>
      <c r="Q317" s="22" t="n">
        <v>1</v>
      </c>
      <c r="R317" s="22" t="n">
        <v>0</v>
      </c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customFormat="false" ht="15" hidden="false" customHeight="false" outlineLevel="0" collapsed="false">
      <c r="A318" s="22" t="s">
        <v>168</v>
      </c>
      <c r="B318" s="22" t="s">
        <v>3</v>
      </c>
      <c r="C318" s="22" t="s">
        <v>168</v>
      </c>
      <c r="D318" s="22" t="n">
        <v>324340</v>
      </c>
      <c r="E318" s="22" t="s">
        <v>129</v>
      </c>
      <c r="F318" s="22" t="s">
        <v>130</v>
      </c>
      <c r="G318" s="22" t="s">
        <v>131</v>
      </c>
      <c r="H318" s="22" t="s">
        <v>131</v>
      </c>
      <c r="I318" s="22" t="n">
        <v>1.39831890283495</v>
      </c>
      <c r="J318" s="22" t="n">
        <v>1.41065402402834</v>
      </c>
      <c r="K318" s="22" t="n">
        <v>1.4297861181425</v>
      </c>
      <c r="L318" s="22" t="n">
        <v>1.44575033303341</v>
      </c>
      <c r="M318" s="22" t="n">
        <v>1.45475197077885</v>
      </c>
      <c r="N318" s="22" t="n">
        <v>1.46964020176355</v>
      </c>
      <c r="O318" s="22" t="n">
        <v>1.48729563596249</v>
      </c>
      <c r="P318" s="22" t="n">
        <v>1.48574681860649</v>
      </c>
      <c r="Q318" s="22" t="n">
        <v>1.50304606680779</v>
      </c>
      <c r="R318" s="22" t="n">
        <v>1.51422821959186</v>
      </c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customFormat="false" ht="15" hidden="false" customHeight="false" outlineLevel="0" collapsed="false">
      <c r="A319" s="22" t="s">
        <v>168</v>
      </c>
      <c r="B319" s="22" t="s">
        <v>3</v>
      </c>
      <c r="C319" s="22" t="s">
        <v>168</v>
      </c>
      <c r="D319" s="22" t="n">
        <v>324340</v>
      </c>
      <c r="E319" s="22" t="s">
        <v>132</v>
      </c>
      <c r="F319" s="22" t="s">
        <v>6</v>
      </c>
      <c r="G319" s="22" t="s">
        <v>131</v>
      </c>
      <c r="H319" s="22" t="s">
        <v>131</v>
      </c>
      <c r="I319" s="22" t="n">
        <v>1.533</v>
      </c>
      <c r="J319" s="22" t="n">
        <v>1.562</v>
      </c>
      <c r="K319" s="22" t="n">
        <v>1.59</v>
      </c>
      <c r="L319" s="22" t="n">
        <v>1.593</v>
      </c>
      <c r="M319" s="22" t="n">
        <v>1.599</v>
      </c>
      <c r="N319" s="22" t="n">
        <v>1.644</v>
      </c>
      <c r="O319" s="22" t="n">
        <v>1.667</v>
      </c>
      <c r="P319" s="22" t="n">
        <v>1.643</v>
      </c>
      <c r="Q319" s="22" t="n">
        <v>1.663</v>
      </c>
      <c r="R319" s="22" t="n">
        <v>1.697</v>
      </c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</row>
    <row r="320" customFormat="false" ht="15" hidden="false" customHeight="false" outlineLevel="0" collapsed="false">
      <c r="A320" s="22" t="s">
        <v>168</v>
      </c>
      <c r="B320" s="22" t="s">
        <v>3</v>
      </c>
      <c r="C320" s="22" t="s">
        <v>168</v>
      </c>
      <c r="D320" s="22" t="n">
        <v>324340</v>
      </c>
      <c r="E320" s="22" t="s">
        <v>132</v>
      </c>
      <c r="F320" s="22" t="s">
        <v>133</v>
      </c>
      <c r="G320" s="22" t="s">
        <v>131</v>
      </c>
      <c r="H320" s="22" t="s">
        <v>131</v>
      </c>
      <c r="I320" s="22" t="n">
        <v>71744</v>
      </c>
      <c r="J320" s="22" t="n">
        <v>72243</v>
      </c>
      <c r="K320" s="22" t="n">
        <v>72610</v>
      </c>
      <c r="L320" s="22" t="n">
        <v>72966</v>
      </c>
      <c r="M320" s="22" t="n">
        <v>73211</v>
      </c>
      <c r="N320" s="22" t="n">
        <v>73465</v>
      </c>
      <c r="O320" s="22" t="n">
        <v>73549</v>
      </c>
      <c r="P320" s="22" t="n">
        <v>73753</v>
      </c>
      <c r="Q320" s="22" t="n">
        <v>73875</v>
      </c>
      <c r="R320" s="22" t="n">
        <v>74053</v>
      </c>
      <c r="S320" s="22" t="n">
        <v>74244</v>
      </c>
      <c r="T320" s="22" t="n">
        <v>74307</v>
      </c>
      <c r="U320" s="22" t="n">
        <v>74376</v>
      </c>
      <c r="V320" s="22" t="n">
        <v>74630</v>
      </c>
      <c r="W320" s="22" t="n">
        <v>75780</v>
      </c>
      <c r="X320" s="22" t="n">
        <v>75770</v>
      </c>
      <c r="Y320" s="22" t="n">
        <v>75808</v>
      </c>
      <c r="Z320" s="22" t="n">
        <v>75942</v>
      </c>
      <c r="AA320" s="22" t="n">
        <v>76854</v>
      </c>
      <c r="AB320" s="22" t="n">
        <v>76732</v>
      </c>
      <c r="AC320" s="22" t="n">
        <v>76776</v>
      </c>
      <c r="AD320" s="22" t="n">
        <v>76911</v>
      </c>
      <c r="AE320" s="22" t="n">
        <v>77820</v>
      </c>
      <c r="AF320" s="22" t="n">
        <v>77689</v>
      </c>
    </row>
    <row r="321" customFormat="false" ht="15" hidden="false" customHeight="false" outlineLevel="0" collapsed="false">
      <c r="A321" s="22" t="s">
        <v>168</v>
      </c>
      <c r="B321" s="22" t="s">
        <v>3</v>
      </c>
      <c r="C321" s="22" t="s">
        <v>168</v>
      </c>
      <c r="D321" s="22" t="n">
        <v>324340</v>
      </c>
      <c r="E321" s="22" t="s">
        <v>132</v>
      </c>
      <c r="F321" s="22" t="s">
        <v>5</v>
      </c>
      <c r="G321" s="22" t="s">
        <v>131</v>
      </c>
      <c r="H321" s="22" t="s">
        <v>131</v>
      </c>
      <c r="I321" s="22" t="n">
        <v>1.539</v>
      </c>
      <c r="J321" s="22" t="n">
        <v>1.564</v>
      </c>
      <c r="K321" s="22" t="n">
        <v>1.595</v>
      </c>
      <c r="L321" s="22" t="n">
        <v>1.596</v>
      </c>
      <c r="M321" s="22" t="n">
        <v>1.604</v>
      </c>
      <c r="N321" s="22" t="n">
        <v>1.649</v>
      </c>
      <c r="O321" s="22" t="n">
        <v>1.677</v>
      </c>
      <c r="P321" s="22" t="n">
        <v>1.657</v>
      </c>
      <c r="Q321" s="22" t="n">
        <v>1.677</v>
      </c>
      <c r="R321" s="22" t="n">
        <v>1.707</v>
      </c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customFormat="false" ht="15" hidden="false" customHeight="false" outlineLevel="0" collapsed="false">
      <c r="A322" s="22" t="s">
        <v>168</v>
      </c>
      <c r="B322" s="22" t="s">
        <v>3</v>
      </c>
      <c r="C322" s="22" t="s">
        <v>168</v>
      </c>
      <c r="D322" s="22" t="n">
        <v>324340</v>
      </c>
      <c r="E322" s="22" t="s">
        <v>134</v>
      </c>
      <c r="F322" s="22" t="s">
        <v>135</v>
      </c>
      <c r="G322" s="22" t="s">
        <v>131</v>
      </c>
      <c r="H322" s="22" t="s">
        <v>131</v>
      </c>
      <c r="I322" s="22" t="n">
        <v>0.0492</v>
      </c>
      <c r="J322" s="22" t="n">
        <v>0.0456</v>
      </c>
      <c r="K322" s="22" t="n">
        <v>0.0393</v>
      </c>
      <c r="L322" s="22" t="n">
        <v>0.0361</v>
      </c>
      <c r="M322" s="22" t="n">
        <v>0.0364</v>
      </c>
      <c r="N322" s="22" t="n">
        <v>0.0364</v>
      </c>
      <c r="O322" s="22" t="n">
        <v>0.0244</v>
      </c>
      <c r="P322" s="22" t="n">
        <v>0.013</v>
      </c>
      <c r="Q322" s="22" t="n">
        <v>0.0215</v>
      </c>
      <c r="R322" s="22" t="n">
        <v>0.024</v>
      </c>
      <c r="S322" s="22" t="n">
        <v>0.025</v>
      </c>
      <c r="T322" s="22" t="n">
        <v>0.026</v>
      </c>
      <c r="U322" s="22" t="n">
        <v>0.028</v>
      </c>
      <c r="V322" s="22" t="n">
        <v>0.031</v>
      </c>
      <c r="W322" s="22" t="n">
        <v>0.036</v>
      </c>
      <c r="X322" s="22" t="n">
        <v>0.039</v>
      </c>
      <c r="Y322" s="22" t="n">
        <v>0.037</v>
      </c>
      <c r="Z322" s="22" t="n">
        <v>0.036</v>
      </c>
      <c r="AA322" s="22" t="n">
        <v>0.034</v>
      </c>
      <c r="AB322" s="22" t="n">
        <v>0.035</v>
      </c>
      <c r="AC322" s="22" t="n">
        <v>0.034</v>
      </c>
      <c r="AD322" s="22" t="n">
        <v>0.034</v>
      </c>
      <c r="AE322" s="22" t="n">
        <v>0.034</v>
      </c>
      <c r="AF322" s="22" t="n">
        <v>0.034</v>
      </c>
    </row>
    <row r="323" customFormat="false" ht="15" hidden="false" customHeight="false" outlineLevel="0" collapsed="false">
      <c r="A323" s="22" t="s">
        <v>168</v>
      </c>
      <c r="B323" s="22" t="s">
        <v>3</v>
      </c>
      <c r="C323" s="22" t="s">
        <v>168</v>
      </c>
      <c r="D323" s="22" t="n">
        <v>324340</v>
      </c>
      <c r="E323" s="22" t="s">
        <v>136</v>
      </c>
      <c r="F323" s="22" t="s">
        <v>137</v>
      </c>
      <c r="G323" s="22" t="s">
        <v>131</v>
      </c>
      <c r="H323" s="22" t="s">
        <v>131</v>
      </c>
      <c r="I323" s="22" t="n">
        <v>8</v>
      </c>
      <c r="J323" s="22" t="n">
        <v>7</v>
      </c>
      <c r="K323" s="22" t="n">
        <v>8</v>
      </c>
      <c r="L323" s="22" t="n">
        <v>7</v>
      </c>
      <c r="M323" s="22" t="n">
        <v>6</v>
      </c>
      <c r="N323" s="22" t="n">
        <v>8</v>
      </c>
      <c r="O323" s="22" t="n">
        <v>8</v>
      </c>
      <c r="P323" s="22" t="n">
        <v>7</v>
      </c>
      <c r="Q323" s="22" t="n">
        <v>8</v>
      </c>
      <c r="R323" s="22" t="n">
        <v>9</v>
      </c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</row>
    <row r="324" customFormat="false" ht="15" hidden="false" customHeight="false" outlineLevel="0" collapsed="false">
      <c r="A324" s="22" t="s">
        <v>47</v>
      </c>
      <c r="B324" s="22" t="s">
        <v>3</v>
      </c>
      <c r="C324" s="22" t="s">
        <v>47</v>
      </c>
      <c r="D324" s="22" t="n">
        <v>324660</v>
      </c>
      <c r="E324" s="22" t="s">
        <v>129</v>
      </c>
      <c r="F324" s="22" t="s">
        <v>130</v>
      </c>
      <c r="G324" s="22" t="s">
        <v>131</v>
      </c>
      <c r="H324" s="22" t="s">
        <v>131</v>
      </c>
      <c r="I324" s="22" t="n">
        <v>1.23376642656328</v>
      </c>
      <c r="J324" s="22" t="n">
        <v>1.24009003801286</v>
      </c>
      <c r="K324" s="22" t="n">
        <v>1.25983351460611</v>
      </c>
      <c r="L324" s="22" t="n">
        <v>1.27599264813072</v>
      </c>
      <c r="M324" s="22" t="n">
        <v>1.27750789452624</v>
      </c>
      <c r="N324" s="22" t="n">
        <v>1.28542593994674</v>
      </c>
      <c r="O324" s="22" t="n">
        <v>1.29457909959266</v>
      </c>
      <c r="P324" s="22" t="n">
        <v>1.31105560699461</v>
      </c>
      <c r="Q324" s="22" t="n">
        <v>1.31645866696771</v>
      </c>
      <c r="R324" s="22" t="n">
        <v>1.31735643350318</v>
      </c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customFormat="false" ht="15" hidden="false" customHeight="false" outlineLevel="0" collapsed="false">
      <c r="A325" s="22" t="s">
        <v>47</v>
      </c>
      <c r="B325" s="22" t="s">
        <v>3</v>
      </c>
      <c r="C325" s="22" t="s">
        <v>47</v>
      </c>
      <c r="D325" s="22" t="n">
        <v>324660</v>
      </c>
      <c r="E325" s="22" t="s">
        <v>132</v>
      </c>
      <c r="F325" s="22" t="s">
        <v>6</v>
      </c>
      <c r="G325" s="22" t="s">
        <v>131</v>
      </c>
      <c r="H325" s="22" t="s">
        <v>131</v>
      </c>
      <c r="I325" s="22" t="n">
        <v>1.285</v>
      </c>
      <c r="J325" s="22" t="n">
        <v>1.32</v>
      </c>
      <c r="K325" s="22" t="n">
        <v>1.326</v>
      </c>
      <c r="L325" s="22" t="n">
        <v>1.306</v>
      </c>
      <c r="M325" s="22" t="n">
        <v>1.304</v>
      </c>
      <c r="N325" s="22" t="n">
        <v>1.323</v>
      </c>
      <c r="O325" s="22" t="n">
        <v>1.326</v>
      </c>
      <c r="P325" s="22" t="n">
        <v>1.305</v>
      </c>
      <c r="Q325" s="22" t="n">
        <v>1.307</v>
      </c>
      <c r="R325" s="22" t="n">
        <v>1.323</v>
      </c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customFormat="false" ht="15" hidden="false" customHeight="false" outlineLevel="0" collapsed="false">
      <c r="A326" s="22" t="s">
        <v>47</v>
      </c>
      <c r="B326" s="22" t="s">
        <v>3</v>
      </c>
      <c r="C326" s="22" t="s">
        <v>47</v>
      </c>
      <c r="D326" s="22" t="n">
        <v>324660</v>
      </c>
      <c r="E326" s="22" t="s">
        <v>132</v>
      </c>
      <c r="F326" s="22" t="s">
        <v>133</v>
      </c>
      <c r="G326" s="22" t="s">
        <v>131</v>
      </c>
      <c r="H326" s="22" t="s">
        <v>131</v>
      </c>
      <c r="I326" s="22" t="n">
        <v>112371</v>
      </c>
      <c r="J326" s="22" t="n">
        <v>112678</v>
      </c>
      <c r="K326" s="22" t="n">
        <v>113389</v>
      </c>
      <c r="L326" s="22" t="n">
        <v>113746</v>
      </c>
      <c r="M326" s="22" t="n">
        <v>114178</v>
      </c>
      <c r="N326" s="22" t="n">
        <v>114714</v>
      </c>
      <c r="O326" s="22" t="n">
        <v>114966</v>
      </c>
      <c r="P326" s="22" t="n">
        <v>115438</v>
      </c>
      <c r="Q326" s="22" t="n">
        <v>115791</v>
      </c>
      <c r="R326" s="22" t="n">
        <v>116060</v>
      </c>
      <c r="S326" s="22" t="n">
        <v>116443</v>
      </c>
      <c r="T326" s="22" t="n">
        <v>116612</v>
      </c>
      <c r="U326" s="22" t="n">
        <v>116811</v>
      </c>
      <c r="V326" s="22" t="n">
        <v>117424</v>
      </c>
      <c r="W326" s="22" t="n">
        <v>118166</v>
      </c>
      <c r="X326" s="22" t="n">
        <v>118629</v>
      </c>
      <c r="Y326" s="22" t="n">
        <v>119074</v>
      </c>
      <c r="Z326" s="22" t="n">
        <v>119391</v>
      </c>
      <c r="AA326" s="22" t="n">
        <v>119875</v>
      </c>
      <c r="AB326" s="22" t="n">
        <v>120128</v>
      </c>
      <c r="AC326" s="22" t="n">
        <v>120556</v>
      </c>
      <c r="AD326" s="22" t="n">
        <v>120812</v>
      </c>
      <c r="AE326" s="22" t="n">
        <v>121220</v>
      </c>
      <c r="AF326" s="22" t="n">
        <v>121404</v>
      </c>
    </row>
    <row r="327" customFormat="false" ht="15" hidden="false" customHeight="false" outlineLevel="0" collapsed="false">
      <c r="A327" s="22" t="s">
        <v>47</v>
      </c>
      <c r="B327" s="22" t="s">
        <v>3</v>
      </c>
      <c r="C327" s="22" t="s">
        <v>47</v>
      </c>
      <c r="D327" s="22" t="n">
        <v>324660</v>
      </c>
      <c r="E327" s="22" t="s">
        <v>132</v>
      </c>
      <c r="F327" s="22" t="s">
        <v>5</v>
      </c>
      <c r="G327" s="22" t="s">
        <v>131</v>
      </c>
      <c r="H327" s="22" t="s">
        <v>131</v>
      </c>
      <c r="I327" s="22" t="n">
        <v>1.294</v>
      </c>
      <c r="J327" s="22" t="n">
        <v>1.327</v>
      </c>
      <c r="K327" s="22" t="n">
        <v>1.333</v>
      </c>
      <c r="L327" s="22" t="n">
        <v>1.316</v>
      </c>
      <c r="M327" s="22" t="n">
        <v>1.316</v>
      </c>
      <c r="N327" s="22" t="n">
        <v>1.331</v>
      </c>
      <c r="O327" s="22" t="n">
        <v>1.334</v>
      </c>
      <c r="P327" s="22" t="n">
        <v>1.317</v>
      </c>
      <c r="Q327" s="22" t="n">
        <v>1.321</v>
      </c>
      <c r="R327" s="22" t="n">
        <v>1.34</v>
      </c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</row>
    <row r="328" customFormat="false" ht="15" hidden="false" customHeight="false" outlineLevel="0" collapsed="false">
      <c r="A328" s="22" t="s">
        <v>47</v>
      </c>
      <c r="B328" s="22" t="s">
        <v>3</v>
      </c>
      <c r="C328" s="22" t="s">
        <v>47</v>
      </c>
      <c r="D328" s="22" t="n">
        <v>324660</v>
      </c>
      <c r="E328" s="22" t="s">
        <v>134</v>
      </c>
      <c r="F328" s="22" t="s">
        <v>135</v>
      </c>
      <c r="G328" s="22" t="s">
        <v>131</v>
      </c>
      <c r="H328" s="22" t="s">
        <v>131</v>
      </c>
      <c r="I328" s="22" t="n">
        <v>0.0085</v>
      </c>
      <c r="J328" s="22" t="n">
        <v>0.0271</v>
      </c>
      <c r="K328" s="22" t="n">
        <v>0.0215</v>
      </c>
      <c r="L328" s="22" t="n">
        <v>0.0192</v>
      </c>
      <c r="M328" s="22" t="n">
        <v>0.0122</v>
      </c>
      <c r="N328" s="22" t="n">
        <v>-0.004</v>
      </c>
      <c r="O328" s="22" t="n">
        <v>-0.0099</v>
      </c>
      <c r="P328" s="22" t="n">
        <v>-0.0117</v>
      </c>
      <c r="Q328" s="22" t="n">
        <v>-0.0053</v>
      </c>
      <c r="R328" s="22" t="n">
        <v>-0.0054</v>
      </c>
      <c r="S328" s="22" t="n">
        <v>-0.002</v>
      </c>
      <c r="T328" s="22" t="n">
        <v>0.005</v>
      </c>
      <c r="U328" s="22" t="n">
        <v>0.014</v>
      </c>
      <c r="V328" s="22" t="n">
        <v>0.026</v>
      </c>
      <c r="W328" s="22" t="n">
        <v>0.029</v>
      </c>
      <c r="X328" s="22" t="n">
        <v>0.03</v>
      </c>
      <c r="Y328" s="22" t="n">
        <v>0.029</v>
      </c>
      <c r="Z328" s="22" t="n">
        <v>0.028</v>
      </c>
      <c r="AA328" s="22" t="n">
        <v>0.029</v>
      </c>
      <c r="AB328" s="22" t="n">
        <v>0.028</v>
      </c>
      <c r="AC328" s="22" t="n">
        <v>0.028</v>
      </c>
      <c r="AD328" s="22" t="n">
        <v>0.027</v>
      </c>
      <c r="AE328" s="22" t="n">
        <v>0.027</v>
      </c>
      <c r="AF328" s="22" t="n">
        <v>0.028</v>
      </c>
    </row>
    <row r="329" customFormat="false" ht="15" hidden="false" customHeight="false" outlineLevel="0" collapsed="false">
      <c r="A329" s="22" t="s">
        <v>47</v>
      </c>
      <c r="B329" s="22" t="s">
        <v>3</v>
      </c>
      <c r="C329" s="22" t="s">
        <v>47</v>
      </c>
      <c r="D329" s="22" t="n">
        <v>324660</v>
      </c>
      <c r="E329" s="22" t="s">
        <v>136</v>
      </c>
      <c r="F329" s="22" t="s">
        <v>137</v>
      </c>
      <c r="G329" s="22" t="s">
        <v>131</v>
      </c>
      <c r="H329" s="22" t="s">
        <v>131</v>
      </c>
      <c r="I329" s="22" t="n">
        <v>6</v>
      </c>
      <c r="J329" s="22" t="n">
        <v>7</v>
      </c>
      <c r="K329" s="22" t="n">
        <v>5</v>
      </c>
      <c r="L329" s="22" t="n">
        <v>5</v>
      </c>
      <c r="M329" s="22" t="n">
        <v>7</v>
      </c>
      <c r="N329" s="22" t="n">
        <v>6</v>
      </c>
      <c r="O329" s="22" t="n">
        <v>9</v>
      </c>
      <c r="P329" s="22" t="n">
        <v>10</v>
      </c>
      <c r="Q329" s="22" t="n">
        <v>9</v>
      </c>
      <c r="R329" s="22" t="n">
        <v>9</v>
      </c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customFormat="false" ht="15" hidden="false" customHeight="false" outlineLevel="0" collapsed="false">
      <c r="A330" s="22" t="s">
        <v>80</v>
      </c>
      <c r="B330" s="22" t="s">
        <v>3</v>
      </c>
      <c r="C330" s="22" t="s">
        <v>80</v>
      </c>
      <c r="D330" s="22" t="n">
        <v>224860</v>
      </c>
      <c r="E330" s="22" t="s">
        <v>129</v>
      </c>
      <c r="F330" s="22" t="s">
        <v>130</v>
      </c>
      <c r="G330" s="22" t="s">
        <v>131</v>
      </c>
      <c r="H330" s="22" t="s">
        <v>131</v>
      </c>
      <c r="I330" s="22" t="n">
        <v>1.41983388721642</v>
      </c>
      <c r="J330" s="22" t="n">
        <v>1.42753287624248</v>
      </c>
      <c r="K330" s="22" t="n">
        <v>1.4318691484216</v>
      </c>
      <c r="L330" s="22" t="n">
        <v>1.43910517912704</v>
      </c>
      <c r="M330" s="22" t="n">
        <v>1.42958545338034</v>
      </c>
      <c r="N330" s="22" t="n">
        <v>1.46442867803283</v>
      </c>
      <c r="O330" s="22" t="n">
        <v>1.4784917312609</v>
      </c>
      <c r="P330" s="22" t="n">
        <v>1.48928207946931</v>
      </c>
      <c r="Q330" s="22" t="n">
        <v>1.49008187013444</v>
      </c>
      <c r="R330" s="22" t="n">
        <v>1.47277847424207</v>
      </c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customFormat="false" ht="15" hidden="false" customHeight="false" outlineLevel="0" collapsed="false">
      <c r="A331" s="22" t="s">
        <v>80</v>
      </c>
      <c r="B331" s="22" t="s">
        <v>3</v>
      </c>
      <c r="C331" s="22" t="s">
        <v>80</v>
      </c>
      <c r="D331" s="22" t="n">
        <v>224860</v>
      </c>
      <c r="E331" s="22" t="s">
        <v>132</v>
      </c>
      <c r="F331" s="22" t="s">
        <v>6</v>
      </c>
      <c r="G331" s="22" t="s">
        <v>131</v>
      </c>
      <c r="H331" s="22" t="s">
        <v>131</v>
      </c>
      <c r="I331" s="22" t="n">
        <v>1.348</v>
      </c>
      <c r="J331" s="22" t="n">
        <v>1.361</v>
      </c>
      <c r="K331" s="22" t="n">
        <v>1.371</v>
      </c>
      <c r="L331" s="22" t="n">
        <v>1.365</v>
      </c>
      <c r="M331" s="22" t="n">
        <v>1.387</v>
      </c>
      <c r="N331" s="22" t="n">
        <v>1.396</v>
      </c>
      <c r="O331" s="22" t="n">
        <v>1.383</v>
      </c>
      <c r="P331" s="22" t="n">
        <v>1.355</v>
      </c>
      <c r="Q331" s="22" t="n">
        <v>1.356</v>
      </c>
      <c r="R331" s="22" t="n">
        <v>1.379</v>
      </c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customFormat="false" ht="15" hidden="false" customHeight="false" outlineLevel="0" collapsed="false">
      <c r="A332" s="22" t="s">
        <v>80</v>
      </c>
      <c r="B332" s="22" t="s">
        <v>3</v>
      </c>
      <c r="C332" s="22" t="s">
        <v>80</v>
      </c>
      <c r="D332" s="22" t="n">
        <v>224860</v>
      </c>
      <c r="E332" s="22" t="s">
        <v>132</v>
      </c>
      <c r="F332" s="22" t="s">
        <v>133</v>
      </c>
      <c r="G332" s="22" t="s">
        <v>131</v>
      </c>
      <c r="H332" s="22" t="s">
        <v>131</v>
      </c>
      <c r="I332" s="22" t="n">
        <v>76179</v>
      </c>
      <c r="J332" s="22" t="n">
        <v>77294</v>
      </c>
      <c r="K332" s="22" t="n">
        <v>78010</v>
      </c>
      <c r="L332" s="22" t="n">
        <v>78951</v>
      </c>
      <c r="M332" s="22" t="n">
        <v>79413</v>
      </c>
      <c r="N332" s="22" t="n">
        <v>79722</v>
      </c>
      <c r="O332" s="22" t="n">
        <v>80111</v>
      </c>
      <c r="P332" s="22" t="n">
        <v>79911</v>
      </c>
      <c r="Q332" s="22" t="n">
        <v>80198</v>
      </c>
      <c r="R332" s="22" t="n">
        <v>80358</v>
      </c>
      <c r="S332" s="22" t="n">
        <v>80587</v>
      </c>
      <c r="T332" s="22" t="n">
        <v>80817</v>
      </c>
      <c r="U332" s="22" t="n">
        <v>80946</v>
      </c>
      <c r="V332" s="22" t="n">
        <v>81225</v>
      </c>
      <c r="W332" s="22" t="n">
        <v>81791</v>
      </c>
      <c r="X332" s="22" t="n">
        <v>82626</v>
      </c>
      <c r="Y332" s="22" t="n">
        <v>82616</v>
      </c>
      <c r="Z332" s="22" t="n">
        <v>82467</v>
      </c>
      <c r="AA332" s="22" t="n">
        <v>82837</v>
      </c>
      <c r="AB332" s="22" t="n">
        <v>83605</v>
      </c>
      <c r="AC332" s="22" t="n">
        <v>83548</v>
      </c>
      <c r="AD332" s="22" t="n">
        <v>83383</v>
      </c>
      <c r="AE332" s="22" t="n">
        <v>83723</v>
      </c>
      <c r="AF332" s="22" t="n">
        <v>84456</v>
      </c>
    </row>
    <row r="333" customFormat="false" ht="15" hidden="false" customHeight="false" outlineLevel="0" collapsed="false">
      <c r="A333" s="22" t="s">
        <v>80</v>
      </c>
      <c r="B333" s="22" t="s">
        <v>3</v>
      </c>
      <c r="C333" s="22" t="s">
        <v>80</v>
      </c>
      <c r="D333" s="22" t="n">
        <v>224860</v>
      </c>
      <c r="E333" s="22" t="s">
        <v>132</v>
      </c>
      <c r="F333" s="22" t="s">
        <v>5</v>
      </c>
      <c r="G333" s="22" t="s">
        <v>131</v>
      </c>
      <c r="H333" s="22" t="s">
        <v>131</v>
      </c>
      <c r="I333" s="22" t="n">
        <v>1.364</v>
      </c>
      <c r="J333" s="22" t="n">
        <v>1.378</v>
      </c>
      <c r="K333" s="22" t="n">
        <v>1.386</v>
      </c>
      <c r="L333" s="22" t="n">
        <v>1.379</v>
      </c>
      <c r="M333" s="22" t="n">
        <v>1.403</v>
      </c>
      <c r="N333" s="22" t="n">
        <v>1.409</v>
      </c>
      <c r="O333" s="22" t="n">
        <v>1.4</v>
      </c>
      <c r="P333" s="22" t="n">
        <v>1.38</v>
      </c>
      <c r="Q333" s="22" t="n">
        <v>1.383</v>
      </c>
      <c r="R333" s="22" t="n">
        <v>1.401</v>
      </c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</row>
    <row r="334" customFormat="false" ht="15" hidden="false" customHeight="false" outlineLevel="0" collapsed="false">
      <c r="A334" s="22" t="s">
        <v>80</v>
      </c>
      <c r="B334" s="22" t="s">
        <v>3</v>
      </c>
      <c r="C334" s="22" t="s">
        <v>80</v>
      </c>
      <c r="D334" s="22" t="n">
        <v>224860</v>
      </c>
      <c r="E334" s="22" t="s">
        <v>134</v>
      </c>
      <c r="F334" s="22" t="s">
        <v>135</v>
      </c>
      <c r="G334" s="22" t="s">
        <v>131</v>
      </c>
      <c r="H334" s="22" t="s">
        <v>131</v>
      </c>
      <c r="I334" s="22" t="n">
        <v>-0.0082</v>
      </c>
      <c r="J334" s="22" t="n">
        <v>-0.0122</v>
      </c>
      <c r="K334" s="22" t="n">
        <v>-0.0108</v>
      </c>
      <c r="L334" s="22" t="n">
        <v>-0.0029</v>
      </c>
      <c r="M334" s="22" t="n">
        <v>0.0275</v>
      </c>
      <c r="N334" s="22" t="n">
        <v>0.0245</v>
      </c>
      <c r="O334" s="22" t="n">
        <v>0.0108</v>
      </c>
      <c r="P334" s="22" t="n">
        <v>-0.0031</v>
      </c>
      <c r="Q334" s="22" t="n">
        <v>-0.017</v>
      </c>
      <c r="R334" s="22" t="n">
        <v>-0.0085</v>
      </c>
      <c r="S334" s="22" t="n">
        <v>-0.006</v>
      </c>
      <c r="T334" s="22" t="n">
        <v>-0.001</v>
      </c>
      <c r="U334" s="22" t="n">
        <v>0.007</v>
      </c>
      <c r="V334" s="22" t="n">
        <v>0.018</v>
      </c>
      <c r="W334" s="22" t="n">
        <v>0.027</v>
      </c>
      <c r="X334" s="22" t="n">
        <v>0.028</v>
      </c>
      <c r="Y334" s="22" t="n">
        <v>0.03</v>
      </c>
      <c r="Z334" s="22" t="n">
        <v>0.031</v>
      </c>
      <c r="AA334" s="22" t="n">
        <v>0.032</v>
      </c>
      <c r="AB334" s="22" t="n">
        <v>0.03</v>
      </c>
      <c r="AC334" s="22" t="n">
        <v>0.031</v>
      </c>
      <c r="AD334" s="22" t="n">
        <v>0.031</v>
      </c>
      <c r="AE334" s="22" t="n">
        <v>0.031</v>
      </c>
      <c r="AF334" s="22" t="n">
        <v>0.031</v>
      </c>
    </row>
    <row r="335" customFormat="false" ht="15" hidden="false" customHeight="false" outlineLevel="0" collapsed="false">
      <c r="A335" s="22" t="s">
        <v>80</v>
      </c>
      <c r="B335" s="22" t="s">
        <v>3</v>
      </c>
      <c r="C335" s="22" t="s">
        <v>80</v>
      </c>
      <c r="D335" s="22" t="n">
        <v>224860</v>
      </c>
      <c r="E335" s="22" t="s">
        <v>136</v>
      </c>
      <c r="F335" s="22" t="s">
        <v>137</v>
      </c>
      <c r="G335" s="22" t="s">
        <v>131</v>
      </c>
      <c r="H335" s="22" t="s">
        <v>131</v>
      </c>
      <c r="I335" s="22" t="n">
        <v>9</v>
      </c>
      <c r="J335" s="22" t="n">
        <v>6</v>
      </c>
      <c r="K335" s="22" t="n">
        <v>5</v>
      </c>
      <c r="L335" s="22" t="n">
        <v>4</v>
      </c>
      <c r="M335" s="22" t="n">
        <v>2</v>
      </c>
      <c r="N335" s="22" t="n">
        <v>5</v>
      </c>
      <c r="O335" s="22" t="n">
        <v>4</v>
      </c>
      <c r="P335" s="22" t="n">
        <v>4</v>
      </c>
      <c r="Q335" s="22" t="n">
        <v>4</v>
      </c>
      <c r="R335" s="22" t="n">
        <v>1</v>
      </c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customFormat="false" ht="15" hidden="false" customHeight="false" outlineLevel="0" collapsed="false">
      <c r="A336" s="22" t="s">
        <v>169</v>
      </c>
      <c r="B336" s="22" t="s">
        <v>3</v>
      </c>
      <c r="C336" s="22" t="s">
        <v>169</v>
      </c>
      <c r="D336" s="22" t="n">
        <v>25420</v>
      </c>
      <c r="E336" s="22" t="s">
        <v>129</v>
      </c>
      <c r="F336" s="22" t="s">
        <v>130</v>
      </c>
      <c r="G336" s="22" t="s">
        <v>131</v>
      </c>
      <c r="H336" s="22" t="s">
        <v>131</v>
      </c>
      <c r="I336" s="22" t="n">
        <v>1.25673742070682</v>
      </c>
      <c r="J336" s="22" t="n">
        <v>1.27252962609966</v>
      </c>
      <c r="K336" s="22" t="n">
        <v>1.29061604894459</v>
      </c>
      <c r="L336" s="22" t="n">
        <v>1.32196998927432</v>
      </c>
      <c r="M336" s="22" t="n">
        <v>1.33275317531054</v>
      </c>
      <c r="N336" s="22" t="n">
        <v>1.32587964426691</v>
      </c>
      <c r="O336" s="22" t="n">
        <v>1.32157450510578</v>
      </c>
      <c r="P336" s="22" t="n">
        <v>1.31956462344695</v>
      </c>
      <c r="Q336" s="22" t="n">
        <v>1.34145306012355</v>
      </c>
      <c r="R336" s="22" t="n">
        <v>1.28709405405966</v>
      </c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</row>
    <row r="337" customFormat="false" ht="15" hidden="false" customHeight="false" outlineLevel="0" collapsed="false">
      <c r="A337" s="22" t="s">
        <v>169</v>
      </c>
      <c r="B337" s="22" t="s">
        <v>3</v>
      </c>
      <c r="C337" s="22" t="s">
        <v>169</v>
      </c>
      <c r="D337" s="22" t="n">
        <v>25420</v>
      </c>
      <c r="E337" s="22" t="s">
        <v>132</v>
      </c>
      <c r="F337" s="22" t="s">
        <v>6</v>
      </c>
      <c r="G337" s="22" t="s">
        <v>131</v>
      </c>
      <c r="H337" s="22" t="s">
        <v>131</v>
      </c>
      <c r="I337" s="22" t="n">
        <v>1.382</v>
      </c>
      <c r="J337" s="22" t="n">
        <v>1.409</v>
      </c>
      <c r="K337" s="22" t="n">
        <v>1.425</v>
      </c>
      <c r="L337" s="22" t="n">
        <v>1.439</v>
      </c>
      <c r="M337" s="22" t="n">
        <v>1.45</v>
      </c>
      <c r="N337" s="22" t="n">
        <v>1.482</v>
      </c>
      <c r="O337" s="22" t="n">
        <v>1.499</v>
      </c>
      <c r="P337" s="22" t="n">
        <v>1.491</v>
      </c>
      <c r="Q337" s="22" t="n">
        <v>1.499</v>
      </c>
      <c r="R337" s="22" t="n">
        <v>1.529</v>
      </c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customFormat="false" ht="15" hidden="false" customHeight="false" outlineLevel="0" collapsed="false">
      <c r="A338" s="22" t="s">
        <v>169</v>
      </c>
      <c r="B338" s="22" t="s">
        <v>3</v>
      </c>
      <c r="C338" s="22" t="s">
        <v>169</v>
      </c>
      <c r="D338" s="22" t="n">
        <v>25420</v>
      </c>
      <c r="E338" s="22" t="s">
        <v>132</v>
      </c>
      <c r="F338" s="22" t="s">
        <v>133</v>
      </c>
      <c r="G338" s="22" t="s">
        <v>131</v>
      </c>
      <c r="H338" s="22" t="s">
        <v>131</v>
      </c>
      <c r="I338" s="22" t="n">
        <v>36457</v>
      </c>
      <c r="J338" s="22" t="n">
        <v>36664</v>
      </c>
      <c r="K338" s="22" t="n">
        <v>37090</v>
      </c>
      <c r="L338" s="22" t="n">
        <v>37474</v>
      </c>
      <c r="M338" s="22" t="n">
        <v>37799</v>
      </c>
      <c r="N338" s="22" t="n">
        <v>38050</v>
      </c>
      <c r="O338" s="22" t="n">
        <v>38266</v>
      </c>
      <c r="P338" s="22" t="n">
        <v>38268</v>
      </c>
      <c r="Q338" s="22" t="n">
        <v>38268</v>
      </c>
      <c r="R338" s="22" t="n">
        <v>38268</v>
      </c>
      <c r="S338" s="22" t="n">
        <v>38378</v>
      </c>
      <c r="T338" s="22" t="n">
        <v>38544</v>
      </c>
      <c r="U338" s="22" t="n">
        <v>38616</v>
      </c>
      <c r="V338" s="22" t="n">
        <v>38640</v>
      </c>
      <c r="W338" s="22" t="n">
        <v>38673</v>
      </c>
      <c r="X338" s="22" t="n">
        <v>38773</v>
      </c>
      <c r="Y338" s="22" t="n">
        <v>38875</v>
      </c>
      <c r="Z338" s="22" t="n">
        <v>38875</v>
      </c>
      <c r="AA338" s="22" t="n">
        <v>38875</v>
      </c>
      <c r="AB338" s="22" t="n">
        <v>38935</v>
      </c>
      <c r="AC338" s="22" t="n">
        <v>39052</v>
      </c>
      <c r="AD338" s="22" t="n">
        <v>39064</v>
      </c>
      <c r="AE338" s="22" t="n">
        <v>39074</v>
      </c>
      <c r="AF338" s="22" t="n">
        <v>39143</v>
      </c>
    </row>
    <row r="339" customFormat="false" ht="15" hidden="false" customHeight="false" outlineLevel="0" collapsed="false">
      <c r="A339" s="22" t="s">
        <v>169</v>
      </c>
      <c r="B339" s="22" t="s">
        <v>3</v>
      </c>
      <c r="C339" s="22" t="s">
        <v>169</v>
      </c>
      <c r="D339" s="22" t="n">
        <v>25420</v>
      </c>
      <c r="E339" s="22" t="s">
        <v>132</v>
      </c>
      <c r="F339" s="22" t="s">
        <v>5</v>
      </c>
      <c r="G339" s="22" t="s">
        <v>131</v>
      </c>
      <c r="H339" s="22" t="s">
        <v>131</v>
      </c>
      <c r="I339" s="22" t="n">
        <v>1.386</v>
      </c>
      <c r="J339" s="22" t="n">
        <v>1.41</v>
      </c>
      <c r="K339" s="22" t="n">
        <v>1.427</v>
      </c>
      <c r="L339" s="22" t="n">
        <v>1.44</v>
      </c>
      <c r="M339" s="22" t="n">
        <v>1.45</v>
      </c>
      <c r="N339" s="22" t="n">
        <v>1.483</v>
      </c>
      <c r="O339" s="22" t="n">
        <v>1.5</v>
      </c>
      <c r="P339" s="22" t="n">
        <v>1.495</v>
      </c>
      <c r="Q339" s="22" t="n">
        <v>1.507</v>
      </c>
      <c r="R339" s="22" t="n">
        <v>1.535</v>
      </c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customFormat="false" ht="15" hidden="false" customHeight="false" outlineLevel="0" collapsed="false">
      <c r="A340" s="22" t="s">
        <v>169</v>
      </c>
      <c r="B340" s="22" t="s">
        <v>3</v>
      </c>
      <c r="C340" s="22" t="s">
        <v>169</v>
      </c>
      <c r="D340" s="22" t="n">
        <v>25420</v>
      </c>
      <c r="E340" s="22" t="s">
        <v>134</v>
      </c>
      <c r="F340" s="22" t="s">
        <v>135</v>
      </c>
      <c r="G340" s="22" t="s">
        <v>131</v>
      </c>
      <c r="H340" s="22" t="s">
        <v>131</v>
      </c>
      <c r="I340" s="22" t="n">
        <v>0.0228</v>
      </c>
      <c r="J340" s="22" t="n">
        <v>0.0264</v>
      </c>
      <c r="K340" s="22" t="n">
        <v>0.0287</v>
      </c>
      <c r="L340" s="22" t="n">
        <v>0.0416</v>
      </c>
      <c r="M340" s="22" t="n">
        <v>0.0494</v>
      </c>
      <c r="N340" s="22" t="n">
        <v>0.0514</v>
      </c>
      <c r="O340" s="22" t="n">
        <v>0.0514</v>
      </c>
      <c r="P340" s="22" t="n">
        <v>0.0363</v>
      </c>
      <c r="Q340" s="22" t="n">
        <v>0.0362</v>
      </c>
      <c r="R340" s="22" t="n">
        <v>0.0248</v>
      </c>
      <c r="S340" s="22" t="n">
        <v>0.029</v>
      </c>
      <c r="T340" s="22" t="n">
        <v>0.03</v>
      </c>
      <c r="U340" s="22" t="n">
        <v>0.023</v>
      </c>
      <c r="V340" s="22" t="n">
        <v>0.024</v>
      </c>
      <c r="W340" s="22" t="n">
        <v>0.029</v>
      </c>
      <c r="X340" s="22" t="n">
        <v>0.029</v>
      </c>
      <c r="Y340" s="22" t="n">
        <v>0.025</v>
      </c>
      <c r="Z340" s="22" t="n">
        <v>0.022</v>
      </c>
      <c r="AA340" s="22" t="n">
        <v>0.028</v>
      </c>
      <c r="AB340" s="22" t="n">
        <v>0.028</v>
      </c>
      <c r="AC340" s="22" t="n">
        <v>0.027</v>
      </c>
      <c r="AD340" s="22" t="n">
        <v>0.023</v>
      </c>
      <c r="AE340" s="22" t="n">
        <v>0.028</v>
      </c>
      <c r="AF340" s="22" t="n">
        <v>0.027</v>
      </c>
    </row>
    <row r="341" customFormat="false" ht="15" hidden="false" customHeight="false" outlineLevel="0" collapsed="false">
      <c r="A341" s="22" t="s">
        <v>169</v>
      </c>
      <c r="B341" s="22" t="s">
        <v>3</v>
      </c>
      <c r="C341" s="22" t="s">
        <v>169</v>
      </c>
      <c r="D341" s="22" t="n">
        <v>25420</v>
      </c>
      <c r="E341" s="22" t="s">
        <v>136</v>
      </c>
      <c r="F341" s="22" t="s">
        <v>137</v>
      </c>
      <c r="G341" s="22" t="s">
        <v>131</v>
      </c>
      <c r="H341" s="22" t="s">
        <v>131</v>
      </c>
      <c r="I341" s="22" t="n">
        <v>4</v>
      </c>
      <c r="J341" s="22" t="n">
        <v>2</v>
      </c>
      <c r="K341" s="22" t="n">
        <v>2</v>
      </c>
      <c r="L341" s="22" t="n">
        <v>0</v>
      </c>
      <c r="M341" s="22" t="n">
        <v>0</v>
      </c>
      <c r="N341" s="22" t="n">
        <v>0</v>
      </c>
      <c r="O341" s="22" t="n">
        <v>1</v>
      </c>
      <c r="P341" s="22" t="n">
        <v>2</v>
      </c>
      <c r="Q341" s="22" t="n">
        <v>3</v>
      </c>
      <c r="R341" s="22" t="n">
        <v>3</v>
      </c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customFormat="false" ht="15" hidden="false" customHeight="false" outlineLevel="0" collapsed="false">
      <c r="A342" s="22" t="s">
        <v>170</v>
      </c>
      <c r="B342" s="22" t="s">
        <v>3</v>
      </c>
      <c r="C342" s="22" t="s">
        <v>170</v>
      </c>
      <c r="D342" s="22" t="n">
        <v>25540</v>
      </c>
      <c r="E342" s="22" t="s">
        <v>129</v>
      </c>
      <c r="F342" s="22" t="s">
        <v>130</v>
      </c>
      <c r="G342" s="22" t="s">
        <v>131</v>
      </c>
      <c r="H342" s="22" t="s">
        <v>131</v>
      </c>
      <c r="I342" s="22" t="n">
        <v>1.94692909647432</v>
      </c>
      <c r="J342" s="22" t="n">
        <v>1.97064149641225</v>
      </c>
      <c r="K342" s="22" t="n">
        <v>2.00964714609624</v>
      </c>
      <c r="L342" s="22" t="n">
        <v>2.05259652001007</v>
      </c>
      <c r="M342" s="22" t="n">
        <v>2.08367137628845</v>
      </c>
      <c r="N342" s="22" t="n">
        <v>2.10214121437237</v>
      </c>
      <c r="O342" s="22" t="n">
        <v>2.06040647733902</v>
      </c>
      <c r="P342" s="22" t="n">
        <v>2.03106149332146</v>
      </c>
      <c r="Q342" s="22" t="n">
        <v>2.05978419060467</v>
      </c>
      <c r="R342" s="22" t="n">
        <v>2.03994782839395</v>
      </c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customFormat="false" ht="15" hidden="false" customHeight="false" outlineLevel="0" collapsed="false">
      <c r="A343" s="22" t="s">
        <v>170</v>
      </c>
      <c r="B343" s="22" t="s">
        <v>3</v>
      </c>
      <c r="C343" s="22" t="s">
        <v>170</v>
      </c>
      <c r="D343" s="22" t="n">
        <v>25540</v>
      </c>
      <c r="E343" s="22" t="s">
        <v>132</v>
      </c>
      <c r="F343" s="22" t="s">
        <v>6</v>
      </c>
      <c r="G343" s="22" t="s">
        <v>131</v>
      </c>
      <c r="H343" s="22" t="s">
        <v>131</v>
      </c>
      <c r="I343" s="22" t="n">
        <v>1.915</v>
      </c>
      <c r="J343" s="22" t="n">
        <v>1.971</v>
      </c>
      <c r="K343" s="22" t="n">
        <v>2.022</v>
      </c>
      <c r="L343" s="22" t="n">
        <v>2.01</v>
      </c>
      <c r="M343" s="22" t="n">
        <v>2.025</v>
      </c>
      <c r="N343" s="22" t="n">
        <v>2.094</v>
      </c>
      <c r="O343" s="22" t="n">
        <v>2.115</v>
      </c>
      <c r="P343" s="22" t="n">
        <v>2.08</v>
      </c>
      <c r="Q343" s="22" t="n">
        <v>2.086</v>
      </c>
      <c r="R343" s="22" t="n">
        <v>2.174</v>
      </c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customFormat="false" ht="15" hidden="false" customHeight="false" outlineLevel="0" collapsed="false">
      <c r="A344" s="22" t="s">
        <v>170</v>
      </c>
      <c r="B344" s="22" t="s">
        <v>3</v>
      </c>
      <c r="C344" s="22" t="s">
        <v>170</v>
      </c>
      <c r="D344" s="22" t="n">
        <v>25540</v>
      </c>
      <c r="E344" s="22" t="s">
        <v>132</v>
      </c>
      <c r="F344" s="22" t="s">
        <v>133</v>
      </c>
      <c r="G344" s="22" t="s">
        <v>131</v>
      </c>
      <c r="H344" s="22" t="s">
        <v>131</v>
      </c>
      <c r="I344" s="22" t="n">
        <v>95533</v>
      </c>
      <c r="J344" s="22" t="n">
        <v>95999</v>
      </c>
      <c r="K344" s="22" t="n">
        <v>96466</v>
      </c>
      <c r="L344" s="22" t="n">
        <v>97021</v>
      </c>
      <c r="M344" s="22" t="n">
        <v>97304</v>
      </c>
      <c r="N344" s="22" t="n">
        <v>97542</v>
      </c>
      <c r="O344" s="22" t="n">
        <v>98149</v>
      </c>
      <c r="P344" s="22" t="n">
        <v>98233</v>
      </c>
      <c r="Q344" s="22" t="n">
        <v>98374</v>
      </c>
      <c r="R344" s="22" t="n">
        <v>98866</v>
      </c>
      <c r="S344" s="22" t="n">
        <v>99908</v>
      </c>
      <c r="T344" s="22" t="n">
        <v>100633</v>
      </c>
      <c r="U344" s="22" t="n">
        <v>100669</v>
      </c>
      <c r="V344" s="22" t="n">
        <v>100777</v>
      </c>
      <c r="W344" s="22" t="n">
        <v>101097</v>
      </c>
      <c r="X344" s="22" t="n">
        <v>100958</v>
      </c>
      <c r="Y344" s="22" t="n">
        <v>100988</v>
      </c>
      <c r="Z344" s="22" t="n">
        <v>101113</v>
      </c>
      <c r="AA344" s="22" t="n">
        <v>101460</v>
      </c>
      <c r="AB344" s="22" t="n">
        <v>101363</v>
      </c>
      <c r="AC344" s="22" t="n">
        <v>101437</v>
      </c>
      <c r="AD344" s="22" t="n">
        <v>101588</v>
      </c>
      <c r="AE344" s="22" t="n">
        <v>101937</v>
      </c>
      <c r="AF344" s="22" t="n">
        <v>101824</v>
      </c>
    </row>
    <row r="345" customFormat="false" ht="15" hidden="false" customHeight="false" outlineLevel="0" collapsed="false">
      <c r="A345" s="22" t="s">
        <v>170</v>
      </c>
      <c r="B345" s="22" t="s">
        <v>3</v>
      </c>
      <c r="C345" s="22" t="s">
        <v>170</v>
      </c>
      <c r="D345" s="22" t="n">
        <v>25540</v>
      </c>
      <c r="E345" s="22" t="s">
        <v>132</v>
      </c>
      <c r="F345" s="22" t="s">
        <v>5</v>
      </c>
      <c r="G345" s="22" t="s">
        <v>131</v>
      </c>
      <c r="H345" s="22" t="s">
        <v>131</v>
      </c>
      <c r="I345" s="22" t="n">
        <v>1.926</v>
      </c>
      <c r="J345" s="22" t="n">
        <v>1.986</v>
      </c>
      <c r="K345" s="22" t="n">
        <v>2.033</v>
      </c>
      <c r="L345" s="22" t="n">
        <v>2.018</v>
      </c>
      <c r="M345" s="22" t="n">
        <v>2.034</v>
      </c>
      <c r="N345" s="22" t="n">
        <v>2.098</v>
      </c>
      <c r="O345" s="22" t="n">
        <v>2.13</v>
      </c>
      <c r="P345" s="22" t="n">
        <v>2.097</v>
      </c>
      <c r="Q345" s="22" t="n">
        <v>2.115</v>
      </c>
      <c r="R345" s="22" t="n">
        <v>2.195</v>
      </c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</row>
    <row r="346" customFormat="false" ht="15" hidden="false" customHeight="false" outlineLevel="0" collapsed="false">
      <c r="A346" s="22" t="s">
        <v>170</v>
      </c>
      <c r="B346" s="22" t="s">
        <v>3</v>
      </c>
      <c r="C346" s="22" t="s">
        <v>170</v>
      </c>
      <c r="D346" s="22" t="n">
        <v>25540</v>
      </c>
      <c r="E346" s="22" t="s">
        <v>134</v>
      </c>
      <c r="F346" s="22" t="s">
        <v>135</v>
      </c>
      <c r="G346" s="22" t="s">
        <v>131</v>
      </c>
      <c r="H346" s="22" t="s">
        <v>131</v>
      </c>
      <c r="I346" s="22" t="n">
        <v>0.0409</v>
      </c>
      <c r="J346" s="22" t="n">
        <v>0.0409</v>
      </c>
      <c r="K346" s="22" t="n">
        <v>0.0483</v>
      </c>
      <c r="L346" s="22" t="n">
        <v>0.0407</v>
      </c>
      <c r="M346" s="22" t="n">
        <v>0.0504</v>
      </c>
      <c r="N346" s="22" t="n">
        <v>0.0509</v>
      </c>
      <c r="O346" s="22" t="n">
        <v>0.0218</v>
      </c>
      <c r="P346" s="22" t="n">
        <v>0.0158</v>
      </c>
      <c r="Q346" s="22" t="n">
        <v>0.01</v>
      </c>
      <c r="R346" s="22" t="n">
        <v>0.009</v>
      </c>
      <c r="S346" s="22" t="n">
        <v>0.012</v>
      </c>
      <c r="T346" s="22" t="n">
        <v>0.018</v>
      </c>
      <c r="U346" s="22" t="n">
        <v>0.026</v>
      </c>
      <c r="V346" s="22" t="n">
        <v>0.025</v>
      </c>
      <c r="W346" s="22" t="n">
        <v>0.027</v>
      </c>
      <c r="X346" s="22" t="n">
        <v>0.029</v>
      </c>
      <c r="Y346" s="22" t="n">
        <v>0.029</v>
      </c>
      <c r="Z346" s="22" t="n">
        <v>0.03</v>
      </c>
      <c r="AA346" s="22" t="n">
        <v>0.03</v>
      </c>
      <c r="AB346" s="22" t="n">
        <v>0.03</v>
      </c>
      <c r="AC346" s="22" t="n">
        <v>0.03</v>
      </c>
      <c r="AD346" s="22" t="n">
        <v>0.031</v>
      </c>
      <c r="AE346" s="22" t="n">
        <v>0.031</v>
      </c>
      <c r="AF346" s="22" t="n">
        <v>0.031</v>
      </c>
    </row>
    <row r="347" customFormat="false" ht="15" hidden="false" customHeight="false" outlineLevel="0" collapsed="false">
      <c r="A347" s="22" t="s">
        <v>170</v>
      </c>
      <c r="B347" s="22" t="s">
        <v>3</v>
      </c>
      <c r="C347" s="22" t="s">
        <v>170</v>
      </c>
      <c r="D347" s="22" t="n">
        <v>25540</v>
      </c>
      <c r="E347" s="22" t="s">
        <v>136</v>
      </c>
      <c r="F347" s="22" t="s">
        <v>137</v>
      </c>
      <c r="G347" s="22" t="s">
        <v>131</v>
      </c>
      <c r="H347" s="22" t="s">
        <v>131</v>
      </c>
      <c r="I347" s="22" t="n">
        <v>14</v>
      </c>
      <c r="J347" s="22" t="n">
        <v>12</v>
      </c>
      <c r="K347" s="22" t="n">
        <v>12</v>
      </c>
      <c r="L347" s="22" t="n">
        <v>9</v>
      </c>
      <c r="M347" s="22" t="n">
        <v>9</v>
      </c>
      <c r="N347" s="22" t="n">
        <v>7</v>
      </c>
      <c r="O347" s="22" t="n">
        <v>8</v>
      </c>
      <c r="P347" s="22" t="n">
        <v>5</v>
      </c>
      <c r="Q347" s="22" t="n">
        <v>2</v>
      </c>
      <c r="R347" s="22" t="n">
        <v>3</v>
      </c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customFormat="false" ht="15" hidden="false" customHeight="false" outlineLevel="0" collapsed="false">
      <c r="A348" s="22" t="s">
        <v>82</v>
      </c>
      <c r="B348" s="22" t="s">
        <v>3</v>
      </c>
      <c r="C348" s="22" t="s">
        <v>82</v>
      </c>
      <c r="D348" s="22" t="n">
        <v>26420</v>
      </c>
      <c r="E348" s="22" t="s">
        <v>129</v>
      </c>
      <c r="F348" s="22" t="s">
        <v>130</v>
      </c>
      <c r="G348" s="22" t="s">
        <v>131</v>
      </c>
      <c r="H348" s="22" t="s">
        <v>131</v>
      </c>
      <c r="I348" s="22" t="n">
        <v>1.56734540799947</v>
      </c>
      <c r="J348" s="22" t="n">
        <v>1.5689246842351</v>
      </c>
      <c r="K348" s="22" t="n">
        <v>1.5855507618003</v>
      </c>
      <c r="L348" s="22" t="n">
        <v>1.58992454683949</v>
      </c>
      <c r="M348" s="22" t="n">
        <v>1.59445745392771</v>
      </c>
      <c r="N348" s="22" t="n">
        <v>1.59747401832368</v>
      </c>
      <c r="O348" s="22" t="n">
        <v>1.59929372395521</v>
      </c>
      <c r="P348" s="22" t="n">
        <v>1.57850286497752</v>
      </c>
      <c r="Q348" s="22" t="n">
        <v>1.57288222697203</v>
      </c>
      <c r="R348" s="22" t="n">
        <v>1.56514648094679</v>
      </c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customFormat="false" ht="15" hidden="false" customHeight="false" outlineLevel="0" collapsed="false">
      <c r="A349" s="22" t="s">
        <v>82</v>
      </c>
      <c r="B349" s="22" t="s">
        <v>3</v>
      </c>
      <c r="C349" s="22" t="s">
        <v>82</v>
      </c>
      <c r="D349" s="22" t="n">
        <v>26420</v>
      </c>
      <c r="E349" s="22" t="s">
        <v>132</v>
      </c>
      <c r="F349" s="22" t="s">
        <v>6</v>
      </c>
      <c r="G349" s="22" t="s">
        <v>131</v>
      </c>
      <c r="H349" s="22" t="s">
        <v>131</v>
      </c>
      <c r="I349" s="22" t="n">
        <v>1.503</v>
      </c>
      <c r="J349" s="22" t="n">
        <v>1.511</v>
      </c>
      <c r="K349" s="22" t="n">
        <v>1.516</v>
      </c>
      <c r="L349" s="22" t="n">
        <v>1.505</v>
      </c>
      <c r="M349" s="22" t="n">
        <v>1.503</v>
      </c>
      <c r="N349" s="22" t="n">
        <v>1.515</v>
      </c>
      <c r="O349" s="22" t="n">
        <v>1.512</v>
      </c>
      <c r="P349" s="22" t="n">
        <v>1.495</v>
      </c>
      <c r="Q349" s="22" t="n">
        <v>1.49</v>
      </c>
      <c r="R349" s="22" t="n">
        <v>1.495</v>
      </c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customFormat="false" ht="15" hidden="false" customHeight="false" outlineLevel="0" collapsed="false">
      <c r="A350" s="22" t="s">
        <v>82</v>
      </c>
      <c r="B350" s="22" t="s">
        <v>3</v>
      </c>
      <c r="C350" s="22" t="s">
        <v>82</v>
      </c>
      <c r="D350" s="22" t="n">
        <v>26420</v>
      </c>
      <c r="E350" s="22" t="s">
        <v>132</v>
      </c>
      <c r="F350" s="22" t="s">
        <v>133</v>
      </c>
      <c r="G350" s="22" t="s">
        <v>131</v>
      </c>
      <c r="H350" s="22" t="s">
        <v>131</v>
      </c>
      <c r="I350" s="22" t="n">
        <v>765672</v>
      </c>
      <c r="J350" s="22" t="n">
        <v>772420</v>
      </c>
      <c r="K350" s="22" t="n">
        <v>778370</v>
      </c>
      <c r="L350" s="22" t="n">
        <v>784295</v>
      </c>
      <c r="M350" s="22" t="n">
        <v>788646</v>
      </c>
      <c r="N350" s="22" t="n">
        <v>791150</v>
      </c>
      <c r="O350" s="22" t="n">
        <v>793993</v>
      </c>
      <c r="P350" s="22" t="n">
        <v>796625</v>
      </c>
      <c r="Q350" s="22" t="n">
        <v>799021</v>
      </c>
      <c r="R350" s="22" t="n">
        <v>802464</v>
      </c>
      <c r="S350" s="22" t="n">
        <v>806287</v>
      </c>
      <c r="T350" s="22" t="n">
        <v>809990</v>
      </c>
      <c r="U350" s="22" t="n">
        <v>812249</v>
      </c>
      <c r="V350" s="22" t="n">
        <v>814905</v>
      </c>
      <c r="W350" s="22" t="n">
        <v>819238</v>
      </c>
      <c r="X350" s="22" t="n">
        <v>821921</v>
      </c>
      <c r="Y350" s="22" t="n">
        <v>822971</v>
      </c>
      <c r="Z350" s="22" t="n">
        <v>825128</v>
      </c>
      <c r="AA350" s="22" t="n">
        <v>829651</v>
      </c>
      <c r="AB350" s="22" t="n">
        <v>832359</v>
      </c>
      <c r="AC350" s="22" t="n">
        <v>833356</v>
      </c>
      <c r="AD350" s="22" t="n">
        <v>835394</v>
      </c>
      <c r="AE350" s="22" t="n">
        <v>839772</v>
      </c>
      <c r="AF350" s="22" t="n">
        <v>842320</v>
      </c>
    </row>
    <row r="351" customFormat="false" ht="15" hidden="false" customHeight="false" outlineLevel="0" collapsed="false">
      <c r="A351" s="22" t="s">
        <v>82</v>
      </c>
      <c r="B351" s="22" t="s">
        <v>3</v>
      </c>
      <c r="C351" s="22" t="s">
        <v>82</v>
      </c>
      <c r="D351" s="22" t="n">
        <v>26420</v>
      </c>
      <c r="E351" s="22" t="s">
        <v>132</v>
      </c>
      <c r="F351" s="22" t="s">
        <v>5</v>
      </c>
      <c r="G351" s="22" t="s">
        <v>131</v>
      </c>
      <c r="H351" s="22" t="s">
        <v>131</v>
      </c>
      <c r="I351" s="22" t="n">
        <v>1.523</v>
      </c>
      <c r="J351" s="22" t="n">
        <v>1.534</v>
      </c>
      <c r="K351" s="22" t="n">
        <v>1.54</v>
      </c>
      <c r="L351" s="22" t="n">
        <v>1.526</v>
      </c>
      <c r="M351" s="22" t="n">
        <v>1.524</v>
      </c>
      <c r="N351" s="22" t="n">
        <v>1.538</v>
      </c>
      <c r="O351" s="22" t="n">
        <v>1.539</v>
      </c>
      <c r="P351" s="22" t="n">
        <v>1.527</v>
      </c>
      <c r="Q351" s="22" t="n">
        <v>1.526</v>
      </c>
      <c r="R351" s="22" t="n">
        <v>1.535</v>
      </c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customFormat="false" ht="15" hidden="false" customHeight="false" outlineLevel="0" collapsed="false">
      <c r="A352" s="22" t="s">
        <v>82</v>
      </c>
      <c r="B352" s="22" t="s">
        <v>3</v>
      </c>
      <c r="C352" s="22" t="s">
        <v>82</v>
      </c>
      <c r="D352" s="22" t="n">
        <v>26420</v>
      </c>
      <c r="E352" s="22" t="s">
        <v>134</v>
      </c>
      <c r="F352" s="22" t="s">
        <v>135</v>
      </c>
      <c r="G352" s="22" t="s">
        <v>131</v>
      </c>
      <c r="H352" s="22" t="s">
        <v>131</v>
      </c>
      <c r="I352" s="22" t="n">
        <v>-0.0049</v>
      </c>
      <c r="J352" s="22" t="n">
        <v>-0.0065</v>
      </c>
      <c r="K352" s="22" t="n">
        <v>-0.0063</v>
      </c>
      <c r="L352" s="22" t="n">
        <v>-0.0001</v>
      </c>
      <c r="M352" s="22" t="n">
        <v>0.0011</v>
      </c>
      <c r="N352" s="22" t="n">
        <v>-0.0065</v>
      </c>
      <c r="O352" s="22" t="n">
        <v>-0.0175</v>
      </c>
      <c r="P352" s="22" t="n">
        <v>-0.0251</v>
      </c>
      <c r="Q352" s="22" t="n">
        <v>-0.0288</v>
      </c>
      <c r="R352" s="22" t="n">
        <v>-0.0289</v>
      </c>
      <c r="S352" s="22" t="n">
        <v>-0.026</v>
      </c>
      <c r="T352" s="22" t="n">
        <v>-0.022</v>
      </c>
      <c r="U352" s="22" t="n">
        <v>-0.015</v>
      </c>
      <c r="V352" s="22" t="n">
        <v>-0.005</v>
      </c>
      <c r="W352" s="22" t="n">
        <v>0.007</v>
      </c>
      <c r="X352" s="22" t="n">
        <v>0.02</v>
      </c>
      <c r="Y352" s="22" t="n">
        <v>0.02</v>
      </c>
      <c r="Z352" s="22" t="n">
        <v>0.02</v>
      </c>
      <c r="AA352" s="22" t="n">
        <v>0.02</v>
      </c>
      <c r="AB352" s="22" t="n">
        <v>0.02</v>
      </c>
      <c r="AC352" s="22" t="n">
        <v>0.021</v>
      </c>
      <c r="AD352" s="22" t="n">
        <v>0.021</v>
      </c>
      <c r="AE352" s="22" t="n">
        <v>0.022</v>
      </c>
      <c r="AF352" s="22" t="n">
        <v>0.022</v>
      </c>
    </row>
    <row r="353" customFormat="false" ht="15" hidden="false" customHeight="false" outlineLevel="0" collapsed="false">
      <c r="A353" s="22" t="s">
        <v>82</v>
      </c>
      <c r="B353" s="22" t="s">
        <v>3</v>
      </c>
      <c r="C353" s="22" t="s">
        <v>82</v>
      </c>
      <c r="D353" s="22" t="n">
        <v>26420</v>
      </c>
      <c r="E353" s="22" t="s">
        <v>136</v>
      </c>
      <c r="F353" s="22" t="s">
        <v>137</v>
      </c>
      <c r="G353" s="22" t="s">
        <v>131</v>
      </c>
      <c r="H353" s="22" t="s">
        <v>131</v>
      </c>
      <c r="I353" s="22" t="n">
        <v>47</v>
      </c>
      <c r="J353" s="22" t="n">
        <v>46</v>
      </c>
      <c r="K353" s="22" t="n">
        <v>33</v>
      </c>
      <c r="L353" s="22" t="n">
        <v>38</v>
      </c>
      <c r="M353" s="22" t="n">
        <v>47</v>
      </c>
      <c r="N353" s="22" t="n">
        <v>50</v>
      </c>
      <c r="O353" s="22" t="n">
        <v>61</v>
      </c>
      <c r="P353" s="22" t="n">
        <v>56</v>
      </c>
      <c r="Q353" s="22" t="n">
        <v>56</v>
      </c>
      <c r="R353" s="22" t="n">
        <v>48</v>
      </c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customFormat="false" ht="15" hidden="false" customHeight="false" outlineLevel="0" collapsed="false">
      <c r="A354" s="22" t="s">
        <v>60</v>
      </c>
      <c r="B354" s="22" t="s">
        <v>3</v>
      </c>
      <c r="C354" s="22" t="s">
        <v>60</v>
      </c>
      <c r="D354" s="22" t="n">
        <v>26620</v>
      </c>
      <c r="E354" s="22" t="s">
        <v>129</v>
      </c>
      <c r="F354" s="22" t="s">
        <v>130</v>
      </c>
      <c r="G354" s="22" t="s">
        <v>131</v>
      </c>
      <c r="H354" s="22" t="s">
        <v>131</v>
      </c>
      <c r="I354" s="22" t="n">
        <v>1.18722084063832</v>
      </c>
      <c r="J354" s="22" t="n">
        <v>1.17281813038173</v>
      </c>
      <c r="K354" s="22" t="n">
        <v>1.17324929935266</v>
      </c>
      <c r="L354" s="22" t="n">
        <v>1.17611849156091</v>
      </c>
      <c r="M354" s="22" t="n">
        <v>1.17516155506229</v>
      </c>
      <c r="N354" s="22" t="n">
        <v>1.19357725844908</v>
      </c>
      <c r="O354" s="22" t="n">
        <v>1.18767668069758</v>
      </c>
      <c r="P354" s="22" t="n">
        <v>1.1659847635034</v>
      </c>
      <c r="Q354" s="22" t="n">
        <v>1.16424762840644</v>
      </c>
      <c r="R354" s="22" t="n">
        <v>1.16079665760795</v>
      </c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customFormat="false" ht="15" hidden="false" customHeight="false" outlineLevel="0" collapsed="false">
      <c r="A355" s="22" t="s">
        <v>60</v>
      </c>
      <c r="B355" s="22" t="s">
        <v>3</v>
      </c>
      <c r="C355" s="22" t="s">
        <v>60</v>
      </c>
      <c r="D355" s="22" t="n">
        <v>26620</v>
      </c>
      <c r="E355" s="22" t="s">
        <v>132</v>
      </c>
      <c r="F355" s="22" t="s">
        <v>6</v>
      </c>
      <c r="G355" s="22" t="s">
        <v>131</v>
      </c>
      <c r="H355" s="22" t="s">
        <v>131</v>
      </c>
      <c r="I355" s="22" t="n">
        <v>1.199</v>
      </c>
      <c r="J355" s="22" t="n">
        <v>1.203</v>
      </c>
      <c r="K355" s="22" t="n">
        <v>1.185</v>
      </c>
      <c r="L355" s="22" t="n">
        <v>1.173</v>
      </c>
      <c r="M355" s="22" t="n">
        <v>1.174</v>
      </c>
      <c r="N355" s="22" t="n">
        <v>1.195</v>
      </c>
      <c r="O355" s="22" t="n">
        <v>1.182</v>
      </c>
      <c r="P355" s="22" t="n">
        <v>1.147</v>
      </c>
      <c r="Q355" s="22" t="n">
        <v>1.16</v>
      </c>
      <c r="R355" s="22" t="n">
        <v>1.175</v>
      </c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customFormat="false" ht="15" hidden="false" customHeight="false" outlineLevel="0" collapsed="false">
      <c r="A356" s="22" t="s">
        <v>60</v>
      </c>
      <c r="B356" s="22" t="s">
        <v>3</v>
      </c>
      <c r="C356" s="22" t="s">
        <v>60</v>
      </c>
      <c r="D356" s="22" t="n">
        <v>26620</v>
      </c>
      <c r="E356" s="22" t="s">
        <v>132</v>
      </c>
      <c r="F356" s="22" t="s">
        <v>133</v>
      </c>
      <c r="G356" s="22" t="s">
        <v>131</v>
      </c>
      <c r="H356" s="22" t="s">
        <v>131</v>
      </c>
      <c r="I356" s="22" t="n">
        <v>42178</v>
      </c>
      <c r="J356" s="22" t="n">
        <v>43853</v>
      </c>
      <c r="K356" s="22" t="n">
        <v>45893</v>
      </c>
      <c r="L356" s="22" t="n">
        <v>47245</v>
      </c>
      <c r="M356" s="22" t="n">
        <v>47957</v>
      </c>
      <c r="N356" s="22" t="n">
        <v>49142</v>
      </c>
      <c r="O356" s="22" t="n">
        <v>50905</v>
      </c>
      <c r="P356" s="22" t="n">
        <v>51569</v>
      </c>
      <c r="Q356" s="22" t="n">
        <v>51876</v>
      </c>
      <c r="R356" s="22" t="n">
        <v>52005</v>
      </c>
      <c r="S356" s="22" t="n">
        <v>52193</v>
      </c>
      <c r="T356" s="22" t="n">
        <v>52385</v>
      </c>
      <c r="U356" s="22" t="n">
        <v>52619</v>
      </c>
      <c r="V356" s="22" t="n">
        <v>53106</v>
      </c>
      <c r="W356" s="22" t="n">
        <v>54029</v>
      </c>
      <c r="X356" s="22" t="n">
        <v>54376</v>
      </c>
      <c r="Y356" s="22" t="n">
        <v>54952</v>
      </c>
      <c r="Z356" s="22" t="n">
        <v>55041</v>
      </c>
      <c r="AA356" s="22" t="n">
        <v>56062</v>
      </c>
      <c r="AB356" s="22" t="n">
        <v>56400</v>
      </c>
      <c r="AC356" s="22" t="n">
        <v>56998</v>
      </c>
      <c r="AD356" s="22" t="n">
        <v>57098</v>
      </c>
      <c r="AE356" s="22" t="n">
        <v>58118</v>
      </c>
      <c r="AF356" s="22" t="n">
        <v>58433</v>
      </c>
    </row>
    <row r="357" customFormat="false" ht="15" hidden="false" customHeight="false" outlineLevel="0" collapsed="false">
      <c r="A357" s="22" t="s">
        <v>60</v>
      </c>
      <c r="B357" s="22" t="s">
        <v>3</v>
      </c>
      <c r="C357" s="22" t="s">
        <v>60</v>
      </c>
      <c r="D357" s="22" t="n">
        <v>26620</v>
      </c>
      <c r="E357" s="22" t="s">
        <v>132</v>
      </c>
      <c r="F357" s="22" t="s">
        <v>5</v>
      </c>
      <c r="G357" s="22" t="s">
        <v>131</v>
      </c>
      <c r="H357" s="22" t="s">
        <v>131</v>
      </c>
      <c r="I357" s="22" t="n">
        <v>1.218</v>
      </c>
      <c r="J357" s="22" t="n">
        <v>1.231</v>
      </c>
      <c r="K357" s="22" t="n">
        <v>1.225</v>
      </c>
      <c r="L357" s="22" t="n">
        <v>1.213</v>
      </c>
      <c r="M357" s="22" t="n">
        <v>1.201</v>
      </c>
      <c r="N357" s="22" t="n">
        <v>1.22</v>
      </c>
      <c r="O357" s="22" t="n">
        <v>1.218</v>
      </c>
      <c r="P357" s="22" t="n">
        <v>1.196</v>
      </c>
      <c r="Q357" s="22" t="n">
        <v>1.206</v>
      </c>
      <c r="R357" s="22" t="n">
        <v>1.233</v>
      </c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customFormat="false" ht="15" hidden="false" customHeight="false" outlineLevel="0" collapsed="false">
      <c r="A358" s="22" t="s">
        <v>60</v>
      </c>
      <c r="B358" s="22" t="s">
        <v>3</v>
      </c>
      <c r="C358" s="22" t="s">
        <v>60</v>
      </c>
      <c r="D358" s="22" t="n">
        <v>26620</v>
      </c>
      <c r="E358" s="22" t="s">
        <v>134</v>
      </c>
      <c r="F358" s="22" t="s">
        <v>135</v>
      </c>
      <c r="G358" s="22" t="s">
        <v>131</v>
      </c>
      <c r="H358" s="22" t="s">
        <v>131</v>
      </c>
      <c r="I358" s="22" t="n">
        <v>-0.0254</v>
      </c>
      <c r="J358" s="22" t="n">
        <v>-0.0265</v>
      </c>
      <c r="K358" s="22" t="n">
        <v>-0.0392</v>
      </c>
      <c r="L358" s="22" t="n">
        <v>-0.0444</v>
      </c>
      <c r="M358" s="22" t="n">
        <v>-0.0336</v>
      </c>
      <c r="N358" s="22" t="n">
        <v>-0.0356</v>
      </c>
      <c r="O358" s="22" t="n">
        <v>-0.0283</v>
      </c>
      <c r="P358" s="22" t="n">
        <v>-0.0418</v>
      </c>
      <c r="Q358" s="22" t="n">
        <v>-0.0332</v>
      </c>
      <c r="R358" s="22" t="n">
        <v>-0.0365</v>
      </c>
      <c r="S358" s="22" t="n">
        <v>-0.028</v>
      </c>
      <c r="T358" s="22" t="n">
        <v>-0.017</v>
      </c>
      <c r="U358" s="22" t="n">
        <v>-0.003</v>
      </c>
      <c r="V358" s="22" t="n">
        <v>0.021</v>
      </c>
      <c r="W358" s="22" t="n">
        <v>0.026</v>
      </c>
      <c r="X358" s="22" t="n">
        <v>0.029</v>
      </c>
      <c r="Y358" s="22" t="n">
        <v>0.025</v>
      </c>
      <c r="Z358" s="22" t="n">
        <v>0.026</v>
      </c>
      <c r="AA358" s="22" t="n">
        <v>0.03</v>
      </c>
      <c r="AB358" s="22" t="n">
        <v>0.028</v>
      </c>
      <c r="AC358" s="22" t="n">
        <v>0.022</v>
      </c>
      <c r="AD358" s="22" t="n">
        <v>0.021</v>
      </c>
      <c r="AE358" s="22" t="n">
        <v>0.023</v>
      </c>
      <c r="AF358" s="22" t="n">
        <v>0.022</v>
      </c>
    </row>
    <row r="359" customFormat="false" ht="15" hidden="false" customHeight="false" outlineLevel="0" collapsed="false">
      <c r="A359" s="22" t="s">
        <v>60</v>
      </c>
      <c r="B359" s="22" t="s">
        <v>3</v>
      </c>
      <c r="C359" s="22" t="s">
        <v>60</v>
      </c>
      <c r="D359" s="22" t="n">
        <v>26620</v>
      </c>
      <c r="E359" s="22" t="s">
        <v>136</v>
      </c>
      <c r="F359" s="22" t="s">
        <v>137</v>
      </c>
      <c r="G359" s="22" t="s">
        <v>131</v>
      </c>
      <c r="H359" s="22" t="s">
        <v>131</v>
      </c>
      <c r="I359" s="22" t="n">
        <v>7</v>
      </c>
      <c r="J359" s="22" t="n">
        <v>9</v>
      </c>
      <c r="K359" s="22" t="n">
        <v>4</v>
      </c>
      <c r="L359" s="22" t="n">
        <v>4</v>
      </c>
      <c r="M359" s="22" t="n">
        <v>5</v>
      </c>
      <c r="N359" s="22" t="n">
        <v>2</v>
      </c>
      <c r="O359" s="22" t="n">
        <v>2</v>
      </c>
      <c r="P359" s="22" t="n">
        <v>4</v>
      </c>
      <c r="Q359" s="22" t="n">
        <v>7</v>
      </c>
      <c r="R359" s="22" t="n">
        <v>7</v>
      </c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customFormat="false" ht="15" hidden="false" customHeight="false" outlineLevel="0" collapsed="false">
      <c r="A360" s="22" t="s">
        <v>57</v>
      </c>
      <c r="B360" s="22" t="s">
        <v>3</v>
      </c>
      <c r="C360" s="22" t="s">
        <v>57</v>
      </c>
      <c r="D360" s="22" t="n">
        <v>226900</v>
      </c>
      <c r="E360" s="22" t="s">
        <v>129</v>
      </c>
      <c r="F360" s="22" t="s">
        <v>130</v>
      </c>
      <c r="G360" s="22" t="s">
        <v>131</v>
      </c>
      <c r="H360" s="22" t="s">
        <v>131</v>
      </c>
      <c r="I360" s="22" t="n">
        <v>1.39533578495574</v>
      </c>
      <c r="J360" s="22" t="n">
        <v>1.40438558895862</v>
      </c>
      <c r="K360" s="22" t="n">
        <v>1.42182462089197</v>
      </c>
      <c r="L360" s="22" t="n">
        <v>1.43560519787119</v>
      </c>
      <c r="M360" s="22" t="n">
        <v>1.44065990542751</v>
      </c>
      <c r="N360" s="22" t="n">
        <v>1.44743062033249</v>
      </c>
      <c r="O360" s="22" t="n">
        <v>1.46136189528074</v>
      </c>
      <c r="P360" s="22" t="n">
        <v>1.47279070542146</v>
      </c>
      <c r="Q360" s="22" t="n">
        <v>1.47757102860592</v>
      </c>
      <c r="R360" s="22" t="n">
        <v>1.46555798365679</v>
      </c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customFormat="false" ht="15" hidden="false" customHeight="false" outlineLevel="0" collapsed="false">
      <c r="A361" s="22" t="s">
        <v>57</v>
      </c>
      <c r="B361" s="22" t="s">
        <v>3</v>
      </c>
      <c r="C361" s="22" t="s">
        <v>57</v>
      </c>
      <c r="D361" s="22" t="n">
        <v>226900</v>
      </c>
      <c r="E361" s="22" t="s">
        <v>132</v>
      </c>
      <c r="F361" s="22" t="s">
        <v>6</v>
      </c>
      <c r="G361" s="22" t="s">
        <v>131</v>
      </c>
      <c r="H361" s="22" t="s">
        <v>131</v>
      </c>
      <c r="I361" s="22" t="n">
        <v>1.367</v>
      </c>
      <c r="J361" s="22" t="n">
        <v>1.395</v>
      </c>
      <c r="K361" s="22" t="n">
        <v>1.401</v>
      </c>
      <c r="L361" s="22" t="n">
        <v>1.398</v>
      </c>
      <c r="M361" s="22" t="n">
        <v>1.404</v>
      </c>
      <c r="N361" s="22" t="n">
        <v>1.422</v>
      </c>
      <c r="O361" s="22" t="n">
        <v>1.429</v>
      </c>
      <c r="P361" s="22" t="n">
        <v>1.408</v>
      </c>
      <c r="Q361" s="22" t="n">
        <v>1.417</v>
      </c>
      <c r="R361" s="22" t="n">
        <v>1.435</v>
      </c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customFormat="false" ht="15" hidden="false" customHeight="false" outlineLevel="0" collapsed="false">
      <c r="A362" s="22" t="s">
        <v>57</v>
      </c>
      <c r="B362" s="22" t="s">
        <v>3</v>
      </c>
      <c r="C362" s="22" t="s">
        <v>57</v>
      </c>
      <c r="D362" s="22" t="n">
        <v>226900</v>
      </c>
      <c r="E362" s="22" t="s">
        <v>132</v>
      </c>
      <c r="F362" s="22" t="s">
        <v>133</v>
      </c>
      <c r="G362" s="22" t="s">
        <v>131</v>
      </c>
      <c r="H362" s="22" t="s">
        <v>131</v>
      </c>
      <c r="I362" s="22" t="n">
        <v>177953</v>
      </c>
      <c r="J362" s="22" t="n">
        <v>179510</v>
      </c>
      <c r="K362" s="22" t="n">
        <v>181136</v>
      </c>
      <c r="L362" s="22" t="n">
        <v>183249</v>
      </c>
      <c r="M362" s="22" t="n">
        <v>184232</v>
      </c>
      <c r="N362" s="22" t="n">
        <v>185299</v>
      </c>
      <c r="O362" s="22" t="n">
        <v>186093</v>
      </c>
      <c r="P362" s="22" t="n">
        <v>186837</v>
      </c>
      <c r="Q362" s="22" t="n">
        <v>187750</v>
      </c>
      <c r="R362" s="22" t="n">
        <v>188775</v>
      </c>
      <c r="S362" s="22" t="n">
        <v>189484</v>
      </c>
      <c r="T362" s="22" t="n">
        <v>190660</v>
      </c>
      <c r="U362" s="22" t="n">
        <v>191412</v>
      </c>
      <c r="V362" s="22" t="n">
        <v>192328</v>
      </c>
      <c r="W362" s="22" t="n">
        <v>193458</v>
      </c>
      <c r="X362" s="22" t="n">
        <v>194328</v>
      </c>
      <c r="Y362" s="22" t="n">
        <v>194782</v>
      </c>
      <c r="Z362" s="22" t="n">
        <v>194905</v>
      </c>
      <c r="AA362" s="22" t="n">
        <v>195086</v>
      </c>
      <c r="AB362" s="22" t="n">
        <v>196065</v>
      </c>
      <c r="AC362" s="22" t="n">
        <v>196633</v>
      </c>
      <c r="AD362" s="22" t="n">
        <v>196857</v>
      </c>
      <c r="AE362" s="22" t="n">
        <v>197111</v>
      </c>
      <c r="AF362" s="22" t="n">
        <v>198133</v>
      </c>
    </row>
    <row r="363" customFormat="false" ht="15" hidden="false" customHeight="false" outlineLevel="0" collapsed="false">
      <c r="A363" s="22" t="s">
        <v>57</v>
      </c>
      <c r="B363" s="22" t="s">
        <v>3</v>
      </c>
      <c r="C363" s="22" t="s">
        <v>57</v>
      </c>
      <c r="D363" s="22" t="n">
        <v>226900</v>
      </c>
      <c r="E363" s="22" t="s">
        <v>132</v>
      </c>
      <c r="F363" s="22" t="s">
        <v>5</v>
      </c>
      <c r="G363" s="22" t="s">
        <v>131</v>
      </c>
      <c r="H363" s="22" t="s">
        <v>131</v>
      </c>
      <c r="I363" s="22" t="n">
        <v>1.374</v>
      </c>
      <c r="J363" s="22" t="n">
        <v>1.401</v>
      </c>
      <c r="K363" s="22" t="n">
        <v>1.409</v>
      </c>
      <c r="L363" s="22" t="n">
        <v>1.407</v>
      </c>
      <c r="M363" s="22" t="n">
        <v>1.415</v>
      </c>
      <c r="N363" s="22" t="n">
        <v>1.435</v>
      </c>
      <c r="O363" s="22" t="n">
        <v>1.444</v>
      </c>
      <c r="P363" s="22" t="n">
        <v>1.423</v>
      </c>
      <c r="Q363" s="22" t="n">
        <v>1.431</v>
      </c>
      <c r="R363" s="22" t="n">
        <v>1.449</v>
      </c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customFormat="false" ht="15" hidden="false" customHeight="false" outlineLevel="0" collapsed="false">
      <c r="A364" s="22" t="s">
        <v>57</v>
      </c>
      <c r="B364" s="22" t="s">
        <v>3</v>
      </c>
      <c r="C364" s="22" t="s">
        <v>57</v>
      </c>
      <c r="D364" s="22" t="n">
        <v>226900</v>
      </c>
      <c r="E364" s="22" t="s">
        <v>134</v>
      </c>
      <c r="F364" s="22" t="s">
        <v>135</v>
      </c>
      <c r="G364" s="22" t="s">
        <v>131</v>
      </c>
      <c r="H364" s="22" t="s">
        <v>131</v>
      </c>
      <c r="I364" s="22" t="n">
        <v>0.0288</v>
      </c>
      <c r="J364" s="22" t="n">
        <v>0.0265</v>
      </c>
      <c r="K364" s="22" t="n">
        <v>0.0246</v>
      </c>
      <c r="L364" s="22" t="n">
        <v>0.0237</v>
      </c>
      <c r="M364" s="22" t="n">
        <v>0.0199</v>
      </c>
      <c r="N364" s="22" t="n">
        <v>0.0128</v>
      </c>
      <c r="O364" s="22" t="n">
        <v>0.0041</v>
      </c>
      <c r="P364" s="22" t="n">
        <v>-0.0061</v>
      </c>
      <c r="Q364" s="22" t="n">
        <v>-0.0019</v>
      </c>
      <c r="R364" s="22" t="n">
        <v>0.0006</v>
      </c>
      <c r="S364" s="22" t="n">
        <v>0.004</v>
      </c>
      <c r="T364" s="22" t="n">
        <v>0.009</v>
      </c>
      <c r="U364" s="22" t="n">
        <v>0.017</v>
      </c>
      <c r="V364" s="22" t="n">
        <v>0.028</v>
      </c>
      <c r="W364" s="22" t="n">
        <v>0.031</v>
      </c>
      <c r="X364" s="22" t="n">
        <v>0.032</v>
      </c>
      <c r="Y364" s="22" t="n">
        <v>0.031</v>
      </c>
      <c r="Z364" s="22" t="n">
        <v>0.031</v>
      </c>
      <c r="AA364" s="22" t="n">
        <v>0.032</v>
      </c>
      <c r="AB364" s="22" t="n">
        <v>0.032</v>
      </c>
      <c r="AC364" s="22" t="n">
        <v>0.032</v>
      </c>
      <c r="AD364" s="22" t="n">
        <v>0.032</v>
      </c>
      <c r="AE364" s="22" t="n">
        <v>0.033</v>
      </c>
      <c r="AF364" s="22" t="n">
        <v>0.033</v>
      </c>
    </row>
    <row r="365" customFormat="false" ht="15" hidden="false" customHeight="false" outlineLevel="0" collapsed="false">
      <c r="A365" s="22" t="s">
        <v>57</v>
      </c>
      <c r="B365" s="22" t="s">
        <v>3</v>
      </c>
      <c r="C365" s="22" t="s">
        <v>57</v>
      </c>
      <c r="D365" s="22" t="n">
        <v>226900</v>
      </c>
      <c r="E365" s="22" t="s">
        <v>136</v>
      </c>
      <c r="F365" s="22" t="s">
        <v>137</v>
      </c>
      <c r="G365" s="22" t="s">
        <v>131</v>
      </c>
      <c r="H365" s="22" t="s">
        <v>131</v>
      </c>
      <c r="I365" s="22" t="n">
        <v>20</v>
      </c>
      <c r="J365" s="22" t="n">
        <v>13</v>
      </c>
      <c r="K365" s="22" t="n">
        <v>12</v>
      </c>
      <c r="L365" s="22" t="n">
        <v>15</v>
      </c>
      <c r="M365" s="22" t="n">
        <v>15</v>
      </c>
      <c r="N365" s="22" t="n">
        <v>16</v>
      </c>
      <c r="O365" s="22" t="n">
        <v>16</v>
      </c>
      <c r="P365" s="22" t="n">
        <v>16</v>
      </c>
      <c r="Q365" s="22" t="n">
        <v>15</v>
      </c>
      <c r="R365" s="22" t="n">
        <v>13</v>
      </c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</row>
    <row r="366" customFormat="false" ht="15" hidden="false" customHeight="false" outlineLevel="0" collapsed="false">
      <c r="A366" s="22" t="s">
        <v>171</v>
      </c>
      <c r="B366" s="22" t="s">
        <v>3</v>
      </c>
      <c r="C366" s="22" t="s">
        <v>171</v>
      </c>
      <c r="D366" s="22" t="n">
        <v>27140</v>
      </c>
      <c r="E366" s="22" t="s">
        <v>129</v>
      </c>
      <c r="F366" s="22" t="s">
        <v>130</v>
      </c>
      <c r="G366" s="22" t="s">
        <v>131</v>
      </c>
      <c r="H366" s="22" t="s">
        <v>131</v>
      </c>
      <c r="I366" s="22" t="n">
        <v>1.1374708749501</v>
      </c>
      <c r="J366" s="22" t="n">
        <v>1.12942849145652</v>
      </c>
      <c r="K366" s="22" t="n">
        <v>1.14193810957486</v>
      </c>
      <c r="L366" s="22" t="n">
        <v>1.14656158501711</v>
      </c>
      <c r="M366" s="22" t="n">
        <v>1.13989825659071</v>
      </c>
      <c r="N366" s="22" t="n">
        <v>1.13887201736306</v>
      </c>
      <c r="O366" s="22" t="n">
        <v>1.14623700484572</v>
      </c>
      <c r="P366" s="22" t="n">
        <v>1.15450672184888</v>
      </c>
      <c r="Q366" s="22" t="n">
        <v>1.15397082006435</v>
      </c>
      <c r="R366" s="22" t="n">
        <v>1.156932626594</v>
      </c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customFormat="false" ht="15" hidden="false" customHeight="false" outlineLevel="0" collapsed="false">
      <c r="A367" s="22" t="s">
        <v>171</v>
      </c>
      <c r="B367" s="22" t="s">
        <v>3</v>
      </c>
      <c r="C367" s="22" t="s">
        <v>171</v>
      </c>
      <c r="D367" s="22" t="n">
        <v>27140</v>
      </c>
      <c r="E367" s="22" t="s">
        <v>132</v>
      </c>
      <c r="F367" s="22" t="s">
        <v>6</v>
      </c>
      <c r="G367" s="22" t="s">
        <v>131</v>
      </c>
      <c r="H367" s="22" t="s">
        <v>131</v>
      </c>
      <c r="I367" s="22" t="n">
        <v>1.166</v>
      </c>
      <c r="J367" s="22" t="n">
        <v>1.194</v>
      </c>
      <c r="K367" s="22" t="n">
        <v>1.208</v>
      </c>
      <c r="L367" s="22" t="n">
        <v>1.206</v>
      </c>
      <c r="M367" s="22" t="n">
        <v>1.208</v>
      </c>
      <c r="N367" s="22" t="n">
        <v>1.24</v>
      </c>
      <c r="O367" s="22" t="n">
        <v>1.271</v>
      </c>
      <c r="P367" s="22" t="n">
        <v>1.271</v>
      </c>
      <c r="Q367" s="22" t="n">
        <v>1.272</v>
      </c>
      <c r="R367" s="22" t="n">
        <v>1.283</v>
      </c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customFormat="false" ht="15" hidden="false" customHeight="false" outlineLevel="0" collapsed="false">
      <c r="A368" s="22" t="s">
        <v>171</v>
      </c>
      <c r="B368" s="22" t="s">
        <v>3</v>
      </c>
      <c r="C368" s="22" t="s">
        <v>171</v>
      </c>
      <c r="D368" s="22" t="n">
        <v>27140</v>
      </c>
      <c r="E368" s="22" t="s">
        <v>132</v>
      </c>
      <c r="F368" s="22" t="s">
        <v>133</v>
      </c>
      <c r="G368" s="22" t="s">
        <v>131</v>
      </c>
      <c r="H368" s="22" t="s">
        <v>131</v>
      </c>
      <c r="I368" s="22" t="n">
        <v>33419</v>
      </c>
      <c r="J368" s="22" t="n">
        <v>33419</v>
      </c>
      <c r="K368" s="22" t="n">
        <v>33264</v>
      </c>
      <c r="L368" s="22" t="n">
        <v>33264</v>
      </c>
      <c r="M368" s="22" t="n">
        <v>33264</v>
      </c>
      <c r="N368" s="22" t="n">
        <v>33264</v>
      </c>
      <c r="O368" s="22" t="n">
        <v>33264</v>
      </c>
      <c r="P368" s="22" t="n">
        <v>33264</v>
      </c>
      <c r="Q368" s="22" t="n">
        <v>33264</v>
      </c>
      <c r="R368" s="22" t="n">
        <v>33419</v>
      </c>
      <c r="S368" s="22" t="n">
        <v>33659</v>
      </c>
      <c r="T368" s="22" t="n">
        <v>33659</v>
      </c>
      <c r="U368" s="22" t="n">
        <v>33659</v>
      </c>
      <c r="V368" s="22" t="n">
        <v>33659</v>
      </c>
      <c r="W368" s="22" t="n">
        <v>33721</v>
      </c>
      <c r="X368" s="22" t="n">
        <v>33877</v>
      </c>
      <c r="Y368" s="22" t="n">
        <v>34061</v>
      </c>
      <c r="Z368" s="22" t="n">
        <v>34108</v>
      </c>
      <c r="AA368" s="22" t="n">
        <v>34127</v>
      </c>
      <c r="AB368" s="22" t="n">
        <v>34108</v>
      </c>
      <c r="AC368" s="22" t="n">
        <v>34141</v>
      </c>
      <c r="AD368" s="22" t="n">
        <v>34191</v>
      </c>
      <c r="AE368" s="22" t="n">
        <v>34206</v>
      </c>
      <c r="AF368" s="22" t="n">
        <v>34189</v>
      </c>
    </row>
    <row r="369" customFormat="false" ht="15" hidden="false" customHeight="false" outlineLevel="0" collapsed="false">
      <c r="A369" s="22" t="s">
        <v>171</v>
      </c>
      <c r="B369" s="22" t="s">
        <v>3</v>
      </c>
      <c r="C369" s="22" t="s">
        <v>171</v>
      </c>
      <c r="D369" s="22" t="n">
        <v>27140</v>
      </c>
      <c r="E369" s="22" t="s">
        <v>132</v>
      </c>
      <c r="F369" s="22" t="s">
        <v>5</v>
      </c>
      <c r="G369" s="22" t="s">
        <v>131</v>
      </c>
      <c r="H369" s="22" t="s">
        <v>131</v>
      </c>
      <c r="I369" s="22" t="n">
        <v>1.181</v>
      </c>
      <c r="J369" s="22" t="n">
        <v>1.201</v>
      </c>
      <c r="K369" s="22" t="n">
        <v>1.215</v>
      </c>
      <c r="L369" s="22" t="n">
        <v>1.212</v>
      </c>
      <c r="M369" s="22" t="n">
        <v>1.213</v>
      </c>
      <c r="N369" s="22" t="n">
        <v>1.249</v>
      </c>
      <c r="O369" s="22" t="n">
        <v>1.275</v>
      </c>
      <c r="P369" s="22" t="n">
        <v>1.277</v>
      </c>
      <c r="Q369" s="22" t="n">
        <v>1.281</v>
      </c>
      <c r="R369" s="22" t="n">
        <v>1.292</v>
      </c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</row>
    <row r="370" customFormat="false" ht="15" hidden="false" customHeight="false" outlineLevel="0" collapsed="false">
      <c r="A370" s="22" t="s">
        <v>171</v>
      </c>
      <c r="B370" s="22" t="s">
        <v>3</v>
      </c>
      <c r="C370" s="22" t="s">
        <v>171</v>
      </c>
      <c r="D370" s="22" t="n">
        <v>27140</v>
      </c>
      <c r="E370" s="22" t="s">
        <v>134</v>
      </c>
      <c r="F370" s="22" t="s">
        <v>135</v>
      </c>
      <c r="G370" s="22" t="s">
        <v>131</v>
      </c>
      <c r="H370" s="22" t="s">
        <v>131</v>
      </c>
      <c r="I370" s="22" t="n">
        <v>0.0138</v>
      </c>
      <c r="J370" s="22" t="n">
        <v>0.0242</v>
      </c>
      <c r="K370" s="22" t="n">
        <v>0.0228</v>
      </c>
      <c r="L370" s="22" t="n">
        <v>0.0411</v>
      </c>
      <c r="M370" s="22" t="n">
        <v>0.0414</v>
      </c>
      <c r="N370" s="22" t="n">
        <v>0.0263</v>
      </c>
      <c r="O370" s="22" t="n">
        <v>0.0315</v>
      </c>
      <c r="P370" s="22" t="n">
        <v>0.0368</v>
      </c>
      <c r="Q370" s="22" t="n">
        <v>0.0333</v>
      </c>
      <c r="R370" s="22" t="n">
        <v>0.0292</v>
      </c>
      <c r="S370" s="22" t="n">
        <v>0.027</v>
      </c>
      <c r="T370" s="22" t="n">
        <v>0.029</v>
      </c>
      <c r="U370" s="22" t="n">
        <v>0.029</v>
      </c>
      <c r="V370" s="22" t="n">
        <v>0.028</v>
      </c>
      <c r="W370" s="22" t="n">
        <v>0.028</v>
      </c>
      <c r="X370" s="22" t="n">
        <v>0.027</v>
      </c>
      <c r="Y370" s="22" t="n">
        <v>0.027</v>
      </c>
      <c r="Z370" s="22" t="n">
        <v>0.026</v>
      </c>
      <c r="AA370" s="22" t="n">
        <v>0.025</v>
      </c>
      <c r="AB370" s="22" t="n">
        <v>0.024</v>
      </c>
      <c r="AC370" s="22" t="n">
        <v>0.023</v>
      </c>
      <c r="AD370" s="22" t="n">
        <v>0.022</v>
      </c>
      <c r="AE370" s="22" t="n">
        <v>0.023</v>
      </c>
      <c r="AF370" s="22" t="n">
        <v>0.023</v>
      </c>
    </row>
    <row r="371" customFormat="false" ht="15" hidden="false" customHeight="false" outlineLevel="0" collapsed="false">
      <c r="A371" s="22" t="s">
        <v>171</v>
      </c>
      <c r="B371" s="22" t="s">
        <v>3</v>
      </c>
      <c r="C371" s="22" t="s">
        <v>171</v>
      </c>
      <c r="D371" s="22" t="n">
        <v>27140</v>
      </c>
      <c r="E371" s="22" t="s">
        <v>136</v>
      </c>
      <c r="F371" s="22" t="s">
        <v>137</v>
      </c>
      <c r="G371" s="22" t="s">
        <v>131</v>
      </c>
      <c r="H371" s="22" t="s">
        <v>131</v>
      </c>
      <c r="I371" s="22" t="n">
        <v>0</v>
      </c>
      <c r="J371" s="22" t="n">
        <v>0</v>
      </c>
      <c r="K371" s="22" t="n">
        <v>1</v>
      </c>
      <c r="L371" s="22" t="n">
        <v>1</v>
      </c>
      <c r="M371" s="22" t="n">
        <v>1</v>
      </c>
      <c r="N371" s="22" t="n">
        <v>1</v>
      </c>
      <c r="O371" s="22" t="n">
        <v>0</v>
      </c>
      <c r="P371" s="22" t="n">
        <v>0</v>
      </c>
      <c r="Q371" s="22" t="n">
        <v>1</v>
      </c>
      <c r="R371" s="22" t="n">
        <v>2</v>
      </c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</row>
    <row r="372" customFormat="false" ht="15" hidden="false" customHeight="false" outlineLevel="0" collapsed="false">
      <c r="A372" s="22" t="s">
        <v>62</v>
      </c>
      <c r="B372" s="22" t="s">
        <v>3</v>
      </c>
      <c r="C372" s="22" t="s">
        <v>62</v>
      </c>
      <c r="D372" s="22" t="n">
        <v>27260</v>
      </c>
      <c r="E372" s="22" t="s">
        <v>129</v>
      </c>
      <c r="F372" s="22" t="s">
        <v>130</v>
      </c>
      <c r="G372" s="22" t="s">
        <v>131</v>
      </c>
      <c r="H372" s="22" t="s">
        <v>131</v>
      </c>
      <c r="I372" s="22" t="n">
        <v>1.53143718637023</v>
      </c>
      <c r="J372" s="22" t="n">
        <v>1.52427566531426</v>
      </c>
      <c r="K372" s="22" t="n">
        <v>1.51392962417311</v>
      </c>
      <c r="L372" s="22" t="n">
        <v>1.51342870624153</v>
      </c>
      <c r="M372" s="22" t="n">
        <v>1.49622361673378</v>
      </c>
      <c r="N372" s="22" t="n">
        <v>1.49409818399277</v>
      </c>
      <c r="O372" s="22" t="n">
        <v>1.50029037826514</v>
      </c>
      <c r="P372" s="22" t="n">
        <v>1.50153532375719</v>
      </c>
      <c r="Q372" s="22" t="n">
        <v>1.49393378099298</v>
      </c>
      <c r="R372" s="22" t="n">
        <v>1.49205073471381</v>
      </c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customFormat="false" ht="15" hidden="false" customHeight="false" outlineLevel="0" collapsed="false">
      <c r="A373" s="22" t="s">
        <v>62</v>
      </c>
      <c r="B373" s="22" t="s">
        <v>3</v>
      </c>
      <c r="C373" s="22" t="s">
        <v>62</v>
      </c>
      <c r="D373" s="22" t="n">
        <v>27260</v>
      </c>
      <c r="E373" s="22" t="s">
        <v>132</v>
      </c>
      <c r="F373" s="22" t="s">
        <v>6</v>
      </c>
      <c r="G373" s="22" t="s">
        <v>131</v>
      </c>
      <c r="H373" s="22" t="s">
        <v>131</v>
      </c>
      <c r="I373" s="22" t="n">
        <v>1.488</v>
      </c>
      <c r="J373" s="22" t="n">
        <v>1.486</v>
      </c>
      <c r="K373" s="22" t="n">
        <v>1.47</v>
      </c>
      <c r="L373" s="22" t="n">
        <v>1.441</v>
      </c>
      <c r="M373" s="22" t="n">
        <v>1.445</v>
      </c>
      <c r="N373" s="22" t="n">
        <v>1.462</v>
      </c>
      <c r="O373" s="22" t="n">
        <v>1.452</v>
      </c>
      <c r="P373" s="22" t="n">
        <v>1.425</v>
      </c>
      <c r="Q373" s="22" t="n">
        <v>1.439</v>
      </c>
      <c r="R373" s="22" t="n">
        <v>1.464</v>
      </c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</row>
    <row r="374" customFormat="false" ht="15" hidden="false" customHeight="false" outlineLevel="0" collapsed="false">
      <c r="A374" s="22" t="s">
        <v>62</v>
      </c>
      <c r="B374" s="22" t="s">
        <v>3</v>
      </c>
      <c r="C374" s="22" t="s">
        <v>62</v>
      </c>
      <c r="D374" s="22" t="n">
        <v>27260</v>
      </c>
      <c r="E374" s="22" t="s">
        <v>132</v>
      </c>
      <c r="F374" s="22" t="s">
        <v>133</v>
      </c>
      <c r="G374" s="22" t="s">
        <v>131</v>
      </c>
      <c r="H374" s="22" t="s">
        <v>131</v>
      </c>
      <c r="I374" s="22" t="n">
        <v>140600</v>
      </c>
      <c r="J374" s="22" t="n">
        <v>143366</v>
      </c>
      <c r="K374" s="22" t="n">
        <v>145741</v>
      </c>
      <c r="L374" s="22" t="n">
        <v>147929</v>
      </c>
      <c r="M374" s="22" t="n">
        <v>149702</v>
      </c>
      <c r="N374" s="22" t="n">
        <v>150571</v>
      </c>
      <c r="O374" s="22" t="n">
        <v>151369</v>
      </c>
      <c r="P374" s="22" t="n">
        <v>152046</v>
      </c>
      <c r="Q374" s="22" t="n">
        <v>153122</v>
      </c>
      <c r="R374" s="22" t="n">
        <v>153874</v>
      </c>
      <c r="S374" s="22" t="n">
        <v>154588</v>
      </c>
      <c r="T374" s="22" t="n">
        <v>155247</v>
      </c>
      <c r="U374" s="22" t="n">
        <v>155810</v>
      </c>
      <c r="V374" s="22" t="n">
        <v>156285</v>
      </c>
      <c r="W374" s="22" t="n">
        <v>156663</v>
      </c>
      <c r="X374" s="22" t="n">
        <v>156962</v>
      </c>
      <c r="Y374" s="22" t="n">
        <v>158234</v>
      </c>
      <c r="Z374" s="22" t="n">
        <v>158844</v>
      </c>
      <c r="AA374" s="22" t="n">
        <v>159335</v>
      </c>
      <c r="AB374" s="22" t="n">
        <v>159678</v>
      </c>
      <c r="AC374" s="22" t="n">
        <v>160948</v>
      </c>
      <c r="AD374" s="22" t="n">
        <v>161468</v>
      </c>
      <c r="AE374" s="22" t="n">
        <v>161821</v>
      </c>
      <c r="AF374" s="22" t="n">
        <v>162024</v>
      </c>
    </row>
    <row r="375" customFormat="false" ht="15" hidden="false" customHeight="false" outlineLevel="0" collapsed="false">
      <c r="A375" s="22" t="s">
        <v>62</v>
      </c>
      <c r="B375" s="22" t="s">
        <v>3</v>
      </c>
      <c r="C375" s="22" t="s">
        <v>62</v>
      </c>
      <c r="D375" s="22" t="n">
        <v>27260</v>
      </c>
      <c r="E375" s="22" t="s">
        <v>132</v>
      </c>
      <c r="F375" s="22" t="s">
        <v>5</v>
      </c>
      <c r="G375" s="22" t="s">
        <v>131</v>
      </c>
      <c r="H375" s="22" t="s">
        <v>131</v>
      </c>
      <c r="I375" s="22" t="n">
        <v>1.515</v>
      </c>
      <c r="J375" s="22" t="n">
        <v>1.515</v>
      </c>
      <c r="K375" s="22" t="n">
        <v>1.509</v>
      </c>
      <c r="L375" s="22" t="n">
        <v>1.472</v>
      </c>
      <c r="M375" s="22" t="n">
        <v>1.478</v>
      </c>
      <c r="N375" s="22" t="n">
        <v>1.497</v>
      </c>
      <c r="O375" s="22" t="n">
        <v>1.492</v>
      </c>
      <c r="P375" s="22" t="n">
        <v>1.46</v>
      </c>
      <c r="Q375" s="22" t="n">
        <v>1.475</v>
      </c>
      <c r="R375" s="22" t="n">
        <v>1.503</v>
      </c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</row>
    <row r="376" customFormat="false" ht="15" hidden="false" customHeight="false" outlineLevel="0" collapsed="false">
      <c r="A376" s="22" t="s">
        <v>62</v>
      </c>
      <c r="B376" s="22" t="s">
        <v>3</v>
      </c>
      <c r="C376" s="22" t="s">
        <v>62</v>
      </c>
      <c r="D376" s="22" t="n">
        <v>27260</v>
      </c>
      <c r="E376" s="22" t="s">
        <v>134</v>
      </c>
      <c r="F376" s="22" t="s">
        <v>135</v>
      </c>
      <c r="G376" s="22" t="s">
        <v>131</v>
      </c>
      <c r="H376" s="22" t="s">
        <v>131</v>
      </c>
      <c r="I376" s="22" t="n">
        <v>-0.0495</v>
      </c>
      <c r="J376" s="22" t="n">
        <v>-0.0529</v>
      </c>
      <c r="K376" s="22" t="n">
        <v>-0.0472</v>
      </c>
      <c r="L376" s="22" t="n">
        <v>-0.0358</v>
      </c>
      <c r="M376" s="22" t="n">
        <v>-0.0289</v>
      </c>
      <c r="N376" s="22" t="n">
        <v>-0.025</v>
      </c>
      <c r="O376" s="22" t="n">
        <v>-0.0243</v>
      </c>
      <c r="P376" s="22" t="n">
        <v>-0.0228</v>
      </c>
      <c r="Q376" s="22" t="n">
        <v>-0.0136</v>
      </c>
      <c r="R376" s="22" t="n">
        <v>-0.0056</v>
      </c>
      <c r="S376" s="22" t="n">
        <v>-0.004</v>
      </c>
      <c r="T376" s="22" t="n">
        <v>0.003</v>
      </c>
      <c r="U376" s="22" t="n">
        <v>0.008</v>
      </c>
      <c r="V376" s="22" t="n">
        <v>0.01</v>
      </c>
      <c r="W376" s="22" t="n">
        <v>0.02</v>
      </c>
      <c r="X376" s="22" t="n">
        <v>0.025</v>
      </c>
      <c r="Y376" s="22" t="n">
        <v>0.025</v>
      </c>
      <c r="Z376" s="22" t="n">
        <v>0.03</v>
      </c>
      <c r="AA376" s="22" t="n">
        <v>0.038</v>
      </c>
      <c r="AB376" s="22" t="n">
        <v>0.039</v>
      </c>
      <c r="AC376" s="22" t="n">
        <v>0.035</v>
      </c>
      <c r="AD376" s="22" t="n">
        <v>0.035</v>
      </c>
      <c r="AE376" s="22" t="n">
        <v>0.04</v>
      </c>
      <c r="AF376" s="22" t="n">
        <v>0.042</v>
      </c>
    </row>
    <row r="377" customFormat="false" ht="15" hidden="false" customHeight="false" outlineLevel="0" collapsed="false">
      <c r="A377" s="22" t="s">
        <v>62</v>
      </c>
      <c r="B377" s="22" t="s">
        <v>3</v>
      </c>
      <c r="C377" s="22" t="s">
        <v>62</v>
      </c>
      <c r="D377" s="22" t="n">
        <v>27260</v>
      </c>
      <c r="E377" s="22" t="s">
        <v>136</v>
      </c>
      <c r="F377" s="22" t="s">
        <v>137</v>
      </c>
      <c r="G377" s="22" t="s">
        <v>131</v>
      </c>
      <c r="H377" s="22" t="s">
        <v>131</v>
      </c>
      <c r="I377" s="22" t="n">
        <v>19</v>
      </c>
      <c r="J377" s="22" t="n">
        <v>15</v>
      </c>
      <c r="K377" s="22" t="n">
        <v>12</v>
      </c>
      <c r="L377" s="22" t="n">
        <v>9</v>
      </c>
      <c r="M377" s="22" t="n">
        <v>12</v>
      </c>
      <c r="N377" s="22" t="n">
        <v>14</v>
      </c>
      <c r="O377" s="22" t="n">
        <v>11</v>
      </c>
      <c r="P377" s="22" t="n">
        <v>9</v>
      </c>
      <c r="Q377" s="22" t="n">
        <v>7</v>
      </c>
      <c r="R377" s="22" t="n">
        <v>7</v>
      </c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</row>
    <row r="378" customFormat="false" ht="15" hidden="false" customHeight="false" outlineLevel="0" collapsed="false">
      <c r="A378" s="22" t="s">
        <v>172</v>
      </c>
      <c r="B378" s="22" t="s">
        <v>3</v>
      </c>
      <c r="C378" s="22" t="s">
        <v>172</v>
      </c>
      <c r="D378" s="22" t="n">
        <v>228020</v>
      </c>
      <c r="E378" s="22" t="s">
        <v>129</v>
      </c>
      <c r="F378" s="22" t="s">
        <v>130</v>
      </c>
      <c r="G378" s="22" t="s">
        <v>131</v>
      </c>
      <c r="H378" s="22" t="s">
        <v>131</v>
      </c>
      <c r="I378" s="22" t="n">
        <v>1.12073493675924</v>
      </c>
      <c r="J378" s="22" t="n">
        <v>1.13105346308325</v>
      </c>
      <c r="K378" s="22" t="n">
        <v>1.14129323724409</v>
      </c>
      <c r="L378" s="22" t="n">
        <v>1.13706545533762</v>
      </c>
      <c r="M378" s="22" t="n">
        <v>1.14086879454709</v>
      </c>
      <c r="N378" s="22" t="n">
        <v>1.15543231045905</v>
      </c>
      <c r="O378" s="22" t="n">
        <v>1.18156039715839</v>
      </c>
      <c r="P378" s="22" t="n">
        <v>1.20840181098121</v>
      </c>
      <c r="Q378" s="22" t="n">
        <v>1.21264329080519</v>
      </c>
      <c r="R378" s="22" t="n">
        <v>1.2402019768421</v>
      </c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</row>
    <row r="379" customFormat="false" ht="15" hidden="false" customHeight="false" outlineLevel="0" collapsed="false">
      <c r="A379" s="22" t="s">
        <v>172</v>
      </c>
      <c r="B379" s="22" t="s">
        <v>3</v>
      </c>
      <c r="C379" s="22" t="s">
        <v>172</v>
      </c>
      <c r="D379" s="22" t="n">
        <v>228020</v>
      </c>
      <c r="E379" s="22" t="s">
        <v>132</v>
      </c>
      <c r="F379" s="22" t="s">
        <v>6</v>
      </c>
      <c r="G379" s="22" t="s">
        <v>131</v>
      </c>
      <c r="H379" s="22" t="s">
        <v>131</v>
      </c>
      <c r="I379" s="22" t="n">
        <v>1.292</v>
      </c>
      <c r="J379" s="22" t="n">
        <v>1.302</v>
      </c>
      <c r="K379" s="22" t="n">
        <v>1.33</v>
      </c>
      <c r="L379" s="22" t="n">
        <v>1.334</v>
      </c>
      <c r="M379" s="22" t="n">
        <v>1.326</v>
      </c>
      <c r="N379" s="22" t="n">
        <v>1.358</v>
      </c>
      <c r="O379" s="22" t="n">
        <v>1.395</v>
      </c>
      <c r="P379" s="22" t="n">
        <v>1.377</v>
      </c>
      <c r="Q379" s="22" t="n">
        <v>1.373</v>
      </c>
      <c r="R379" s="22" t="n">
        <v>1.422</v>
      </c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</row>
    <row r="380" customFormat="false" ht="15" hidden="false" customHeight="false" outlineLevel="0" collapsed="false">
      <c r="A380" s="22" t="s">
        <v>172</v>
      </c>
      <c r="B380" s="22" t="s">
        <v>3</v>
      </c>
      <c r="C380" s="22" t="s">
        <v>172</v>
      </c>
      <c r="D380" s="22" t="n">
        <v>228020</v>
      </c>
      <c r="E380" s="22" t="s">
        <v>132</v>
      </c>
      <c r="F380" s="22" t="s">
        <v>133</v>
      </c>
      <c r="G380" s="22" t="s">
        <v>131</v>
      </c>
      <c r="H380" s="22" t="s">
        <v>131</v>
      </c>
      <c r="I380" s="22" t="n">
        <v>32560</v>
      </c>
      <c r="J380" s="22" t="n">
        <v>32683</v>
      </c>
      <c r="K380" s="22" t="n">
        <v>33011</v>
      </c>
      <c r="L380" s="22" t="n">
        <v>33071</v>
      </c>
      <c r="M380" s="22" t="n">
        <v>33071</v>
      </c>
      <c r="N380" s="22" t="n">
        <v>33071</v>
      </c>
      <c r="O380" s="22" t="n">
        <v>33071</v>
      </c>
      <c r="P380" s="22" t="n">
        <v>33110</v>
      </c>
      <c r="Q380" s="22" t="n">
        <v>33201</v>
      </c>
      <c r="R380" s="22" t="n">
        <v>33213</v>
      </c>
      <c r="S380" s="22" t="n">
        <v>33213</v>
      </c>
      <c r="T380" s="22" t="n">
        <v>33213</v>
      </c>
      <c r="U380" s="22" t="n">
        <v>33213</v>
      </c>
      <c r="V380" s="22" t="n">
        <v>33213</v>
      </c>
      <c r="W380" s="22" t="n">
        <v>33245</v>
      </c>
      <c r="X380" s="22" t="n">
        <v>33280</v>
      </c>
      <c r="Y380" s="22" t="n">
        <v>33283</v>
      </c>
      <c r="Z380" s="22" t="n">
        <v>33276</v>
      </c>
      <c r="AA380" s="22" t="n">
        <v>33316</v>
      </c>
      <c r="AB380" s="22" t="n">
        <v>33351</v>
      </c>
      <c r="AC380" s="22" t="n">
        <v>33360</v>
      </c>
      <c r="AD380" s="22" t="n">
        <v>33368</v>
      </c>
      <c r="AE380" s="22" t="n">
        <v>33423</v>
      </c>
      <c r="AF380" s="22" t="n">
        <v>33485</v>
      </c>
    </row>
    <row r="381" customFormat="false" ht="15" hidden="false" customHeight="false" outlineLevel="0" collapsed="false">
      <c r="A381" s="22" t="s">
        <v>172</v>
      </c>
      <c r="B381" s="22" t="s">
        <v>3</v>
      </c>
      <c r="C381" s="22" t="s">
        <v>172</v>
      </c>
      <c r="D381" s="22" t="n">
        <v>228020</v>
      </c>
      <c r="E381" s="22" t="s">
        <v>132</v>
      </c>
      <c r="F381" s="22" t="s">
        <v>5</v>
      </c>
      <c r="G381" s="22" t="s">
        <v>131</v>
      </c>
      <c r="H381" s="22" t="s">
        <v>131</v>
      </c>
      <c r="I381" s="22" t="n">
        <v>1.294</v>
      </c>
      <c r="J381" s="22" t="n">
        <v>1.307</v>
      </c>
      <c r="K381" s="22" t="n">
        <v>1.335</v>
      </c>
      <c r="L381" s="22" t="n">
        <v>1.337</v>
      </c>
      <c r="M381" s="22" t="n">
        <v>1.332</v>
      </c>
      <c r="N381" s="22" t="n">
        <v>1.361</v>
      </c>
      <c r="O381" s="22" t="n">
        <v>1.399</v>
      </c>
      <c r="P381" s="22" t="n">
        <v>1.387</v>
      </c>
      <c r="Q381" s="22" t="n">
        <v>1.394</v>
      </c>
      <c r="R381" s="22" t="n">
        <v>1.434</v>
      </c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customFormat="false" ht="15" hidden="false" customHeight="false" outlineLevel="0" collapsed="false">
      <c r="A382" s="22" t="s">
        <v>172</v>
      </c>
      <c r="B382" s="22" t="s">
        <v>3</v>
      </c>
      <c r="C382" s="22" t="s">
        <v>172</v>
      </c>
      <c r="D382" s="22" t="n">
        <v>228020</v>
      </c>
      <c r="E382" s="22" t="s">
        <v>134</v>
      </c>
      <c r="F382" s="22" t="s">
        <v>135</v>
      </c>
      <c r="G382" s="22" t="s">
        <v>131</v>
      </c>
      <c r="H382" s="22" t="s">
        <v>131</v>
      </c>
      <c r="I382" s="22" t="n">
        <v>0.0335</v>
      </c>
      <c r="J382" s="22" t="n">
        <v>0.0287</v>
      </c>
      <c r="K382" s="22" t="n">
        <v>0.0335</v>
      </c>
      <c r="L382" s="22" t="n">
        <v>0.0382</v>
      </c>
      <c r="M382" s="22" t="n">
        <v>0.0234</v>
      </c>
      <c r="N382" s="22" t="n">
        <v>0.0349</v>
      </c>
      <c r="O382" s="22" t="n">
        <v>0.0304</v>
      </c>
      <c r="P382" s="22" t="n">
        <v>0.015</v>
      </c>
      <c r="Q382" s="22" t="n">
        <v>0.0238</v>
      </c>
      <c r="R382" s="22" t="n">
        <v>0.0361</v>
      </c>
      <c r="S382" s="22" t="n">
        <v>0.036</v>
      </c>
      <c r="T382" s="22" t="n">
        <v>0.028</v>
      </c>
      <c r="U382" s="22" t="n">
        <v>0.02</v>
      </c>
      <c r="V382" s="22" t="n">
        <v>0.016</v>
      </c>
      <c r="W382" s="22" t="n">
        <v>0.019</v>
      </c>
      <c r="X382" s="22" t="n">
        <v>0.013</v>
      </c>
      <c r="Y382" s="22" t="n">
        <v>0.018</v>
      </c>
      <c r="Z382" s="22" t="n">
        <v>0.013</v>
      </c>
      <c r="AA382" s="22" t="n">
        <v>0.017</v>
      </c>
      <c r="AB382" s="22" t="n">
        <v>0.017</v>
      </c>
      <c r="AC382" s="22" t="n">
        <v>0.02</v>
      </c>
      <c r="AD382" s="22" t="n">
        <v>0.015</v>
      </c>
      <c r="AE382" s="22" t="n">
        <v>0.018</v>
      </c>
      <c r="AF382" s="22" t="n">
        <v>0.021</v>
      </c>
    </row>
    <row r="383" customFormat="false" ht="15" hidden="false" customHeight="false" outlineLevel="0" collapsed="false">
      <c r="A383" s="22" t="s">
        <v>172</v>
      </c>
      <c r="B383" s="22" t="s">
        <v>3</v>
      </c>
      <c r="C383" s="22" t="s">
        <v>172</v>
      </c>
      <c r="D383" s="22" t="n">
        <v>228020</v>
      </c>
      <c r="E383" s="22" t="s">
        <v>136</v>
      </c>
      <c r="F383" s="22" t="s">
        <v>137</v>
      </c>
      <c r="G383" s="22" t="s">
        <v>131</v>
      </c>
      <c r="H383" s="22" t="s">
        <v>131</v>
      </c>
      <c r="I383" s="22" t="n">
        <v>2</v>
      </c>
      <c r="J383" s="22" t="n">
        <v>0</v>
      </c>
      <c r="K383" s="22" t="n">
        <v>1</v>
      </c>
      <c r="L383" s="22" t="n">
        <v>1</v>
      </c>
      <c r="M383" s="22" t="n">
        <v>1</v>
      </c>
      <c r="N383" s="22" t="n">
        <v>1</v>
      </c>
      <c r="O383" s="22" t="n">
        <v>0</v>
      </c>
      <c r="P383" s="22" t="n">
        <v>0</v>
      </c>
      <c r="Q383" s="22" t="n">
        <v>0</v>
      </c>
      <c r="R383" s="22" t="n">
        <v>0</v>
      </c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</row>
    <row r="384" customFormat="false" ht="15" hidden="false" customHeight="false" outlineLevel="0" collapsed="false">
      <c r="A384" s="22" t="s">
        <v>41</v>
      </c>
      <c r="B384" s="22" t="s">
        <v>3</v>
      </c>
      <c r="C384" s="22" t="s">
        <v>41</v>
      </c>
      <c r="D384" s="22" t="n">
        <v>28140</v>
      </c>
      <c r="E384" s="22" t="s">
        <v>129</v>
      </c>
      <c r="F384" s="22" t="s">
        <v>130</v>
      </c>
      <c r="G384" s="22" t="s">
        <v>131</v>
      </c>
      <c r="H384" s="22" t="s">
        <v>131</v>
      </c>
      <c r="I384" s="22" t="n">
        <v>1.37010640548301</v>
      </c>
      <c r="J384" s="22" t="n">
        <v>1.38995590102859</v>
      </c>
      <c r="K384" s="22" t="n">
        <v>1.41278116700485</v>
      </c>
      <c r="L384" s="22" t="n">
        <v>1.42662951906019</v>
      </c>
      <c r="M384" s="22" t="n">
        <v>1.43038964321957</v>
      </c>
      <c r="N384" s="22" t="n">
        <v>1.44212786949888</v>
      </c>
      <c r="O384" s="22" t="n">
        <v>1.45951190515257</v>
      </c>
      <c r="P384" s="22" t="n">
        <v>1.47193709726996</v>
      </c>
      <c r="Q384" s="22" t="n">
        <v>1.48255698694981</v>
      </c>
      <c r="R384" s="22" t="n">
        <v>1.49116256746376</v>
      </c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</row>
    <row r="385" customFormat="false" ht="15" hidden="false" customHeight="false" outlineLevel="0" collapsed="false">
      <c r="A385" s="22" t="s">
        <v>41</v>
      </c>
      <c r="B385" s="22" t="s">
        <v>3</v>
      </c>
      <c r="C385" s="22" t="s">
        <v>41</v>
      </c>
      <c r="D385" s="22" t="n">
        <v>28140</v>
      </c>
      <c r="E385" s="22" t="s">
        <v>132</v>
      </c>
      <c r="F385" s="22" t="s">
        <v>6</v>
      </c>
      <c r="G385" s="22" t="s">
        <v>131</v>
      </c>
      <c r="H385" s="22" t="s">
        <v>131</v>
      </c>
      <c r="I385" s="22" t="n">
        <v>1.398</v>
      </c>
      <c r="J385" s="22" t="n">
        <v>1.434</v>
      </c>
      <c r="K385" s="22" t="n">
        <v>1.46</v>
      </c>
      <c r="L385" s="22" t="n">
        <v>1.452</v>
      </c>
      <c r="M385" s="22" t="n">
        <v>1.46</v>
      </c>
      <c r="N385" s="22" t="n">
        <v>1.498</v>
      </c>
      <c r="O385" s="22" t="n">
        <v>1.503</v>
      </c>
      <c r="P385" s="22" t="n">
        <v>1.477</v>
      </c>
      <c r="Q385" s="22" t="n">
        <v>1.493</v>
      </c>
      <c r="R385" s="22" t="n">
        <v>1.523</v>
      </c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</row>
    <row r="386" customFormat="false" ht="15" hidden="false" customHeight="false" outlineLevel="0" collapsed="false">
      <c r="A386" s="22" t="s">
        <v>41</v>
      </c>
      <c r="B386" s="22" t="s">
        <v>3</v>
      </c>
      <c r="C386" s="22" t="s">
        <v>41</v>
      </c>
      <c r="D386" s="22" t="n">
        <v>28140</v>
      </c>
      <c r="E386" s="22" t="s">
        <v>132</v>
      </c>
      <c r="F386" s="22" t="s">
        <v>133</v>
      </c>
      <c r="G386" s="22" t="s">
        <v>131</v>
      </c>
      <c r="H386" s="22" t="s">
        <v>131</v>
      </c>
      <c r="I386" s="22" t="n">
        <v>183826</v>
      </c>
      <c r="J386" s="22" t="n">
        <v>184497</v>
      </c>
      <c r="K386" s="22" t="n">
        <v>185167</v>
      </c>
      <c r="L386" s="22" t="n">
        <v>186270</v>
      </c>
      <c r="M386" s="22" t="n">
        <v>187342</v>
      </c>
      <c r="N386" s="22" t="n">
        <v>188342</v>
      </c>
      <c r="O386" s="22" t="n">
        <v>189390</v>
      </c>
      <c r="P386" s="22" t="n">
        <v>190329</v>
      </c>
      <c r="Q386" s="22" t="n">
        <v>190834</v>
      </c>
      <c r="R386" s="22" t="n">
        <v>191880</v>
      </c>
      <c r="S386" s="22" t="n">
        <v>193030</v>
      </c>
      <c r="T386" s="22" t="n">
        <v>194020</v>
      </c>
      <c r="U386" s="22" t="n">
        <v>194831</v>
      </c>
      <c r="V386" s="22" t="n">
        <v>195689</v>
      </c>
      <c r="W386" s="22" t="n">
        <v>196653</v>
      </c>
      <c r="X386" s="22" t="n">
        <v>197962</v>
      </c>
      <c r="Y386" s="22" t="n">
        <v>198763</v>
      </c>
      <c r="Z386" s="22" t="n">
        <v>199111</v>
      </c>
      <c r="AA386" s="22" t="n">
        <v>199186</v>
      </c>
      <c r="AB386" s="22" t="n">
        <v>200186</v>
      </c>
      <c r="AC386" s="22" t="n">
        <v>200838</v>
      </c>
      <c r="AD386" s="22" t="n">
        <v>201098</v>
      </c>
      <c r="AE386" s="22" t="n">
        <v>201124</v>
      </c>
      <c r="AF386" s="22" t="n">
        <v>202145</v>
      </c>
    </row>
    <row r="387" customFormat="false" ht="15" hidden="false" customHeight="false" outlineLevel="0" collapsed="false">
      <c r="A387" s="22" t="s">
        <v>41</v>
      </c>
      <c r="B387" s="22" t="s">
        <v>3</v>
      </c>
      <c r="C387" s="22" t="s">
        <v>41</v>
      </c>
      <c r="D387" s="22" t="n">
        <v>28140</v>
      </c>
      <c r="E387" s="22" t="s">
        <v>132</v>
      </c>
      <c r="F387" s="22" t="s">
        <v>5</v>
      </c>
      <c r="G387" s="22" t="s">
        <v>131</v>
      </c>
      <c r="H387" s="22" t="s">
        <v>131</v>
      </c>
      <c r="I387" s="22" t="n">
        <v>1.406</v>
      </c>
      <c r="J387" s="22" t="n">
        <v>1.441</v>
      </c>
      <c r="K387" s="22" t="n">
        <v>1.468</v>
      </c>
      <c r="L387" s="22" t="n">
        <v>1.461</v>
      </c>
      <c r="M387" s="22" t="n">
        <v>1.471</v>
      </c>
      <c r="N387" s="22" t="n">
        <v>1.507</v>
      </c>
      <c r="O387" s="22" t="n">
        <v>1.511</v>
      </c>
      <c r="P387" s="22" t="n">
        <v>1.488</v>
      </c>
      <c r="Q387" s="22" t="n">
        <v>1.506</v>
      </c>
      <c r="R387" s="22" t="n">
        <v>1.536</v>
      </c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customFormat="false" ht="15" hidden="false" customHeight="false" outlineLevel="0" collapsed="false">
      <c r="A388" s="22" t="s">
        <v>41</v>
      </c>
      <c r="B388" s="22" t="s">
        <v>3</v>
      </c>
      <c r="C388" s="22" t="s">
        <v>41</v>
      </c>
      <c r="D388" s="22" t="n">
        <v>28140</v>
      </c>
      <c r="E388" s="22" t="s">
        <v>134</v>
      </c>
      <c r="F388" s="22" t="s">
        <v>135</v>
      </c>
      <c r="G388" s="22" t="s">
        <v>131</v>
      </c>
      <c r="H388" s="22" t="s">
        <v>131</v>
      </c>
      <c r="I388" s="22" t="n">
        <v>0.0257</v>
      </c>
      <c r="J388" s="22" t="n">
        <v>0.0354</v>
      </c>
      <c r="K388" s="22" t="n">
        <v>0.0386</v>
      </c>
      <c r="L388" s="22" t="n">
        <v>0.0338</v>
      </c>
      <c r="M388" s="22" t="n">
        <v>0.0388</v>
      </c>
      <c r="N388" s="22" t="n">
        <v>0.0379</v>
      </c>
      <c r="O388" s="22" t="n">
        <v>0.0197</v>
      </c>
      <c r="P388" s="22" t="n">
        <v>0.0101</v>
      </c>
      <c r="Q388" s="22" t="n">
        <v>0.0157</v>
      </c>
      <c r="R388" s="22" t="n">
        <v>0.0132</v>
      </c>
      <c r="S388" s="22" t="n">
        <v>0.016</v>
      </c>
      <c r="T388" s="22" t="n">
        <v>0.017</v>
      </c>
      <c r="U388" s="22" t="n">
        <v>0.018</v>
      </c>
      <c r="V388" s="22" t="n">
        <v>0.022</v>
      </c>
      <c r="W388" s="22" t="n">
        <v>0.026</v>
      </c>
      <c r="X388" s="22" t="n">
        <v>0.025</v>
      </c>
      <c r="Y388" s="22" t="n">
        <v>0.021</v>
      </c>
      <c r="Z388" s="22" t="n">
        <v>0.02</v>
      </c>
      <c r="AA388" s="22" t="n">
        <v>0.02</v>
      </c>
      <c r="AB388" s="22" t="n">
        <v>0.021</v>
      </c>
      <c r="AC388" s="22" t="n">
        <v>0.019</v>
      </c>
      <c r="AD388" s="22" t="n">
        <v>0.019</v>
      </c>
      <c r="AE388" s="22" t="n">
        <v>0.021</v>
      </c>
      <c r="AF388" s="22" t="n">
        <v>0.024</v>
      </c>
    </row>
    <row r="389" customFormat="false" ht="15" hidden="false" customHeight="false" outlineLevel="0" collapsed="false">
      <c r="A389" s="22" t="s">
        <v>41</v>
      </c>
      <c r="B389" s="22" t="s">
        <v>3</v>
      </c>
      <c r="C389" s="22" t="s">
        <v>41</v>
      </c>
      <c r="D389" s="22" t="n">
        <v>28140</v>
      </c>
      <c r="E389" s="22" t="s">
        <v>136</v>
      </c>
      <c r="F389" s="22" t="s">
        <v>137</v>
      </c>
      <c r="G389" s="22" t="s">
        <v>131</v>
      </c>
      <c r="H389" s="22" t="s">
        <v>131</v>
      </c>
      <c r="I389" s="22" t="n">
        <v>12</v>
      </c>
      <c r="J389" s="22" t="n">
        <v>13</v>
      </c>
      <c r="K389" s="22" t="n">
        <v>13</v>
      </c>
      <c r="L389" s="22" t="n">
        <v>12</v>
      </c>
      <c r="M389" s="22" t="n">
        <v>20</v>
      </c>
      <c r="N389" s="22" t="n">
        <v>18</v>
      </c>
      <c r="O389" s="22" t="n">
        <v>20</v>
      </c>
      <c r="P389" s="22" t="n">
        <v>25</v>
      </c>
      <c r="Q389" s="22" t="n">
        <v>19</v>
      </c>
      <c r="R389" s="22" t="n">
        <v>19</v>
      </c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customFormat="false" ht="15" hidden="false" customHeight="false" outlineLevel="0" collapsed="false">
      <c r="A390" s="22" t="s">
        <v>66</v>
      </c>
      <c r="B390" s="22" t="s">
        <v>3</v>
      </c>
      <c r="C390" s="22" t="s">
        <v>66</v>
      </c>
      <c r="D390" s="22" t="n">
        <v>28940</v>
      </c>
      <c r="E390" s="22" t="s">
        <v>129</v>
      </c>
      <c r="F390" s="22" t="s">
        <v>130</v>
      </c>
      <c r="G390" s="22" t="s">
        <v>131</v>
      </c>
      <c r="H390" s="22" t="s">
        <v>131</v>
      </c>
      <c r="I390" s="22" t="n">
        <v>1.500414117141</v>
      </c>
      <c r="J390" s="22" t="n">
        <v>1.51171713991259</v>
      </c>
      <c r="K390" s="22" t="n">
        <v>1.51686309917551</v>
      </c>
      <c r="L390" s="22" t="n">
        <v>1.57149981762472</v>
      </c>
      <c r="M390" s="22" t="n">
        <v>1.57517234819614</v>
      </c>
      <c r="N390" s="22" t="n">
        <v>1.57815812848686</v>
      </c>
      <c r="O390" s="22" t="n">
        <v>1.58371311976592</v>
      </c>
      <c r="P390" s="22" t="n">
        <v>1.58897702649823</v>
      </c>
      <c r="Q390" s="22" t="n">
        <v>1.58063338892329</v>
      </c>
      <c r="R390" s="22" t="n">
        <v>1.5906892696677</v>
      </c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</row>
    <row r="391" customFormat="false" ht="15" hidden="false" customHeight="false" outlineLevel="0" collapsed="false">
      <c r="A391" s="22" t="s">
        <v>66</v>
      </c>
      <c r="B391" s="22" t="s">
        <v>3</v>
      </c>
      <c r="C391" s="22" t="s">
        <v>66</v>
      </c>
      <c r="D391" s="22" t="n">
        <v>28940</v>
      </c>
      <c r="E391" s="22" t="s">
        <v>132</v>
      </c>
      <c r="F391" s="22" t="s">
        <v>6</v>
      </c>
      <c r="G391" s="22" t="s">
        <v>131</v>
      </c>
      <c r="H391" s="22" t="s">
        <v>131</v>
      </c>
      <c r="I391" s="22" t="n">
        <v>1.511</v>
      </c>
      <c r="J391" s="22" t="n">
        <v>1.547</v>
      </c>
      <c r="K391" s="22" t="n">
        <v>1.578</v>
      </c>
      <c r="L391" s="22" t="n">
        <v>1.555</v>
      </c>
      <c r="M391" s="22" t="n">
        <v>1.537</v>
      </c>
      <c r="N391" s="22" t="n">
        <v>1.567</v>
      </c>
      <c r="O391" s="22" t="n">
        <v>1.56</v>
      </c>
      <c r="P391" s="22" t="n">
        <v>1.517</v>
      </c>
      <c r="Q391" s="22" t="n">
        <v>1.517</v>
      </c>
      <c r="R391" s="22" t="n">
        <v>1.534</v>
      </c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customFormat="false" ht="15" hidden="false" customHeight="false" outlineLevel="0" collapsed="false">
      <c r="A392" s="22" t="s">
        <v>66</v>
      </c>
      <c r="B392" s="22" t="s">
        <v>3</v>
      </c>
      <c r="C392" s="22" t="s">
        <v>66</v>
      </c>
      <c r="D392" s="22" t="n">
        <v>28940</v>
      </c>
      <c r="E392" s="22" t="s">
        <v>132</v>
      </c>
      <c r="F392" s="22" t="s">
        <v>133</v>
      </c>
      <c r="G392" s="22" t="s">
        <v>131</v>
      </c>
      <c r="H392" s="22" t="s">
        <v>131</v>
      </c>
      <c r="I392" s="22" t="n">
        <v>54764</v>
      </c>
      <c r="J392" s="22" t="n">
        <v>55058</v>
      </c>
      <c r="K392" s="22" t="n">
        <v>55382</v>
      </c>
      <c r="L392" s="22" t="n">
        <v>55741</v>
      </c>
      <c r="M392" s="22" t="n">
        <v>55772</v>
      </c>
      <c r="N392" s="22" t="n">
        <v>56353</v>
      </c>
      <c r="O392" s="22" t="n">
        <v>56380</v>
      </c>
      <c r="P392" s="22" t="n">
        <v>56596</v>
      </c>
      <c r="Q392" s="22" t="n">
        <v>56889</v>
      </c>
      <c r="R392" s="22" t="n">
        <v>57421</v>
      </c>
      <c r="S392" s="22" t="n">
        <v>57610</v>
      </c>
      <c r="T392" s="22" t="n">
        <v>57610</v>
      </c>
      <c r="U392" s="22" t="n">
        <v>57610</v>
      </c>
      <c r="V392" s="22" t="n">
        <v>57760</v>
      </c>
      <c r="W392" s="22" t="n">
        <v>58469</v>
      </c>
      <c r="X392" s="22" t="n">
        <v>58901</v>
      </c>
      <c r="Y392" s="22" t="n">
        <v>58714</v>
      </c>
      <c r="Z392" s="22" t="n">
        <v>58735</v>
      </c>
      <c r="AA392" s="22" t="n">
        <v>59395</v>
      </c>
      <c r="AB392" s="22" t="n">
        <v>59808</v>
      </c>
      <c r="AC392" s="22" t="n">
        <v>59619</v>
      </c>
      <c r="AD392" s="22" t="n">
        <v>59650</v>
      </c>
      <c r="AE392" s="22" t="n">
        <v>60332</v>
      </c>
      <c r="AF392" s="22" t="n">
        <v>60767</v>
      </c>
    </row>
    <row r="393" customFormat="false" ht="15" hidden="false" customHeight="false" outlineLevel="0" collapsed="false">
      <c r="A393" s="22" t="s">
        <v>66</v>
      </c>
      <c r="B393" s="22" t="s">
        <v>3</v>
      </c>
      <c r="C393" s="22" t="s">
        <v>66</v>
      </c>
      <c r="D393" s="22" t="n">
        <v>28940</v>
      </c>
      <c r="E393" s="22" t="s">
        <v>132</v>
      </c>
      <c r="F393" s="22" t="s">
        <v>5</v>
      </c>
      <c r="G393" s="22" t="s">
        <v>131</v>
      </c>
      <c r="H393" s="22" t="s">
        <v>131</v>
      </c>
      <c r="I393" s="22" t="n">
        <v>1.52</v>
      </c>
      <c r="J393" s="22" t="n">
        <v>1.556</v>
      </c>
      <c r="K393" s="22" t="n">
        <v>1.586</v>
      </c>
      <c r="L393" s="22" t="n">
        <v>1.565</v>
      </c>
      <c r="M393" s="22" t="n">
        <v>1.55</v>
      </c>
      <c r="N393" s="22" t="n">
        <v>1.581</v>
      </c>
      <c r="O393" s="22" t="n">
        <v>1.578</v>
      </c>
      <c r="P393" s="22" t="n">
        <v>1.536</v>
      </c>
      <c r="Q393" s="22" t="n">
        <v>1.538</v>
      </c>
      <c r="R393" s="22" t="n">
        <v>1.557</v>
      </c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</row>
    <row r="394" customFormat="false" ht="15" hidden="false" customHeight="false" outlineLevel="0" collapsed="false">
      <c r="A394" s="22" t="s">
        <v>66</v>
      </c>
      <c r="B394" s="22" t="s">
        <v>3</v>
      </c>
      <c r="C394" s="22" t="s">
        <v>66</v>
      </c>
      <c r="D394" s="22" t="n">
        <v>28940</v>
      </c>
      <c r="E394" s="22" t="s">
        <v>134</v>
      </c>
      <c r="F394" s="22" t="s">
        <v>135</v>
      </c>
      <c r="G394" s="22" t="s">
        <v>131</v>
      </c>
      <c r="H394" s="22" t="s">
        <v>131</v>
      </c>
      <c r="I394" s="22" t="n">
        <v>0.0219</v>
      </c>
      <c r="J394" s="22" t="n">
        <v>0.0239</v>
      </c>
      <c r="K394" s="22" t="n">
        <v>0.0125</v>
      </c>
      <c r="L394" s="22" t="n">
        <v>0.0043</v>
      </c>
      <c r="M394" s="22" t="n">
        <v>0.0026</v>
      </c>
      <c r="N394" s="22" t="n">
        <v>-0.0058</v>
      </c>
      <c r="O394" s="22" t="n">
        <v>-0.0277</v>
      </c>
      <c r="P394" s="22" t="n">
        <v>-0.0342</v>
      </c>
      <c r="Q394" s="22" t="n">
        <v>-0.0235</v>
      </c>
      <c r="R394" s="22" t="n">
        <v>-0.0269</v>
      </c>
      <c r="S394" s="22" t="n">
        <v>-0.02</v>
      </c>
      <c r="T394" s="22" t="n">
        <v>-0.011</v>
      </c>
      <c r="U394" s="22" t="n">
        <v>-0.002</v>
      </c>
      <c r="V394" s="22" t="n">
        <v>0.016</v>
      </c>
      <c r="W394" s="22" t="n">
        <v>0.031</v>
      </c>
      <c r="X394" s="22" t="n">
        <v>0.036</v>
      </c>
      <c r="Y394" s="22" t="n">
        <v>0.035</v>
      </c>
      <c r="Z394" s="22" t="n">
        <v>0.034</v>
      </c>
      <c r="AA394" s="22" t="n">
        <v>0.035</v>
      </c>
      <c r="AB394" s="22" t="n">
        <v>0.04</v>
      </c>
      <c r="AC394" s="22" t="n">
        <v>0.041</v>
      </c>
      <c r="AD394" s="22" t="n">
        <v>0.036</v>
      </c>
      <c r="AE394" s="22" t="n">
        <v>0.037</v>
      </c>
      <c r="AF394" s="22" t="n">
        <v>0.042</v>
      </c>
    </row>
    <row r="395" customFormat="false" ht="15" hidden="false" customHeight="false" outlineLevel="0" collapsed="false">
      <c r="A395" s="22" t="s">
        <v>66</v>
      </c>
      <c r="B395" s="22" t="s">
        <v>3</v>
      </c>
      <c r="C395" s="22" t="s">
        <v>66</v>
      </c>
      <c r="D395" s="22" t="n">
        <v>28940</v>
      </c>
      <c r="E395" s="22" t="s">
        <v>136</v>
      </c>
      <c r="F395" s="22" t="s">
        <v>137</v>
      </c>
      <c r="G395" s="22" t="s">
        <v>131</v>
      </c>
      <c r="H395" s="22" t="s">
        <v>131</v>
      </c>
      <c r="I395" s="22" t="n">
        <v>4</v>
      </c>
      <c r="J395" s="22" t="n">
        <v>2</v>
      </c>
      <c r="K395" s="22" t="n">
        <v>3</v>
      </c>
      <c r="L395" s="22" t="n">
        <v>3</v>
      </c>
      <c r="M395" s="22" t="n">
        <v>3</v>
      </c>
      <c r="N395" s="22" t="n">
        <v>3</v>
      </c>
      <c r="O395" s="22" t="n">
        <v>2</v>
      </c>
      <c r="P395" s="22" t="n">
        <v>1</v>
      </c>
      <c r="Q395" s="22" t="n">
        <v>1</v>
      </c>
      <c r="R395" s="22" t="n">
        <v>0</v>
      </c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customFormat="false" ht="15" hidden="false" customHeight="false" outlineLevel="0" collapsed="false">
      <c r="A396" s="22" t="s">
        <v>45</v>
      </c>
      <c r="B396" s="22" t="s">
        <v>3</v>
      </c>
      <c r="C396" s="22" t="s">
        <v>45</v>
      </c>
      <c r="D396" s="22" t="n">
        <v>29460</v>
      </c>
      <c r="E396" s="22" t="s">
        <v>129</v>
      </c>
      <c r="F396" s="22" t="s">
        <v>130</v>
      </c>
      <c r="G396" s="22" t="s">
        <v>131</v>
      </c>
      <c r="H396" s="22" t="s">
        <v>131</v>
      </c>
      <c r="I396" s="22" t="n">
        <v>1.49223766668824</v>
      </c>
      <c r="J396" s="22" t="n">
        <v>1.48431217299975</v>
      </c>
      <c r="K396" s="22" t="n">
        <v>1.46932947026414</v>
      </c>
      <c r="L396" s="22" t="n">
        <v>1.47351021772623</v>
      </c>
      <c r="M396" s="22" t="n">
        <v>1.4732230203211</v>
      </c>
      <c r="N396" s="22" t="n">
        <v>1.4711464630626</v>
      </c>
      <c r="O396" s="22" t="n">
        <v>1.50087603767096</v>
      </c>
      <c r="P396" s="22" t="n">
        <v>1.49992513340369</v>
      </c>
      <c r="Q396" s="22" t="n">
        <v>1.49692722039067</v>
      </c>
      <c r="R396" s="22" t="n">
        <v>1.48765276756357</v>
      </c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customFormat="false" ht="15" hidden="false" customHeight="false" outlineLevel="0" collapsed="false">
      <c r="A397" s="22" t="s">
        <v>45</v>
      </c>
      <c r="B397" s="22" t="s">
        <v>3</v>
      </c>
      <c r="C397" s="22" t="s">
        <v>45</v>
      </c>
      <c r="D397" s="22" t="n">
        <v>29460</v>
      </c>
      <c r="E397" s="22" t="s">
        <v>132</v>
      </c>
      <c r="F397" s="22" t="s">
        <v>6</v>
      </c>
      <c r="G397" s="22" t="s">
        <v>131</v>
      </c>
      <c r="H397" s="22" t="s">
        <v>131</v>
      </c>
      <c r="I397" s="22" t="n">
        <v>1.53</v>
      </c>
      <c r="J397" s="22" t="n">
        <v>1.517</v>
      </c>
      <c r="K397" s="22" t="n">
        <v>1.505</v>
      </c>
      <c r="L397" s="22" t="n">
        <v>1.484</v>
      </c>
      <c r="M397" s="22" t="n">
        <v>1.498</v>
      </c>
      <c r="N397" s="22" t="n">
        <v>1.513</v>
      </c>
      <c r="O397" s="22" t="n">
        <v>1.509</v>
      </c>
      <c r="P397" s="22" t="n">
        <v>1.508</v>
      </c>
      <c r="Q397" s="22" t="n">
        <v>1.485</v>
      </c>
      <c r="R397" s="22" t="n">
        <v>1.485</v>
      </c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customFormat="false" ht="15" hidden="false" customHeight="false" outlineLevel="0" collapsed="false">
      <c r="A398" s="22" t="s">
        <v>45</v>
      </c>
      <c r="B398" s="22" t="s">
        <v>3</v>
      </c>
      <c r="C398" s="22" t="s">
        <v>45</v>
      </c>
      <c r="D398" s="22" t="n">
        <v>29460</v>
      </c>
      <c r="E398" s="22" t="s">
        <v>132</v>
      </c>
      <c r="F398" s="22" t="s">
        <v>133</v>
      </c>
      <c r="G398" s="22" t="s">
        <v>131</v>
      </c>
      <c r="H398" s="22" t="s">
        <v>131</v>
      </c>
      <c r="I398" s="22" t="n">
        <v>32635</v>
      </c>
      <c r="J398" s="22" t="n">
        <v>33723</v>
      </c>
      <c r="K398" s="22" t="n">
        <v>35335</v>
      </c>
      <c r="L398" s="22" t="n">
        <v>36335</v>
      </c>
      <c r="M398" s="22" t="n">
        <v>37107</v>
      </c>
      <c r="N398" s="22" t="n">
        <v>37301</v>
      </c>
      <c r="O398" s="22" t="n">
        <v>37478</v>
      </c>
      <c r="P398" s="22" t="n">
        <v>37732</v>
      </c>
      <c r="Q398" s="22" t="n">
        <v>38025</v>
      </c>
      <c r="R398" s="22" t="n">
        <v>38427</v>
      </c>
      <c r="S398" s="22" t="n">
        <v>38765</v>
      </c>
      <c r="T398" s="22" t="n">
        <v>39351</v>
      </c>
      <c r="U398" s="22" t="n">
        <v>39916</v>
      </c>
      <c r="V398" s="22" t="n">
        <v>39916</v>
      </c>
      <c r="W398" s="22" t="n">
        <v>39944</v>
      </c>
      <c r="X398" s="22" t="n">
        <v>40150</v>
      </c>
      <c r="Y398" s="22" t="n">
        <v>40681</v>
      </c>
      <c r="Z398" s="22" t="n">
        <v>40661</v>
      </c>
      <c r="AA398" s="22" t="n">
        <v>40674</v>
      </c>
      <c r="AB398" s="22" t="n">
        <v>40865</v>
      </c>
      <c r="AC398" s="22" t="n">
        <v>41379</v>
      </c>
      <c r="AD398" s="22" t="n">
        <v>41332</v>
      </c>
      <c r="AE398" s="22" t="n">
        <v>41305</v>
      </c>
      <c r="AF398" s="22" t="n">
        <v>41447</v>
      </c>
    </row>
    <row r="399" customFormat="false" ht="15" hidden="false" customHeight="false" outlineLevel="0" collapsed="false">
      <c r="A399" s="22" t="s">
        <v>45</v>
      </c>
      <c r="B399" s="22" t="s">
        <v>3</v>
      </c>
      <c r="C399" s="22" t="s">
        <v>45</v>
      </c>
      <c r="D399" s="22" t="n">
        <v>29460</v>
      </c>
      <c r="E399" s="22" t="s">
        <v>132</v>
      </c>
      <c r="F399" s="22" t="s">
        <v>5</v>
      </c>
      <c r="G399" s="22" t="s">
        <v>131</v>
      </c>
      <c r="H399" s="22" t="s">
        <v>131</v>
      </c>
      <c r="I399" s="22" t="n">
        <v>1.556</v>
      </c>
      <c r="J399" s="22" t="n">
        <v>1.547</v>
      </c>
      <c r="K399" s="22" t="n">
        <v>1.547</v>
      </c>
      <c r="L399" s="22" t="n">
        <v>1.521</v>
      </c>
      <c r="M399" s="22" t="n">
        <v>1.544</v>
      </c>
      <c r="N399" s="22" t="n">
        <v>1.552</v>
      </c>
      <c r="O399" s="22" t="n">
        <v>1.547</v>
      </c>
      <c r="P399" s="22" t="n">
        <v>1.539</v>
      </c>
      <c r="Q399" s="22" t="n">
        <v>1.534</v>
      </c>
      <c r="R399" s="22" t="n">
        <v>1.539</v>
      </c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customFormat="false" ht="15" hidden="false" customHeight="false" outlineLevel="0" collapsed="false">
      <c r="A400" s="22" t="s">
        <v>45</v>
      </c>
      <c r="B400" s="22" t="s">
        <v>3</v>
      </c>
      <c r="C400" s="22" t="s">
        <v>45</v>
      </c>
      <c r="D400" s="22" t="n">
        <v>29460</v>
      </c>
      <c r="E400" s="22" t="s">
        <v>134</v>
      </c>
      <c r="F400" s="22" t="s">
        <v>135</v>
      </c>
      <c r="G400" s="22" t="s">
        <v>131</v>
      </c>
      <c r="H400" s="22" t="s">
        <v>131</v>
      </c>
      <c r="I400" s="22" t="n">
        <v>-0.0134</v>
      </c>
      <c r="J400" s="22" t="n">
        <v>-0.0411</v>
      </c>
      <c r="K400" s="22" t="n">
        <v>-0.0348</v>
      </c>
      <c r="L400" s="22" t="n">
        <v>-0.0395</v>
      </c>
      <c r="M400" s="22" t="n">
        <v>-0.0228</v>
      </c>
      <c r="N400" s="22" t="n">
        <v>-0.0172</v>
      </c>
      <c r="O400" s="22" t="n">
        <v>-0.0137</v>
      </c>
      <c r="P400" s="22" t="n">
        <v>0.0039</v>
      </c>
      <c r="Q400" s="22" t="n">
        <v>-0.0173</v>
      </c>
      <c r="R400" s="22" t="n">
        <v>-0.0133</v>
      </c>
      <c r="S400" s="22" t="n">
        <v>-0.007</v>
      </c>
      <c r="T400" s="22" t="n">
        <v>-0.005</v>
      </c>
      <c r="U400" s="22" t="n">
        <v>0.011</v>
      </c>
      <c r="V400" s="22" t="n">
        <v>0.016</v>
      </c>
      <c r="W400" s="22" t="n">
        <v>0.023</v>
      </c>
      <c r="X400" s="22" t="n">
        <v>0.021</v>
      </c>
      <c r="Y400" s="22" t="n">
        <v>0.024</v>
      </c>
      <c r="Z400" s="22" t="n">
        <v>0.02</v>
      </c>
      <c r="AA400" s="22" t="n">
        <v>0.023</v>
      </c>
      <c r="AB400" s="22" t="n">
        <v>0.024</v>
      </c>
      <c r="AC400" s="22" t="n">
        <v>0.025</v>
      </c>
      <c r="AD400" s="22" t="n">
        <v>0.021</v>
      </c>
      <c r="AE400" s="22" t="n">
        <v>0.021</v>
      </c>
      <c r="AF400" s="22" t="n">
        <v>0.021</v>
      </c>
    </row>
    <row r="401" customFormat="false" ht="15" hidden="false" customHeight="false" outlineLevel="0" collapsed="false">
      <c r="A401" s="22" t="s">
        <v>45</v>
      </c>
      <c r="B401" s="22" t="s">
        <v>3</v>
      </c>
      <c r="C401" s="22" t="s">
        <v>45</v>
      </c>
      <c r="D401" s="22" t="n">
        <v>29460</v>
      </c>
      <c r="E401" s="22" t="s">
        <v>136</v>
      </c>
      <c r="F401" s="22" t="s">
        <v>137</v>
      </c>
      <c r="G401" s="22" t="s">
        <v>131</v>
      </c>
      <c r="H401" s="22" t="s">
        <v>131</v>
      </c>
      <c r="I401" s="22" t="n">
        <v>6</v>
      </c>
      <c r="J401" s="22" t="n">
        <v>4</v>
      </c>
      <c r="K401" s="22" t="n">
        <v>4</v>
      </c>
      <c r="L401" s="22" t="n">
        <v>5</v>
      </c>
      <c r="M401" s="22" t="n">
        <v>7</v>
      </c>
      <c r="N401" s="22" t="n">
        <v>5</v>
      </c>
      <c r="O401" s="22" t="n">
        <v>3</v>
      </c>
      <c r="P401" s="22" t="n">
        <v>2</v>
      </c>
      <c r="Q401" s="22" t="n">
        <v>1</v>
      </c>
      <c r="R401" s="22" t="n">
        <v>1</v>
      </c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</row>
    <row r="402" customFormat="false" ht="15" hidden="false" customHeight="false" outlineLevel="0" collapsed="false">
      <c r="A402" s="22" t="s">
        <v>173</v>
      </c>
      <c r="B402" s="22" t="s">
        <v>3</v>
      </c>
      <c r="C402" s="22" t="s">
        <v>173</v>
      </c>
      <c r="D402" s="22" t="n">
        <v>29620</v>
      </c>
      <c r="E402" s="22" t="s">
        <v>129</v>
      </c>
      <c r="F402" s="22" t="s">
        <v>130</v>
      </c>
      <c r="G402" s="22" t="s">
        <v>131</v>
      </c>
      <c r="H402" s="22" t="s">
        <v>131</v>
      </c>
      <c r="I402" s="22" t="n">
        <v>1.29120273238404</v>
      </c>
      <c r="J402" s="22" t="n">
        <v>1.31458750501995</v>
      </c>
      <c r="K402" s="22" t="n">
        <v>1.34506073112551</v>
      </c>
      <c r="L402" s="22" t="n">
        <v>1.35311629048612</v>
      </c>
      <c r="M402" s="22" t="n">
        <v>1.36046279253936</v>
      </c>
      <c r="N402" s="22" t="n">
        <v>1.38349845984122</v>
      </c>
      <c r="O402" s="22" t="n">
        <v>1.38269050688872</v>
      </c>
      <c r="P402" s="22" t="n">
        <v>1.3957949330255</v>
      </c>
      <c r="Q402" s="22" t="n">
        <v>1.37519663058068</v>
      </c>
      <c r="R402" s="22" t="n">
        <v>1.37254574932263</v>
      </c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customFormat="false" ht="15" hidden="false" customHeight="false" outlineLevel="0" collapsed="false">
      <c r="A403" s="22" t="s">
        <v>173</v>
      </c>
      <c r="B403" s="22" t="s">
        <v>3</v>
      </c>
      <c r="C403" s="22" t="s">
        <v>173</v>
      </c>
      <c r="D403" s="22" t="n">
        <v>29620</v>
      </c>
      <c r="E403" s="22" t="s">
        <v>132</v>
      </c>
      <c r="F403" s="22" t="s">
        <v>6</v>
      </c>
      <c r="G403" s="22" t="s">
        <v>131</v>
      </c>
      <c r="H403" s="22" t="s">
        <v>131</v>
      </c>
      <c r="I403" s="22" t="n">
        <v>1.327</v>
      </c>
      <c r="J403" s="22" t="n">
        <v>1.348</v>
      </c>
      <c r="K403" s="22" t="n">
        <v>1.404</v>
      </c>
      <c r="L403" s="22" t="n">
        <v>1.392</v>
      </c>
      <c r="M403" s="22" t="n">
        <v>1.396</v>
      </c>
      <c r="N403" s="22" t="n">
        <v>1.431</v>
      </c>
      <c r="O403" s="22" t="n">
        <v>1.452</v>
      </c>
      <c r="P403" s="22" t="n">
        <v>1.436</v>
      </c>
      <c r="Q403" s="22" t="n">
        <v>1.452</v>
      </c>
      <c r="R403" s="22" t="n">
        <v>1.506</v>
      </c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</row>
    <row r="404" customFormat="false" ht="15" hidden="false" customHeight="false" outlineLevel="0" collapsed="false">
      <c r="A404" s="22" t="s">
        <v>173</v>
      </c>
      <c r="B404" s="22" t="s">
        <v>3</v>
      </c>
      <c r="C404" s="22" t="s">
        <v>173</v>
      </c>
      <c r="D404" s="22" t="n">
        <v>29620</v>
      </c>
      <c r="E404" s="22" t="s">
        <v>132</v>
      </c>
      <c r="F404" s="22" t="s">
        <v>133</v>
      </c>
      <c r="G404" s="22" t="s">
        <v>131</v>
      </c>
      <c r="H404" s="22" t="s">
        <v>131</v>
      </c>
      <c r="I404" s="22" t="n">
        <v>41567</v>
      </c>
      <c r="J404" s="22" t="n">
        <v>41606</v>
      </c>
      <c r="K404" s="22" t="n">
        <v>41648</v>
      </c>
      <c r="L404" s="22" t="n">
        <v>41422</v>
      </c>
      <c r="M404" s="22" t="n">
        <v>41243</v>
      </c>
      <c r="N404" s="22" t="n">
        <v>41105</v>
      </c>
      <c r="O404" s="22" t="n">
        <v>41105</v>
      </c>
      <c r="P404" s="22" t="n">
        <v>40605</v>
      </c>
      <c r="Q404" s="22" t="n">
        <v>40579</v>
      </c>
      <c r="R404" s="22" t="n">
        <v>40588</v>
      </c>
      <c r="S404" s="22" t="n">
        <v>40615</v>
      </c>
      <c r="T404" s="22" t="n">
        <v>40702</v>
      </c>
      <c r="U404" s="22" t="n">
        <v>40730</v>
      </c>
      <c r="V404" s="22" t="n">
        <v>40776</v>
      </c>
      <c r="W404" s="22" t="n">
        <v>40834</v>
      </c>
      <c r="X404" s="22" t="n">
        <v>40885</v>
      </c>
      <c r="Y404" s="22" t="n">
        <v>40980</v>
      </c>
      <c r="Z404" s="22" t="n">
        <v>41172</v>
      </c>
      <c r="AA404" s="22" t="n">
        <v>41172</v>
      </c>
      <c r="AB404" s="22" t="n">
        <v>41172</v>
      </c>
      <c r="AC404" s="22" t="n">
        <v>41172</v>
      </c>
      <c r="AD404" s="22" t="n">
        <v>41172</v>
      </c>
      <c r="AE404" s="22" t="n">
        <v>41172</v>
      </c>
      <c r="AF404" s="22" t="n">
        <v>41172</v>
      </c>
    </row>
    <row r="405" customFormat="false" ht="15" hidden="false" customHeight="false" outlineLevel="0" collapsed="false">
      <c r="A405" s="22" t="s">
        <v>173</v>
      </c>
      <c r="B405" s="22" t="s">
        <v>3</v>
      </c>
      <c r="C405" s="22" t="s">
        <v>173</v>
      </c>
      <c r="D405" s="22" t="n">
        <v>29620</v>
      </c>
      <c r="E405" s="22" t="s">
        <v>132</v>
      </c>
      <c r="F405" s="22" t="s">
        <v>5</v>
      </c>
      <c r="G405" s="22" t="s">
        <v>131</v>
      </c>
      <c r="H405" s="22" t="s">
        <v>131</v>
      </c>
      <c r="I405" s="22" t="n">
        <v>1.331</v>
      </c>
      <c r="J405" s="22" t="n">
        <v>1.351</v>
      </c>
      <c r="K405" s="22" t="n">
        <v>1.408</v>
      </c>
      <c r="L405" s="22" t="n">
        <v>1.4</v>
      </c>
      <c r="M405" s="22" t="n">
        <v>1.4</v>
      </c>
      <c r="N405" s="22" t="n">
        <v>1.432</v>
      </c>
      <c r="O405" s="22" t="n">
        <v>1.454</v>
      </c>
      <c r="P405" s="22" t="n">
        <v>1.445</v>
      </c>
      <c r="Q405" s="22" t="n">
        <v>1.463</v>
      </c>
      <c r="R405" s="22" t="n">
        <v>1.51</v>
      </c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</row>
    <row r="406" customFormat="false" ht="15" hidden="false" customHeight="false" outlineLevel="0" collapsed="false">
      <c r="A406" s="22" t="s">
        <v>173</v>
      </c>
      <c r="B406" s="22" t="s">
        <v>3</v>
      </c>
      <c r="C406" s="22" t="s">
        <v>173</v>
      </c>
      <c r="D406" s="22" t="n">
        <v>29620</v>
      </c>
      <c r="E406" s="22" t="s">
        <v>134</v>
      </c>
      <c r="F406" s="22" t="s">
        <v>135</v>
      </c>
      <c r="G406" s="22" t="s">
        <v>131</v>
      </c>
      <c r="H406" s="22" t="s">
        <v>131</v>
      </c>
      <c r="I406" s="22" t="n">
        <v>0.0459</v>
      </c>
      <c r="J406" s="22" t="n">
        <v>0.0367</v>
      </c>
      <c r="K406" s="22" t="n">
        <v>0.0488</v>
      </c>
      <c r="L406" s="22" t="n">
        <v>0.0512</v>
      </c>
      <c r="M406" s="22" t="n">
        <v>0.0435</v>
      </c>
      <c r="N406" s="22" t="n">
        <v>0.061</v>
      </c>
      <c r="O406" s="22" t="n">
        <v>0.0405</v>
      </c>
      <c r="P406" s="22" t="n">
        <v>0.0296</v>
      </c>
      <c r="Q406" s="22" t="n">
        <v>0.0312</v>
      </c>
      <c r="R406" s="22" t="n">
        <v>0.0339</v>
      </c>
      <c r="S406" s="22" t="n">
        <v>0.033</v>
      </c>
      <c r="T406" s="22" t="n">
        <v>0.03</v>
      </c>
      <c r="U406" s="22" t="n">
        <v>0.024</v>
      </c>
      <c r="V406" s="22" t="n">
        <v>0.021</v>
      </c>
      <c r="W406" s="22" t="n">
        <v>0.028</v>
      </c>
      <c r="X406" s="22" t="n">
        <v>0.029</v>
      </c>
      <c r="Y406" s="22" t="n">
        <v>0.03</v>
      </c>
      <c r="Z406" s="22" t="n">
        <v>0.024</v>
      </c>
      <c r="AA406" s="22" t="n">
        <v>0.026</v>
      </c>
      <c r="AB406" s="22" t="n">
        <v>0.03</v>
      </c>
      <c r="AC406" s="22" t="n">
        <v>0.03</v>
      </c>
      <c r="AD406" s="22" t="n">
        <v>0.025</v>
      </c>
      <c r="AE406" s="22" t="n">
        <v>0.025</v>
      </c>
      <c r="AF406" s="22" t="n">
        <v>0.03</v>
      </c>
    </row>
    <row r="407" customFormat="false" ht="15" hidden="false" customHeight="false" outlineLevel="0" collapsed="false">
      <c r="A407" s="22" t="s">
        <v>173</v>
      </c>
      <c r="B407" s="22" t="s">
        <v>3</v>
      </c>
      <c r="C407" s="22" t="s">
        <v>173</v>
      </c>
      <c r="D407" s="22" t="n">
        <v>29620</v>
      </c>
      <c r="E407" s="22" t="s">
        <v>136</v>
      </c>
      <c r="F407" s="22" t="s">
        <v>137</v>
      </c>
      <c r="G407" s="22" t="s">
        <v>131</v>
      </c>
      <c r="H407" s="22" t="s">
        <v>131</v>
      </c>
      <c r="I407" s="22" t="n">
        <v>0</v>
      </c>
      <c r="J407" s="22" t="n">
        <v>0</v>
      </c>
      <c r="K407" s="22" t="n">
        <v>0</v>
      </c>
      <c r="L407" s="22" t="n">
        <v>0</v>
      </c>
      <c r="M407" s="22" t="n">
        <v>0</v>
      </c>
      <c r="N407" s="22" t="n">
        <v>1</v>
      </c>
      <c r="O407" s="22" t="n">
        <v>2</v>
      </c>
      <c r="P407" s="22" t="n">
        <v>3</v>
      </c>
      <c r="Q407" s="22" t="n">
        <v>4</v>
      </c>
      <c r="R407" s="22" t="n">
        <v>3</v>
      </c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customFormat="false" ht="15" hidden="false" customHeight="false" outlineLevel="0" collapsed="false">
      <c r="A408" s="22" t="s">
        <v>63</v>
      </c>
      <c r="B408" s="22" t="s">
        <v>3</v>
      </c>
      <c r="C408" s="22" t="s">
        <v>63</v>
      </c>
      <c r="D408" s="22" t="n">
        <v>29820</v>
      </c>
      <c r="E408" s="22" t="s">
        <v>129</v>
      </c>
      <c r="F408" s="22" t="s">
        <v>130</v>
      </c>
      <c r="G408" s="22" t="s">
        <v>131</v>
      </c>
      <c r="H408" s="22" t="s">
        <v>131</v>
      </c>
      <c r="I408" s="22" t="n">
        <v>1.57364580126452</v>
      </c>
      <c r="J408" s="22" t="n">
        <v>1.57830955028021</v>
      </c>
      <c r="K408" s="22" t="n">
        <v>1.58490888815457</v>
      </c>
      <c r="L408" s="22" t="n">
        <v>1.60028442367187</v>
      </c>
      <c r="M408" s="22" t="n">
        <v>1.58770286850536</v>
      </c>
      <c r="N408" s="22" t="n">
        <v>1.59378868374069</v>
      </c>
      <c r="O408" s="22" t="n">
        <v>1.59313242299579</v>
      </c>
      <c r="P408" s="22" t="n">
        <v>1.59301822893778</v>
      </c>
      <c r="Q408" s="22" t="n">
        <v>1.58321307893243</v>
      </c>
      <c r="R408" s="22" t="n">
        <v>1.59385839724802</v>
      </c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</row>
    <row r="409" customFormat="false" ht="15" hidden="false" customHeight="false" outlineLevel="0" collapsed="false">
      <c r="A409" s="22" t="s">
        <v>63</v>
      </c>
      <c r="B409" s="22" t="s">
        <v>3</v>
      </c>
      <c r="C409" s="22" t="s">
        <v>63</v>
      </c>
      <c r="D409" s="22" t="n">
        <v>29820</v>
      </c>
      <c r="E409" s="22" t="s">
        <v>132</v>
      </c>
      <c r="F409" s="22" t="s">
        <v>6</v>
      </c>
      <c r="G409" s="22" t="s">
        <v>131</v>
      </c>
      <c r="H409" s="22" t="s">
        <v>131</v>
      </c>
      <c r="I409" s="22" t="n">
        <v>1.569</v>
      </c>
      <c r="J409" s="22" t="n">
        <v>1.593</v>
      </c>
      <c r="K409" s="22" t="n">
        <v>1.586</v>
      </c>
      <c r="L409" s="22" t="n">
        <v>1.557</v>
      </c>
      <c r="M409" s="22" t="n">
        <v>1.561</v>
      </c>
      <c r="N409" s="22" t="n">
        <v>1.571</v>
      </c>
      <c r="O409" s="22" t="n">
        <v>1.545</v>
      </c>
      <c r="P409" s="22" t="n">
        <v>1.522</v>
      </c>
      <c r="Q409" s="22" t="n">
        <v>1.533</v>
      </c>
      <c r="R409" s="22" t="n">
        <v>1.541</v>
      </c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customFormat="false" ht="15" hidden="false" customHeight="false" outlineLevel="0" collapsed="false">
      <c r="A410" s="22" t="s">
        <v>63</v>
      </c>
      <c r="B410" s="22" t="s">
        <v>3</v>
      </c>
      <c r="C410" s="22" t="s">
        <v>63</v>
      </c>
      <c r="D410" s="22" t="n">
        <v>29820</v>
      </c>
      <c r="E410" s="22" t="s">
        <v>132</v>
      </c>
      <c r="F410" s="22" t="s">
        <v>133</v>
      </c>
      <c r="G410" s="22" t="s">
        <v>131</v>
      </c>
      <c r="H410" s="22" t="s">
        <v>131</v>
      </c>
      <c r="I410" s="22" t="n">
        <v>232405</v>
      </c>
      <c r="J410" s="22" t="n">
        <v>233908</v>
      </c>
      <c r="K410" s="22" t="n">
        <v>235144</v>
      </c>
      <c r="L410" s="22" t="n">
        <v>236317</v>
      </c>
      <c r="M410" s="22" t="n">
        <v>237806</v>
      </c>
      <c r="N410" s="22" t="n">
        <v>238939</v>
      </c>
      <c r="O410" s="22" t="n">
        <v>239944</v>
      </c>
      <c r="P410" s="22" t="n">
        <v>240617</v>
      </c>
      <c r="Q410" s="22" t="n">
        <v>241626</v>
      </c>
      <c r="R410" s="22" t="n">
        <v>242995</v>
      </c>
      <c r="S410" s="22" t="n">
        <v>244031</v>
      </c>
      <c r="T410" s="22" t="n">
        <v>244775</v>
      </c>
      <c r="U410" s="22" t="n">
        <v>245336</v>
      </c>
      <c r="V410" s="22" t="n">
        <v>245608</v>
      </c>
      <c r="W410" s="22" t="n">
        <v>246575</v>
      </c>
      <c r="X410" s="22" t="n">
        <v>247120</v>
      </c>
      <c r="Y410" s="22" t="n">
        <v>247432</v>
      </c>
      <c r="Z410" s="22" t="n">
        <v>247728</v>
      </c>
      <c r="AA410" s="22" t="n">
        <v>248721</v>
      </c>
      <c r="AB410" s="22" t="n">
        <v>249303</v>
      </c>
      <c r="AC410" s="22" t="n">
        <v>249656</v>
      </c>
      <c r="AD410" s="22" t="n">
        <v>249989</v>
      </c>
      <c r="AE410" s="22" t="n">
        <v>251006</v>
      </c>
      <c r="AF410" s="22" t="n">
        <v>251583</v>
      </c>
    </row>
    <row r="411" customFormat="false" ht="15" hidden="false" customHeight="false" outlineLevel="0" collapsed="false">
      <c r="A411" s="22" t="s">
        <v>63</v>
      </c>
      <c r="B411" s="22" t="s">
        <v>3</v>
      </c>
      <c r="C411" s="22" t="s">
        <v>63</v>
      </c>
      <c r="D411" s="22" t="n">
        <v>29820</v>
      </c>
      <c r="E411" s="22" t="s">
        <v>132</v>
      </c>
      <c r="F411" s="22" t="s">
        <v>5</v>
      </c>
      <c r="G411" s="22" t="s">
        <v>131</v>
      </c>
      <c r="H411" s="22" t="s">
        <v>131</v>
      </c>
      <c r="I411" s="22" t="n">
        <v>1.586</v>
      </c>
      <c r="J411" s="22" t="n">
        <v>1.61</v>
      </c>
      <c r="K411" s="22" t="n">
        <v>1.603</v>
      </c>
      <c r="L411" s="22" t="n">
        <v>1.573</v>
      </c>
      <c r="M411" s="22" t="n">
        <v>1.577</v>
      </c>
      <c r="N411" s="22" t="n">
        <v>1.595</v>
      </c>
      <c r="O411" s="22" t="n">
        <v>1.575</v>
      </c>
      <c r="P411" s="22" t="n">
        <v>1.563</v>
      </c>
      <c r="Q411" s="22" t="n">
        <v>1.58</v>
      </c>
      <c r="R411" s="22" t="n">
        <v>1.588</v>
      </c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customFormat="false" ht="15" hidden="false" customHeight="false" outlineLevel="0" collapsed="false">
      <c r="A412" s="22" t="s">
        <v>63</v>
      </c>
      <c r="B412" s="22" t="s">
        <v>3</v>
      </c>
      <c r="C412" s="22" t="s">
        <v>63</v>
      </c>
      <c r="D412" s="22" t="n">
        <v>29820</v>
      </c>
      <c r="E412" s="22" t="s">
        <v>134</v>
      </c>
      <c r="F412" s="22" t="s">
        <v>135</v>
      </c>
      <c r="G412" s="22" t="s">
        <v>131</v>
      </c>
      <c r="H412" s="22" t="s">
        <v>131</v>
      </c>
      <c r="I412" s="22" t="n">
        <v>-0.0184</v>
      </c>
      <c r="J412" s="22" t="n">
        <v>-0.005</v>
      </c>
      <c r="K412" s="22" t="n">
        <v>-0.0001</v>
      </c>
      <c r="L412" s="22" t="n">
        <v>-0.0034</v>
      </c>
      <c r="M412" s="22" t="n">
        <v>-0.0051</v>
      </c>
      <c r="N412" s="22" t="n">
        <v>-0.0199</v>
      </c>
      <c r="O412" s="22" t="n">
        <v>-0.0377</v>
      </c>
      <c r="P412" s="22" t="n">
        <v>-0.0316</v>
      </c>
      <c r="Q412" s="22" t="n">
        <v>-0.0286</v>
      </c>
      <c r="R412" s="22" t="n">
        <v>-0.0266</v>
      </c>
      <c r="S412" s="22" t="n">
        <v>-0.019</v>
      </c>
      <c r="T412" s="22" t="n">
        <v>-0.006</v>
      </c>
      <c r="U412" s="22" t="n">
        <v>0.01</v>
      </c>
      <c r="V412" s="22" t="n">
        <v>0.026</v>
      </c>
      <c r="W412" s="22" t="n">
        <v>0.029</v>
      </c>
      <c r="X412" s="22" t="n">
        <v>0.028</v>
      </c>
      <c r="Y412" s="22" t="n">
        <v>0.025</v>
      </c>
      <c r="Z412" s="22" t="n">
        <v>0.025</v>
      </c>
      <c r="AA412" s="22" t="n">
        <v>0.028</v>
      </c>
      <c r="AB412" s="22" t="n">
        <v>0.028</v>
      </c>
      <c r="AC412" s="22" t="n">
        <v>0.026</v>
      </c>
      <c r="AD412" s="22" t="n">
        <v>0.027</v>
      </c>
      <c r="AE412" s="22" t="n">
        <v>0.03</v>
      </c>
      <c r="AF412" s="22" t="n">
        <v>0.032</v>
      </c>
    </row>
    <row r="413" customFormat="false" ht="15" hidden="false" customHeight="false" outlineLevel="0" collapsed="false">
      <c r="A413" s="22" t="s">
        <v>63</v>
      </c>
      <c r="B413" s="22" t="s">
        <v>3</v>
      </c>
      <c r="C413" s="22" t="s">
        <v>63</v>
      </c>
      <c r="D413" s="22" t="n">
        <v>29820</v>
      </c>
      <c r="E413" s="22" t="s">
        <v>136</v>
      </c>
      <c r="F413" s="22" t="s">
        <v>137</v>
      </c>
      <c r="G413" s="22" t="s">
        <v>131</v>
      </c>
      <c r="H413" s="22" t="s">
        <v>131</v>
      </c>
      <c r="I413" s="22" t="n">
        <v>16</v>
      </c>
      <c r="J413" s="22" t="n">
        <v>14</v>
      </c>
      <c r="K413" s="22" t="n">
        <v>12</v>
      </c>
      <c r="L413" s="22" t="n">
        <v>11</v>
      </c>
      <c r="M413" s="22" t="n">
        <v>10</v>
      </c>
      <c r="N413" s="22" t="n">
        <v>10</v>
      </c>
      <c r="O413" s="22" t="n">
        <v>10</v>
      </c>
      <c r="P413" s="22" t="n">
        <v>8</v>
      </c>
      <c r="Q413" s="22" t="n">
        <v>8</v>
      </c>
      <c r="R413" s="22" t="n">
        <v>6</v>
      </c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customFormat="false" ht="15" hidden="false" customHeight="false" outlineLevel="0" collapsed="false">
      <c r="A414" s="22" t="s">
        <v>174</v>
      </c>
      <c r="B414" s="22" t="s">
        <v>3</v>
      </c>
      <c r="C414" s="22" t="s">
        <v>174</v>
      </c>
      <c r="D414" s="22" t="n">
        <v>230460</v>
      </c>
      <c r="E414" s="22" t="s">
        <v>129</v>
      </c>
      <c r="F414" s="22" t="s">
        <v>130</v>
      </c>
      <c r="G414" s="22" t="s">
        <v>131</v>
      </c>
      <c r="H414" s="22" t="s">
        <v>131</v>
      </c>
      <c r="I414" s="22" t="n">
        <v>1.23157761136299</v>
      </c>
      <c r="J414" s="22" t="n">
        <v>1.24679479478804</v>
      </c>
      <c r="K414" s="22" t="n">
        <v>1.29593612844135</v>
      </c>
      <c r="L414" s="22" t="n">
        <v>1.32044674754299</v>
      </c>
      <c r="M414" s="22" t="n">
        <v>1.32086957626446</v>
      </c>
      <c r="N414" s="22" t="n">
        <v>1.33696473554048</v>
      </c>
      <c r="O414" s="22" t="n">
        <v>1.35840072182606</v>
      </c>
      <c r="P414" s="22" t="n">
        <v>1.38564039292675</v>
      </c>
      <c r="Q414" s="22" t="n">
        <v>1.38629506310753</v>
      </c>
      <c r="R414" s="22" t="n">
        <v>1.38699991155741</v>
      </c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customFormat="false" ht="15" hidden="false" customHeight="false" outlineLevel="0" collapsed="false">
      <c r="A415" s="22" t="s">
        <v>174</v>
      </c>
      <c r="B415" s="22" t="s">
        <v>3</v>
      </c>
      <c r="C415" s="22" t="s">
        <v>174</v>
      </c>
      <c r="D415" s="22" t="n">
        <v>230460</v>
      </c>
      <c r="E415" s="22" t="s">
        <v>132</v>
      </c>
      <c r="F415" s="22" t="s">
        <v>6</v>
      </c>
      <c r="G415" s="22" t="s">
        <v>131</v>
      </c>
      <c r="H415" s="22" t="s">
        <v>131</v>
      </c>
      <c r="I415" s="22" t="n">
        <v>1.287</v>
      </c>
      <c r="J415" s="22" t="n">
        <v>1.328</v>
      </c>
      <c r="K415" s="22" t="n">
        <v>1.371</v>
      </c>
      <c r="L415" s="22" t="n">
        <v>1.371</v>
      </c>
      <c r="M415" s="22" t="n">
        <v>1.374</v>
      </c>
      <c r="N415" s="22" t="n">
        <v>1.428</v>
      </c>
      <c r="O415" s="22" t="n">
        <v>1.452</v>
      </c>
      <c r="P415" s="22" t="n">
        <v>1.434</v>
      </c>
      <c r="Q415" s="22" t="n">
        <v>1.443</v>
      </c>
      <c r="R415" s="22" t="n">
        <v>1.467</v>
      </c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</row>
    <row r="416" customFormat="false" ht="15" hidden="false" customHeight="false" outlineLevel="0" collapsed="false">
      <c r="A416" s="22" t="s">
        <v>174</v>
      </c>
      <c r="B416" s="22" t="s">
        <v>3</v>
      </c>
      <c r="C416" s="22" t="s">
        <v>174</v>
      </c>
      <c r="D416" s="22" t="n">
        <v>230460</v>
      </c>
      <c r="E416" s="22" t="s">
        <v>132</v>
      </c>
      <c r="F416" s="22" t="s">
        <v>133</v>
      </c>
      <c r="G416" s="22" t="s">
        <v>131</v>
      </c>
      <c r="H416" s="22" t="s">
        <v>131</v>
      </c>
      <c r="I416" s="22" t="n">
        <v>47567</v>
      </c>
      <c r="J416" s="22" t="n">
        <v>47898</v>
      </c>
      <c r="K416" s="22" t="n">
        <v>48231</v>
      </c>
      <c r="L416" s="22" t="n">
        <v>48272</v>
      </c>
      <c r="M416" s="22" t="n">
        <v>48425</v>
      </c>
      <c r="N416" s="22" t="n">
        <v>48578</v>
      </c>
      <c r="O416" s="22" t="n">
        <v>48691</v>
      </c>
      <c r="P416" s="22" t="n">
        <v>48800</v>
      </c>
      <c r="Q416" s="22" t="n">
        <v>48911</v>
      </c>
      <c r="R416" s="22" t="n">
        <v>48959</v>
      </c>
      <c r="S416" s="22" t="n">
        <v>49083</v>
      </c>
      <c r="T416" s="22" t="n">
        <v>49221</v>
      </c>
      <c r="U416" s="22" t="n">
        <v>49335</v>
      </c>
      <c r="V416" s="22" t="n">
        <v>49502</v>
      </c>
      <c r="W416" s="22" t="n">
        <v>49688</v>
      </c>
      <c r="X416" s="22" t="n">
        <v>49856</v>
      </c>
      <c r="Y416" s="22" t="n">
        <v>49946</v>
      </c>
      <c r="Z416" s="22" t="n">
        <v>50003</v>
      </c>
      <c r="AA416" s="22" t="n">
        <v>50180</v>
      </c>
      <c r="AB416" s="22" t="n">
        <v>50338</v>
      </c>
      <c r="AC416" s="22" t="n">
        <v>50421</v>
      </c>
      <c r="AD416" s="22" t="n">
        <v>50477</v>
      </c>
      <c r="AE416" s="22" t="n">
        <v>50655</v>
      </c>
      <c r="AF416" s="22" t="n">
        <v>50814</v>
      </c>
    </row>
    <row r="417" customFormat="false" ht="15" hidden="false" customHeight="false" outlineLevel="0" collapsed="false">
      <c r="A417" s="22" t="s">
        <v>174</v>
      </c>
      <c r="B417" s="22" t="s">
        <v>3</v>
      </c>
      <c r="C417" s="22" t="s">
        <v>174</v>
      </c>
      <c r="D417" s="22" t="n">
        <v>230460</v>
      </c>
      <c r="E417" s="22" t="s">
        <v>132</v>
      </c>
      <c r="F417" s="22" t="s">
        <v>5</v>
      </c>
      <c r="G417" s="22" t="s">
        <v>131</v>
      </c>
      <c r="H417" s="22" t="s">
        <v>131</v>
      </c>
      <c r="I417" s="22" t="n">
        <v>1.296</v>
      </c>
      <c r="J417" s="22" t="n">
        <v>1.335</v>
      </c>
      <c r="K417" s="22" t="n">
        <v>1.376</v>
      </c>
      <c r="L417" s="22" t="n">
        <v>1.375</v>
      </c>
      <c r="M417" s="22" t="n">
        <v>1.378</v>
      </c>
      <c r="N417" s="22" t="n">
        <v>1.434</v>
      </c>
      <c r="O417" s="22" t="n">
        <v>1.457</v>
      </c>
      <c r="P417" s="22" t="n">
        <v>1.441</v>
      </c>
      <c r="Q417" s="22" t="n">
        <v>1.453</v>
      </c>
      <c r="R417" s="22" t="n">
        <v>1.478</v>
      </c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customFormat="false" ht="15" hidden="false" customHeight="false" outlineLevel="0" collapsed="false">
      <c r="A418" s="22" t="s">
        <v>174</v>
      </c>
      <c r="B418" s="22" t="s">
        <v>3</v>
      </c>
      <c r="C418" s="22" t="s">
        <v>174</v>
      </c>
      <c r="D418" s="22" t="n">
        <v>230460</v>
      </c>
      <c r="E418" s="22" t="s">
        <v>134</v>
      </c>
      <c r="F418" s="22" t="s">
        <v>135</v>
      </c>
      <c r="G418" s="22" t="s">
        <v>131</v>
      </c>
      <c r="H418" s="22" t="s">
        <v>131</v>
      </c>
      <c r="I418" s="22" t="n">
        <v>0.038</v>
      </c>
      <c r="J418" s="22" t="n">
        <v>0.0461</v>
      </c>
      <c r="K418" s="22" t="n">
        <v>0.0413</v>
      </c>
      <c r="L418" s="22" t="n">
        <v>0.0442</v>
      </c>
      <c r="M418" s="22" t="n">
        <v>0.0663</v>
      </c>
      <c r="N418" s="22" t="n">
        <v>0.0637</v>
      </c>
      <c r="O418" s="22" t="n">
        <v>0.0334</v>
      </c>
      <c r="P418" s="22" t="n">
        <v>0.0217</v>
      </c>
      <c r="Q418" s="22" t="n">
        <v>0.0242</v>
      </c>
      <c r="R418" s="22" t="n">
        <v>0.0103</v>
      </c>
      <c r="S418" s="22" t="n">
        <v>0.011</v>
      </c>
      <c r="T418" s="22" t="n">
        <v>0.011</v>
      </c>
      <c r="U418" s="22" t="n">
        <v>0.008</v>
      </c>
      <c r="V418" s="22" t="n">
        <v>0.007</v>
      </c>
      <c r="W418" s="22" t="n">
        <v>0.016</v>
      </c>
      <c r="X418" s="22" t="n">
        <v>0.019</v>
      </c>
      <c r="Y418" s="22" t="n">
        <v>0.017</v>
      </c>
      <c r="Z418" s="22" t="n">
        <v>0.019</v>
      </c>
      <c r="AA418" s="22" t="n">
        <v>0.022</v>
      </c>
      <c r="AB418" s="22" t="n">
        <v>0.024</v>
      </c>
      <c r="AC418" s="22" t="n">
        <v>0.024</v>
      </c>
      <c r="AD418" s="22" t="n">
        <v>0.018</v>
      </c>
      <c r="AE418" s="22" t="n">
        <v>0.017</v>
      </c>
      <c r="AF418" s="22" t="n">
        <v>0.022</v>
      </c>
    </row>
    <row r="419" customFormat="false" ht="15" hidden="false" customHeight="false" outlineLevel="0" collapsed="false">
      <c r="A419" s="22" t="s">
        <v>174</v>
      </c>
      <c r="B419" s="22" t="s">
        <v>3</v>
      </c>
      <c r="C419" s="22" t="s">
        <v>174</v>
      </c>
      <c r="D419" s="22" t="n">
        <v>230460</v>
      </c>
      <c r="E419" s="22" t="s">
        <v>136</v>
      </c>
      <c r="F419" s="22" t="s">
        <v>137</v>
      </c>
      <c r="G419" s="22" t="s">
        <v>131</v>
      </c>
      <c r="H419" s="22" t="s">
        <v>131</v>
      </c>
      <c r="I419" s="22" t="n">
        <v>1</v>
      </c>
      <c r="J419" s="22" t="n">
        <v>1</v>
      </c>
      <c r="K419" s="22" t="n">
        <v>1</v>
      </c>
      <c r="L419" s="22" t="n">
        <v>0</v>
      </c>
      <c r="M419" s="22" t="n">
        <v>0</v>
      </c>
      <c r="N419" s="22" t="n">
        <v>2</v>
      </c>
      <c r="O419" s="22" t="n">
        <v>2</v>
      </c>
      <c r="P419" s="22" t="n">
        <v>5</v>
      </c>
      <c r="Q419" s="22" t="n">
        <v>5</v>
      </c>
      <c r="R419" s="22" t="n">
        <v>4</v>
      </c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customFormat="false" ht="15" hidden="false" customHeight="false" outlineLevel="0" collapsed="false">
      <c r="A420" s="22" t="s">
        <v>175</v>
      </c>
      <c r="B420" s="22" t="s">
        <v>3</v>
      </c>
      <c r="C420" s="22" t="s">
        <v>175</v>
      </c>
      <c r="D420" s="22" t="n">
        <v>30700</v>
      </c>
      <c r="E420" s="22" t="s">
        <v>129</v>
      </c>
      <c r="F420" s="22" t="s">
        <v>130</v>
      </c>
      <c r="G420" s="22" t="s">
        <v>131</v>
      </c>
      <c r="H420" s="22" t="s">
        <v>131</v>
      </c>
      <c r="I420" s="22" t="n">
        <v>0.732159854439473</v>
      </c>
      <c r="J420" s="22" t="n">
        <v>0.737872290960822</v>
      </c>
      <c r="K420" s="22" t="n">
        <v>0.773251856971205</v>
      </c>
      <c r="L420" s="22" t="n">
        <v>0.763192829365157</v>
      </c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customFormat="false" ht="15" hidden="false" customHeight="false" outlineLevel="0" collapsed="false">
      <c r="A421" s="22" t="s">
        <v>175</v>
      </c>
      <c r="B421" s="22" t="s">
        <v>3</v>
      </c>
      <c r="C421" s="22" t="s">
        <v>175</v>
      </c>
      <c r="D421" s="22" t="n">
        <v>30700</v>
      </c>
      <c r="E421" s="22" t="s">
        <v>132</v>
      </c>
      <c r="F421" s="22" t="s">
        <v>6</v>
      </c>
      <c r="G421" s="22" t="s">
        <v>131</v>
      </c>
      <c r="H421" s="22" t="s">
        <v>131</v>
      </c>
      <c r="I421" s="22" t="n">
        <v>1.219</v>
      </c>
      <c r="J421" s="22" t="n">
        <v>1.248</v>
      </c>
      <c r="K421" s="22" t="n">
        <v>1.272</v>
      </c>
      <c r="L421" s="22" t="n">
        <v>1.278</v>
      </c>
      <c r="M421" s="22" t="n">
        <v>1.296</v>
      </c>
      <c r="N421" s="22" t="n">
        <v>1.344</v>
      </c>
      <c r="O421" s="22" t="n">
        <v>1.36</v>
      </c>
      <c r="P421" s="22" t="n">
        <v>1.341</v>
      </c>
      <c r="Q421" s="22" t="n">
        <v>1.362</v>
      </c>
      <c r="R421" s="22" t="n">
        <v>1.379</v>
      </c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</row>
    <row r="422" customFormat="false" ht="15" hidden="false" customHeight="false" outlineLevel="0" collapsed="false">
      <c r="A422" s="22" t="s">
        <v>175</v>
      </c>
      <c r="B422" s="22" t="s">
        <v>3</v>
      </c>
      <c r="C422" s="22" t="s">
        <v>175</v>
      </c>
      <c r="D422" s="22" t="n">
        <v>30700</v>
      </c>
      <c r="E422" s="22" t="s">
        <v>132</v>
      </c>
      <c r="F422" s="22" t="s">
        <v>133</v>
      </c>
      <c r="G422" s="22" t="s">
        <v>131</v>
      </c>
      <c r="H422" s="22" t="s">
        <v>131</v>
      </c>
      <c r="I422" s="22" t="n">
        <v>34896</v>
      </c>
      <c r="J422" s="22" t="n">
        <v>34944</v>
      </c>
      <c r="K422" s="22" t="n">
        <v>35177</v>
      </c>
      <c r="L422" s="22" t="n">
        <v>35580</v>
      </c>
      <c r="M422" s="22" t="n">
        <v>35829</v>
      </c>
      <c r="N422" s="22" t="n">
        <v>35985</v>
      </c>
      <c r="O422" s="22" t="n">
        <v>36264</v>
      </c>
      <c r="P422" s="22" t="n">
        <v>36489</v>
      </c>
      <c r="Q422" s="22" t="n">
        <v>36609</v>
      </c>
      <c r="R422" s="22" t="n">
        <v>36804</v>
      </c>
      <c r="S422" s="22" t="n">
        <v>37006</v>
      </c>
      <c r="T422" s="22" t="n">
        <v>37139</v>
      </c>
      <c r="U422" s="22" t="n">
        <v>37139</v>
      </c>
      <c r="V422" s="22" t="n">
        <v>37139</v>
      </c>
      <c r="W422" s="22" t="n">
        <v>37534</v>
      </c>
      <c r="X422" s="22" t="n">
        <v>37671</v>
      </c>
      <c r="Y422" s="22" t="n">
        <v>37669</v>
      </c>
      <c r="Z422" s="22" t="n">
        <v>37667</v>
      </c>
      <c r="AA422" s="22" t="n">
        <v>38061</v>
      </c>
      <c r="AB422" s="22" t="n">
        <v>38187</v>
      </c>
      <c r="AC422" s="22" t="n">
        <v>38175</v>
      </c>
      <c r="AD422" s="22" t="n">
        <v>38168</v>
      </c>
      <c r="AE422" s="22" t="n">
        <v>38559</v>
      </c>
      <c r="AF422" s="22" t="n">
        <v>38693</v>
      </c>
    </row>
    <row r="423" customFormat="false" ht="15" hidden="false" customHeight="false" outlineLevel="0" collapsed="false">
      <c r="A423" s="22" t="s">
        <v>175</v>
      </c>
      <c r="B423" s="22" t="s">
        <v>3</v>
      </c>
      <c r="C423" s="22" t="s">
        <v>175</v>
      </c>
      <c r="D423" s="22" t="n">
        <v>30700</v>
      </c>
      <c r="E423" s="22" t="s">
        <v>132</v>
      </c>
      <c r="F423" s="22" t="s">
        <v>5</v>
      </c>
      <c r="G423" s="22" t="s">
        <v>131</v>
      </c>
      <c r="H423" s="22" t="s">
        <v>131</v>
      </c>
      <c r="I423" s="22" t="n">
        <v>1.223</v>
      </c>
      <c r="J423" s="22" t="n">
        <v>1.253</v>
      </c>
      <c r="K423" s="22" t="n">
        <v>1.277</v>
      </c>
      <c r="L423" s="22" t="n">
        <v>1.283</v>
      </c>
      <c r="M423" s="22" t="n">
        <v>1.302</v>
      </c>
      <c r="N423" s="22" t="n">
        <v>1.348</v>
      </c>
      <c r="O423" s="22" t="n">
        <v>1.362</v>
      </c>
      <c r="P423" s="22" t="n">
        <v>1.352</v>
      </c>
      <c r="Q423" s="22" t="n">
        <v>1.371</v>
      </c>
      <c r="R423" s="22" t="n">
        <v>1.389</v>
      </c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</row>
    <row r="424" customFormat="false" ht="15" hidden="false" customHeight="false" outlineLevel="0" collapsed="false">
      <c r="A424" s="22" t="s">
        <v>175</v>
      </c>
      <c r="B424" s="22" t="s">
        <v>3</v>
      </c>
      <c r="C424" s="22" t="s">
        <v>175</v>
      </c>
      <c r="D424" s="22" t="n">
        <v>30700</v>
      </c>
      <c r="E424" s="22" t="s">
        <v>134</v>
      </c>
      <c r="F424" s="22" t="s">
        <v>135</v>
      </c>
      <c r="G424" s="22" t="s">
        <v>131</v>
      </c>
      <c r="H424" s="22" t="s">
        <v>131</v>
      </c>
      <c r="I424" s="22" t="n">
        <v>0.0548</v>
      </c>
      <c r="J424" s="22" t="n">
        <v>0.0596</v>
      </c>
      <c r="K424" s="22" t="n">
        <v>0.0611</v>
      </c>
      <c r="L424" s="22" t="n">
        <v>0.0504</v>
      </c>
      <c r="M424" s="22" t="n">
        <v>0.0423</v>
      </c>
      <c r="N424" s="22" t="n">
        <v>0.04</v>
      </c>
      <c r="O424" s="22" t="n">
        <v>0.0274</v>
      </c>
      <c r="P424" s="22" t="n">
        <v>0.0149</v>
      </c>
      <c r="Q424" s="22" t="n">
        <v>0.0223</v>
      </c>
      <c r="R424" s="22" t="n">
        <v>0.0167</v>
      </c>
      <c r="S424" s="22" t="n">
        <v>0.022</v>
      </c>
      <c r="T424" s="22" t="n">
        <v>0.027</v>
      </c>
      <c r="U424" s="22" t="n">
        <v>0.027</v>
      </c>
      <c r="V424" s="22" t="n">
        <v>0.026</v>
      </c>
      <c r="W424" s="22" t="n">
        <v>0.027</v>
      </c>
      <c r="X424" s="22" t="n">
        <v>0.029</v>
      </c>
      <c r="Y424" s="22" t="n">
        <v>0.022</v>
      </c>
      <c r="Z424" s="22" t="n">
        <v>0.019</v>
      </c>
      <c r="AA424" s="22" t="n">
        <v>0.016</v>
      </c>
      <c r="AB424" s="22" t="n">
        <v>0.017</v>
      </c>
      <c r="AC424" s="22" t="n">
        <v>0.011</v>
      </c>
      <c r="AD424" s="22" t="n">
        <v>0.011</v>
      </c>
      <c r="AE424" s="22" t="n">
        <v>0.011</v>
      </c>
      <c r="AF424" s="22" t="n">
        <v>0.017</v>
      </c>
    </row>
    <row r="425" customFormat="false" ht="15" hidden="false" customHeight="false" outlineLevel="0" collapsed="false">
      <c r="A425" s="22" t="s">
        <v>175</v>
      </c>
      <c r="B425" s="22" t="s">
        <v>3</v>
      </c>
      <c r="C425" s="22" t="s">
        <v>175</v>
      </c>
      <c r="D425" s="22" t="n">
        <v>30700</v>
      </c>
      <c r="E425" s="22" t="s">
        <v>136</v>
      </c>
      <c r="F425" s="22" t="s">
        <v>137</v>
      </c>
      <c r="G425" s="22" t="s">
        <v>131</v>
      </c>
      <c r="H425" s="22" t="s">
        <v>131</v>
      </c>
      <c r="I425" s="22" t="n">
        <v>7</v>
      </c>
      <c r="J425" s="22" t="n">
        <v>7</v>
      </c>
      <c r="K425" s="22" t="n">
        <v>4</v>
      </c>
      <c r="L425" s="22" t="n">
        <v>3</v>
      </c>
      <c r="M425" s="22" t="n">
        <v>0</v>
      </c>
      <c r="N425" s="22" t="n">
        <v>0</v>
      </c>
      <c r="O425" s="22" t="n">
        <v>0</v>
      </c>
      <c r="P425" s="22" t="n">
        <v>0</v>
      </c>
      <c r="Q425" s="22" t="n">
        <v>0</v>
      </c>
      <c r="R425" s="22" t="n">
        <v>0</v>
      </c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customFormat="false" ht="15" hidden="false" customHeight="false" outlineLevel="0" collapsed="false">
      <c r="A426" s="22" t="s">
        <v>176</v>
      </c>
      <c r="B426" s="22" t="s">
        <v>3</v>
      </c>
      <c r="C426" s="22" t="s">
        <v>176</v>
      </c>
      <c r="D426" s="22" t="n">
        <v>30780</v>
      </c>
      <c r="E426" s="22" t="s">
        <v>129</v>
      </c>
      <c r="F426" s="22" t="s">
        <v>130</v>
      </c>
      <c r="G426" s="22" t="s">
        <v>131</v>
      </c>
      <c r="H426" s="22" t="s">
        <v>131</v>
      </c>
      <c r="I426" s="22" t="n">
        <v>1.16036813500377</v>
      </c>
      <c r="J426" s="22" t="n">
        <v>1.19330530222248</v>
      </c>
      <c r="K426" s="22" t="n">
        <v>1.21030069600937</v>
      </c>
      <c r="L426" s="22" t="n">
        <v>1.20164500069669</v>
      </c>
      <c r="M426" s="22" t="n">
        <v>1.20299222530718</v>
      </c>
      <c r="N426" s="22" t="n">
        <v>1.19153889904914</v>
      </c>
      <c r="O426" s="22" t="n">
        <v>1.19439287510527</v>
      </c>
      <c r="P426" s="22" t="n">
        <v>1.2370357882481</v>
      </c>
      <c r="Q426" s="22" t="n">
        <v>1.23241305312323</v>
      </c>
      <c r="R426" s="22" t="n">
        <v>1.23365837095524</v>
      </c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</row>
    <row r="427" customFormat="false" ht="15" hidden="false" customHeight="false" outlineLevel="0" collapsed="false">
      <c r="A427" s="22" t="s">
        <v>176</v>
      </c>
      <c r="B427" s="22" t="s">
        <v>3</v>
      </c>
      <c r="C427" s="22" t="s">
        <v>176</v>
      </c>
      <c r="D427" s="22" t="n">
        <v>30780</v>
      </c>
      <c r="E427" s="22" t="s">
        <v>132</v>
      </c>
      <c r="F427" s="22" t="s">
        <v>6</v>
      </c>
      <c r="G427" s="22" t="s">
        <v>131</v>
      </c>
      <c r="H427" s="22" t="s">
        <v>131</v>
      </c>
      <c r="I427" s="22" t="n">
        <v>1.149</v>
      </c>
      <c r="J427" s="22" t="n">
        <v>1.177</v>
      </c>
      <c r="K427" s="22" t="n">
        <v>1.175</v>
      </c>
      <c r="L427" s="22" t="n">
        <v>1.159</v>
      </c>
      <c r="M427" s="22" t="n">
        <v>1.147</v>
      </c>
      <c r="N427" s="22" t="n">
        <v>1.17</v>
      </c>
      <c r="O427" s="22" t="n">
        <v>1.169</v>
      </c>
      <c r="P427" s="22" t="n">
        <v>1.172</v>
      </c>
      <c r="Q427" s="22" t="n">
        <v>1.173</v>
      </c>
      <c r="R427" s="22" t="n">
        <v>1.177</v>
      </c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</row>
    <row r="428" customFormat="false" ht="15" hidden="false" customHeight="false" outlineLevel="0" collapsed="false">
      <c r="A428" s="22" t="s">
        <v>176</v>
      </c>
      <c r="B428" s="22" t="s">
        <v>3</v>
      </c>
      <c r="C428" s="22" t="s">
        <v>176</v>
      </c>
      <c r="D428" s="22" t="n">
        <v>30780</v>
      </c>
      <c r="E428" s="22" t="s">
        <v>132</v>
      </c>
      <c r="F428" s="22" t="s">
        <v>133</v>
      </c>
      <c r="G428" s="22" t="s">
        <v>131</v>
      </c>
      <c r="H428" s="22" t="s">
        <v>131</v>
      </c>
      <c r="I428" s="22" t="n">
        <v>57466</v>
      </c>
      <c r="J428" s="22" t="n">
        <v>57614</v>
      </c>
      <c r="K428" s="22" t="n">
        <v>57803</v>
      </c>
      <c r="L428" s="22" t="n">
        <v>58254</v>
      </c>
      <c r="M428" s="22" t="n">
        <v>58700</v>
      </c>
      <c r="N428" s="22" t="n">
        <v>59506</v>
      </c>
      <c r="O428" s="22" t="n">
        <v>59696</v>
      </c>
      <c r="P428" s="22" t="n">
        <v>59787</v>
      </c>
      <c r="Q428" s="22" t="n">
        <v>59880</v>
      </c>
      <c r="R428" s="22" t="n">
        <v>59974</v>
      </c>
      <c r="S428" s="22" t="n">
        <v>59974</v>
      </c>
      <c r="T428" s="22" t="n">
        <v>59974</v>
      </c>
      <c r="U428" s="22" t="n">
        <v>60094</v>
      </c>
      <c r="V428" s="22" t="n">
        <v>60094</v>
      </c>
      <c r="W428" s="22" t="n">
        <v>60170</v>
      </c>
      <c r="X428" s="22" t="n">
        <v>60323</v>
      </c>
      <c r="Y428" s="22" t="n">
        <v>60671</v>
      </c>
      <c r="Z428" s="22" t="n">
        <v>60841</v>
      </c>
      <c r="AA428" s="22" t="n">
        <v>60913</v>
      </c>
      <c r="AB428" s="22" t="n">
        <v>61057</v>
      </c>
      <c r="AC428" s="22" t="n">
        <v>61404</v>
      </c>
      <c r="AD428" s="22" t="n">
        <v>61563</v>
      </c>
      <c r="AE428" s="22" t="n">
        <v>61615</v>
      </c>
      <c r="AF428" s="22" t="n">
        <v>61736</v>
      </c>
    </row>
    <row r="429" customFormat="false" ht="15" hidden="false" customHeight="false" outlineLevel="0" collapsed="false">
      <c r="A429" s="22" t="s">
        <v>176</v>
      </c>
      <c r="B429" s="22" t="s">
        <v>3</v>
      </c>
      <c r="C429" s="22" t="s">
        <v>176</v>
      </c>
      <c r="D429" s="22" t="n">
        <v>30780</v>
      </c>
      <c r="E429" s="22" t="s">
        <v>132</v>
      </c>
      <c r="F429" s="22" t="s">
        <v>5</v>
      </c>
      <c r="G429" s="22" t="s">
        <v>131</v>
      </c>
      <c r="H429" s="22" t="s">
        <v>131</v>
      </c>
      <c r="I429" s="22" t="n">
        <v>1.153</v>
      </c>
      <c r="J429" s="22" t="n">
        <v>1.183</v>
      </c>
      <c r="K429" s="22" t="n">
        <v>1.181</v>
      </c>
      <c r="L429" s="22" t="n">
        <v>1.168</v>
      </c>
      <c r="M429" s="22" t="n">
        <v>1.159</v>
      </c>
      <c r="N429" s="22" t="n">
        <v>1.181</v>
      </c>
      <c r="O429" s="22" t="n">
        <v>1.185</v>
      </c>
      <c r="P429" s="22" t="n">
        <v>1.186</v>
      </c>
      <c r="Q429" s="22" t="n">
        <v>1.193</v>
      </c>
      <c r="R429" s="22" t="n">
        <v>1.193</v>
      </c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</row>
    <row r="430" customFormat="false" ht="15" hidden="false" customHeight="false" outlineLevel="0" collapsed="false">
      <c r="A430" s="22" t="s">
        <v>176</v>
      </c>
      <c r="B430" s="22" t="s">
        <v>3</v>
      </c>
      <c r="C430" s="22" t="s">
        <v>176</v>
      </c>
      <c r="D430" s="22" t="n">
        <v>30780</v>
      </c>
      <c r="E430" s="22" t="s">
        <v>134</v>
      </c>
      <c r="F430" s="22" t="s">
        <v>135</v>
      </c>
      <c r="G430" s="22" t="s">
        <v>131</v>
      </c>
      <c r="H430" s="22" t="s">
        <v>131</v>
      </c>
      <c r="I430" s="22" t="n">
        <v>0.0321</v>
      </c>
      <c r="J430" s="22" t="n">
        <v>0.0382</v>
      </c>
      <c r="K430" s="22" t="n">
        <v>0.015</v>
      </c>
      <c r="L430" s="22" t="n">
        <v>0.0024</v>
      </c>
      <c r="M430" s="22" t="n">
        <v>-0.0035</v>
      </c>
      <c r="N430" s="22" t="n">
        <v>-0.0148</v>
      </c>
      <c r="O430" s="22" t="n">
        <v>-0.0161</v>
      </c>
      <c r="P430" s="22" t="n">
        <v>-0.0032</v>
      </c>
      <c r="Q430" s="22" t="n">
        <v>0.004</v>
      </c>
      <c r="R430" s="22" t="n">
        <v>-0.0006</v>
      </c>
      <c r="S430" s="22" t="n">
        <v>0.007</v>
      </c>
      <c r="T430" s="22" t="n">
        <v>0.011</v>
      </c>
      <c r="U430" s="22" t="n">
        <v>0.022</v>
      </c>
      <c r="V430" s="22" t="n">
        <v>0.023</v>
      </c>
      <c r="W430" s="22" t="n">
        <v>0.022</v>
      </c>
      <c r="X430" s="22" t="n">
        <v>0.018</v>
      </c>
      <c r="Y430" s="22" t="n">
        <v>0.017</v>
      </c>
      <c r="Z430" s="22" t="n">
        <v>0.019</v>
      </c>
      <c r="AA430" s="22" t="n">
        <v>0.021</v>
      </c>
      <c r="AB430" s="22" t="n">
        <v>0.019</v>
      </c>
      <c r="AC430" s="22" t="n">
        <v>0.014</v>
      </c>
      <c r="AD430" s="22" t="n">
        <v>0.014</v>
      </c>
      <c r="AE430" s="22" t="n">
        <v>0.02</v>
      </c>
      <c r="AF430" s="22" t="n">
        <v>0.019</v>
      </c>
    </row>
    <row r="431" customFormat="false" ht="15" hidden="false" customHeight="false" outlineLevel="0" collapsed="false">
      <c r="A431" s="22" t="s">
        <v>176</v>
      </c>
      <c r="B431" s="22" t="s">
        <v>3</v>
      </c>
      <c r="C431" s="22" t="s">
        <v>176</v>
      </c>
      <c r="D431" s="22" t="n">
        <v>30780</v>
      </c>
      <c r="E431" s="22" t="s">
        <v>136</v>
      </c>
      <c r="F431" s="22" t="s">
        <v>137</v>
      </c>
      <c r="G431" s="22" t="s">
        <v>131</v>
      </c>
      <c r="H431" s="22" t="s">
        <v>131</v>
      </c>
      <c r="I431" s="22" t="n">
        <v>4</v>
      </c>
      <c r="J431" s="22" t="n">
        <v>4</v>
      </c>
      <c r="K431" s="22" t="n">
        <v>4</v>
      </c>
      <c r="L431" s="22" t="n">
        <v>1</v>
      </c>
      <c r="M431" s="22" t="n">
        <v>1</v>
      </c>
      <c r="N431" s="22" t="n">
        <v>1</v>
      </c>
      <c r="O431" s="22" t="n">
        <v>0</v>
      </c>
      <c r="P431" s="22" t="n">
        <v>1</v>
      </c>
      <c r="Q431" s="22" t="n">
        <v>1</v>
      </c>
      <c r="R431" s="22" t="n">
        <v>1</v>
      </c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customFormat="false" ht="15" hidden="false" customHeight="false" outlineLevel="0" collapsed="false">
      <c r="A432" s="22" t="s">
        <v>177</v>
      </c>
      <c r="B432" s="22" t="s">
        <v>3</v>
      </c>
      <c r="C432" s="22" t="s">
        <v>177</v>
      </c>
      <c r="D432" s="22" t="n">
        <v>31084</v>
      </c>
      <c r="E432" s="22" t="s">
        <v>129</v>
      </c>
      <c r="F432" s="22" t="s">
        <v>130</v>
      </c>
      <c r="G432" s="22" t="s">
        <v>131</v>
      </c>
      <c r="H432" s="22" t="s">
        <v>131</v>
      </c>
      <c r="I432" s="22" t="n">
        <v>2.9916899249301</v>
      </c>
      <c r="J432" s="22" t="n">
        <v>3.00675576487007</v>
      </c>
      <c r="K432" s="22" t="n">
        <v>3.04326476124397</v>
      </c>
      <c r="L432" s="22" t="n">
        <v>3.07598061344767</v>
      </c>
      <c r="M432" s="22" t="n">
        <v>3.08823382605179</v>
      </c>
      <c r="N432" s="22" t="n">
        <v>3.11270888861955</v>
      </c>
      <c r="O432" s="22" t="n">
        <v>3.1427332097354</v>
      </c>
      <c r="P432" s="22" t="n">
        <v>3.19999849648422</v>
      </c>
      <c r="Q432" s="22" t="n">
        <v>3.21475006400313</v>
      </c>
      <c r="R432" s="22" t="n">
        <v>3.23225830149956</v>
      </c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customFormat="false" ht="15" hidden="false" customHeight="false" outlineLevel="0" collapsed="false">
      <c r="A433" s="22" t="s">
        <v>177</v>
      </c>
      <c r="B433" s="22" t="s">
        <v>3</v>
      </c>
      <c r="C433" s="22" t="s">
        <v>177</v>
      </c>
      <c r="D433" s="22" t="n">
        <v>31084</v>
      </c>
      <c r="E433" s="22" t="s">
        <v>132</v>
      </c>
      <c r="F433" s="22" t="s">
        <v>6</v>
      </c>
      <c r="G433" s="22" t="s">
        <v>131</v>
      </c>
      <c r="H433" s="22" t="s">
        <v>131</v>
      </c>
      <c r="I433" s="22" t="n">
        <v>3.25</v>
      </c>
      <c r="J433" s="22" t="n">
        <v>3.268</v>
      </c>
      <c r="K433" s="22" t="n">
        <v>3.276</v>
      </c>
      <c r="L433" s="22" t="n">
        <v>3.268</v>
      </c>
      <c r="M433" s="22" t="n">
        <v>3.28</v>
      </c>
      <c r="N433" s="22" t="n">
        <v>3.324</v>
      </c>
      <c r="O433" s="22" t="n">
        <v>3.357</v>
      </c>
      <c r="P433" s="22" t="n">
        <v>3.3</v>
      </c>
      <c r="Q433" s="22" t="n">
        <v>3.298</v>
      </c>
      <c r="R433" s="22" t="n">
        <v>3.324</v>
      </c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</row>
    <row r="434" customFormat="false" ht="15" hidden="false" customHeight="false" outlineLevel="0" collapsed="false">
      <c r="A434" s="22" t="s">
        <v>177</v>
      </c>
      <c r="B434" s="22" t="s">
        <v>3</v>
      </c>
      <c r="C434" s="22" t="s">
        <v>177</v>
      </c>
      <c r="D434" s="22" t="n">
        <v>31084</v>
      </c>
      <c r="E434" s="22" t="s">
        <v>132</v>
      </c>
      <c r="F434" s="22" t="s">
        <v>133</v>
      </c>
      <c r="G434" s="22" t="s">
        <v>131</v>
      </c>
      <c r="H434" s="22" t="s">
        <v>131</v>
      </c>
      <c r="I434" s="22" t="n">
        <v>1151565</v>
      </c>
      <c r="J434" s="22" t="n">
        <v>1153036</v>
      </c>
      <c r="K434" s="22" t="n">
        <v>1155332</v>
      </c>
      <c r="L434" s="22" t="n">
        <v>1157264</v>
      </c>
      <c r="M434" s="22" t="n">
        <v>1159261</v>
      </c>
      <c r="N434" s="22" t="n">
        <v>1160777</v>
      </c>
      <c r="O434" s="22" t="n">
        <v>1163917</v>
      </c>
      <c r="P434" s="22" t="n">
        <v>1166242</v>
      </c>
      <c r="Q434" s="22" t="n">
        <v>1168187</v>
      </c>
      <c r="R434" s="22" t="n">
        <v>1169882</v>
      </c>
      <c r="S434" s="22" t="n">
        <v>1172846</v>
      </c>
      <c r="T434" s="22" t="n">
        <v>1175287</v>
      </c>
      <c r="U434" s="22" t="n">
        <v>1178497</v>
      </c>
      <c r="V434" s="22" t="n">
        <v>1181757</v>
      </c>
      <c r="W434" s="22" t="n">
        <v>1183873</v>
      </c>
      <c r="X434" s="22" t="n">
        <v>1185930</v>
      </c>
      <c r="Y434" s="22" t="n">
        <v>1187986</v>
      </c>
      <c r="Z434" s="22" t="n">
        <v>1188568</v>
      </c>
      <c r="AA434" s="22" t="n">
        <v>1188914</v>
      </c>
      <c r="AB434" s="22" t="n">
        <v>1190471</v>
      </c>
      <c r="AC434" s="22" t="n">
        <v>1192449</v>
      </c>
      <c r="AD434" s="22" t="n">
        <v>1192976</v>
      </c>
      <c r="AE434" s="22" t="n">
        <v>1193331</v>
      </c>
      <c r="AF434" s="22" t="n">
        <v>1194943</v>
      </c>
    </row>
    <row r="435" customFormat="false" ht="15" hidden="false" customHeight="false" outlineLevel="0" collapsed="false">
      <c r="A435" s="22" t="s">
        <v>177</v>
      </c>
      <c r="B435" s="22" t="s">
        <v>3</v>
      </c>
      <c r="C435" s="22" t="s">
        <v>177</v>
      </c>
      <c r="D435" s="22" t="n">
        <v>31084</v>
      </c>
      <c r="E435" s="22" t="s">
        <v>132</v>
      </c>
      <c r="F435" s="22" t="s">
        <v>5</v>
      </c>
      <c r="G435" s="22" t="s">
        <v>131</v>
      </c>
      <c r="H435" s="22" t="s">
        <v>131</v>
      </c>
      <c r="I435" s="22" t="n">
        <v>3.278</v>
      </c>
      <c r="J435" s="22" t="n">
        <v>3.299</v>
      </c>
      <c r="K435" s="22" t="n">
        <v>3.317</v>
      </c>
      <c r="L435" s="22" t="n">
        <v>3.307</v>
      </c>
      <c r="M435" s="22" t="n">
        <v>3.32</v>
      </c>
      <c r="N435" s="22" t="n">
        <v>3.365</v>
      </c>
      <c r="O435" s="22" t="n">
        <v>3.402</v>
      </c>
      <c r="P435" s="22" t="n">
        <v>3.348</v>
      </c>
      <c r="Q435" s="22" t="n">
        <v>3.355</v>
      </c>
      <c r="R435" s="22" t="n">
        <v>3.376</v>
      </c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customFormat="false" ht="15" hidden="false" customHeight="false" outlineLevel="0" collapsed="false">
      <c r="A436" s="22" t="s">
        <v>177</v>
      </c>
      <c r="B436" s="22" t="s">
        <v>3</v>
      </c>
      <c r="C436" s="22" t="s">
        <v>177</v>
      </c>
      <c r="D436" s="22" t="n">
        <v>31084</v>
      </c>
      <c r="E436" s="22" t="s">
        <v>134</v>
      </c>
      <c r="F436" s="22" t="s">
        <v>135</v>
      </c>
      <c r="G436" s="22" t="s">
        <v>131</v>
      </c>
      <c r="H436" s="22" t="s">
        <v>131</v>
      </c>
      <c r="I436" s="22" t="n">
        <v>-0.0129</v>
      </c>
      <c r="J436" s="22" t="n">
        <v>-0.0093</v>
      </c>
      <c r="K436" s="22" t="n">
        <v>-0.0086</v>
      </c>
      <c r="L436" s="22" t="n">
        <v>-0.005</v>
      </c>
      <c r="M436" s="22" t="n">
        <v>0.0023</v>
      </c>
      <c r="N436" s="22" t="n">
        <v>-0.0005</v>
      </c>
      <c r="O436" s="22" t="n">
        <v>0</v>
      </c>
      <c r="P436" s="22" t="n">
        <v>-0.0115</v>
      </c>
      <c r="Q436" s="22" t="n">
        <v>-0.013</v>
      </c>
      <c r="R436" s="22" t="n">
        <v>-0.0096</v>
      </c>
      <c r="S436" s="22" t="n">
        <v>-0.007</v>
      </c>
      <c r="T436" s="22" t="n">
        <v>0</v>
      </c>
      <c r="U436" s="22" t="n">
        <v>0.011</v>
      </c>
      <c r="V436" s="22" t="n">
        <v>0.024</v>
      </c>
      <c r="W436" s="22" t="n">
        <v>0.033</v>
      </c>
      <c r="X436" s="22" t="n">
        <v>0.032</v>
      </c>
      <c r="Y436" s="22" t="n">
        <v>0.031</v>
      </c>
      <c r="Z436" s="22" t="n">
        <v>0.029</v>
      </c>
      <c r="AA436" s="22" t="n">
        <v>0.028</v>
      </c>
      <c r="AB436" s="22" t="n">
        <v>0.027</v>
      </c>
      <c r="AC436" s="22" t="n">
        <v>0.025</v>
      </c>
      <c r="AD436" s="22" t="n">
        <v>0.024</v>
      </c>
      <c r="AE436" s="22" t="n">
        <v>0.024</v>
      </c>
      <c r="AF436" s="22" t="n">
        <v>0.024</v>
      </c>
    </row>
    <row r="437" customFormat="false" ht="15" hidden="false" customHeight="false" outlineLevel="0" collapsed="false">
      <c r="A437" s="22" t="s">
        <v>177</v>
      </c>
      <c r="B437" s="22" t="s">
        <v>3</v>
      </c>
      <c r="C437" s="22" t="s">
        <v>177</v>
      </c>
      <c r="D437" s="22" t="n">
        <v>31084</v>
      </c>
      <c r="E437" s="22" t="s">
        <v>136</v>
      </c>
      <c r="F437" s="22" t="s">
        <v>137</v>
      </c>
      <c r="G437" s="22" t="s">
        <v>131</v>
      </c>
      <c r="H437" s="22" t="s">
        <v>131</v>
      </c>
      <c r="I437" s="22" t="n">
        <v>44</v>
      </c>
      <c r="J437" s="22" t="n">
        <v>40</v>
      </c>
      <c r="K437" s="22" t="n">
        <v>38</v>
      </c>
      <c r="L437" s="22" t="n">
        <v>36</v>
      </c>
      <c r="M437" s="22" t="n">
        <v>28</v>
      </c>
      <c r="N437" s="22" t="n">
        <v>26</v>
      </c>
      <c r="O437" s="22" t="n">
        <v>33</v>
      </c>
      <c r="P437" s="22" t="n">
        <v>32</v>
      </c>
      <c r="Q437" s="22" t="n">
        <v>41</v>
      </c>
      <c r="R437" s="22" t="n">
        <v>38</v>
      </c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customFormat="false" ht="15" hidden="false" customHeight="false" outlineLevel="0" collapsed="false">
      <c r="A438" s="22" t="s">
        <v>50</v>
      </c>
      <c r="B438" s="22" t="s">
        <v>3</v>
      </c>
      <c r="C438" s="22" t="s">
        <v>50</v>
      </c>
      <c r="D438" s="22" t="n">
        <v>31140</v>
      </c>
      <c r="E438" s="22" t="s">
        <v>129</v>
      </c>
      <c r="F438" s="22" t="s">
        <v>130</v>
      </c>
      <c r="G438" s="22" t="s">
        <v>131</v>
      </c>
      <c r="H438" s="22" t="s">
        <v>131</v>
      </c>
      <c r="I438" s="22" t="n">
        <v>1.23224917368815</v>
      </c>
      <c r="J438" s="22" t="n">
        <v>1.25612953719367</v>
      </c>
      <c r="K438" s="22" t="n">
        <v>1.2742982574884</v>
      </c>
      <c r="L438" s="22" t="n">
        <v>1.28325889582706</v>
      </c>
      <c r="M438" s="22" t="n">
        <v>1.28549624885934</v>
      </c>
      <c r="N438" s="22" t="n">
        <v>1.30422008101812</v>
      </c>
      <c r="O438" s="22" t="n">
        <v>1.31394318433435</v>
      </c>
      <c r="P438" s="22" t="n">
        <v>1.3137027760517</v>
      </c>
      <c r="Q438" s="22" t="n">
        <v>1.3222540987656</v>
      </c>
      <c r="R438" s="22" t="n">
        <v>1.32464330772284</v>
      </c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</row>
    <row r="439" customFormat="false" ht="15" hidden="false" customHeight="false" outlineLevel="0" collapsed="false">
      <c r="A439" s="22" t="s">
        <v>50</v>
      </c>
      <c r="B439" s="22" t="s">
        <v>3</v>
      </c>
      <c r="C439" s="22" t="s">
        <v>50</v>
      </c>
      <c r="D439" s="22" t="n">
        <v>31140</v>
      </c>
      <c r="E439" s="22" t="s">
        <v>132</v>
      </c>
      <c r="F439" s="22" t="s">
        <v>6</v>
      </c>
      <c r="G439" s="22" t="s">
        <v>131</v>
      </c>
      <c r="H439" s="22" t="s">
        <v>131</v>
      </c>
      <c r="I439" s="22" t="n">
        <v>1.286</v>
      </c>
      <c r="J439" s="22" t="n">
        <v>1.324</v>
      </c>
      <c r="K439" s="22" t="n">
        <v>1.324</v>
      </c>
      <c r="L439" s="22" t="n">
        <v>1.305</v>
      </c>
      <c r="M439" s="22" t="n">
        <v>1.309</v>
      </c>
      <c r="N439" s="22" t="n">
        <v>1.331</v>
      </c>
      <c r="O439" s="22" t="n">
        <v>1.328</v>
      </c>
      <c r="P439" s="22" t="n">
        <v>1.31</v>
      </c>
      <c r="Q439" s="22" t="n">
        <v>1.32</v>
      </c>
      <c r="R439" s="22" t="n">
        <v>1.335</v>
      </c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customFormat="false" ht="15" hidden="false" customHeight="false" outlineLevel="0" collapsed="false">
      <c r="A440" s="22" t="s">
        <v>50</v>
      </c>
      <c r="B440" s="22" t="s">
        <v>3</v>
      </c>
      <c r="C440" s="22" t="s">
        <v>50</v>
      </c>
      <c r="D440" s="22" t="n">
        <v>31140</v>
      </c>
      <c r="E440" s="22" t="s">
        <v>132</v>
      </c>
      <c r="F440" s="22" t="s">
        <v>133</v>
      </c>
      <c r="G440" s="22" t="s">
        <v>131</v>
      </c>
      <c r="H440" s="22" t="s">
        <v>131</v>
      </c>
      <c r="I440" s="22" t="n">
        <v>99823</v>
      </c>
      <c r="J440" s="22" t="n">
        <v>100674</v>
      </c>
      <c r="K440" s="22" t="n">
        <v>101462</v>
      </c>
      <c r="L440" s="22" t="n">
        <v>102192</v>
      </c>
      <c r="M440" s="22" t="n">
        <v>103004</v>
      </c>
      <c r="N440" s="22" t="n">
        <v>103362</v>
      </c>
      <c r="O440" s="22" t="n">
        <v>103709</v>
      </c>
      <c r="P440" s="22" t="n">
        <v>103828</v>
      </c>
      <c r="Q440" s="22" t="n">
        <v>104052</v>
      </c>
      <c r="R440" s="22" t="n">
        <v>104420</v>
      </c>
      <c r="S440" s="22" t="n">
        <v>105087</v>
      </c>
      <c r="T440" s="22" t="n">
        <v>106056</v>
      </c>
      <c r="U440" s="22" t="n">
        <v>106912</v>
      </c>
      <c r="V440" s="22" t="n">
        <v>107287</v>
      </c>
      <c r="W440" s="22" t="n">
        <v>107634</v>
      </c>
      <c r="X440" s="22" t="n">
        <v>108121</v>
      </c>
      <c r="Y440" s="22" t="n">
        <v>108689</v>
      </c>
      <c r="Z440" s="22" t="n">
        <v>109075</v>
      </c>
      <c r="AA440" s="22" t="n">
        <v>109420</v>
      </c>
      <c r="AB440" s="22" t="n">
        <v>109888</v>
      </c>
      <c r="AC440" s="22" t="n">
        <v>110424</v>
      </c>
      <c r="AD440" s="22" t="n">
        <v>110772</v>
      </c>
      <c r="AE440" s="22" t="n">
        <v>111075</v>
      </c>
      <c r="AF440" s="22" t="n">
        <v>111496</v>
      </c>
    </row>
    <row r="441" customFormat="false" ht="15" hidden="false" customHeight="false" outlineLevel="0" collapsed="false">
      <c r="A441" s="22" t="s">
        <v>50</v>
      </c>
      <c r="B441" s="22" t="s">
        <v>3</v>
      </c>
      <c r="C441" s="22" t="s">
        <v>50</v>
      </c>
      <c r="D441" s="22" t="n">
        <v>31140</v>
      </c>
      <c r="E441" s="22" t="s">
        <v>132</v>
      </c>
      <c r="F441" s="22" t="s">
        <v>5</v>
      </c>
      <c r="G441" s="22" t="s">
        <v>131</v>
      </c>
      <c r="H441" s="22" t="s">
        <v>131</v>
      </c>
      <c r="I441" s="22" t="n">
        <v>1.297</v>
      </c>
      <c r="J441" s="22" t="n">
        <v>1.332</v>
      </c>
      <c r="K441" s="22" t="n">
        <v>1.333</v>
      </c>
      <c r="L441" s="22" t="n">
        <v>1.318</v>
      </c>
      <c r="M441" s="22" t="n">
        <v>1.322</v>
      </c>
      <c r="N441" s="22" t="n">
        <v>1.344</v>
      </c>
      <c r="O441" s="22" t="n">
        <v>1.342</v>
      </c>
      <c r="P441" s="22" t="n">
        <v>1.327</v>
      </c>
      <c r="Q441" s="22" t="n">
        <v>1.339</v>
      </c>
      <c r="R441" s="22" t="n">
        <v>1.36</v>
      </c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</row>
    <row r="442" customFormat="false" ht="15" hidden="false" customHeight="false" outlineLevel="0" collapsed="false">
      <c r="A442" s="22" t="s">
        <v>50</v>
      </c>
      <c r="B442" s="22" t="s">
        <v>3</v>
      </c>
      <c r="C442" s="22" t="s">
        <v>50</v>
      </c>
      <c r="D442" s="22" t="n">
        <v>31140</v>
      </c>
      <c r="E442" s="22" t="s">
        <v>134</v>
      </c>
      <c r="F442" s="22" t="s">
        <v>135</v>
      </c>
      <c r="G442" s="22" t="s">
        <v>131</v>
      </c>
      <c r="H442" s="22" t="s">
        <v>131</v>
      </c>
      <c r="I442" s="22" t="n">
        <v>0.0432</v>
      </c>
      <c r="J442" s="22" t="n">
        <v>0.0503</v>
      </c>
      <c r="K442" s="22" t="n">
        <v>0.0415</v>
      </c>
      <c r="L442" s="22" t="n">
        <v>0.0234</v>
      </c>
      <c r="M442" s="22" t="n">
        <v>0.0167</v>
      </c>
      <c r="N442" s="22" t="n">
        <v>-0.0006</v>
      </c>
      <c r="O442" s="22" t="n">
        <v>-0.0073</v>
      </c>
      <c r="P442" s="22" t="n">
        <v>-0.0048</v>
      </c>
      <c r="Q442" s="22" t="n">
        <v>-0.0003</v>
      </c>
      <c r="R442" s="22" t="n">
        <v>-0.0043</v>
      </c>
      <c r="S442" s="22" t="n">
        <v>0.001</v>
      </c>
      <c r="T442" s="22" t="n">
        <v>0.005</v>
      </c>
      <c r="U442" s="22" t="n">
        <v>0.007</v>
      </c>
      <c r="V442" s="22" t="n">
        <v>0.015</v>
      </c>
      <c r="W442" s="22" t="n">
        <v>0.021</v>
      </c>
      <c r="X442" s="22" t="n">
        <v>0.021</v>
      </c>
      <c r="Y442" s="22" t="n">
        <v>0.016</v>
      </c>
      <c r="Z442" s="22" t="n">
        <v>0.016</v>
      </c>
      <c r="AA442" s="22" t="n">
        <v>0.021</v>
      </c>
      <c r="AB442" s="22" t="n">
        <v>0.021</v>
      </c>
      <c r="AC442" s="22" t="n">
        <v>0.021</v>
      </c>
      <c r="AD442" s="22" t="n">
        <v>0.017</v>
      </c>
      <c r="AE442" s="22" t="n">
        <v>0.022</v>
      </c>
      <c r="AF442" s="22" t="n">
        <v>0.022</v>
      </c>
    </row>
    <row r="443" customFormat="false" ht="15" hidden="false" customHeight="false" outlineLevel="0" collapsed="false">
      <c r="A443" s="22" t="s">
        <v>50</v>
      </c>
      <c r="B443" s="22" t="s">
        <v>3</v>
      </c>
      <c r="C443" s="22" t="s">
        <v>50</v>
      </c>
      <c r="D443" s="22" t="n">
        <v>31140</v>
      </c>
      <c r="E443" s="22" t="s">
        <v>136</v>
      </c>
      <c r="F443" s="22" t="s">
        <v>137</v>
      </c>
      <c r="G443" s="22" t="s">
        <v>131</v>
      </c>
      <c r="H443" s="22" t="s">
        <v>131</v>
      </c>
      <c r="I443" s="22" t="n">
        <v>13</v>
      </c>
      <c r="J443" s="22" t="n">
        <v>11</v>
      </c>
      <c r="K443" s="22" t="n">
        <v>4</v>
      </c>
      <c r="L443" s="22" t="n">
        <v>6</v>
      </c>
      <c r="M443" s="22" t="n">
        <v>8</v>
      </c>
      <c r="N443" s="22" t="n">
        <v>10</v>
      </c>
      <c r="O443" s="22" t="n">
        <v>13</v>
      </c>
      <c r="P443" s="22" t="n">
        <v>13</v>
      </c>
      <c r="Q443" s="22" t="n">
        <v>13</v>
      </c>
      <c r="R443" s="22" t="n">
        <v>12</v>
      </c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</row>
    <row r="444" customFormat="false" ht="15" hidden="false" customHeight="false" outlineLevel="0" collapsed="false">
      <c r="A444" s="22" t="s">
        <v>178</v>
      </c>
      <c r="B444" s="22" t="s">
        <v>3</v>
      </c>
      <c r="C444" s="22" t="s">
        <v>178</v>
      </c>
      <c r="D444" s="22" t="n">
        <v>31180</v>
      </c>
      <c r="E444" s="22" t="s">
        <v>129</v>
      </c>
      <c r="F444" s="22" t="s">
        <v>130</v>
      </c>
      <c r="G444" s="22" t="s">
        <v>131</v>
      </c>
      <c r="H444" s="22" t="s">
        <v>131</v>
      </c>
      <c r="I444" s="22" t="n">
        <v>1.1301057079494</v>
      </c>
      <c r="J444" s="22" t="n">
        <v>1.10947062331785</v>
      </c>
      <c r="K444" s="22" t="n">
        <v>1.15216085540907</v>
      </c>
      <c r="L444" s="22" t="n">
        <v>1.15907907355344</v>
      </c>
      <c r="M444" s="22" t="n">
        <v>1.07183336135274</v>
      </c>
      <c r="N444" s="22" t="n">
        <v>1.06436566485531</v>
      </c>
      <c r="O444" s="22" t="n">
        <v>1.08779238686779</v>
      </c>
      <c r="P444" s="22" t="n">
        <v>1.05300252420586</v>
      </c>
      <c r="Q444" s="22" t="n">
        <v>1.04556168716125</v>
      </c>
      <c r="R444" s="22" t="n">
        <v>1.05009721395409</v>
      </c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</row>
    <row r="445" customFormat="false" ht="15" hidden="false" customHeight="false" outlineLevel="0" collapsed="false">
      <c r="A445" s="22" t="s">
        <v>178</v>
      </c>
      <c r="B445" s="22" t="s">
        <v>3</v>
      </c>
      <c r="C445" s="22" t="s">
        <v>178</v>
      </c>
      <c r="D445" s="22" t="n">
        <v>31180</v>
      </c>
      <c r="E445" s="22" t="s">
        <v>132</v>
      </c>
      <c r="F445" s="22" t="s">
        <v>6</v>
      </c>
      <c r="G445" s="22" t="s">
        <v>131</v>
      </c>
      <c r="H445" s="22" t="s">
        <v>131</v>
      </c>
      <c r="I445" s="22" t="n">
        <v>1.141</v>
      </c>
      <c r="J445" s="22" t="n">
        <v>1.14</v>
      </c>
      <c r="K445" s="22" t="n">
        <v>1.14</v>
      </c>
      <c r="L445" s="22" t="n">
        <v>1.133</v>
      </c>
      <c r="M445" s="22" t="n">
        <v>1.134</v>
      </c>
      <c r="N445" s="22" t="n">
        <v>1.161</v>
      </c>
      <c r="O445" s="22" t="n">
        <v>1.16</v>
      </c>
      <c r="P445" s="22" t="n">
        <v>1.152</v>
      </c>
      <c r="Q445" s="22" t="n">
        <v>1.148</v>
      </c>
      <c r="R445" s="22" t="n">
        <v>1.159</v>
      </c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</row>
    <row r="446" customFormat="false" ht="15" hidden="false" customHeight="false" outlineLevel="0" collapsed="false">
      <c r="A446" s="22" t="s">
        <v>178</v>
      </c>
      <c r="B446" s="22" t="s">
        <v>3</v>
      </c>
      <c r="C446" s="22" t="s">
        <v>178</v>
      </c>
      <c r="D446" s="22" t="n">
        <v>31180</v>
      </c>
      <c r="E446" s="22" t="s">
        <v>132</v>
      </c>
      <c r="F446" s="22" t="s">
        <v>133</v>
      </c>
      <c r="G446" s="22" t="s">
        <v>131</v>
      </c>
      <c r="H446" s="22" t="s">
        <v>131</v>
      </c>
      <c r="I446" s="22" t="n">
        <v>26286</v>
      </c>
      <c r="J446" s="22" t="n">
        <v>26419</v>
      </c>
      <c r="K446" s="22" t="n">
        <v>26705</v>
      </c>
      <c r="L446" s="22" t="n">
        <v>26769</v>
      </c>
      <c r="M446" s="22" t="n">
        <v>26769</v>
      </c>
      <c r="N446" s="22" t="n">
        <v>26769</v>
      </c>
      <c r="O446" s="22" t="n">
        <v>26769</v>
      </c>
      <c r="P446" s="22" t="n">
        <v>26769</v>
      </c>
      <c r="Q446" s="22" t="n">
        <v>26769</v>
      </c>
      <c r="R446" s="22" t="n">
        <v>26769</v>
      </c>
      <c r="S446" s="22" t="n">
        <v>26769</v>
      </c>
      <c r="T446" s="22" t="n">
        <v>26769</v>
      </c>
      <c r="U446" s="22" t="n">
        <v>26769</v>
      </c>
      <c r="V446" s="22" t="n">
        <v>26769</v>
      </c>
      <c r="W446" s="22" t="n">
        <v>26866</v>
      </c>
      <c r="X446" s="22" t="n">
        <v>26873</v>
      </c>
      <c r="Y446" s="22" t="n">
        <v>26873</v>
      </c>
      <c r="Z446" s="22" t="n">
        <v>26873</v>
      </c>
      <c r="AA446" s="22" t="n">
        <v>26944</v>
      </c>
      <c r="AB446" s="22" t="n">
        <v>26873</v>
      </c>
      <c r="AC446" s="22" t="n">
        <v>26873</v>
      </c>
      <c r="AD446" s="22" t="n">
        <v>26873</v>
      </c>
      <c r="AE446" s="22" t="n">
        <v>26944</v>
      </c>
      <c r="AF446" s="22" t="n">
        <v>26873</v>
      </c>
    </row>
    <row r="447" customFormat="false" ht="15" hidden="false" customHeight="false" outlineLevel="0" collapsed="false">
      <c r="A447" s="22" t="s">
        <v>178</v>
      </c>
      <c r="B447" s="22" t="s">
        <v>3</v>
      </c>
      <c r="C447" s="22" t="s">
        <v>178</v>
      </c>
      <c r="D447" s="22" t="n">
        <v>31180</v>
      </c>
      <c r="E447" s="22" t="s">
        <v>132</v>
      </c>
      <c r="F447" s="22" t="s">
        <v>5</v>
      </c>
      <c r="G447" s="22" t="s">
        <v>131</v>
      </c>
      <c r="H447" s="22" t="s">
        <v>131</v>
      </c>
      <c r="I447" s="22" t="n">
        <v>1.15</v>
      </c>
      <c r="J447" s="22" t="n">
        <v>1.149</v>
      </c>
      <c r="K447" s="22" t="n">
        <v>1.147</v>
      </c>
      <c r="L447" s="22" t="n">
        <v>1.141</v>
      </c>
      <c r="M447" s="22" t="n">
        <v>1.142</v>
      </c>
      <c r="N447" s="22" t="n">
        <v>1.165</v>
      </c>
      <c r="O447" s="22" t="n">
        <v>1.166</v>
      </c>
      <c r="P447" s="22" t="n">
        <v>1.159</v>
      </c>
      <c r="Q447" s="22" t="n">
        <v>1.157</v>
      </c>
      <c r="R447" s="22" t="n">
        <v>1.169</v>
      </c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</row>
    <row r="448" customFormat="false" ht="15" hidden="false" customHeight="false" outlineLevel="0" collapsed="false">
      <c r="A448" s="22" t="s">
        <v>178</v>
      </c>
      <c r="B448" s="22" t="s">
        <v>3</v>
      </c>
      <c r="C448" s="22" t="s">
        <v>178</v>
      </c>
      <c r="D448" s="22" t="n">
        <v>31180</v>
      </c>
      <c r="E448" s="22" t="s">
        <v>134</v>
      </c>
      <c r="F448" s="22" t="s">
        <v>135</v>
      </c>
      <c r="G448" s="22" t="s">
        <v>131</v>
      </c>
      <c r="H448" s="22" t="s">
        <v>131</v>
      </c>
      <c r="I448" s="22" t="n">
        <v>0.0071</v>
      </c>
      <c r="J448" s="22" t="n">
        <v>0.0081</v>
      </c>
      <c r="K448" s="22" t="n">
        <v>0.0012</v>
      </c>
      <c r="L448" s="22" t="n">
        <v>-0.0018</v>
      </c>
      <c r="M448" s="22" t="n">
        <v>-0.0065</v>
      </c>
      <c r="N448" s="22" t="n">
        <v>0.025</v>
      </c>
      <c r="O448" s="22" t="n">
        <v>0.0197</v>
      </c>
      <c r="P448" s="22" t="n">
        <v>0.019</v>
      </c>
      <c r="Q448" s="22" t="n">
        <v>0.0166</v>
      </c>
      <c r="R448" s="22" t="n">
        <v>-0.0009</v>
      </c>
      <c r="S448" s="22" t="n">
        <v>0.005</v>
      </c>
      <c r="T448" s="22" t="n">
        <v>0.011</v>
      </c>
      <c r="U448" s="22" t="n">
        <v>0.022</v>
      </c>
      <c r="V448" s="22" t="n">
        <v>0.019</v>
      </c>
      <c r="W448" s="22" t="n">
        <v>0.023</v>
      </c>
      <c r="X448" s="22" t="n">
        <v>0.023</v>
      </c>
      <c r="Y448" s="22" t="n">
        <v>0.023</v>
      </c>
      <c r="Z448" s="22" t="n">
        <v>0.022</v>
      </c>
      <c r="AA448" s="22" t="n">
        <v>0.022</v>
      </c>
      <c r="AB448" s="22" t="n">
        <v>0.021</v>
      </c>
      <c r="AC448" s="22" t="n">
        <v>0.022</v>
      </c>
      <c r="AD448" s="22" t="n">
        <v>0.021</v>
      </c>
      <c r="AE448" s="22" t="n">
        <v>0.022</v>
      </c>
      <c r="AF448" s="22" t="n">
        <v>0.022</v>
      </c>
    </row>
    <row r="449" customFormat="false" ht="15" hidden="false" customHeight="false" outlineLevel="0" collapsed="false">
      <c r="A449" s="22" t="s">
        <v>178</v>
      </c>
      <c r="B449" s="22" t="s">
        <v>3</v>
      </c>
      <c r="C449" s="22" t="s">
        <v>178</v>
      </c>
      <c r="D449" s="22" t="n">
        <v>31180</v>
      </c>
      <c r="E449" s="22" t="s">
        <v>136</v>
      </c>
      <c r="F449" s="22" t="s">
        <v>137</v>
      </c>
      <c r="G449" s="22" t="s">
        <v>131</v>
      </c>
      <c r="H449" s="22" t="s">
        <v>131</v>
      </c>
      <c r="I449" s="22" t="n">
        <v>0</v>
      </c>
      <c r="J449" s="22" t="n">
        <v>0</v>
      </c>
      <c r="K449" s="22" t="n">
        <v>0</v>
      </c>
      <c r="L449" s="22" t="n">
        <v>0</v>
      </c>
      <c r="M449" s="22" t="n">
        <v>0</v>
      </c>
      <c r="N449" s="22" t="n">
        <v>0</v>
      </c>
      <c r="O449" s="22" t="n">
        <v>0</v>
      </c>
      <c r="P449" s="22" t="n">
        <v>0</v>
      </c>
      <c r="Q449" s="22" t="n">
        <v>0</v>
      </c>
      <c r="R449" s="22" t="n">
        <v>1</v>
      </c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</row>
    <row r="450" customFormat="false" ht="15" hidden="false" customHeight="false" outlineLevel="0" collapsed="false">
      <c r="A450" s="22" t="s">
        <v>179</v>
      </c>
      <c r="B450" s="22" t="s">
        <v>3</v>
      </c>
      <c r="C450" s="22" t="s">
        <v>179</v>
      </c>
      <c r="D450" s="22" t="n">
        <v>231420</v>
      </c>
      <c r="E450" s="22" t="s">
        <v>129</v>
      </c>
      <c r="F450" s="22" t="s">
        <v>130</v>
      </c>
      <c r="G450" s="22" t="s">
        <v>131</v>
      </c>
      <c r="H450" s="22" t="s">
        <v>131</v>
      </c>
      <c r="I450" s="22" t="n">
        <v>1.07624386567073</v>
      </c>
      <c r="J450" s="22" t="n">
        <v>1.0761435831912</v>
      </c>
      <c r="K450" s="22" t="n">
        <v>1.07795668068953</v>
      </c>
      <c r="L450" s="22" t="n">
        <v>1.0826928322693</v>
      </c>
      <c r="M450" s="22" t="n">
        <v>1.09613900494312</v>
      </c>
      <c r="N450" s="22" t="n">
        <v>1.10155809219605</v>
      </c>
      <c r="O450" s="22" t="n">
        <v>1.11122566646548</v>
      </c>
      <c r="P450" s="22" t="n">
        <v>1.12102996194938</v>
      </c>
      <c r="Q450" s="22" t="n">
        <v>1.10604256835634</v>
      </c>
      <c r="R450" s="22" t="n">
        <v>1.11789214727581</v>
      </c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</row>
    <row r="451" customFormat="false" ht="15" hidden="false" customHeight="false" outlineLevel="0" collapsed="false">
      <c r="A451" s="22" t="s">
        <v>179</v>
      </c>
      <c r="B451" s="22" t="s">
        <v>3</v>
      </c>
      <c r="C451" s="22" t="s">
        <v>179</v>
      </c>
      <c r="D451" s="22" t="n">
        <v>231420</v>
      </c>
      <c r="E451" s="22" t="s">
        <v>132</v>
      </c>
      <c r="F451" s="22" t="s">
        <v>6</v>
      </c>
      <c r="G451" s="22" t="s">
        <v>131</v>
      </c>
      <c r="H451" s="22" t="s">
        <v>131</v>
      </c>
      <c r="I451" s="22" t="n">
        <v>1.115</v>
      </c>
      <c r="J451" s="22" t="n">
        <v>1.124</v>
      </c>
      <c r="K451" s="22" t="n">
        <v>1.131</v>
      </c>
      <c r="L451" s="22" t="n">
        <v>1.108</v>
      </c>
      <c r="M451" s="22" t="n">
        <v>1.105</v>
      </c>
      <c r="N451" s="22" t="n">
        <v>1.12</v>
      </c>
      <c r="O451" s="22" t="n">
        <v>1.124</v>
      </c>
      <c r="P451" s="22" t="n">
        <v>1.108</v>
      </c>
      <c r="Q451" s="22" t="n">
        <v>1.111</v>
      </c>
      <c r="R451" s="22" t="n">
        <v>1.118</v>
      </c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</row>
    <row r="452" customFormat="false" ht="15" hidden="false" customHeight="false" outlineLevel="0" collapsed="false">
      <c r="A452" s="22" t="s">
        <v>179</v>
      </c>
      <c r="B452" s="22" t="s">
        <v>3</v>
      </c>
      <c r="C452" s="22" t="s">
        <v>179</v>
      </c>
      <c r="D452" s="22" t="n">
        <v>231420</v>
      </c>
      <c r="E452" s="22" t="s">
        <v>132</v>
      </c>
      <c r="F452" s="22" t="s">
        <v>133</v>
      </c>
      <c r="G452" s="22" t="s">
        <v>131</v>
      </c>
      <c r="H452" s="22" t="s">
        <v>131</v>
      </c>
      <c r="I452" s="22" t="n">
        <v>25866</v>
      </c>
      <c r="J452" s="22" t="n">
        <v>26162</v>
      </c>
      <c r="K452" s="22" t="n">
        <v>26420</v>
      </c>
      <c r="L452" s="22" t="n">
        <v>26420</v>
      </c>
      <c r="M452" s="22" t="n">
        <v>26420</v>
      </c>
      <c r="N452" s="22" t="n">
        <v>26420</v>
      </c>
      <c r="O452" s="22" t="n">
        <v>26500</v>
      </c>
      <c r="P452" s="22" t="n">
        <v>26500</v>
      </c>
      <c r="Q452" s="22" t="n">
        <v>26547</v>
      </c>
      <c r="R452" s="22" t="n">
        <v>26595</v>
      </c>
      <c r="S452" s="22" t="n">
        <v>26595</v>
      </c>
      <c r="T452" s="22" t="n">
        <v>26595</v>
      </c>
      <c r="U452" s="22" t="n">
        <v>26595</v>
      </c>
      <c r="V452" s="22" t="n">
        <v>26619</v>
      </c>
      <c r="W452" s="22" t="n">
        <v>26723</v>
      </c>
      <c r="X452" s="22" t="n">
        <v>26778</v>
      </c>
      <c r="Y452" s="22" t="n">
        <v>26778</v>
      </c>
      <c r="Z452" s="22" t="n">
        <v>26778</v>
      </c>
      <c r="AA452" s="22" t="n">
        <v>26869</v>
      </c>
      <c r="AB452" s="22" t="n">
        <v>26936</v>
      </c>
      <c r="AC452" s="22" t="n">
        <v>26942</v>
      </c>
      <c r="AD452" s="22" t="n">
        <v>26946</v>
      </c>
      <c r="AE452" s="22" t="n">
        <v>27042</v>
      </c>
      <c r="AF452" s="22" t="n">
        <v>27113</v>
      </c>
    </row>
    <row r="453" customFormat="false" ht="15" hidden="false" customHeight="false" outlineLevel="0" collapsed="false">
      <c r="A453" s="22" t="s">
        <v>179</v>
      </c>
      <c r="B453" s="22" t="s">
        <v>3</v>
      </c>
      <c r="C453" s="22" t="s">
        <v>179</v>
      </c>
      <c r="D453" s="22" t="n">
        <v>231420</v>
      </c>
      <c r="E453" s="22" t="s">
        <v>132</v>
      </c>
      <c r="F453" s="22" t="s">
        <v>5</v>
      </c>
      <c r="G453" s="22" t="s">
        <v>131</v>
      </c>
      <c r="H453" s="22" t="s">
        <v>131</v>
      </c>
      <c r="I453" s="22" t="n">
        <v>1.125</v>
      </c>
      <c r="J453" s="22" t="n">
        <v>1.139</v>
      </c>
      <c r="K453" s="22" t="n">
        <v>1.144</v>
      </c>
      <c r="L453" s="22" t="n">
        <v>1.125</v>
      </c>
      <c r="M453" s="22" t="n">
        <v>1.118</v>
      </c>
      <c r="N453" s="22" t="n">
        <v>1.136</v>
      </c>
      <c r="O453" s="22" t="n">
        <v>1.141</v>
      </c>
      <c r="P453" s="22" t="n">
        <v>1.133</v>
      </c>
      <c r="Q453" s="22" t="n">
        <v>1.134</v>
      </c>
      <c r="R453" s="22" t="n">
        <v>1.147</v>
      </c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customFormat="false" ht="15" hidden="false" customHeight="false" outlineLevel="0" collapsed="false">
      <c r="A454" s="22" t="s">
        <v>179</v>
      </c>
      <c r="B454" s="22" t="s">
        <v>3</v>
      </c>
      <c r="C454" s="22" t="s">
        <v>179</v>
      </c>
      <c r="D454" s="22" t="n">
        <v>231420</v>
      </c>
      <c r="E454" s="22" t="s">
        <v>134</v>
      </c>
      <c r="F454" s="22" t="s">
        <v>135</v>
      </c>
      <c r="G454" s="22" t="s">
        <v>131</v>
      </c>
      <c r="H454" s="22" t="s">
        <v>131</v>
      </c>
      <c r="I454" s="22" t="n">
        <v>-0.0183</v>
      </c>
      <c r="J454" s="22" t="n">
        <v>-0.0221</v>
      </c>
      <c r="K454" s="22" t="n">
        <v>-0.0209</v>
      </c>
      <c r="L454" s="22" t="n">
        <v>-0.0173</v>
      </c>
      <c r="M454" s="22" t="n">
        <v>-0.0021</v>
      </c>
      <c r="N454" s="22" t="n">
        <v>0.0011</v>
      </c>
      <c r="O454" s="22" t="n">
        <v>-0.0117</v>
      </c>
      <c r="P454" s="22" t="n">
        <v>-0.008</v>
      </c>
      <c r="Q454" s="22" t="n">
        <v>-0.0043</v>
      </c>
      <c r="R454" s="22" t="n">
        <v>-0.0118</v>
      </c>
      <c r="S454" s="22" t="n">
        <v>-0.002</v>
      </c>
      <c r="T454" s="22" t="n">
        <v>0.019</v>
      </c>
      <c r="U454" s="22" t="n">
        <v>0.018</v>
      </c>
      <c r="V454" s="22" t="n">
        <v>0.015</v>
      </c>
      <c r="W454" s="22" t="n">
        <v>0.015</v>
      </c>
      <c r="X454" s="22" t="n">
        <v>0.016</v>
      </c>
      <c r="Y454" s="22" t="n">
        <v>0.017</v>
      </c>
      <c r="Z454" s="22" t="n">
        <v>0.017</v>
      </c>
      <c r="AA454" s="22" t="n">
        <v>0.016</v>
      </c>
      <c r="AB454" s="22" t="n">
        <v>0.015</v>
      </c>
      <c r="AC454" s="22" t="n">
        <v>0.014</v>
      </c>
      <c r="AD454" s="22" t="n">
        <v>0.014</v>
      </c>
      <c r="AE454" s="22" t="n">
        <v>0.012</v>
      </c>
      <c r="AF454" s="22" t="n">
        <v>0.01</v>
      </c>
    </row>
    <row r="455" customFormat="false" ht="15" hidden="false" customHeight="false" outlineLevel="0" collapsed="false">
      <c r="A455" s="22" t="s">
        <v>179</v>
      </c>
      <c r="B455" s="22" t="s">
        <v>3</v>
      </c>
      <c r="C455" s="22" t="s">
        <v>179</v>
      </c>
      <c r="D455" s="22" t="n">
        <v>231420</v>
      </c>
      <c r="E455" s="22" t="s">
        <v>136</v>
      </c>
      <c r="F455" s="22" t="s">
        <v>137</v>
      </c>
      <c r="G455" s="22" t="s">
        <v>131</v>
      </c>
      <c r="H455" s="22" t="s">
        <v>131</v>
      </c>
      <c r="I455" s="22" t="n">
        <v>3</v>
      </c>
      <c r="J455" s="22" t="n">
        <v>3</v>
      </c>
      <c r="K455" s="22" t="n">
        <v>1</v>
      </c>
      <c r="L455" s="22" t="n">
        <v>1</v>
      </c>
      <c r="M455" s="22" t="n">
        <v>1</v>
      </c>
      <c r="N455" s="22" t="n">
        <v>0</v>
      </c>
      <c r="O455" s="22" t="n">
        <v>0</v>
      </c>
      <c r="P455" s="22" t="n">
        <v>1</v>
      </c>
      <c r="Q455" s="22" t="n">
        <v>1</v>
      </c>
      <c r="R455" s="22" t="n">
        <v>1</v>
      </c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customFormat="false" ht="15" hidden="false" customHeight="false" outlineLevel="0" collapsed="false">
      <c r="A456" s="22" t="s">
        <v>22</v>
      </c>
      <c r="B456" s="22" t="s">
        <v>3</v>
      </c>
      <c r="C456" s="22" t="s">
        <v>22</v>
      </c>
      <c r="D456" s="22" t="n">
        <v>31540</v>
      </c>
      <c r="E456" s="22" t="s">
        <v>129</v>
      </c>
      <c r="F456" s="22" t="s">
        <v>130</v>
      </c>
      <c r="G456" s="22" t="s">
        <v>131</v>
      </c>
      <c r="H456" s="22" t="s">
        <v>131</v>
      </c>
      <c r="I456" s="22" t="n">
        <v>1.42172272899456</v>
      </c>
      <c r="J456" s="22" t="n">
        <v>1.43882038645132</v>
      </c>
      <c r="K456" s="22" t="n">
        <v>1.46868374827758</v>
      </c>
      <c r="L456" s="22" t="n">
        <v>1.50425111704958</v>
      </c>
      <c r="M456" s="22" t="n">
        <v>1.51470555107192</v>
      </c>
      <c r="N456" s="22" t="n">
        <v>1.57523350985207</v>
      </c>
      <c r="O456" s="22" t="n">
        <v>1.57452420668018</v>
      </c>
      <c r="P456" s="22" t="n">
        <v>1.53168234546189</v>
      </c>
      <c r="Q456" s="22" t="n">
        <v>1.54545740961727</v>
      </c>
      <c r="R456" s="22" t="n">
        <v>1.56258378340267</v>
      </c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</row>
    <row r="457" customFormat="false" ht="15" hidden="false" customHeight="false" outlineLevel="0" collapsed="false">
      <c r="A457" s="22" t="s">
        <v>22</v>
      </c>
      <c r="B457" s="22" t="s">
        <v>3</v>
      </c>
      <c r="C457" s="22" t="s">
        <v>22</v>
      </c>
      <c r="D457" s="22" t="n">
        <v>31540</v>
      </c>
      <c r="E457" s="22" t="s">
        <v>132</v>
      </c>
      <c r="F457" s="22" t="s">
        <v>6</v>
      </c>
      <c r="G457" s="22" t="s">
        <v>131</v>
      </c>
      <c r="H457" s="22" t="s">
        <v>131</v>
      </c>
      <c r="I457" s="22" t="n">
        <v>1.715</v>
      </c>
      <c r="J457" s="22" t="n">
        <v>1.739</v>
      </c>
      <c r="K457" s="22" t="n">
        <v>1.766</v>
      </c>
      <c r="L457" s="22" t="n">
        <v>1.787</v>
      </c>
      <c r="M457" s="22" t="n">
        <v>1.801</v>
      </c>
      <c r="N457" s="22" t="n">
        <v>1.833</v>
      </c>
      <c r="O457" s="22" t="n">
        <v>1.845</v>
      </c>
      <c r="P457" s="22" t="n">
        <v>1.827</v>
      </c>
      <c r="Q457" s="22" t="n">
        <v>1.849</v>
      </c>
      <c r="R457" s="22" t="n">
        <v>1.861</v>
      </c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customFormat="false" ht="15" hidden="false" customHeight="false" outlineLevel="0" collapsed="false">
      <c r="A458" s="22" t="s">
        <v>22</v>
      </c>
      <c r="B458" s="22" t="s">
        <v>3</v>
      </c>
      <c r="C458" s="22" t="s">
        <v>22</v>
      </c>
      <c r="D458" s="22" t="n">
        <v>31540</v>
      </c>
      <c r="E458" s="22" t="s">
        <v>132</v>
      </c>
      <c r="F458" s="22" t="s">
        <v>133</v>
      </c>
      <c r="G458" s="22" t="s">
        <v>131</v>
      </c>
      <c r="H458" s="22" t="s">
        <v>131</v>
      </c>
      <c r="I458" s="22" t="n">
        <v>79013</v>
      </c>
      <c r="J458" s="22" t="n">
        <v>79406</v>
      </c>
      <c r="K458" s="22" t="n">
        <v>80479</v>
      </c>
      <c r="L458" s="22" t="n">
        <v>81313</v>
      </c>
      <c r="M458" s="22" t="n">
        <v>81662</v>
      </c>
      <c r="N458" s="22" t="n">
        <v>82322</v>
      </c>
      <c r="O458" s="22" t="n">
        <v>83130</v>
      </c>
      <c r="P458" s="22" t="n">
        <v>83542</v>
      </c>
      <c r="Q458" s="22" t="n">
        <v>83778</v>
      </c>
      <c r="R458" s="22" t="n">
        <v>84472</v>
      </c>
      <c r="S458" s="22" t="n">
        <v>85313</v>
      </c>
      <c r="T458" s="22" t="n">
        <v>85925</v>
      </c>
      <c r="U458" s="22" t="n">
        <v>86454</v>
      </c>
      <c r="V458" s="22" t="n">
        <v>87454</v>
      </c>
      <c r="W458" s="22" t="n">
        <v>88551</v>
      </c>
      <c r="X458" s="22" t="n">
        <v>89068</v>
      </c>
      <c r="Y458" s="22" t="n">
        <v>89117</v>
      </c>
      <c r="Z458" s="22" t="n">
        <v>89117</v>
      </c>
      <c r="AA458" s="22" t="n">
        <v>89815</v>
      </c>
      <c r="AB458" s="22" t="n">
        <v>90442</v>
      </c>
      <c r="AC458" s="22" t="n">
        <v>90523</v>
      </c>
      <c r="AD458" s="22" t="n">
        <v>90574</v>
      </c>
      <c r="AE458" s="22" t="n">
        <v>91327</v>
      </c>
      <c r="AF458" s="22" t="n">
        <v>92010</v>
      </c>
    </row>
    <row r="459" customFormat="false" ht="15" hidden="false" customHeight="false" outlineLevel="0" collapsed="false">
      <c r="A459" s="22" t="s">
        <v>22</v>
      </c>
      <c r="B459" s="22" t="s">
        <v>3</v>
      </c>
      <c r="C459" s="22" t="s">
        <v>22</v>
      </c>
      <c r="D459" s="22" t="n">
        <v>31540</v>
      </c>
      <c r="E459" s="22" t="s">
        <v>132</v>
      </c>
      <c r="F459" s="22" t="s">
        <v>5</v>
      </c>
      <c r="G459" s="22" t="s">
        <v>131</v>
      </c>
      <c r="H459" s="22" t="s">
        <v>131</v>
      </c>
      <c r="I459" s="22" t="n">
        <v>1.72</v>
      </c>
      <c r="J459" s="22" t="n">
        <v>1.745</v>
      </c>
      <c r="K459" s="22" t="n">
        <v>1.771</v>
      </c>
      <c r="L459" s="22" t="n">
        <v>1.795</v>
      </c>
      <c r="M459" s="22" t="n">
        <v>1.81</v>
      </c>
      <c r="N459" s="22" t="n">
        <v>1.843</v>
      </c>
      <c r="O459" s="22" t="n">
        <v>1.857</v>
      </c>
      <c r="P459" s="22" t="n">
        <v>1.847</v>
      </c>
      <c r="Q459" s="22" t="n">
        <v>1.866</v>
      </c>
      <c r="R459" s="22" t="n">
        <v>1.882</v>
      </c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</row>
    <row r="460" customFormat="false" ht="15" hidden="false" customHeight="false" outlineLevel="0" collapsed="false">
      <c r="A460" s="22" t="s">
        <v>22</v>
      </c>
      <c r="B460" s="22" t="s">
        <v>3</v>
      </c>
      <c r="C460" s="22" t="s">
        <v>22</v>
      </c>
      <c r="D460" s="22" t="n">
        <v>31540</v>
      </c>
      <c r="E460" s="22" t="s">
        <v>134</v>
      </c>
      <c r="F460" s="22" t="s">
        <v>135</v>
      </c>
      <c r="G460" s="22" t="s">
        <v>131</v>
      </c>
      <c r="H460" s="22" t="s">
        <v>131</v>
      </c>
      <c r="I460" s="22" t="n">
        <v>0.0545</v>
      </c>
      <c r="J460" s="22" t="n">
        <v>0.0391</v>
      </c>
      <c r="K460" s="22" t="n">
        <v>0.0335</v>
      </c>
      <c r="L460" s="22" t="n">
        <v>0.0304</v>
      </c>
      <c r="M460" s="22" t="n">
        <v>0.0238</v>
      </c>
      <c r="N460" s="22" t="n">
        <v>0.0305</v>
      </c>
      <c r="O460" s="22" t="n">
        <v>0.0252</v>
      </c>
      <c r="P460" s="22" t="n">
        <v>0.0173</v>
      </c>
      <c r="Q460" s="22" t="n">
        <v>0.0182</v>
      </c>
      <c r="R460" s="22" t="n">
        <v>0.0091</v>
      </c>
      <c r="S460" s="22" t="n">
        <v>0.009</v>
      </c>
      <c r="T460" s="22" t="n">
        <v>0.019</v>
      </c>
      <c r="U460" s="22" t="n">
        <v>0.02</v>
      </c>
      <c r="V460" s="22" t="n">
        <v>0.027</v>
      </c>
      <c r="W460" s="22" t="n">
        <v>0.028</v>
      </c>
      <c r="X460" s="22" t="n">
        <v>0.032</v>
      </c>
      <c r="Y460" s="22" t="n">
        <v>0.028</v>
      </c>
      <c r="Z460" s="22" t="n">
        <v>0.027</v>
      </c>
      <c r="AA460" s="22" t="n">
        <v>0.027</v>
      </c>
      <c r="AB460" s="22" t="n">
        <v>0.032</v>
      </c>
      <c r="AC460" s="22" t="n">
        <v>0.032</v>
      </c>
      <c r="AD460" s="22" t="n">
        <v>0.028</v>
      </c>
      <c r="AE460" s="22" t="n">
        <v>0.027</v>
      </c>
      <c r="AF460" s="22" t="n">
        <v>0.03</v>
      </c>
    </row>
    <row r="461" customFormat="false" ht="15" hidden="false" customHeight="false" outlineLevel="0" collapsed="false">
      <c r="A461" s="22" t="s">
        <v>22</v>
      </c>
      <c r="B461" s="22" t="s">
        <v>3</v>
      </c>
      <c r="C461" s="22" t="s">
        <v>22</v>
      </c>
      <c r="D461" s="22" t="n">
        <v>31540</v>
      </c>
      <c r="E461" s="22" t="s">
        <v>136</v>
      </c>
      <c r="F461" s="22" t="s">
        <v>137</v>
      </c>
      <c r="G461" s="22" t="s">
        <v>131</v>
      </c>
      <c r="H461" s="22" t="s">
        <v>131</v>
      </c>
      <c r="I461" s="22" t="n">
        <v>15</v>
      </c>
      <c r="J461" s="22" t="n">
        <v>18</v>
      </c>
      <c r="K461" s="22" t="n">
        <v>17</v>
      </c>
      <c r="L461" s="22" t="n">
        <v>18</v>
      </c>
      <c r="M461" s="22" t="n">
        <v>18</v>
      </c>
      <c r="N461" s="22" t="n">
        <v>20</v>
      </c>
      <c r="O461" s="22" t="n">
        <v>26</v>
      </c>
      <c r="P461" s="22" t="n">
        <v>24</v>
      </c>
      <c r="Q461" s="22" t="n">
        <v>27</v>
      </c>
      <c r="R461" s="22" t="n">
        <v>22</v>
      </c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</row>
    <row r="462" customFormat="false" ht="15" hidden="false" customHeight="false" outlineLevel="0" collapsed="false">
      <c r="A462" s="22" t="s">
        <v>180</v>
      </c>
      <c r="B462" s="22" t="s">
        <v>3</v>
      </c>
      <c r="C462" s="22" t="s">
        <v>180</v>
      </c>
      <c r="D462" s="22" t="n">
        <v>231700</v>
      </c>
      <c r="E462" s="22" t="s">
        <v>129</v>
      </c>
      <c r="F462" s="22" t="s">
        <v>130</v>
      </c>
      <c r="G462" s="22" t="s">
        <v>131</v>
      </c>
      <c r="H462" s="22" t="s">
        <v>131</v>
      </c>
      <c r="I462" s="22" t="n">
        <v>2.14288877385927</v>
      </c>
      <c r="J462" s="22" t="n">
        <v>2.15902795446058</v>
      </c>
      <c r="K462" s="22" t="n">
        <v>2.17681666121529</v>
      </c>
      <c r="L462" s="22" t="n">
        <v>2.25158701535196</v>
      </c>
      <c r="M462" s="22" t="n">
        <v>2.1498469590195</v>
      </c>
      <c r="N462" s="22" t="n">
        <v>2.21526386433702</v>
      </c>
      <c r="O462" s="22" t="n">
        <v>2.23474858121339</v>
      </c>
      <c r="P462" s="22" t="n">
        <v>2.259477894495</v>
      </c>
      <c r="Q462" s="22" t="n">
        <v>2.33432855448105</v>
      </c>
      <c r="R462" s="22" t="n">
        <v>2.34632152430573</v>
      </c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customFormat="false" ht="15" hidden="false" customHeight="false" outlineLevel="0" collapsed="false">
      <c r="A463" s="22" t="s">
        <v>180</v>
      </c>
      <c r="B463" s="22" t="s">
        <v>3</v>
      </c>
      <c r="C463" s="22" t="s">
        <v>180</v>
      </c>
      <c r="D463" s="22" t="n">
        <v>231700</v>
      </c>
      <c r="E463" s="22" t="s">
        <v>132</v>
      </c>
      <c r="F463" s="22" t="s">
        <v>6</v>
      </c>
      <c r="G463" s="22" t="s">
        <v>131</v>
      </c>
      <c r="H463" s="22" t="s">
        <v>131</v>
      </c>
      <c r="I463" s="22" t="n">
        <v>2.264</v>
      </c>
      <c r="J463" s="22" t="n">
        <v>2.299</v>
      </c>
      <c r="K463" s="22" t="n">
        <v>2.357</v>
      </c>
      <c r="L463" s="22" t="n">
        <v>2.309</v>
      </c>
      <c r="M463" s="22" t="n">
        <v>2.319</v>
      </c>
      <c r="N463" s="22" t="n">
        <v>2.363</v>
      </c>
      <c r="O463" s="22" t="n">
        <v>2.379</v>
      </c>
      <c r="P463" s="22" t="n">
        <v>2.35</v>
      </c>
      <c r="Q463" s="22" t="n">
        <v>2.385</v>
      </c>
      <c r="R463" s="22" t="n">
        <v>2.417</v>
      </c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</row>
    <row r="464" customFormat="false" ht="15" hidden="false" customHeight="false" outlineLevel="0" collapsed="false">
      <c r="A464" s="22" t="s">
        <v>180</v>
      </c>
      <c r="B464" s="22" t="s">
        <v>3</v>
      </c>
      <c r="C464" s="22" t="s">
        <v>180</v>
      </c>
      <c r="D464" s="22" t="n">
        <v>231700</v>
      </c>
      <c r="E464" s="22" t="s">
        <v>132</v>
      </c>
      <c r="F464" s="22" t="s">
        <v>133</v>
      </c>
      <c r="G464" s="22" t="s">
        <v>131</v>
      </c>
      <c r="H464" s="22" t="s">
        <v>131</v>
      </c>
      <c r="I464" s="22" t="n">
        <v>38161</v>
      </c>
      <c r="J464" s="22" t="n">
        <v>38314</v>
      </c>
      <c r="K464" s="22" t="n">
        <v>38626</v>
      </c>
      <c r="L464" s="22" t="n">
        <v>38742</v>
      </c>
      <c r="M464" s="22" t="n">
        <v>38919</v>
      </c>
      <c r="N464" s="22" t="n">
        <v>38919</v>
      </c>
      <c r="O464" s="22" t="n">
        <v>38919</v>
      </c>
      <c r="P464" s="22" t="n">
        <v>38919</v>
      </c>
      <c r="Q464" s="22" t="n">
        <v>38919</v>
      </c>
      <c r="R464" s="22" t="n">
        <v>38919</v>
      </c>
      <c r="S464" s="22" t="n">
        <v>38996</v>
      </c>
      <c r="T464" s="22" t="n">
        <v>38996</v>
      </c>
      <c r="U464" s="22" t="n">
        <v>38996</v>
      </c>
      <c r="V464" s="22" t="n">
        <v>38996</v>
      </c>
      <c r="W464" s="22" t="n">
        <v>39330</v>
      </c>
      <c r="X464" s="22" t="n">
        <v>39303</v>
      </c>
      <c r="Y464" s="22" t="n">
        <v>39222</v>
      </c>
      <c r="Z464" s="22" t="n">
        <v>39216</v>
      </c>
      <c r="AA464" s="22" t="n">
        <v>39539</v>
      </c>
      <c r="AB464" s="22" t="n">
        <v>39499</v>
      </c>
      <c r="AC464" s="22" t="n">
        <v>39398</v>
      </c>
      <c r="AD464" s="22" t="n">
        <v>39373</v>
      </c>
      <c r="AE464" s="22" t="n">
        <v>39678</v>
      </c>
      <c r="AF464" s="22" t="n">
        <v>39627</v>
      </c>
    </row>
    <row r="465" customFormat="false" ht="15" hidden="false" customHeight="false" outlineLevel="0" collapsed="false">
      <c r="A465" s="22" t="s">
        <v>180</v>
      </c>
      <c r="B465" s="22" t="s">
        <v>3</v>
      </c>
      <c r="C465" s="22" t="s">
        <v>180</v>
      </c>
      <c r="D465" s="22" t="n">
        <v>231700</v>
      </c>
      <c r="E465" s="22" t="s">
        <v>132</v>
      </c>
      <c r="F465" s="22" t="s">
        <v>5</v>
      </c>
      <c r="G465" s="22" t="s">
        <v>131</v>
      </c>
      <c r="H465" s="22" t="s">
        <v>131</v>
      </c>
      <c r="I465" s="22" t="n">
        <v>2.273</v>
      </c>
      <c r="J465" s="22" t="n">
        <v>2.304</v>
      </c>
      <c r="K465" s="22" t="n">
        <v>2.36</v>
      </c>
      <c r="L465" s="22" t="n">
        <v>2.325</v>
      </c>
      <c r="M465" s="22" t="n">
        <v>2.331</v>
      </c>
      <c r="N465" s="22" t="n">
        <v>2.374</v>
      </c>
      <c r="O465" s="22" t="n">
        <v>2.395</v>
      </c>
      <c r="P465" s="22" t="n">
        <v>2.363</v>
      </c>
      <c r="Q465" s="22" t="n">
        <v>2.395</v>
      </c>
      <c r="R465" s="22" t="n">
        <v>2.42</v>
      </c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</row>
    <row r="466" customFormat="false" ht="15" hidden="false" customHeight="false" outlineLevel="0" collapsed="false">
      <c r="A466" s="22" t="s">
        <v>180</v>
      </c>
      <c r="B466" s="22" t="s">
        <v>3</v>
      </c>
      <c r="C466" s="22" t="s">
        <v>180</v>
      </c>
      <c r="D466" s="22" t="n">
        <v>231700</v>
      </c>
      <c r="E466" s="22" t="s">
        <v>134</v>
      </c>
      <c r="F466" s="22" t="s">
        <v>135</v>
      </c>
      <c r="G466" s="22" t="s">
        <v>131</v>
      </c>
      <c r="H466" s="22" t="s">
        <v>131</v>
      </c>
      <c r="I466" s="22" t="n">
        <v>0.0234</v>
      </c>
      <c r="J466" s="22" t="n">
        <v>0.0204</v>
      </c>
      <c r="K466" s="22" t="n">
        <v>0.043</v>
      </c>
      <c r="L466" s="22" t="n">
        <v>0.0227</v>
      </c>
      <c r="M466" s="22" t="n">
        <v>0.0203</v>
      </c>
      <c r="N466" s="22" t="n">
        <v>0.0225</v>
      </c>
      <c r="O466" s="22" t="n">
        <v>0.0018</v>
      </c>
      <c r="P466" s="22" t="n">
        <v>0.0156</v>
      </c>
      <c r="Q466" s="22" t="n">
        <v>0.0195</v>
      </c>
      <c r="R466" s="22" t="n">
        <v>0.0188</v>
      </c>
      <c r="S466" s="22" t="n">
        <v>0.026</v>
      </c>
      <c r="T466" s="22" t="n">
        <v>0.035</v>
      </c>
      <c r="U466" s="22" t="n">
        <v>0.032</v>
      </c>
      <c r="V466" s="22" t="n">
        <v>0.026</v>
      </c>
      <c r="W466" s="22" t="n">
        <v>0.028</v>
      </c>
      <c r="X466" s="22" t="n">
        <v>0.028</v>
      </c>
      <c r="Y466" s="22" t="n">
        <v>0.024</v>
      </c>
      <c r="Z466" s="22" t="n">
        <v>0.021</v>
      </c>
      <c r="AA466" s="22" t="n">
        <v>0.019</v>
      </c>
      <c r="AB466" s="22" t="n">
        <v>0.022</v>
      </c>
      <c r="AC466" s="22" t="n">
        <v>0.021</v>
      </c>
      <c r="AD466" s="22" t="n">
        <v>0.016</v>
      </c>
      <c r="AE466" s="22" t="n">
        <v>0.016</v>
      </c>
      <c r="AF466" s="22" t="n">
        <v>0.021</v>
      </c>
    </row>
    <row r="467" customFormat="false" ht="15" hidden="false" customHeight="false" outlineLevel="0" collapsed="false">
      <c r="A467" s="22" t="s">
        <v>180</v>
      </c>
      <c r="B467" s="22" t="s">
        <v>3</v>
      </c>
      <c r="C467" s="22" t="s">
        <v>180</v>
      </c>
      <c r="D467" s="22" t="n">
        <v>231700</v>
      </c>
      <c r="E467" s="22" t="s">
        <v>136</v>
      </c>
      <c r="F467" s="22" t="s">
        <v>137</v>
      </c>
      <c r="G467" s="22" t="s">
        <v>131</v>
      </c>
      <c r="H467" s="22" t="s">
        <v>131</v>
      </c>
      <c r="I467" s="22" t="n">
        <v>4</v>
      </c>
      <c r="J467" s="22" t="n">
        <v>0</v>
      </c>
      <c r="K467" s="22" t="n">
        <v>0</v>
      </c>
      <c r="L467" s="22" t="n">
        <v>0</v>
      </c>
      <c r="M467" s="22" t="n">
        <v>0</v>
      </c>
      <c r="N467" s="22" t="n">
        <v>0</v>
      </c>
      <c r="O467" s="22" t="n">
        <v>0</v>
      </c>
      <c r="P467" s="22" t="n">
        <v>0</v>
      </c>
      <c r="Q467" s="22" t="n">
        <v>0</v>
      </c>
      <c r="R467" s="22" t="n">
        <v>0</v>
      </c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</row>
    <row r="468" customFormat="false" ht="15" hidden="false" customHeight="false" outlineLevel="0" collapsed="false">
      <c r="A468" s="22" t="s">
        <v>181</v>
      </c>
      <c r="B468" s="22" t="s">
        <v>3</v>
      </c>
      <c r="C468" s="22" t="s">
        <v>181</v>
      </c>
      <c r="D468" s="22" t="n">
        <v>232580</v>
      </c>
      <c r="E468" s="22" t="s">
        <v>129</v>
      </c>
      <c r="F468" s="22" t="s">
        <v>130</v>
      </c>
      <c r="G468" s="22" t="s">
        <v>131</v>
      </c>
      <c r="H468" s="22" t="s">
        <v>131</v>
      </c>
      <c r="I468" s="22" t="n">
        <v>1.14858272853102</v>
      </c>
      <c r="J468" s="22" t="n">
        <v>1.14012728612152</v>
      </c>
      <c r="K468" s="22" t="n">
        <v>1.13563254262926</v>
      </c>
      <c r="L468" s="22" t="n">
        <v>1.14491176725031</v>
      </c>
      <c r="M468" s="22" t="n">
        <v>1.13886947446518</v>
      </c>
      <c r="N468" s="22" t="n">
        <v>1.14215091190903</v>
      </c>
      <c r="O468" s="22" t="n">
        <v>1.1539096929766</v>
      </c>
      <c r="P468" s="22" t="n">
        <v>1.14046704919857</v>
      </c>
      <c r="Q468" s="22" t="n">
        <v>1.14118326723378</v>
      </c>
      <c r="R468" s="22" t="n">
        <v>1.1559886633136</v>
      </c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</row>
    <row r="469" customFormat="false" ht="15" hidden="false" customHeight="false" outlineLevel="0" collapsed="false">
      <c r="A469" s="22" t="s">
        <v>181</v>
      </c>
      <c r="B469" s="22" t="s">
        <v>3</v>
      </c>
      <c r="C469" s="22" t="s">
        <v>181</v>
      </c>
      <c r="D469" s="22" t="n">
        <v>232580</v>
      </c>
      <c r="E469" s="22" t="s">
        <v>132</v>
      </c>
      <c r="F469" s="22" t="s">
        <v>6</v>
      </c>
      <c r="G469" s="22" t="s">
        <v>131</v>
      </c>
      <c r="H469" s="22" t="s">
        <v>131</v>
      </c>
      <c r="I469" s="22" t="n">
        <v>1.148</v>
      </c>
      <c r="J469" s="22" t="n">
        <v>1.146</v>
      </c>
      <c r="K469" s="22" t="n">
        <v>1.151</v>
      </c>
      <c r="L469" s="22" t="n">
        <v>1.139</v>
      </c>
      <c r="M469" s="22" t="n">
        <v>1.144</v>
      </c>
      <c r="N469" s="22" t="n">
        <v>1.208</v>
      </c>
      <c r="O469" s="22" t="n">
        <v>1.235</v>
      </c>
      <c r="P469" s="22" t="n">
        <v>1.224</v>
      </c>
      <c r="Q469" s="22" t="n">
        <v>1.231</v>
      </c>
      <c r="R469" s="22" t="n">
        <v>1.247</v>
      </c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customFormat="false" ht="15" hidden="false" customHeight="false" outlineLevel="0" collapsed="false">
      <c r="A470" s="22" t="s">
        <v>181</v>
      </c>
      <c r="B470" s="22" t="s">
        <v>3</v>
      </c>
      <c r="C470" s="22" t="s">
        <v>181</v>
      </c>
      <c r="D470" s="22" t="n">
        <v>232580</v>
      </c>
      <c r="E470" s="22" t="s">
        <v>132</v>
      </c>
      <c r="F470" s="22" t="s">
        <v>133</v>
      </c>
      <c r="G470" s="22" t="s">
        <v>131</v>
      </c>
      <c r="H470" s="22" t="s">
        <v>131</v>
      </c>
      <c r="I470" s="22" t="n">
        <v>38447</v>
      </c>
      <c r="J470" s="22" t="n">
        <v>38747</v>
      </c>
      <c r="K470" s="22" t="n">
        <v>38839</v>
      </c>
      <c r="L470" s="22" t="n">
        <v>38886</v>
      </c>
      <c r="M470" s="22" t="n">
        <v>38898</v>
      </c>
      <c r="N470" s="22" t="n">
        <v>38934</v>
      </c>
      <c r="O470" s="22" t="n">
        <v>38970</v>
      </c>
      <c r="P470" s="22" t="n">
        <v>38996</v>
      </c>
      <c r="Q470" s="22" t="n">
        <v>38996</v>
      </c>
      <c r="R470" s="22" t="n">
        <v>38996</v>
      </c>
      <c r="S470" s="22" t="n">
        <v>38996</v>
      </c>
      <c r="T470" s="22" t="n">
        <v>38996</v>
      </c>
      <c r="U470" s="22" t="n">
        <v>38996</v>
      </c>
      <c r="V470" s="22" t="n">
        <v>38996</v>
      </c>
      <c r="W470" s="22" t="n">
        <v>39043</v>
      </c>
      <c r="X470" s="22" t="n">
        <v>39048</v>
      </c>
      <c r="Y470" s="22" t="n">
        <v>39052</v>
      </c>
      <c r="Z470" s="22" t="n">
        <v>39058</v>
      </c>
      <c r="AA470" s="22" t="n">
        <v>39109</v>
      </c>
      <c r="AB470" s="22" t="n">
        <v>39117</v>
      </c>
      <c r="AC470" s="22" t="n">
        <v>39126</v>
      </c>
      <c r="AD470" s="22" t="n">
        <v>39136</v>
      </c>
      <c r="AE470" s="22" t="n">
        <v>39194</v>
      </c>
      <c r="AF470" s="22" t="n">
        <v>39213</v>
      </c>
    </row>
    <row r="471" customFormat="false" ht="15" hidden="false" customHeight="false" outlineLevel="0" collapsed="false">
      <c r="A471" s="22" t="s">
        <v>181</v>
      </c>
      <c r="B471" s="22" t="s">
        <v>3</v>
      </c>
      <c r="C471" s="22" t="s">
        <v>181</v>
      </c>
      <c r="D471" s="22" t="n">
        <v>232580</v>
      </c>
      <c r="E471" s="22" t="s">
        <v>132</v>
      </c>
      <c r="F471" s="22" t="s">
        <v>5</v>
      </c>
      <c r="G471" s="22" t="s">
        <v>131</v>
      </c>
      <c r="H471" s="22" t="s">
        <v>131</v>
      </c>
      <c r="I471" s="22" t="n">
        <v>1.162</v>
      </c>
      <c r="J471" s="22" t="n">
        <v>1.165</v>
      </c>
      <c r="K471" s="22" t="n">
        <v>1.172</v>
      </c>
      <c r="L471" s="22" t="n">
        <v>1.151</v>
      </c>
      <c r="M471" s="22" t="n">
        <v>1.155</v>
      </c>
      <c r="N471" s="22" t="n">
        <v>1.229</v>
      </c>
      <c r="O471" s="22" t="n">
        <v>1.244</v>
      </c>
      <c r="P471" s="22" t="n">
        <v>1.238</v>
      </c>
      <c r="Q471" s="22" t="n">
        <v>1.234</v>
      </c>
      <c r="R471" s="22" t="n">
        <v>1.252</v>
      </c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</row>
    <row r="472" customFormat="false" ht="15" hidden="false" customHeight="false" outlineLevel="0" collapsed="false">
      <c r="A472" s="22" t="s">
        <v>181</v>
      </c>
      <c r="B472" s="22" t="s">
        <v>3</v>
      </c>
      <c r="C472" s="22" t="s">
        <v>181</v>
      </c>
      <c r="D472" s="22" t="n">
        <v>232580</v>
      </c>
      <c r="E472" s="22" t="s">
        <v>134</v>
      </c>
      <c r="F472" s="22" t="s">
        <v>135</v>
      </c>
      <c r="G472" s="22" t="s">
        <v>131</v>
      </c>
      <c r="H472" s="22" t="s">
        <v>131</v>
      </c>
      <c r="I472" s="22" t="n">
        <v>-0.0057</v>
      </c>
      <c r="J472" s="22" t="n">
        <v>-0.0184</v>
      </c>
      <c r="K472" s="22" t="n">
        <v>-0.018</v>
      </c>
      <c r="L472" s="22" t="n">
        <v>-0.0318</v>
      </c>
      <c r="M472" s="22" t="n">
        <v>-0.0152</v>
      </c>
      <c r="N472" s="22" t="n">
        <v>0.0017</v>
      </c>
      <c r="O472" s="22" t="n">
        <v>0.0018</v>
      </c>
      <c r="P472" s="22" t="n">
        <v>0.0156</v>
      </c>
      <c r="Q472" s="22" t="n">
        <v>0.0155</v>
      </c>
      <c r="R472" s="22" t="n">
        <v>0.0122</v>
      </c>
      <c r="S472" s="22" t="n">
        <v>0.011</v>
      </c>
      <c r="T472" s="22" t="n">
        <v>0.016</v>
      </c>
      <c r="U472" s="22" t="n">
        <v>0.016</v>
      </c>
      <c r="V472" s="22" t="n">
        <v>0.013</v>
      </c>
      <c r="W472" s="22" t="n">
        <v>0.012</v>
      </c>
      <c r="X472" s="22" t="n">
        <v>0.014</v>
      </c>
      <c r="Y472" s="22" t="n">
        <v>0.011</v>
      </c>
      <c r="Z472" s="22" t="n">
        <v>0.009</v>
      </c>
      <c r="AA472" s="22" t="n">
        <v>0.011</v>
      </c>
      <c r="AB472" s="22" t="n">
        <v>0.014</v>
      </c>
      <c r="AC472" s="22" t="n">
        <v>0.014</v>
      </c>
      <c r="AD472" s="22" t="n">
        <v>0.012</v>
      </c>
      <c r="AE472" s="22" t="n">
        <v>0.012</v>
      </c>
      <c r="AF472" s="22" t="n">
        <v>0.015</v>
      </c>
    </row>
    <row r="473" customFormat="false" ht="15" hidden="false" customHeight="false" outlineLevel="0" collapsed="false">
      <c r="A473" s="22" t="s">
        <v>181</v>
      </c>
      <c r="B473" s="22" t="s">
        <v>3</v>
      </c>
      <c r="C473" s="22" t="s">
        <v>181</v>
      </c>
      <c r="D473" s="22" t="n">
        <v>232580</v>
      </c>
      <c r="E473" s="22" t="s">
        <v>136</v>
      </c>
      <c r="F473" s="22" t="s">
        <v>137</v>
      </c>
      <c r="G473" s="22" t="s">
        <v>131</v>
      </c>
      <c r="H473" s="22" t="s">
        <v>131</v>
      </c>
      <c r="I473" s="22" t="n">
        <v>1</v>
      </c>
      <c r="J473" s="22" t="n">
        <v>1</v>
      </c>
      <c r="K473" s="22" t="n">
        <v>1</v>
      </c>
      <c r="L473" s="22" t="n">
        <v>0</v>
      </c>
      <c r="M473" s="22" t="n">
        <v>0</v>
      </c>
      <c r="N473" s="22" t="n">
        <v>0</v>
      </c>
      <c r="O473" s="22" t="n">
        <v>0</v>
      </c>
      <c r="P473" s="22" t="n">
        <v>0</v>
      </c>
      <c r="Q473" s="22" t="n">
        <v>0</v>
      </c>
      <c r="R473" s="22" t="n">
        <v>0</v>
      </c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</row>
    <row r="474" customFormat="false" ht="15" hidden="false" customHeight="false" outlineLevel="0" collapsed="false">
      <c r="A474" s="22" t="s">
        <v>182</v>
      </c>
      <c r="B474" s="22" t="s">
        <v>3</v>
      </c>
      <c r="C474" s="22" t="s">
        <v>182</v>
      </c>
      <c r="D474" s="22" t="n">
        <v>32820</v>
      </c>
      <c r="E474" s="22" t="s">
        <v>129</v>
      </c>
      <c r="F474" s="22" t="s">
        <v>130</v>
      </c>
      <c r="G474" s="22" t="s">
        <v>131</v>
      </c>
      <c r="H474" s="22" t="s">
        <v>131</v>
      </c>
      <c r="I474" s="22" t="n">
        <v>1.2508139700477</v>
      </c>
      <c r="J474" s="22" t="n">
        <v>1.30326173176379</v>
      </c>
      <c r="K474" s="22" t="n">
        <v>1.31358290751532</v>
      </c>
      <c r="L474" s="22" t="n">
        <v>1.3113110419503</v>
      </c>
      <c r="M474" s="22" t="n">
        <v>1.32766248693386</v>
      </c>
      <c r="N474" s="22" t="n">
        <v>1.34793994815675</v>
      </c>
      <c r="O474" s="22" t="n">
        <v>1.35531034985204</v>
      </c>
      <c r="P474" s="22" t="n">
        <v>1.3640437392751</v>
      </c>
      <c r="Q474" s="22" t="n">
        <v>1.36924416034873</v>
      </c>
      <c r="R474" s="22" t="n">
        <v>1.37855899047154</v>
      </c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</row>
    <row r="475" customFormat="false" ht="15" hidden="false" customHeight="false" outlineLevel="0" collapsed="false">
      <c r="A475" s="22" t="s">
        <v>182</v>
      </c>
      <c r="B475" s="22" t="s">
        <v>3</v>
      </c>
      <c r="C475" s="22" t="s">
        <v>182</v>
      </c>
      <c r="D475" s="22" t="n">
        <v>32820</v>
      </c>
      <c r="E475" s="22" t="s">
        <v>132</v>
      </c>
      <c r="F475" s="22" t="s">
        <v>6</v>
      </c>
      <c r="G475" s="22" t="s">
        <v>131</v>
      </c>
      <c r="H475" s="22" t="s">
        <v>131</v>
      </c>
      <c r="I475" s="22" t="n">
        <v>1.252</v>
      </c>
      <c r="J475" s="22" t="n">
        <v>1.259</v>
      </c>
      <c r="K475" s="22" t="n">
        <v>1.248</v>
      </c>
      <c r="L475" s="22" t="n">
        <v>1.223</v>
      </c>
      <c r="M475" s="22" t="n">
        <v>1.244</v>
      </c>
      <c r="N475" s="22" t="n">
        <v>1.271</v>
      </c>
      <c r="O475" s="22" t="n">
        <v>1.266</v>
      </c>
      <c r="P475" s="22" t="n">
        <v>1.255</v>
      </c>
      <c r="Q475" s="22" t="n">
        <v>1.256</v>
      </c>
      <c r="R475" s="22" t="n">
        <v>1.272</v>
      </c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</row>
    <row r="476" customFormat="false" ht="15" hidden="false" customHeight="false" outlineLevel="0" collapsed="false">
      <c r="A476" s="22" t="s">
        <v>182</v>
      </c>
      <c r="B476" s="22" t="s">
        <v>3</v>
      </c>
      <c r="C476" s="22" t="s">
        <v>182</v>
      </c>
      <c r="D476" s="22" t="n">
        <v>32820</v>
      </c>
      <c r="E476" s="22" t="s">
        <v>132</v>
      </c>
      <c r="F476" s="22" t="s">
        <v>133</v>
      </c>
      <c r="G476" s="22" t="s">
        <v>131</v>
      </c>
      <c r="H476" s="22" t="s">
        <v>131</v>
      </c>
      <c r="I476" s="22" t="n">
        <v>110819</v>
      </c>
      <c r="J476" s="22" t="n">
        <v>111116</v>
      </c>
      <c r="K476" s="22" t="n">
        <v>111419</v>
      </c>
      <c r="L476" s="22" t="n">
        <v>111722</v>
      </c>
      <c r="M476" s="22" t="n">
        <v>112104</v>
      </c>
      <c r="N476" s="22" t="n">
        <v>112559</v>
      </c>
      <c r="O476" s="22" t="n">
        <v>112865</v>
      </c>
      <c r="P476" s="22" t="n">
        <v>112891</v>
      </c>
      <c r="Q476" s="22" t="n">
        <v>112891</v>
      </c>
      <c r="R476" s="22" t="n">
        <v>112891</v>
      </c>
      <c r="S476" s="22" t="n">
        <v>112998</v>
      </c>
      <c r="T476" s="22" t="n">
        <v>113022</v>
      </c>
      <c r="U476" s="22" t="n">
        <v>113022</v>
      </c>
      <c r="V476" s="22" t="n">
        <v>113022</v>
      </c>
      <c r="W476" s="22" t="n">
        <v>113175</v>
      </c>
      <c r="X476" s="22" t="n">
        <v>113292</v>
      </c>
      <c r="Y476" s="22" t="n">
        <v>113430</v>
      </c>
      <c r="Z476" s="22" t="n">
        <v>113615</v>
      </c>
      <c r="AA476" s="22" t="n">
        <v>113982</v>
      </c>
      <c r="AB476" s="22" t="n">
        <v>114106</v>
      </c>
      <c r="AC476" s="22" t="n">
        <v>114250</v>
      </c>
      <c r="AD476" s="22" t="n">
        <v>114434</v>
      </c>
      <c r="AE476" s="22" t="n">
        <v>114800</v>
      </c>
      <c r="AF476" s="22" t="n">
        <v>114919</v>
      </c>
    </row>
    <row r="477" customFormat="false" ht="15" hidden="false" customHeight="false" outlineLevel="0" collapsed="false">
      <c r="A477" s="22" t="s">
        <v>182</v>
      </c>
      <c r="B477" s="22" t="s">
        <v>3</v>
      </c>
      <c r="C477" s="22" t="s">
        <v>182</v>
      </c>
      <c r="D477" s="22" t="n">
        <v>32820</v>
      </c>
      <c r="E477" s="22" t="s">
        <v>132</v>
      </c>
      <c r="F477" s="22" t="s">
        <v>5</v>
      </c>
      <c r="G477" s="22" t="s">
        <v>131</v>
      </c>
      <c r="H477" s="22" t="s">
        <v>131</v>
      </c>
      <c r="I477" s="22" t="n">
        <v>1.261</v>
      </c>
      <c r="J477" s="22" t="n">
        <v>1.269</v>
      </c>
      <c r="K477" s="22" t="n">
        <v>1.264</v>
      </c>
      <c r="L477" s="22" t="n">
        <v>1.237</v>
      </c>
      <c r="M477" s="22" t="n">
        <v>1.258</v>
      </c>
      <c r="N477" s="22" t="n">
        <v>1.286</v>
      </c>
      <c r="O477" s="22" t="n">
        <v>1.281</v>
      </c>
      <c r="P477" s="22" t="n">
        <v>1.274</v>
      </c>
      <c r="Q477" s="22" t="n">
        <v>1.28</v>
      </c>
      <c r="R477" s="22" t="n">
        <v>1.295</v>
      </c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</row>
    <row r="478" customFormat="false" ht="15" hidden="false" customHeight="false" outlineLevel="0" collapsed="false">
      <c r="A478" s="22" t="s">
        <v>182</v>
      </c>
      <c r="B478" s="22" t="s">
        <v>3</v>
      </c>
      <c r="C478" s="22" t="s">
        <v>182</v>
      </c>
      <c r="D478" s="22" t="n">
        <v>32820</v>
      </c>
      <c r="E478" s="22" t="s">
        <v>134</v>
      </c>
      <c r="F478" s="22" t="s">
        <v>135</v>
      </c>
      <c r="G478" s="22" t="s">
        <v>131</v>
      </c>
      <c r="H478" s="22" t="s">
        <v>131</v>
      </c>
      <c r="I478" s="22" t="n">
        <v>-0.0022</v>
      </c>
      <c r="J478" s="22" t="n">
        <v>-0.0085</v>
      </c>
      <c r="K478" s="22" t="n">
        <v>-0.0109</v>
      </c>
      <c r="L478" s="22" t="n">
        <v>-0.0184</v>
      </c>
      <c r="M478" s="22" t="n">
        <v>-0.0073</v>
      </c>
      <c r="N478" s="22" t="n">
        <v>-0.0066</v>
      </c>
      <c r="O478" s="22" t="n">
        <v>-0.0063</v>
      </c>
      <c r="P478" s="22" t="n">
        <v>-0.0045</v>
      </c>
      <c r="Q478" s="22" t="n">
        <v>-0.0199</v>
      </c>
      <c r="R478" s="22" t="n">
        <v>-0.0164</v>
      </c>
      <c r="S478" s="22" t="n">
        <v>-0.013</v>
      </c>
      <c r="T478" s="22" t="n">
        <v>-0.007</v>
      </c>
      <c r="U478" s="22" t="n">
        <v>0</v>
      </c>
      <c r="V478" s="22" t="n">
        <v>0.011</v>
      </c>
      <c r="W478" s="22" t="n">
        <v>0.025</v>
      </c>
      <c r="X478" s="22" t="n">
        <v>0.026</v>
      </c>
      <c r="Y478" s="22" t="n">
        <v>0.025</v>
      </c>
      <c r="Z478" s="22" t="n">
        <v>0.024</v>
      </c>
      <c r="AA478" s="22" t="n">
        <v>0.023</v>
      </c>
      <c r="AB478" s="22" t="n">
        <v>0.023</v>
      </c>
      <c r="AC478" s="22" t="n">
        <v>0.022</v>
      </c>
      <c r="AD478" s="22" t="n">
        <v>0.022</v>
      </c>
      <c r="AE478" s="22" t="n">
        <v>0.024</v>
      </c>
      <c r="AF478" s="22" t="n">
        <v>0.024</v>
      </c>
    </row>
    <row r="479" customFormat="false" ht="15" hidden="false" customHeight="false" outlineLevel="0" collapsed="false">
      <c r="A479" s="22" t="s">
        <v>182</v>
      </c>
      <c r="B479" s="22" t="s">
        <v>3</v>
      </c>
      <c r="C479" s="22" t="s">
        <v>182</v>
      </c>
      <c r="D479" s="22" t="n">
        <v>32820</v>
      </c>
      <c r="E479" s="22" t="s">
        <v>136</v>
      </c>
      <c r="F479" s="22" t="s">
        <v>137</v>
      </c>
      <c r="G479" s="22" t="s">
        <v>131</v>
      </c>
      <c r="H479" s="22" t="s">
        <v>131</v>
      </c>
      <c r="I479" s="22" t="n">
        <v>9</v>
      </c>
      <c r="J479" s="22" t="n">
        <v>8</v>
      </c>
      <c r="K479" s="22" t="n">
        <v>7</v>
      </c>
      <c r="L479" s="22" t="n">
        <v>5</v>
      </c>
      <c r="M479" s="22" t="n">
        <v>0</v>
      </c>
      <c r="N479" s="22" t="n">
        <v>0</v>
      </c>
      <c r="O479" s="22" t="n">
        <v>0</v>
      </c>
      <c r="P479" s="22" t="n">
        <v>0</v>
      </c>
      <c r="Q479" s="22" t="n">
        <v>0</v>
      </c>
      <c r="R479" s="22" t="n">
        <v>0</v>
      </c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customFormat="false" ht="15" hidden="false" customHeight="false" outlineLevel="0" collapsed="false">
      <c r="A480" s="22" t="s">
        <v>33</v>
      </c>
      <c r="B480" s="22" t="s">
        <v>3</v>
      </c>
      <c r="C480" s="22" t="s">
        <v>33</v>
      </c>
      <c r="D480" s="22" t="n">
        <v>33124</v>
      </c>
      <c r="E480" s="22" t="s">
        <v>129</v>
      </c>
      <c r="F480" s="22" t="s">
        <v>130</v>
      </c>
      <c r="G480" s="22" t="s">
        <v>131</v>
      </c>
      <c r="H480" s="22" t="s">
        <v>131</v>
      </c>
      <c r="I480" s="22" t="n">
        <v>2.64625094744986</v>
      </c>
      <c r="J480" s="22" t="n">
        <v>2.68821644725376</v>
      </c>
      <c r="K480" s="22" t="n">
        <v>2.75316589673962</v>
      </c>
      <c r="L480" s="22" t="n">
        <v>2.76879456718638</v>
      </c>
      <c r="M480" s="22" t="n">
        <v>2.7809112724433</v>
      </c>
      <c r="N480" s="22" t="n">
        <v>2.78031460120654</v>
      </c>
      <c r="O480" s="22" t="n">
        <v>2.78470800676452</v>
      </c>
      <c r="P480" s="22" t="n">
        <v>2.80690194727163</v>
      </c>
      <c r="Q480" s="22" t="n">
        <v>2.83624956773776</v>
      </c>
      <c r="R480" s="22" t="n">
        <v>2.83465072372167</v>
      </c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</row>
    <row r="481" customFormat="false" ht="15" hidden="false" customHeight="false" outlineLevel="0" collapsed="false">
      <c r="A481" s="22" t="s">
        <v>33</v>
      </c>
      <c r="B481" s="22" t="s">
        <v>3</v>
      </c>
      <c r="C481" s="22" t="s">
        <v>33</v>
      </c>
      <c r="D481" s="22" t="n">
        <v>33124</v>
      </c>
      <c r="E481" s="22" t="s">
        <v>132</v>
      </c>
      <c r="F481" s="22" t="s">
        <v>6</v>
      </c>
      <c r="G481" s="22" t="s">
        <v>131</v>
      </c>
      <c r="H481" s="22" t="s">
        <v>131</v>
      </c>
      <c r="I481" s="22" t="n">
        <v>2.829</v>
      </c>
      <c r="J481" s="22" t="n">
        <v>2.852</v>
      </c>
      <c r="K481" s="22" t="n">
        <v>2.853</v>
      </c>
      <c r="L481" s="22" t="n">
        <v>2.839</v>
      </c>
      <c r="M481" s="22" t="n">
        <v>2.856</v>
      </c>
      <c r="N481" s="22" t="n">
        <v>2.905</v>
      </c>
      <c r="O481" s="22" t="n">
        <v>2.912</v>
      </c>
      <c r="P481" s="22" t="n">
        <v>2.903</v>
      </c>
      <c r="Q481" s="22" t="n">
        <v>2.913</v>
      </c>
      <c r="R481" s="22" t="n">
        <v>2.946</v>
      </c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</row>
    <row r="482" customFormat="false" ht="15" hidden="false" customHeight="false" outlineLevel="0" collapsed="false">
      <c r="A482" s="22" t="s">
        <v>33</v>
      </c>
      <c r="B482" s="22" t="s">
        <v>3</v>
      </c>
      <c r="C482" s="22" t="s">
        <v>33</v>
      </c>
      <c r="D482" s="22" t="n">
        <v>33124</v>
      </c>
      <c r="E482" s="22" t="s">
        <v>132</v>
      </c>
      <c r="F482" s="22" t="s">
        <v>133</v>
      </c>
      <c r="G482" s="22" t="s">
        <v>131</v>
      </c>
      <c r="H482" s="22" t="s">
        <v>131</v>
      </c>
      <c r="I482" s="22" t="n">
        <v>327412</v>
      </c>
      <c r="J482" s="22" t="n">
        <v>330837</v>
      </c>
      <c r="K482" s="22" t="n">
        <v>333326</v>
      </c>
      <c r="L482" s="22" t="n">
        <v>337001</v>
      </c>
      <c r="M482" s="22" t="n">
        <v>338780</v>
      </c>
      <c r="N482" s="22" t="n">
        <v>340875</v>
      </c>
      <c r="O482" s="22" t="n">
        <v>342288</v>
      </c>
      <c r="P482" s="22" t="n">
        <v>344191</v>
      </c>
      <c r="Q482" s="22" t="n">
        <v>346220</v>
      </c>
      <c r="R482" s="22" t="n">
        <v>347396</v>
      </c>
      <c r="S482" s="22" t="n">
        <v>348580</v>
      </c>
      <c r="T482" s="22" t="n">
        <v>352215</v>
      </c>
      <c r="U482" s="22" t="n">
        <v>352891</v>
      </c>
      <c r="V482" s="22" t="n">
        <v>354084</v>
      </c>
      <c r="W482" s="22" t="n">
        <v>356658</v>
      </c>
      <c r="X482" s="22" t="n">
        <v>359558</v>
      </c>
      <c r="Y482" s="22" t="n">
        <v>361445</v>
      </c>
      <c r="Z482" s="22" t="n">
        <v>363185</v>
      </c>
      <c r="AA482" s="22" t="n">
        <v>363832</v>
      </c>
      <c r="AB482" s="22" t="n">
        <v>363917</v>
      </c>
      <c r="AC482" s="22" t="n">
        <v>363917</v>
      </c>
      <c r="AD482" s="22" t="n">
        <v>365518</v>
      </c>
      <c r="AE482" s="22" t="n">
        <v>366183</v>
      </c>
      <c r="AF482" s="22" t="n">
        <v>366255</v>
      </c>
    </row>
    <row r="483" customFormat="false" ht="15" hidden="false" customHeight="false" outlineLevel="0" collapsed="false">
      <c r="A483" s="22" t="s">
        <v>33</v>
      </c>
      <c r="B483" s="22" t="s">
        <v>3</v>
      </c>
      <c r="C483" s="22" t="s">
        <v>33</v>
      </c>
      <c r="D483" s="22" t="n">
        <v>33124</v>
      </c>
      <c r="E483" s="22" t="s">
        <v>132</v>
      </c>
      <c r="F483" s="22" t="s">
        <v>5</v>
      </c>
      <c r="G483" s="22" t="s">
        <v>131</v>
      </c>
      <c r="H483" s="22" t="s">
        <v>131</v>
      </c>
      <c r="I483" s="22" t="n">
        <v>2.851</v>
      </c>
      <c r="J483" s="22" t="n">
        <v>2.878</v>
      </c>
      <c r="K483" s="22" t="n">
        <v>2.885</v>
      </c>
      <c r="L483" s="22" t="n">
        <v>2.877</v>
      </c>
      <c r="M483" s="22" t="n">
        <v>2.894</v>
      </c>
      <c r="N483" s="22" t="n">
        <v>2.939</v>
      </c>
      <c r="O483" s="22" t="n">
        <v>2.949</v>
      </c>
      <c r="P483" s="22" t="n">
        <v>2.943</v>
      </c>
      <c r="Q483" s="22" t="n">
        <v>2.961</v>
      </c>
      <c r="R483" s="22" t="n">
        <v>3.003</v>
      </c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</row>
    <row r="484" customFormat="false" ht="15" hidden="false" customHeight="false" outlineLevel="0" collapsed="false">
      <c r="A484" s="22" t="s">
        <v>33</v>
      </c>
      <c r="B484" s="22" t="s">
        <v>3</v>
      </c>
      <c r="C484" s="22" t="s">
        <v>33</v>
      </c>
      <c r="D484" s="22" t="n">
        <v>33124</v>
      </c>
      <c r="E484" s="22" t="s">
        <v>134</v>
      </c>
      <c r="F484" s="22" t="s">
        <v>135</v>
      </c>
      <c r="G484" s="22" t="s">
        <v>131</v>
      </c>
      <c r="H484" s="22" t="s">
        <v>131</v>
      </c>
      <c r="I484" s="22" t="n">
        <v>0.008</v>
      </c>
      <c r="J484" s="22" t="n">
        <v>0.0023</v>
      </c>
      <c r="K484" s="22" t="n">
        <v>0.0052</v>
      </c>
      <c r="L484" s="22" t="n">
        <v>0.0053</v>
      </c>
      <c r="M484" s="22" t="n">
        <v>0.0009</v>
      </c>
      <c r="N484" s="22" t="n">
        <v>0.0062</v>
      </c>
      <c r="O484" s="22" t="n">
        <v>-0.0002</v>
      </c>
      <c r="P484" s="22" t="n">
        <v>0.001</v>
      </c>
      <c r="Q484" s="22" t="n">
        <v>0.0008</v>
      </c>
      <c r="R484" s="22" t="n">
        <v>-0.0015</v>
      </c>
      <c r="S484" s="22" t="n">
        <v>0.004</v>
      </c>
      <c r="T484" s="22" t="n">
        <v>0.011</v>
      </c>
      <c r="U484" s="22" t="n">
        <v>0.026</v>
      </c>
      <c r="V484" s="22" t="n">
        <v>0.034</v>
      </c>
      <c r="W484" s="22" t="n">
        <v>0.033</v>
      </c>
      <c r="X484" s="22" t="n">
        <v>0.035</v>
      </c>
      <c r="Y484" s="22" t="n">
        <v>0.031</v>
      </c>
      <c r="Z484" s="22" t="n">
        <v>0.032</v>
      </c>
      <c r="AA484" s="22" t="n">
        <v>0.039</v>
      </c>
      <c r="AB484" s="22" t="n">
        <v>0.04</v>
      </c>
      <c r="AC484" s="22" t="n">
        <v>0.039</v>
      </c>
      <c r="AD484" s="22" t="n">
        <v>0.038</v>
      </c>
      <c r="AE484" s="22" t="n">
        <v>0.04</v>
      </c>
      <c r="AF484" s="22" t="n">
        <v>0.038</v>
      </c>
    </row>
    <row r="485" customFormat="false" ht="15" hidden="false" customHeight="false" outlineLevel="0" collapsed="false">
      <c r="A485" s="22" t="s">
        <v>33</v>
      </c>
      <c r="B485" s="22" t="s">
        <v>3</v>
      </c>
      <c r="C485" s="22" t="s">
        <v>33</v>
      </c>
      <c r="D485" s="22" t="n">
        <v>33124</v>
      </c>
      <c r="E485" s="22" t="s">
        <v>136</v>
      </c>
      <c r="F485" s="22" t="s">
        <v>137</v>
      </c>
      <c r="G485" s="22" t="s">
        <v>131</v>
      </c>
      <c r="H485" s="22" t="s">
        <v>131</v>
      </c>
      <c r="I485" s="22" t="n">
        <v>26</v>
      </c>
      <c r="J485" s="22" t="n">
        <v>25</v>
      </c>
      <c r="K485" s="22" t="n">
        <v>22</v>
      </c>
      <c r="L485" s="22" t="n">
        <v>20</v>
      </c>
      <c r="M485" s="22" t="n">
        <v>24</v>
      </c>
      <c r="N485" s="22" t="n">
        <v>27</v>
      </c>
      <c r="O485" s="22" t="n">
        <v>34</v>
      </c>
      <c r="P485" s="22" t="n">
        <v>40</v>
      </c>
      <c r="Q485" s="22" t="n">
        <v>40</v>
      </c>
      <c r="R485" s="22" t="n">
        <v>36</v>
      </c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</row>
    <row r="486" customFormat="false" ht="15" hidden="false" customHeight="false" outlineLevel="0" collapsed="false">
      <c r="A486" s="22" t="s">
        <v>183</v>
      </c>
      <c r="B486" s="22" t="s">
        <v>3</v>
      </c>
      <c r="C486" s="22" t="s">
        <v>183</v>
      </c>
      <c r="D486" s="22" t="n">
        <v>233260</v>
      </c>
      <c r="E486" s="22" t="s">
        <v>129</v>
      </c>
      <c r="F486" s="22" t="s">
        <v>130</v>
      </c>
      <c r="G486" s="22" t="s">
        <v>131</v>
      </c>
      <c r="H486" s="22" t="s">
        <v>131</v>
      </c>
      <c r="I486" s="22" t="n">
        <v>1.53153457270193</v>
      </c>
      <c r="J486" s="22" t="n">
        <v>1.56108821331251</v>
      </c>
      <c r="K486" s="22" t="n">
        <v>1.60077935023735</v>
      </c>
      <c r="L486" s="22" t="n">
        <v>1.61969989378005</v>
      </c>
      <c r="M486" s="22" t="n">
        <v>1.65434369218925</v>
      </c>
      <c r="N486" s="22" t="n">
        <v>1.68199645911284</v>
      </c>
      <c r="O486" s="22" t="n">
        <v>1.71776995888144</v>
      </c>
      <c r="P486" s="22" t="n">
        <v>1.69649745337753</v>
      </c>
      <c r="Q486" s="22" t="n">
        <v>1.70310923907941</v>
      </c>
      <c r="R486" s="22" t="n">
        <v>1.71070180641634</v>
      </c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customFormat="false" ht="15" hidden="false" customHeight="false" outlineLevel="0" collapsed="false">
      <c r="A487" s="22" t="s">
        <v>183</v>
      </c>
      <c r="B487" s="22" t="s">
        <v>3</v>
      </c>
      <c r="C487" s="22" t="s">
        <v>183</v>
      </c>
      <c r="D487" s="22" t="n">
        <v>233260</v>
      </c>
      <c r="E487" s="22" t="s">
        <v>132</v>
      </c>
      <c r="F487" s="22" t="s">
        <v>6</v>
      </c>
      <c r="G487" s="22" t="s">
        <v>131</v>
      </c>
      <c r="H487" s="22" t="s">
        <v>131</v>
      </c>
      <c r="I487" s="22" t="n">
        <v>1.588</v>
      </c>
      <c r="J487" s="22" t="n">
        <v>1.629</v>
      </c>
      <c r="K487" s="22" t="n">
        <v>1.648</v>
      </c>
      <c r="L487" s="22" t="n">
        <v>1.626</v>
      </c>
      <c r="M487" s="22" t="n">
        <v>1.628</v>
      </c>
      <c r="N487" s="22" t="n">
        <v>1.685</v>
      </c>
      <c r="O487" s="22" t="n">
        <v>1.673</v>
      </c>
      <c r="P487" s="22" t="n">
        <v>1.629</v>
      </c>
      <c r="Q487" s="22" t="n">
        <v>1.625</v>
      </c>
      <c r="R487" s="22" t="n">
        <v>1.652</v>
      </c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</row>
    <row r="488" customFormat="false" ht="15" hidden="false" customHeight="false" outlineLevel="0" collapsed="false">
      <c r="A488" s="22" t="s">
        <v>183</v>
      </c>
      <c r="B488" s="22" t="s">
        <v>3</v>
      </c>
      <c r="C488" s="22" t="s">
        <v>183</v>
      </c>
      <c r="D488" s="22" t="n">
        <v>233260</v>
      </c>
      <c r="E488" s="22" t="s">
        <v>132</v>
      </c>
      <c r="F488" s="22" t="s">
        <v>133</v>
      </c>
      <c r="G488" s="22" t="s">
        <v>131</v>
      </c>
      <c r="H488" s="22" t="s">
        <v>131</v>
      </c>
      <c r="I488" s="22" t="n">
        <v>27290</v>
      </c>
      <c r="J488" s="22" t="n">
        <v>27290</v>
      </c>
      <c r="K488" s="22" t="n">
        <v>27290</v>
      </c>
      <c r="L488" s="22" t="n">
        <v>27290</v>
      </c>
      <c r="M488" s="22" t="n">
        <v>27290</v>
      </c>
      <c r="N488" s="22" t="n">
        <v>27290</v>
      </c>
      <c r="O488" s="22" t="n">
        <v>27290</v>
      </c>
      <c r="P488" s="22" t="n">
        <v>27290</v>
      </c>
      <c r="Q488" s="22" t="n">
        <v>27290</v>
      </c>
      <c r="R488" s="22" t="n">
        <v>27290</v>
      </c>
      <c r="S488" s="22" t="n">
        <v>27290</v>
      </c>
      <c r="T488" s="22" t="n">
        <v>27290</v>
      </c>
      <c r="U488" s="22" t="n">
        <v>27290</v>
      </c>
      <c r="V488" s="22" t="n">
        <v>27290</v>
      </c>
      <c r="W488" s="22" t="n">
        <v>27397</v>
      </c>
      <c r="X488" s="22" t="n">
        <v>27390</v>
      </c>
      <c r="Y488" s="22" t="n">
        <v>27394</v>
      </c>
      <c r="Z488" s="22" t="n">
        <v>27397</v>
      </c>
      <c r="AA488" s="22" t="n">
        <v>27507</v>
      </c>
      <c r="AB488" s="22" t="n">
        <v>27496</v>
      </c>
      <c r="AC488" s="22" t="n">
        <v>27503</v>
      </c>
      <c r="AD488" s="22" t="n">
        <v>27508</v>
      </c>
      <c r="AE488" s="22" t="n">
        <v>27625</v>
      </c>
      <c r="AF488" s="22" t="n">
        <v>27625</v>
      </c>
    </row>
    <row r="489" customFormat="false" ht="15" hidden="false" customHeight="false" outlineLevel="0" collapsed="false">
      <c r="A489" s="22" t="s">
        <v>183</v>
      </c>
      <c r="B489" s="22" t="s">
        <v>3</v>
      </c>
      <c r="C489" s="22" t="s">
        <v>183</v>
      </c>
      <c r="D489" s="22" t="n">
        <v>233260</v>
      </c>
      <c r="E489" s="22" t="s">
        <v>132</v>
      </c>
      <c r="F489" s="22" t="s">
        <v>5</v>
      </c>
      <c r="G489" s="22" t="s">
        <v>131</v>
      </c>
      <c r="H489" s="22" t="s">
        <v>131</v>
      </c>
      <c r="I489" s="22" t="n">
        <v>1.608</v>
      </c>
      <c r="J489" s="22" t="n">
        <v>1.644</v>
      </c>
      <c r="K489" s="22" t="n">
        <v>1.663</v>
      </c>
      <c r="L489" s="22" t="n">
        <v>1.648</v>
      </c>
      <c r="M489" s="22" t="n">
        <v>1.647</v>
      </c>
      <c r="N489" s="22" t="n">
        <v>1.693</v>
      </c>
      <c r="O489" s="22" t="n">
        <v>1.684</v>
      </c>
      <c r="P489" s="22" t="n">
        <v>1.651</v>
      </c>
      <c r="Q489" s="22" t="n">
        <v>1.652</v>
      </c>
      <c r="R489" s="22" t="n">
        <v>1.669</v>
      </c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customFormat="false" ht="15" hidden="false" customHeight="false" outlineLevel="0" collapsed="false">
      <c r="A490" s="22" t="s">
        <v>183</v>
      </c>
      <c r="B490" s="22" t="s">
        <v>3</v>
      </c>
      <c r="C490" s="22" t="s">
        <v>183</v>
      </c>
      <c r="D490" s="22" t="n">
        <v>233260</v>
      </c>
      <c r="E490" s="22" t="s">
        <v>134</v>
      </c>
      <c r="F490" s="22" t="s">
        <v>135</v>
      </c>
      <c r="G490" s="22" t="s">
        <v>131</v>
      </c>
      <c r="H490" s="22" t="s">
        <v>131</v>
      </c>
      <c r="I490" s="22" t="n">
        <v>0.0937</v>
      </c>
      <c r="J490" s="22" t="n">
        <v>0.0715</v>
      </c>
      <c r="K490" s="22" t="n">
        <v>0.0308</v>
      </c>
      <c r="L490" s="22" t="n">
        <v>0.0215</v>
      </c>
      <c r="M490" s="22" t="n">
        <v>0.023</v>
      </c>
      <c r="N490" s="22" t="n">
        <v>0.0319</v>
      </c>
      <c r="O490" s="22" t="n">
        <v>0.0016</v>
      </c>
      <c r="P490" s="22" t="n">
        <v>-0.0088</v>
      </c>
      <c r="Q490" s="22" t="n">
        <v>-0.0111</v>
      </c>
      <c r="R490" s="22" t="n">
        <v>-0.0309</v>
      </c>
      <c r="S490" s="22" t="n">
        <v>-0.025</v>
      </c>
      <c r="T490" s="22" t="n">
        <v>-0.019</v>
      </c>
      <c r="U490" s="22" t="n">
        <v>-0.011</v>
      </c>
      <c r="V490" s="22" t="n">
        <v>0.004</v>
      </c>
      <c r="W490" s="22" t="n">
        <v>0.024</v>
      </c>
      <c r="X490" s="22" t="n">
        <v>0.027</v>
      </c>
      <c r="Y490" s="22" t="n">
        <v>0.023</v>
      </c>
      <c r="Z490" s="22" t="n">
        <v>0.021</v>
      </c>
      <c r="AA490" s="22" t="n">
        <v>0.023</v>
      </c>
      <c r="AB490" s="22" t="n">
        <v>0.024</v>
      </c>
      <c r="AC490" s="22" t="n">
        <v>0.026</v>
      </c>
      <c r="AD490" s="22" t="n">
        <v>0.022</v>
      </c>
      <c r="AE490" s="22" t="n">
        <v>0.021</v>
      </c>
      <c r="AF490" s="22" t="n">
        <v>0.025</v>
      </c>
    </row>
    <row r="491" customFormat="false" ht="15" hidden="false" customHeight="false" outlineLevel="0" collapsed="false">
      <c r="A491" s="22" t="s">
        <v>183</v>
      </c>
      <c r="B491" s="22" t="s">
        <v>3</v>
      </c>
      <c r="C491" s="22" t="s">
        <v>183</v>
      </c>
      <c r="D491" s="22" t="n">
        <v>233260</v>
      </c>
      <c r="E491" s="22" t="s">
        <v>136</v>
      </c>
      <c r="F491" s="22" t="s">
        <v>137</v>
      </c>
      <c r="G491" s="22" t="s">
        <v>131</v>
      </c>
      <c r="H491" s="22" t="s">
        <v>131</v>
      </c>
      <c r="I491" s="22" t="n">
        <v>0</v>
      </c>
      <c r="J491" s="22" t="n">
        <v>0</v>
      </c>
      <c r="K491" s="22" t="n">
        <v>0</v>
      </c>
      <c r="L491" s="22" t="n">
        <v>0</v>
      </c>
      <c r="M491" s="22" t="n">
        <v>0</v>
      </c>
      <c r="N491" s="22" t="n">
        <v>0</v>
      </c>
      <c r="O491" s="22" t="n">
        <v>0</v>
      </c>
      <c r="P491" s="22" t="n">
        <v>0</v>
      </c>
      <c r="Q491" s="22" t="n">
        <v>0</v>
      </c>
      <c r="R491" s="22" t="n">
        <v>0</v>
      </c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customFormat="false" ht="15" hidden="false" customHeight="false" outlineLevel="0" collapsed="false">
      <c r="A492" s="22" t="s">
        <v>24</v>
      </c>
      <c r="B492" s="22" t="s">
        <v>3</v>
      </c>
      <c r="C492" s="22" t="s">
        <v>24</v>
      </c>
      <c r="D492" s="22" t="n">
        <v>233340</v>
      </c>
      <c r="E492" s="22" t="s">
        <v>129</v>
      </c>
      <c r="F492" s="22" t="s">
        <v>130</v>
      </c>
      <c r="G492" s="22" t="s">
        <v>131</v>
      </c>
      <c r="H492" s="22" t="s">
        <v>131</v>
      </c>
      <c r="I492" s="22" t="n">
        <v>1.56100527810612</v>
      </c>
      <c r="J492" s="22" t="n">
        <v>1.57410804057328</v>
      </c>
      <c r="K492" s="22" t="n">
        <v>1.59290109456028</v>
      </c>
      <c r="L492" s="22" t="n">
        <v>1.5918922972316</v>
      </c>
      <c r="M492" s="22" t="n">
        <v>1.54194179040987</v>
      </c>
      <c r="N492" s="22" t="n">
        <v>1.56124500707676</v>
      </c>
      <c r="O492" s="22" t="n">
        <v>1.54349038295216</v>
      </c>
      <c r="P492" s="22" t="n">
        <v>1.56165684657326</v>
      </c>
      <c r="Q492" s="22" t="n">
        <v>1.5818848062402</v>
      </c>
      <c r="R492" s="22" t="n">
        <v>1.60177332888912</v>
      </c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</row>
    <row r="493" customFormat="false" ht="15" hidden="false" customHeight="false" outlineLevel="0" collapsed="false">
      <c r="A493" s="22" t="s">
        <v>24</v>
      </c>
      <c r="B493" s="22" t="s">
        <v>3</v>
      </c>
      <c r="C493" s="22" t="s">
        <v>24</v>
      </c>
      <c r="D493" s="22" t="n">
        <v>233340</v>
      </c>
      <c r="E493" s="22" t="s">
        <v>132</v>
      </c>
      <c r="F493" s="22" t="s">
        <v>6</v>
      </c>
      <c r="G493" s="22" t="s">
        <v>131</v>
      </c>
      <c r="H493" s="22" t="s">
        <v>131</v>
      </c>
      <c r="I493" s="22" t="n">
        <v>1.619</v>
      </c>
      <c r="J493" s="22" t="n">
        <v>1.654</v>
      </c>
      <c r="K493" s="22" t="n">
        <v>1.673</v>
      </c>
      <c r="L493" s="22" t="n">
        <v>1.662</v>
      </c>
      <c r="M493" s="22" t="n">
        <v>1.688</v>
      </c>
      <c r="N493" s="22" t="n">
        <v>1.728</v>
      </c>
      <c r="O493" s="22" t="n">
        <v>1.728</v>
      </c>
      <c r="P493" s="22" t="n">
        <v>1.723</v>
      </c>
      <c r="Q493" s="22" t="n">
        <v>1.76</v>
      </c>
      <c r="R493" s="22" t="n">
        <v>1.807</v>
      </c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customFormat="false" ht="15" hidden="false" customHeight="false" outlineLevel="0" collapsed="false">
      <c r="A494" s="22" t="s">
        <v>24</v>
      </c>
      <c r="B494" s="22" t="s">
        <v>3</v>
      </c>
      <c r="C494" s="22" t="s">
        <v>24</v>
      </c>
      <c r="D494" s="22" t="n">
        <v>233340</v>
      </c>
      <c r="E494" s="22" t="s">
        <v>132</v>
      </c>
      <c r="F494" s="22" t="s">
        <v>133</v>
      </c>
      <c r="G494" s="22" t="s">
        <v>131</v>
      </c>
      <c r="H494" s="22" t="s">
        <v>131</v>
      </c>
      <c r="I494" s="22" t="n">
        <v>162020</v>
      </c>
      <c r="J494" s="22" t="n">
        <v>162545</v>
      </c>
      <c r="K494" s="22" t="n">
        <v>163355</v>
      </c>
      <c r="L494" s="22" t="n">
        <v>163908</v>
      </c>
      <c r="M494" s="22" t="n">
        <v>164958</v>
      </c>
      <c r="N494" s="22" t="n">
        <v>166071</v>
      </c>
      <c r="O494" s="22" t="n">
        <v>166876</v>
      </c>
      <c r="P494" s="22" t="n">
        <v>167187</v>
      </c>
      <c r="Q494" s="22" t="n">
        <v>167459</v>
      </c>
      <c r="R494" s="22" t="n">
        <v>167743</v>
      </c>
      <c r="S494" s="22" t="n">
        <v>168144</v>
      </c>
      <c r="T494" s="22" t="n">
        <v>168576</v>
      </c>
      <c r="U494" s="22" t="n">
        <v>169221</v>
      </c>
      <c r="V494" s="22" t="n">
        <v>169929</v>
      </c>
      <c r="W494" s="22" t="n">
        <v>170502</v>
      </c>
      <c r="X494" s="22" t="n">
        <v>170907</v>
      </c>
      <c r="Y494" s="22" t="n">
        <v>171267</v>
      </c>
      <c r="Z494" s="22" t="n">
        <v>171365</v>
      </c>
      <c r="AA494" s="22" t="n">
        <v>171655</v>
      </c>
      <c r="AB494" s="22" t="n">
        <v>172047</v>
      </c>
      <c r="AC494" s="22" t="n">
        <v>172365</v>
      </c>
      <c r="AD494" s="22" t="n">
        <v>172364</v>
      </c>
      <c r="AE494" s="22" t="n">
        <v>172404</v>
      </c>
      <c r="AF494" s="22" t="n">
        <v>172766</v>
      </c>
    </row>
    <row r="495" customFormat="false" ht="15" hidden="false" customHeight="false" outlineLevel="0" collapsed="false">
      <c r="A495" s="22" t="s">
        <v>24</v>
      </c>
      <c r="B495" s="22" t="s">
        <v>3</v>
      </c>
      <c r="C495" s="22" t="s">
        <v>24</v>
      </c>
      <c r="D495" s="22" t="n">
        <v>233340</v>
      </c>
      <c r="E495" s="22" t="s">
        <v>132</v>
      </c>
      <c r="F495" s="22" t="s">
        <v>5</v>
      </c>
      <c r="G495" s="22" t="s">
        <v>131</v>
      </c>
      <c r="H495" s="22" t="s">
        <v>131</v>
      </c>
      <c r="I495" s="22" t="n">
        <v>1.629</v>
      </c>
      <c r="J495" s="22" t="n">
        <v>1.661</v>
      </c>
      <c r="K495" s="22" t="n">
        <v>1.68</v>
      </c>
      <c r="L495" s="22" t="n">
        <v>1.674</v>
      </c>
      <c r="M495" s="22" t="n">
        <v>1.702</v>
      </c>
      <c r="N495" s="22" t="n">
        <v>1.743</v>
      </c>
      <c r="O495" s="22" t="n">
        <v>1.742</v>
      </c>
      <c r="P495" s="22" t="n">
        <v>1.74</v>
      </c>
      <c r="Q495" s="22" t="n">
        <v>1.779</v>
      </c>
      <c r="R495" s="22" t="n">
        <v>1.819</v>
      </c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customFormat="false" ht="15" hidden="false" customHeight="false" outlineLevel="0" collapsed="false">
      <c r="A496" s="22" t="s">
        <v>24</v>
      </c>
      <c r="B496" s="22" t="s">
        <v>3</v>
      </c>
      <c r="C496" s="22" t="s">
        <v>24</v>
      </c>
      <c r="D496" s="22" t="n">
        <v>233340</v>
      </c>
      <c r="E496" s="22" t="s">
        <v>134</v>
      </c>
      <c r="F496" s="22" t="s">
        <v>135</v>
      </c>
      <c r="G496" s="22" t="s">
        <v>131</v>
      </c>
      <c r="H496" s="22" t="s">
        <v>131</v>
      </c>
      <c r="I496" s="22" t="n">
        <v>0.0343</v>
      </c>
      <c r="J496" s="22" t="n">
        <v>0.0333</v>
      </c>
      <c r="K496" s="22" t="n">
        <v>0.0338</v>
      </c>
      <c r="L496" s="22" t="n">
        <v>0.0278</v>
      </c>
      <c r="M496" s="22" t="n">
        <v>0.0322</v>
      </c>
      <c r="N496" s="22" t="n">
        <v>0.0251</v>
      </c>
      <c r="O496" s="22" t="n">
        <v>0.0137</v>
      </c>
      <c r="P496" s="22" t="n">
        <v>0.0195</v>
      </c>
      <c r="Q496" s="22" t="n">
        <v>0.0206</v>
      </c>
      <c r="R496" s="22" t="n">
        <v>0.0337</v>
      </c>
      <c r="S496" s="22" t="n">
        <v>0.035</v>
      </c>
      <c r="T496" s="22" t="n">
        <v>0.036</v>
      </c>
      <c r="U496" s="22" t="n">
        <v>0.037</v>
      </c>
      <c r="V496" s="22" t="n">
        <v>0.035</v>
      </c>
      <c r="W496" s="22" t="n">
        <v>0.031</v>
      </c>
      <c r="X496" s="22" t="n">
        <v>0.027</v>
      </c>
      <c r="Y496" s="22" t="n">
        <v>0.026</v>
      </c>
      <c r="Z496" s="22" t="n">
        <v>0.025</v>
      </c>
      <c r="AA496" s="22" t="n">
        <v>0.024</v>
      </c>
      <c r="AB496" s="22" t="n">
        <v>0.023</v>
      </c>
      <c r="AC496" s="22" t="n">
        <v>0.023</v>
      </c>
      <c r="AD496" s="22" t="n">
        <v>0.022</v>
      </c>
      <c r="AE496" s="22" t="n">
        <v>0.022</v>
      </c>
      <c r="AF496" s="22" t="n">
        <v>0.022</v>
      </c>
    </row>
    <row r="497" customFormat="false" ht="15" hidden="false" customHeight="false" outlineLevel="0" collapsed="false">
      <c r="A497" s="22" t="s">
        <v>24</v>
      </c>
      <c r="B497" s="22" t="s">
        <v>3</v>
      </c>
      <c r="C497" s="22" t="s">
        <v>24</v>
      </c>
      <c r="D497" s="22" t="n">
        <v>233340</v>
      </c>
      <c r="E497" s="22" t="s">
        <v>136</v>
      </c>
      <c r="F497" s="22" t="s">
        <v>137</v>
      </c>
      <c r="G497" s="22" t="s">
        <v>131</v>
      </c>
      <c r="H497" s="22" t="s">
        <v>131</v>
      </c>
      <c r="I497" s="22" t="n">
        <v>15</v>
      </c>
      <c r="J497" s="22" t="n">
        <v>13</v>
      </c>
      <c r="K497" s="22" t="n">
        <v>11</v>
      </c>
      <c r="L497" s="22" t="n">
        <v>10</v>
      </c>
      <c r="M497" s="22" t="n">
        <v>9</v>
      </c>
      <c r="N497" s="22" t="n">
        <v>12</v>
      </c>
      <c r="O497" s="22" t="n">
        <v>12</v>
      </c>
      <c r="P497" s="22" t="n">
        <v>13</v>
      </c>
      <c r="Q497" s="22" t="n">
        <v>12</v>
      </c>
      <c r="R497" s="22" t="n">
        <v>11</v>
      </c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customFormat="false" ht="15" hidden="false" customHeight="false" outlineLevel="0" collapsed="false">
      <c r="A498" s="22" t="s">
        <v>42</v>
      </c>
      <c r="B498" s="22" t="s">
        <v>3</v>
      </c>
      <c r="C498" s="22" t="s">
        <v>42</v>
      </c>
      <c r="D498" s="22" t="n">
        <v>33460</v>
      </c>
      <c r="E498" s="22" t="s">
        <v>129</v>
      </c>
      <c r="F498" s="22" t="s">
        <v>130</v>
      </c>
      <c r="G498" s="22" t="s">
        <v>131</v>
      </c>
      <c r="H498" s="22" t="s">
        <v>131</v>
      </c>
      <c r="I498" s="22" t="n">
        <v>1.76398886452601</v>
      </c>
      <c r="J498" s="22" t="n">
        <v>1.77336815202204</v>
      </c>
      <c r="K498" s="22" t="n">
        <v>1.77170242330305</v>
      </c>
      <c r="L498" s="22" t="n">
        <v>1.78283105496953</v>
      </c>
      <c r="M498" s="22" t="n">
        <v>1.78603120532102</v>
      </c>
      <c r="N498" s="22" t="n">
        <v>1.79936381219948</v>
      </c>
      <c r="O498" s="22" t="n">
        <v>1.8058916662182</v>
      </c>
      <c r="P498" s="22" t="n">
        <v>1.82300578269753</v>
      </c>
      <c r="Q498" s="22" t="n">
        <v>1.83444094996982</v>
      </c>
      <c r="R498" s="22" t="n">
        <v>1.85544037279929</v>
      </c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customFormat="false" ht="15" hidden="false" customHeight="false" outlineLevel="0" collapsed="false">
      <c r="A499" s="22" t="s">
        <v>42</v>
      </c>
      <c r="B499" s="22" t="s">
        <v>3</v>
      </c>
      <c r="C499" s="22" t="s">
        <v>42</v>
      </c>
      <c r="D499" s="22" t="n">
        <v>33460</v>
      </c>
      <c r="E499" s="22" t="s">
        <v>132</v>
      </c>
      <c r="F499" s="22" t="s">
        <v>6</v>
      </c>
      <c r="G499" s="22" t="s">
        <v>131</v>
      </c>
      <c r="H499" s="22" t="s">
        <v>131</v>
      </c>
      <c r="I499" s="22" t="n">
        <v>1.73</v>
      </c>
      <c r="J499" s="22" t="n">
        <v>1.75</v>
      </c>
      <c r="K499" s="22" t="n">
        <v>1.752</v>
      </c>
      <c r="L499" s="22" t="n">
        <v>1.75</v>
      </c>
      <c r="M499" s="22" t="n">
        <v>1.77</v>
      </c>
      <c r="N499" s="22" t="n">
        <v>1.82</v>
      </c>
      <c r="O499" s="22" t="n">
        <v>1.84</v>
      </c>
      <c r="P499" s="22" t="n">
        <v>1.833</v>
      </c>
      <c r="Q499" s="22" t="n">
        <v>1.852</v>
      </c>
      <c r="R499" s="22" t="n">
        <v>1.884</v>
      </c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</row>
    <row r="500" customFormat="false" ht="15" hidden="false" customHeight="false" outlineLevel="0" collapsed="false">
      <c r="A500" s="22" t="s">
        <v>42</v>
      </c>
      <c r="B500" s="22" t="s">
        <v>3</v>
      </c>
      <c r="C500" s="22" t="s">
        <v>42</v>
      </c>
      <c r="D500" s="22" t="n">
        <v>33460</v>
      </c>
      <c r="E500" s="22" t="s">
        <v>132</v>
      </c>
      <c r="F500" s="22" t="s">
        <v>133</v>
      </c>
      <c r="G500" s="22" t="s">
        <v>131</v>
      </c>
      <c r="H500" s="22" t="s">
        <v>131</v>
      </c>
      <c r="I500" s="22" t="n">
        <v>329659</v>
      </c>
      <c r="J500" s="22" t="n">
        <v>331388</v>
      </c>
      <c r="K500" s="22" t="n">
        <v>333524</v>
      </c>
      <c r="L500" s="22" t="n">
        <v>335919</v>
      </c>
      <c r="M500" s="22" t="n">
        <v>337359</v>
      </c>
      <c r="N500" s="22" t="n">
        <v>338252</v>
      </c>
      <c r="O500" s="22" t="n">
        <v>338800</v>
      </c>
      <c r="P500" s="22" t="n">
        <v>339071</v>
      </c>
      <c r="Q500" s="22" t="n">
        <v>339568</v>
      </c>
      <c r="R500" s="22" t="n">
        <v>340335</v>
      </c>
      <c r="S500" s="22" t="n">
        <v>340907</v>
      </c>
      <c r="T500" s="22" t="n">
        <v>341350</v>
      </c>
      <c r="U500" s="22" t="n">
        <v>342047</v>
      </c>
      <c r="V500" s="22" t="n">
        <v>342799</v>
      </c>
      <c r="W500" s="22" t="n">
        <v>343561</v>
      </c>
      <c r="X500" s="22" t="n">
        <v>344360</v>
      </c>
      <c r="Y500" s="22" t="n">
        <v>345022</v>
      </c>
      <c r="Z500" s="22" t="n">
        <v>345906</v>
      </c>
      <c r="AA500" s="22" t="n">
        <v>346779</v>
      </c>
      <c r="AB500" s="22" t="n">
        <v>347672</v>
      </c>
      <c r="AC500" s="22" t="n">
        <v>348408</v>
      </c>
      <c r="AD500" s="22" t="n">
        <v>349316</v>
      </c>
      <c r="AE500" s="22" t="n">
        <v>350148</v>
      </c>
      <c r="AF500" s="22" t="n">
        <v>350947</v>
      </c>
    </row>
    <row r="501" customFormat="false" ht="15" hidden="false" customHeight="false" outlineLevel="0" collapsed="false">
      <c r="A501" s="22" t="s">
        <v>42</v>
      </c>
      <c r="B501" s="22" t="s">
        <v>3</v>
      </c>
      <c r="C501" s="22" t="s">
        <v>42</v>
      </c>
      <c r="D501" s="22" t="n">
        <v>33460</v>
      </c>
      <c r="E501" s="22" t="s">
        <v>132</v>
      </c>
      <c r="F501" s="22" t="s">
        <v>5</v>
      </c>
      <c r="G501" s="22" t="s">
        <v>131</v>
      </c>
      <c r="H501" s="22" t="s">
        <v>131</v>
      </c>
      <c r="I501" s="22" t="n">
        <v>1.761</v>
      </c>
      <c r="J501" s="22" t="n">
        <v>1.779</v>
      </c>
      <c r="K501" s="22" t="n">
        <v>1.782</v>
      </c>
      <c r="L501" s="22" t="n">
        <v>1.779</v>
      </c>
      <c r="M501" s="22" t="n">
        <v>1.797</v>
      </c>
      <c r="N501" s="22" t="n">
        <v>1.847</v>
      </c>
      <c r="O501" s="22" t="n">
        <v>1.87</v>
      </c>
      <c r="P501" s="22" t="n">
        <v>1.868</v>
      </c>
      <c r="Q501" s="22" t="n">
        <v>1.883</v>
      </c>
      <c r="R501" s="22" t="n">
        <v>1.911</v>
      </c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</row>
    <row r="502" customFormat="false" ht="15" hidden="false" customHeight="false" outlineLevel="0" collapsed="false">
      <c r="A502" s="22" t="s">
        <v>42</v>
      </c>
      <c r="B502" s="22" t="s">
        <v>3</v>
      </c>
      <c r="C502" s="22" t="s">
        <v>42</v>
      </c>
      <c r="D502" s="22" t="n">
        <v>33460</v>
      </c>
      <c r="E502" s="22" t="s">
        <v>134</v>
      </c>
      <c r="F502" s="22" t="s">
        <v>135</v>
      </c>
      <c r="G502" s="22" t="s">
        <v>131</v>
      </c>
      <c r="H502" s="22" t="s">
        <v>131</v>
      </c>
      <c r="I502" s="22" t="n">
        <v>0.0174</v>
      </c>
      <c r="J502" s="22" t="n">
        <v>0.0147</v>
      </c>
      <c r="K502" s="22" t="n">
        <v>0.0123</v>
      </c>
      <c r="L502" s="22" t="n">
        <v>0.0155</v>
      </c>
      <c r="M502" s="22" t="n">
        <v>0.0189</v>
      </c>
      <c r="N502" s="22" t="n">
        <v>0.0264</v>
      </c>
      <c r="O502" s="22" t="n">
        <v>0.026</v>
      </c>
      <c r="P502" s="22" t="n">
        <v>0.0236</v>
      </c>
      <c r="Q502" s="22" t="n">
        <v>0.0214</v>
      </c>
      <c r="R502" s="22" t="n">
        <v>0.0192</v>
      </c>
      <c r="S502" s="22" t="n">
        <v>0.019</v>
      </c>
      <c r="T502" s="22" t="n">
        <v>0.019</v>
      </c>
      <c r="U502" s="22" t="n">
        <v>0.018</v>
      </c>
      <c r="V502" s="22" t="n">
        <v>0.019</v>
      </c>
      <c r="W502" s="22" t="n">
        <v>0.022</v>
      </c>
      <c r="X502" s="22" t="n">
        <v>0.022</v>
      </c>
      <c r="Y502" s="22" t="n">
        <v>0.02</v>
      </c>
      <c r="Z502" s="22" t="n">
        <v>0.021</v>
      </c>
      <c r="AA502" s="22" t="n">
        <v>0.024</v>
      </c>
      <c r="AB502" s="22" t="n">
        <v>0.024</v>
      </c>
      <c r="AC502" s="22" t="n">
        <v>0.021</v>
      </c>
      <c r="AD502" s="22" t="n">
        <v>0.021</v>
      </c>
      <c r="AE502" s="22" t="n">
        <v>0.023</v>
      </c>
      <c r="AF502" s="22" t="n">
        <v>0.024</v>
      </c>
    </row>
    <row r="503" customFormat="false" ht="15" hidden="false" customHeight="false" outlineLevel="0" collapsed="false">
      <c r="A503" s="22" t="s">
        <v>42</v>
      </c>
      <c r="B503" s="22" t="s">
        <v>3</v>
      </c>
      <c r="C503" s="22" t="s">
        <v>42</v>
      </c>
      <c r="D503" s="22" t="n">
        <v>33460</v>
      </c>
      <c r="E503" s="22" t="s">
        <v>136</v>
      </c>
      <c r="F503" s="22" t="s">
        <v>137</v>
      </c>
      <c r="G503" s="22" t="s">
        <v>131</v>
      </c>
      <c r="H503" s="22" t="s">
        <v>131</v>
      </c>
      <c r="I503" s="22" t="n">
        <v>30</v>
      </c>
      <c r="J503" s="22" t="n">
        <v>19</v>
      </c>
      <c r="K503" s="22" t="n">
        <v>15</v>
      </c>
      <c r="L503" s="22" t="n">
        <v>11</v>
      </c>
      <c r="M503" s="22" t="n">
        <v>19</v>
      </c>
      <c r="N503" s="22" t="n">
        <v>21</v>
      </c>
      <c r="O503" s="22" t="n">
        <v>24</v>
      </c>
      <c r="P503" s="22" t="n">
        <v>27</v>
      </c>
      <c r="Q503" s="22" t="n">
        <v>20</v>
      </c>
      <c r="R503" s="22" t="n">
        <v>18</v>
      </c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</row>
    <row r="504" customFormat="false" ht="15" hidden="false" customHeight="false" outlineLevel="0" collapsed="false">
      <c r="A504" s="22" t="s">
        <v>184</v>
      </c>
      <c r="B504" s="22" t="s">
        <v>3</v>
      </c>
      <c r="C504" s="22" t="s">
        <v>184</v>
      </c>
      <c r="D504" s="22" t="n">
        <v>233660</v>
      </c>
      <c r="E504" s="22" t="s">
        <v>129</v>
      </c>
      <c r="F504" s="22" t="s">
        <v>130</v>
      </c>
      <c r="G504" s="22" t="s">
        <v>131</v>
      </c>
      <c r="H504" s="22" t="s">
        <v>131</v>
      </c>
      <c r="I504" s="22" t="n">
        <v>1.10822306138887</v>
      </c>
      <c r="J504" s="22" t="n">
        <v>1.12391915688325</v>
      </c>
      <c r="K504" s="22" t="n">
        <v>1.14122269073133</v>
      </c>
      <c r="L504" s="22" t="n">
        <v>1.14456977285588</v>
      </c>
      <c r="M504" s="22" t="n">
        <v>1.14174952541145</v>
      </c>
      <c r="N504" s="22" t="n">
        <v>1.14382719020957</v>
      </c>
      <c r="O504" s="22" t="n">
        <v>1.14192742528234</v>
      </c>
      <c r="P504" s="22" t="n">
        <v>1.13985839752944</v>
      </c>
      <c r="Q504" s="22" t="n">
        <v>1.15894066854826</v>
      </c>
      <c r="R504" s="22" t="n">
        <v>1.17177961881717</v>
      </c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customFormat="false" ht="15" hidden="false" customHeight="false" outlineLevel="0" collapsed="false">
      <c r="A505" s="22" t="s">
        <v>184</v>
      </c>
      <c r="B505" s="22" t="s">
        <v>3</v>
      </c>
      <c r="C505" s="22" t="s">
        <v>184</v>
      </c>
      <c r="D505" s="22" t="n">
        <v>233660</v>
      </c>
      <c r="E505" s="22" t="s">
        <v>132</v>
      </c>
      <c r="F505" s="22" t="s">
        <v>6</v>
      </c>
      <c r="G505" s="22" t="s">
        <v>131</v>
      </c>
      <c r="H505" s="22" t="s">
        <v>131</v>
      </c>
      <c r="I505" s="22" t="n">
        <v>1.191</v>
      </c>
      <c r="J505" s="22" t="n">
        <v>1.221</v>
      </c>
      <c r="K505" s="22" t="n">
        <v>1.23</v>
      </c>
      <c r="L505" s="22" t="n">
        <v>1.186</v>
      </c>
      <c r="M505" s="22" t="n">
        <v>1.19</v>
      </c>
      <c r="N505" s="22" t="n">
        <v>1.225</v>
      </c>
      <c r="O505" s="22" t="n">
        <v>1.213</v>
      </c>
      <c r="P505" s="22" t="n">
        <v>1.206</v>
      </c>
      <c r="Q505" s="22" t="n">
        <v>1.226</v>
      </c>
      <c r="R505" s="22" t="n">
        <v>1.245</v>
      </c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customFormat="false" ht="15" hidden="false" customHeight="false" outlineLevel="0" collapsed="false">
      <c r="A506" s="22" t="s">
        <v>184</v>
      </c>
      <c r="B506" s="22" t="s">
        <v>3</v>
      </c>
      <c r="C506" s="22" t="s">
        <v>184</v>
      </c>
      <c r="D506" s="22" t="n">
        <v>233660</v>
      </c>
      <c r="E506" s="22" t="s">
        <v>132</v>
      </c>
      <c r="F506" s="22" t="s">
        <v>133</v>
      </c>
      <c r="G506" s="22" t="s">
        <v>131</v>
      </c>
      <c r="H506" s="22" t="s">
        <v>131</v>
      </c>
      <c r="I506" s="22" t="n">
        <v>43643</v>
      </c>
      <c r="J506" s="22" t="n">
        <v>44060</v>
      </c>
      <c r="K506" s="22" t="n">
        <v>44393</v>
      </c>
      <c r="L506" s="22" t="n">
        <v>44591</v>
      </c>
      <c r="M506" s="22" t="n">
        <v>44600</v>
      </c>
      <c r="N506" s="22" t="n">
        <v>44663</v>
      </c>
      <c r="O506" s="22" t="n">
        <v>44798</v>
      </c>
      <c r="P506" s="22" t="n">
        <v>44935</v>
      </c>
      <c r="Q506" s="22" t="n">
        <v>44935</v>
      </c>
      <c r="R506" s="22" t="n">
        <v>44935</v>
      </c>
      <c r="S506" s="22" t="n">
        <v>44935</v>
      </c>
      <c r="T506" s="22" t="n">
        <v>44935</v>
      </c>
      <c r="U506" s="22" t="n">
        <v>44935</v>
      </c>
      <c r="V506" s="22" t="n">
        <v>44935</v>
      </c>
      <c r="W506" s="22" t="n">
        <v>45177</v>
      </c>
      <c r="X506" s="22" t="n">
        <v>45204</v>
      </c>
      <c r="Y506" s="22" t="n">
        <v>45238</v>
      </c>
      <c r="Z506" s="22" t="n">
        <v>45202</v>
      </c>
      <c r="AA506" s="22" t="n">
        <v>45405</v>
      </c>
      <c r="AB506" s="22" t="n">
        <v>45399</v>
      </c>
      <c r="AC506" s="22" t="n">
        <v>45402</v>
      </c>
      <c r="AD506" s="22" t="n">
        <v>45354</v>
      </c>
      <c r="AE506" s="22" t="n">
        <v>45547</v>
      </c>
      <c r="AF506" s="22" t="n">
        <v>45531</v>
      </c>
    </row>
    <row r="507" customFormat="false" ht="15" hidden="false" customHeight="false" outlineLevel="0" collapsed="false">
      <c r="A507" s="22" t="s">
        <v>184</v>
      </c>
      <c r="B507" s="22" t="s">
        <v>3</v>
      </c>
      <c r="C507" s="22" t="s">
        <v>184</v>
      </c>
      <c r="D507" s="22" t="n">
        <v>233660</v>
      </c>
      <c r="E507" s="22" t="s">
        <v>132</v>
      </c>
      <c r="F507" s="22" t="s">
        <v>5</v>
      </c>
      <c r="G507" s="22" t="s">
        <v>131</v>
      </c>
      <c r="H507" s="22" t="s">
        <v>131</v>
      </c>
      <c r="I507" s="22" t="n">
        <v>1.2</v>
      </c>
      <c r="J507" s="22" t="n">
        <v>1.226</v>
      </c>
      <c r="K507" s="22" t="n">
        <v>1.237</v>
      </c>
      <c r="L507" s="22" t="n">
        <v>1.201</v>
      </c>
      <c r="M507" s="22" t="n">
        <v>1.206</v>
      </c>
      <c r="N507" s="22" t="n">
        <v>1.236</v>
      </c>
      <c r="O507" s="22" t="n">
        <v>1.222</v>
      </c>
      <c r="P507" s="22" t="n">
        <v>1.219</v>
      </c>
      <c r="Q507" s="22" t="n">
        <v>1.239</v>
      </c>
      <c r="R507" s="22" t="n">
        <v>1.26</v>
      </c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</row>
    <row r="508" customFormat="false" ht="15" hidden="false" customHeight="false" outlineLevel="0" collapsed="false">
      <c r="A508" s="22" t="s">
        <v>184</v>
      </c>
      <c r="B508" s="22" t="s">
        <v>3</v>
      </c>
      <c r="C508" s="22" t="s">
        <v>184</v>
      </c>
      <c r="D508" s="22" t="n">
        <v>233660</v>
      </c>
      <c r="E508" s="22" t="s">
        <v>134</v>
      </c>
      <c r="F508" s="22" t="s">
        <v>135</v>
      </c>
      <c r="G508" s="22" t="s">
        <v>131</v>
      </c>
      <c r="H508" s="22" t="s">
        <v>131</v>
      </c>
      <c r="I508" s="22" t="n">
        <v>0.0061</v>
      </c>
      <c r="J508" s="22" t="n">
        <v>0.0005</v>
      </c>
      <c r="K508" s="22" t="n">
        <v>0.0014</v>
      </c>
      <c r="L508" s="22" t="n">
        <v>-0.0109</v>
      </c>
      <c r="M508" s="22" t="n">
        <v>-0.0036</v>
      </c>
      <c r="N508" s="22" t="n">
        <v>-0.011</v>
      </c>
      <c r="O508" s="22" t="n">
        <v>-0.0257</v>
      </c>
      <c r="P508" s="22" t="n">
        <v>0.0027</v>
      </c>
      <c r="Q508" s="22" t="n">
        <v>0.0104</v>
      </c>
      <c r="R508" s="22" t="n">
        <v>0.0035</v>
      </c>
      <c r="S508" s="22" t="n">
        <v>0.017</v>
      </c>
      <c r="T508" s="22" t="n">
        <v>0.019</v>
      </c>
      <c r="U508" s="22" t="n">
        <v>0.019</v>
      </c>
      <c r="V508" s="22" t="n">
        <v>0.025</v>
      </c>
      <c r="W508" s="22" t="n">
        <v>0.028</v>
      </c>
      <c r="X508" s="22" t="n">
        <v>0.026</v>
      </c>
      <c r="Y508" s="22" t="n">
        <v>0.02</v>
      </c>
      <c r="Z508" s="22" t="n">
        <v>0.019</v>
      </c>
      <c r="AA508" s="22" t="n">
        <v>0.021</v>
      </c>
      <c r="AB508" s="22" t="n">
        <v>0.02</v>
      </c>
      <c r="AC508" s="22" t="n">
        <v>0.017</v>
      </c>
      <c r="AD508" s="22" t="n">
        <v>0.014</v>
      </c>
      <c r="AE508" s="22" t="n">
        <v>0.019</v>
      </c>
      <c r="AF508" s="22" t="n">
        <v>0.018</v>
      </c>
    </row>
    <row r="509" customFormat="false" ht="15" hidden="false" customHeight="false" outlineLevel="0" collapsed="false">
      <c r="A509" s="22" t="s">
        <v>184</v>
      </c>
      <c r="B509" s="22" t="s">
        <v>3</v>
      </c>
      <c r="C509" s="22" t="s">
        <v>184</v>
      </c>
      <c r="D509" s="22" t="n">
        <v>233660</v>
      </c>
      <c r="E509" s="22" t="s">
        <v>136</v>
      </c>
      <c r="F509" s="22" t="s">
        <v>137</v>
      </c>
      <c r="G509" s="22" t="s">
        <v>131</v>
      </c>
      <c r="H509" s="22" t="s">
        <v>131</v>
      </c>
      <c r="I509" s="22" t="n">
        <v>2</v>
      </c>
      <c r="J509" s="22" t="n">
        <v>2</v>
      </c>
      <c r="K509" s="22" t="n">
        <v>2</v>
      </c>
      <c r="L509" s="22" t="n">
        <v>2</v>
      </c>
      <c r="M509" s="22" t="n">
        <v>1</v>
      </c>
      <c r="N509" s="22" t="n">
        <v>0</v>
      </c>
      <c r="O509" s="22" t="n">
        <v>0</v>
      </c>
      <c r="P509" s="22" t="n">
        <v>0</v>
      </c>
      <c r="Q509" s="22" t="n">
        <v>0</v>
      </c>
      <c r="R509" s="22" t="n">
        <v>0</v>
      </c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customFormat="false" ht="15" hidden="false" customHeight="false" outlineLevel="0" collapsed="false">
      <c r="A510" s="22" t="s">
        <v>44</v>
      </c>
      <c r="B510" s="22" t="s">
        <v>3</v>
      </c>
      <c r="C510" s="22" t="s">
        <v>44</v>
      </c>
      <c r="D510" s="22" t="n">
        <v>34820</v>
      </c>
      <c r="E510" s="22" t="s">
        <v>129</v>
      </c>
      <c r="F510" s="22" t="s">
        <v>130</v>
      </c>
      <c r="G510" s="22" t="s">
        <v>131</v>
      </c>
      <c r="H510" s="22" t="s">
        <v>131</v>
      </c>
      <c r="I510" s="22" t="n">
        <v>1.63684197842065</v>
      </c>
      <c r="J510" s="22" t="n">
        <v>1.60828802611463</v>
      </c>
      <c r="K510" s="22" t="n">
        <v>1.51669080603899</v>
      </c>
      <c r="L510" s="22" t="n">
        <v>1.52814460836741</v>
      </c>
      <c r="M510" s="22" t="n">
        <v>1.54666489359919</v>
      </c>
      <c r="N510" s="22" t="n">
        <v>1.54965811851544</v>
      </c>
      <c r="O510" s="22" t="n">
        <v>1.52784343065704</v>
      </c>
      <c r="P510" s="22" t="n">
        <v>1.4899820310962</v>
      </c>
      <c r="Q510" s="22" t="n">
        <v>1.47993082028153</v>
      </c>
      <c r="R510" s="22" t="n">
        <v>1.46088091619272</v>
      </c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customFormat="false" ht="15" hidden="false" customHeight="false" outlineLevel="0" collapsed="false">
      <c r="A511" s="22" t="s">
        <v>44</v>
      </c>
      <c r="B511" s="22" t="s">
        <v>3</v>
      </c>
      <c r="C511" s="22" t="s">
        <v>44</v>
      </c>
      <c r="D511" s="22" t="n">
        <v>34820</v>
      </c>
      <c r="E511" s="22" t="s">
        <v>132</v>
      </c>
      <c r="F511" s="22" t="s">
        <v>6</v>
      </c>
      <c r="G511" s="22" t="s">
        <v>131</v>
      </c>
      <c r="H511" s="22" t="s">
        <v>131</v>
      </c>
      <c r="I511" s="22" t="n">
        <v>1.536</v>
      </c>
      <c r="J511" s="22" t="n">
        <v>1.54</v>
      </c>
      <c r="K511" s="22" t="n">
        <v>1.507</v>
      </c>
      <c r="L511" s="22" t="n">
        <v>1.463</v>
      </c>
      <c r="M511" s="22" t="n">
        <v>1.429</v>
      </c>
      <c r="N511" s="22" t="n">
        <v>1.475</v>
      </c>
      <c r="O511" s="22" t="n">
        <v>1.462</v>
      </c>
      <c r="P511" s="22" t="n">
        <v>1.437</v>
      </c>
      <c r="Q511" s="22" t="n">
        <v>1.443</v>
      </c>
      <c r="R511" s="22" t="n">
        <v>1.466</v>
      </c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customFormat="false" ht="15" hidden="false" customHeight="false" outlineLevel="0" collapsed="false">
      <c r="A512" s="22" t="s">
        <v>44</v>
      </c>
      <c r="B512" s="22" t="s">
        <v>3</v>
      </c>
      <c r="C512" s="22" t="s">
        <v>44</v>
      </c>
      <c r="D512" s="22" t="n">
        <v>34820</v>
      </c>
      <c r="E512" s="22" t="s">
        <v>132</v>
      </c>
      <c r="F512" s="22" t="s">
        <v>133</v>
      </c>
      <c r="G512" s="22" t="s">
        <v>131</v>
      </c>
      <c r="H512" s="22" t="s">
        <v>131</v>
      </c>
      <c r="I512" s="22" t="n">
        <v>43255</v>
      </c>
      <c r="J512" s="22" t="n">
        <v>43720</v>
      </c>
      <c r="K512" s="22" t="n">
        <v>44206</v>
      </c>
      <c r="L512" s="22" t="n">
        <v>44762</v>
      </c>
      <c r="M512" s="22" t="n">
        <v>45162</v>
      </c>
      <c r="N512" s="22" t="n">
        <v>45758</v>
      </c>
      <c r="O512" s="22" t="n">
        <v>46170</v>
      </c>
      <c r="P512" s="22" t="n">
        <v>46577</v>
      </c>
      <c r="Q512" s="22" t="n">
        <v>46869</v>
      </c>
      <c r="R512" s="22" t="n">
        <v>46983</v>
      </c>
      <c r="S512" s="22" t="n">
        <v>46997</v>
      </c>
      <c r="T512" s="22" t="n">
        <v>46997</v>
      </c>
      <c r="U512" s="22" t="n">
        <v>47045</v>
      </c>
      <c r="V512" s="22" t="n">
        <v>47246</v>
      </c>
      <c r="W512" s="22" t="n">
        <v>47452</v>
      </c>
      <c r="X512" s="22" t="n">
        <v>47496</v>
      </c>
      <c r="Y512" s="22" t="n">
        <v>47496</v>
      </c>
      <c r="Z512" s="22" t="n">
        <v>47496</v>
      </c>
      <c r="AA512" s="22" t="n">
        <v>47540</v>
      </c>
      <c r="AB512" s="22" t="n">
        <v>47583</v>
      </c>
      <c r="AC512" s="22" t="n">
        <v>47586</v>
      </c>
      <c r="AD512" s="22" t="n">
        <v>47593</v>
      </c>
      <c r="AE512" s="22" t="n">
        <v>47648</v>
      </c>
      <c r="AF512" s="22" t="n">
        <v>47708</v>
      </c>
    </row>
    <row r="513" customFormat="false" ht="15" hidden="false" customHeight="false" outlineLevel="0" collapsed="false">
      <c r="A513" s="22" t="s">
        <v>44</v>
      </c>
      <c r="B513" s="22" t="s">
        <v>3</v>
      </c>
      <c r="C513" s="22" t="s">
        <v>44</v>
      </c>
      <c r="D513" s="22" t="n">
        <v>34820</v>
      </c>
      <c r="E513" s="22" t="s">
        <v>132</v>
      </c>
      <c r="F513" s="22" t="s">
        <v>5</v>
      </c>
      <c r="G513" s="22" t="s">
        <v>131</v>
      </c>
      <c r="H513" s="22" t="s">
        <v>131</v>
      </c>
      <c r="I513" s="22" t="n">
        <v>1.581</v>
      </c>
      <c r="J513" s="22" t="n">
        <v>1.583</v>
      </c>
      <c r="K513" s="22" t="n">
        <v>1.544</v>
      </c>
      <c r="L513" s="22" t="n">
        <v>1.508</v>
      </c>
      <c r="M513" s="22" t="n">
        <v>1.491</v>
      </c>
      <c r="N513" s="22" t="n">
        <v>1.527</v>
      </c>
      <c r="O513" s="22" t="n">
        <v>1.513</v>
      </c>
      <c r="P513" s="22" t="n">
        <v>1.497</v>
      </c>
      <c r="Q513" s="22" t="n">
        <v>1.511</v>
      </c>
      <c r="R513" s="22" t="n">
        <v>1.531</v>
      </c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customFormat="false" ht="15" hidden="false" customHeight="false" outlineLevel="0" collapsed="false">
      <c r="A514" s="22" t="s">
        <v>44</v>
      </c>
      <c r="B514" s="22" t="s">
        <v>3</v>
      </c>
      <c r="C514" s="22" t="s">
        <v>44</v>
      </c>
      <c r="D514" s="22" t="n">
        <v>34820</v>
      </c>
      <c r="E514" s="22" t="s">
        <v>134</v>
      </c>
      <c r="F514" s="22" t="s">
        <v>135</v>
      </c>
      <c r="G514" s="22" t="s">
        <v>131</v>
      </c>
      <c r="H514" s="22" t="s">
        <v>131</v>
      </c>
      <c r="I514" s="22" t="n">
        <v>-0.0314</v>
      </c>
      <c r="J514" s="22" t="n">
        <v>-0.0371</v>
      </c>
      <c r="K514" s="22" t="n">
        <v>-0.0399</v>
      </c>
      <c r="L514" s="22" t="n">
        <v>-0.0181</v>
      </c>
      <c r="M514" s="22" t="n">
        <v>-0.0579</v>
      </c>
      <c r="N514" s="22" t="n">
        <v>-0.0652</v>
      </c>
      <c r="O514" s="22" t="n">
        <v>-0.0695</v>
      </c>
      <c r="P514" s="22" t="n">
        <v>-0.0467</v>
      </c>
      <c r="Q514" s="22" t="n">
        <v>-0.0167</v>
      </c>
      <c r="R514" s="22" t="n">
        <v>-0.0007</v>
      </c>
      <c r="S514" s="22" t="n">
        <v>0.009</v>
      </c>
      <c r="T514" s="22" t="n">
        <v>0.021</v>
      </c>
      <c r="U514" s="22" t="n">
        <v>0.024</v>
      </c>
      <c r="V514" s="22" t="n">
        <v>0.016</v>
      </c>
      <c r="W514" s="22" t="n">
        <v>0.023</v>
      </c>
      <c r="X514" s="22" t="n">
        <v>0.023</v>
      </c>
      <c r="Y514" s="22" t="n">
        <v>0.028</v>
      </c>
      <c r="Z514" s="22" t="n">
        <v>0.025</v>
      </c>
      <c r="AA514" s="22" t="n">
        <v>0.032</v>
      </c>
      <c r="AB514" s="22" t="n">
        <v>0.034</v>
      </c>
      <c r="AC514" s="22" t="n">
        <v>0.036</v>
      </c>
      <c r="AD514" s="22" t="n">
        <v>0.032</v>
      </c>
      <c r="AE514" s="22" t="n">
        <v>0.033</v>
      </c>
      <c r="AF514" s="22" t="n">
        <v>0.034</v>
      </c>
    </row>
    <row r="515" customFormat="false" ht="15" hidden="false" customHeight="false" outlineLevel="0" collapsed="false">
      <c r="A515" s="22" t="s">
        <v>44</v>
      </c>
      <c r="B515" s="22" t="s">
        <v>3</v>
      </c>
      <c r="C515" s="22" t="s">
        <v>44</v>
      </c>
      <c r="D515" s="22" t="n">
        <v>34820</v>
      </c>
      <c r="E515" s="22" t="s">
        <v>136</v>
      </c>
      <c r="F515" s="22" t="s">
        <v>137</v>
      </c>
      <c r="G515" s="22" t="s">
        <v>131</v>
      </c>
      <c r="H515" s="22" t="s">
        <v>131</v>
      </c>
      <c r="I515" s="22" t="n">
        <v>9</v>
      </c>
      <c r="J515" s="22" t="n">
        <v>8</v>
      </c>
      <c r="K515" s="22" t="n">
        <v>5</v>
      </c>
      <c r="L515" s="22" t="n">
        <v>4</v>
      </c>
      <c r="M515" s="22" t="n">
        <v>4</v>
      </c>
      <c r="N515" s="22" t="n">
        <v>3</v>
      </c>
      <c r="O515" s="22" t="n">
        <v>2</v>
      </c>
      <c r="P515" s="22" t="n">
        <v>2</v>
      </c>
      <c r="Q515" s="22" t="n">
        <v>2</v>
      </c>
      <c r="R515" s="22" t="n">
        <v>2</v>
      </c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customFormat="false" ht="15" hidden="false" customHeight="false" outlineLevel="0" collapsed="false">
      <c r="A516" s="22" t="s">
        <v>59</v>
      </c>
      <c r="B516" s="22" t="s">
        <v>3</v>
      </c>
      <c r="C516" s="22" t="s">
        <v>59</v>
      </c>
      <c r="D516" s="22" t="n">
        <v>34940</v>
      </c>
      <c r="E516" s="22" t="s">
        <v>129</v>
      </c>
      <c r="F516" s="22" t="s">
        <v>130</v>
      </c>
      <c r="G516" s="22" t="s">
        <v>131</v>
      </c>
      <c r="H516" s="22" t="s">
        <v>131</v>
      </c>
      <c r="I516" s="22" t="n">
        <v>2.10189567055441</v>
      </c>
      <c r="J516" s="22" t="n">
        <v>2.09629159577359</v>
      </c>
      <c r="K516" s="22" t="n">
        <v>2.08503422636007</v>
      </c>
      <c r="L516" s="22" t="n">
        <v>2.08745588435945</v>
      </c>
      <c r="M516" s="22" t="n">
        <v>2.09798323438752</v>
      </c>
      <c r="N516" s="22" t="n">
        <v>2.08082365532272</v>
      </c>
      <c r="O516" s="22" t="n">
        <v>2.07222963883835</v>
      </c>
      <c r="P516" s="22" t="n">
        <v>1.97384471166606</v>
      </c>
      <c r="Q516" s="22" t="n">
        <v>1.9491954539894</v>
      </c>
      <c r="R516" s="22" t="n">
        <v>1.92601239694968</v>
      </c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</row>
    <row r="517" customFormat="false" ht="15" hidden="false" customHeight="false" outlineLevel="0" collapsed="false">
      <c r="A517" s="22" t="s">
        <v>59</v>
      </c>
      <c r="B517" s="22" t="s">
        <v>3</v>
      </c>
      <c r="C517" s="22" t="s">
        <v>59</v>
      </c>
      <c r="D517" s="22" t="n">
        <v>34940</v>
      </c>
      <c r="E517" s="22" t="s">
        <v>132</v>
      </c>
      <c r="F517" s="22" t="s">
        <v>6</v>
      </c>
      <c r="G517" s="22" t="s">
        <v>131</v>
      </c>
      <c r="H517" s="22" t="s">
        <v>131</v>
      </c>
      <c r="I517" s="22" t="n">
        <v>2.224</v>
      </c>
      <c r="J517" s="22" t="n">
        <v>2.159</v>
      </c>
      <c r="K517" s="22" t="n">
        <v>2.094</v>
      </c>
      <c r="L517" s="22" t="n">
        <v>2.121</v>
      </c>
      <c r="M517" s="22" t="n">
        <v>2.131</v>
      </c>
      <c r="N517" s="22" t="n">
        <v>2.044</v>
      </c>
      <c r="O517" s="22" t="n">
        <v>1.975</v>
      </c>
      <c r="P517" s="22" t="n">
        <v>1.942</v>
      </c>
      <c r="Q517" s="22" t="n">
        <v>1.949</v>
      </c>
      <c r="R517" s="22" t="n">
        <v>1.899</v>
      </c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</row>
    <row r="518" customFormat="false" ht="15" hidden="false" customHeight="false" outlineLevel="0" collapsed="false">
      <c r="A518" s="22" t="s">
        <v>59</v>
      </c>
      <c r="B518" s="22" t="s">
        <v>3</v>
      </c>
      <c r="C518" s="22" t="s">
        <v>59</v>
      </c>
      <c r="D518" s="22" t="n">
        <v>34940</v>
      </c>
      <c r="E518" s="22" t="s">
        <v>132</v>
      </c>
      <c r="F518" s="22" t="s">
        <v>133</v>
      </c>
      <c r="G518" s="22" t="s">
        <v>131</v>
      </c>
      <c r="H518" s="22" t="s">
        <v>131</v>
      </c>
      <c r="I518" s="22" t="n">
        <v>32418</v>
      </c>
      <c r="J518" s="22" t="n">
        <v>32747</v>
      </c>
      <c r="K518" s="22" t="n">
        <v>32963</v>
      </c>
      <c r="L518" s="22" t="n">
        <v>33137</v>
      </c>
      <c r="M518" s="22" t="n">
        <v>33469</v>
      </c>
      <c r="N518" s="22" t="n">
        <v>33756</v>
      </c>
      <c r="O518" s="22" t="n">
        <v>33951</v>
      </c>
      <c r="P518" s="22" t="n">
        <v>34251</v>
      </c>
      <c r="Q518" s="22" t="n">
        <v>34352</v>
      </c>
      <c r="R518" s="22" t="n">
        <v>34352</v>
      </c>
      <c r="S518" s="22" t="n">
        <v>34688</v>
      </c>
      <c r="T518" s="22" t="n">
        <v>35068</v>
      </c>
      <c r="U518" s="22" t="n">
        <v>35437</v>
      </c>
      <c r="V518" s="22" t="n">
        <v>35860</v>
      </c>
      <c r="W518" s="22" t="n">
        <v>36173</v>
      </c>
      <c r="X518" s="22" t="n">
        <v>36282</v>
      </c>
      <c r="Y518" s="22" t="n">
        <v>36408</v>
      </c>
      <c r="Z518" s="22" t="n">
        <v>36408</v>
      </c>
      <c r="AA518" s="22" t="n">
        <v>36408</v>
      </c>
      <c r="AB518" s="22" t="n">
        <v>36408</v>
      </c>
      <c r="AC518" s="22" t="n">
        <v>36462</v>
      </c>
      <c r="AD518" s="22" t="n">
        <v>36463</v>
      </c>
      <c r="AE518" s="22" t="n">
        <v>36457</v>
      </c>
      <c r="AF518" s="22" t="n">
        <v>36444</v>
      </c>
    </row>
    <row r="519" customFormat="false" ht="15" hidden="false" customHeight="false" outlineLevel="0" collapsed="false">
      <c r="A519" s="22" t="s">
        <v>59</v>
      </c>
      <c r="B519" s="22" t="s">
        <v>3</v>
      </c>
      <c r="C519" s="22" t="s">
        <v>59</v>
      </c>
      <c r="D519" s="22" t="n">
        <v>34940</v>
      </c>
      <c r="E519" s="22" t="s">
        <v>132</v>
      </c>
      <c r="F519" s="22" t="s">
        <v>5</v>
      </c>
      <c r="G519" s="22" t="s">
        <v>131</v>
      </c>
      <c r="H519" s="22" t="s">
        <v>131</v>
      </c>
      <c r="I519" s="22" t="n">
        <v>2.243</v>
      </c>
      <c r="J519" s="22" t="n">
        <v>2.19</v>
      </c>
      <c r="K519" s="22" t="n">
        <v>2.142</v>
      </c>
      <c r="L519" s="22" t="n">
        <v>2.158</v>
      </c>
      <c r="M519" s="22" t="n">
        <v>2.151</v>
      </c>
      <c r="N519" s="22" t="n">
        <v>2.109</v>
      </c>
      <c r="O519" s="22" t="n">
        <v>2.042</v>
      </c>
      <c r="P519" s="22" t="n">
        <v>2.027</v>
      </c>
      <c r="Q519" s="22" t="n">
        <v>2.022</v>
      </c>
      <c r="R519" s="22" t="n">
        <v>1.991</v>
      </c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</row>
    <row r="520" customFormat="false" ht="15" hidden="false" customHeight="false" outlineLevel="0" collapsed="false">
      <c r="A520" s="22" t="s">
        <v>59</v>
      </c>
      <c r="B520" s="22" t="s">
        <v>3</v>
      </c>
      <c r="C520" s="22" t="s">
        <v>59</v>
      </c>
      <c r="D520" s="22" t="n">
        <v>34940</v>
      </c>
      <c r="E520" s="22" t="s">
        <v>134</v>
      </c>
      <c r="F520" s="22" t="s">
        <v>135</v>
      </c>
      <c r="G520" s="22" t="s">
        <v>131</v>
      </c>
      <c r="H520" s="22" t="s">
        <v>131</v>
      </c>
      <c r="I520" s="22" t="n">
        <v>-0.0673</v>
      </c>
      <c r="J520" s="22" t="n">
        <v>-0.0639</v>
      </c>
      <c r="K520" s="22" t="n">
        <v>-0.0597</v>
      </c>
      <c r="L520" s="22" t="n">
        <v>-0.0702</v>
      </c>
      <c r="M520" s="22" t="n">
        <v>-0.0509</v>
      </c>
      <c r="N520" s="22" t="n">
        <v>-0.0753</v>
      </c>
      <c r="O520" s="22" t="n">
        <v>-0.0824</v>
      </c>
      <c r="P520" s="22" t="n">
        <v>-0.103</v>
      </c>
      <c r="Q520" s="22" t="n">
        <v>-0.0987</v>
      </c>
      <c r="R520" s="22" t="n">
        <v>-0.0747</v>
      </c>
      <c r="S520" s="22" t="n">
        <v>-0.058</v>
      </c>
      <c r="T520" s="22" t="n">
        <v>-0.024</v>
      </c>
      <c r="U520" s="22" t="n">
        <v>0.014</v>
      </c>
      <c r="V520" s="22" t="n">
        <v>0.017</v>
      </c>
      <c r="W520" s="22" t="n">
        <v>0.021</v>
      </c>
      <c r="X520" s="22" t="n">
        <v>0.024</v>
      </c>
      <c r="Y520" s="22" t="n">
        <v>0.026</v>
      </c>
      <c r="Z520" s="22" t="n">
        <v>0.026</v>
      </c>
      <c r="AA520" s="22" t="n">
        <v>0.027</v>
      </c>
      <c r="AB520" s="22" t="n">
        <v>0.029</v>
      </c>
      <c r="AC520" s="22" t="n">
        <v>0.03</v>
      </c>
      <c r="AD520" s="22" t="n">
        <v>0.03</v>
      </c>
      <c r="AE520" s="22" t="n">
        <v>0.031</v>
      </c>
      <c r="AF520" s="22" t="n">
        <v>0.034</v>
      </c>
    </row>
    <row r="521" customFormat="false" ht="15" hidden="false" customHeight="false" outlineLevel="0" collapsed="false">
      <c r="A521" s="22" t="s">
        <v>59</v>
      </c>
      <c r="B521" s="22" t="s">
        <v>3</v>
      </c>
      <c r="C521" s="22" t="s">
        <v>59</v>
      </c>
      <c r="D521" s="22" t="n">
        <v>34940</v>
      </c>
      <c r="E521" s="22" t="s">
        <v>136</v>
      </c>
      <c r="F521" s="22" t="s">
        <v>137</v>
      </c>
      <c r="G521" s="22" t="s">
        <v>131</v>
      </c>
      <c r="H521" s="22" t="s">
        <v>131</v>
      </c>
      <c r="I521" s="22" t="n">
        <v>4</v>
      </c>
      <c r="J521" s="22" t="n">
        <v>3</v>
      </c>
      <c r="K521" s="22" t="n">
        <v>2</v>
      </c>
      <c r="L521" s="22" t="n">
        <v>1</v>
      </c>
      <c r="M521" s="22" t="n">
        <v>3</v>
      </c>
      <c r="N521" s="22" t="n">
        <v>4</v>
      </c>
      <c r="O521" s="22" t="n">
        <v>4</v>
      </c>
      <c r="P521" s="22" t="n">
        <v>5</v>
      </c>
      <c r="Q521" s="22" t="n">
        <v>3</v>
      </c>
      <c r="R521" s="22" t="n">
        <v>3</v>
      </c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</row>
    <row r="522" customFormat="false" ht="15" hidden="false" customHeight="false" outlineLevel="0" collapsed="false">
      <c r="A522" s="22" t="s">
        <v>52</v>
      </c>
      <c r="B522" s="22" t="s">
        <v>3</v>
      </c>
      <c r="C522" s="22" t="s">
        <v>52</v>
      </c>
      <c r="D522" s="22" t="n">
        <v>34980</v>
      </c>
      <c r="E522" s="22" t="s">
        <v>129</v>
      </c>
      <c r="F522" s="22" t="s">
        <v>130</v>
      </c>
      <c r="G522" s="22" t="s">
        <v>131</v>
      </c>
      <c r="H522" s="22" t="s">
        <v>131</v>
      </c>
      <c r="I522" s="22" t="n">
        <v>1.66352028382909</v>
      </c>
      <c r="J522" s="22" t="n">
        <v>1.67385622433469</v>
      </c>
      <c r="K522" s="22" t="n">
        <v>1.67772208375292</v>
      </c>
      <c r="L522" s="22" t="n">
        <v>1.69030744246831</v>
      </c>
      <c r="M522" s="22" t="n">
        <v>1.69011700121359</v>
      </c>
      <c r="N522" s="22" t="n">
        <v>1.69401202278664</v>
      </c>
      <c r="O522" s="22" t="n">
        <v>1.69330021071065</v>
      </c>
      <c r="P522" s="22" t="n">
        <v>1.69756251565637</v>
      </c>
      <c r="Q522" s="22" t="n">
        <v>1.68253059258722</v>
      </c>
      <c r="R522" s="22" t="n">
        <v>1.68552299010675</v>
      </c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</row>
    <row r="523" customFormat="false" ht="15" hidden="false" customHeight="false" outlineLevel="0" collapsed="false">
      <c r="A523" s="22" t="s">
        <v>52</v>
      </c>
      <c r="B523" s="22" t="s">
        <v>3</v>
      </c>
      <c r="C523" s="22" t="s">
        <v>52</v>
      </c>
      <c r="D523" s="22" t="n">
        <v>34980</v>
      </c>
      <c r="E523" s="22" t="s">
        <v>132</v>
      </c>
      <c r="F523" s="22" t="s">
        <v>6</v>
      </c>
      <c r="G523" s="22" t="s">
        <v>131</v>
      </c>
      <c r="H523" s="22" t="s">
        <v>131</v>
      </c>
      <c r="I523" s="22" t="n">
        <v>1.695</v>
      </c>
      <c r="J523" s="22" t="n">
        <v>1.714</v>
      </c>
      <c r="K523" s="22" t="n">
        <v>1.722</v>
      </c>
      <c r="L523" s="22" t="n">
        <v>1.71</v>
      </c>
      <c r="M523" s="22" t="n">
        <v>1.699</v>
      </c>
      <c r="N523" s="22" t="n">
        <v>1.697</v>
      </c>
      <c r="O523" s="22" t="n">
        <v>1.708</v>
      </c>
      <c r="P523" s="22" t="n">
        <v>1.674</v>
      </c>
      <c r="Q523" s="22" t="n">
        <v>1.675</v>
      </c>
      <c r="R523" s="22" t="n">
        <v>1.693</v>
      </c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customFormat="false" ht="15" hidden="false" customHeight="false" outlineLevel="0" collapsed="false">
      <c r="A524" s="22" t="s">
        <v>52</v>
      </c>
      <c r="B524" s="22" t="s">
        <v>3</v>
      </c>
      <c r="C524" s="22" t="s">
        <v>52</v>
      </c>
      <c r="D524" s="22" t="n">
        <v>34980</v>
      </c>
      <c r="E524" s="22" t="s">
        <v>132</v>
      </c>
      <c r="F524" s="22" t="s">
        <v>133</v>
      </c>
      <c r="G524" s="22" t="s">
        <v>131</v>
      </c>
      <c r="H524" s="22" t="s">
        <v>131</v>
      </c>
      <c r="I524" s="22" t="n">
        <v>187865</v>
      </c>
      <c r="J524" s="22" t="n">
        <v>191827</v>
      </c>
      <c r="K524" s="22" t="n">
        <v>195246</v>
      </c>
      <c r="L524" s="22" t="n">
        <v>197802</v>
      </c>
      <c r="M524" s="22" t="n">
        <v>200301</v>
      </c>
      <c r="N524" s="22" t="n">
        <v>201448</v>
      </c>
      <c r="O524" s="22" t="n">
        <v>204360</v>
      </c>
      <c r="P524" s="22" t="n">
        <v>205854</v>
      </c>
      <c r="Q524" s="22" t="n">
        <v>207247</v>
      </c>
      <c r="R524" s="22" t="n">
        <v>208436</v>
      </c>
      <c r="S524" s="22" t="n">
        <v>210458</v>
      </c>
      <c r="T524" s="22" t="n">
        <v>211056</v>
      </c>
      <c r="U524" s="22" t="n">
        <v>211654</v>
      </c>
      <c r="V524" s="22" t="n">
        <v>213535</v>
      </c>
      <c r="W524" s="22" t="n">
        <v>216193</v>
      </c>
      <c r="X524" s="22" t="n">
        <v>218147</v>
      </c>
      <c r="Y524" s="22" t="n">
        <v>218930</v>
      </c>
      <c r="Z524" s="22" t="n">
        <v>219418</v>
      </c>
      <c r="AA524" s="22" t="n">
        <v>219581</v>
      </c>
      <c r="AB524" s="22" t="n">
        <v>221425</v>
      </c>
      <c r="AC524" s="22" t="n">
        <v>222083</v>
      </c>
      <c r="AD524" s="22" t="n">
        <v>222424</v>
      </c>
      <c r="AE524" s="22" t="n">
        <v>222457</v>
      </c>
      <c r="AF524" s="22" t="n">
        <v>224196</v>
      </c>
    </row>
    <row r="525" customFormat="false" ht="15" hidden="false" customHeight="false" outlineLevel="0" collapsed="false">
      <c r="A525" s="22" t="s">
        <v>52</v>
      </c>
      <c r="B525" s="22" t="s">
        <v>3</v>
      </c>
      <c r="C525" s="22" t="s">
        <v>52</v>
      </c>
      <c r="D525" s="22" t="n">
        <v>34980</v>
      </c>
      <c r="E525" s="22" t="s">
        <v>132</v>
      </c>
      <c r="F525" s="22" t="s">
        <v>5</v>
      </c>
      <c r="G525" s="22" t="s">
        <v>131</v>
      </c>
      <c r="H525" s="22" t="s">
        <v>131</v>
      </c>
      <c r="I525" s="22" t="n">
        <v>1.716</v>
      </c>
      <c r="J525" s="22" t="n">
        <v>1.738</v>
      </c>
      <c r="K525" s="22" t="n">
        <v>1.751</v>
      </c>
      <c r="L525" s="22" t="n">
        <v>1.74</v>
      </c>
      <c r="M525" s="22" t="n">
        <v>1.733</v>
      </c>
      <c r="N525" s="22" t="n">
        <v>1.741</v>
      </c>
      <c r="O525" s="22" t="n">
        <v>1.762</v>
      </c>
      <c r="P525" s="22" t="n">
        <v>1.734</v>
      </c>
      <c r="Q525" s="22" t="n">
        <v>1.738</v>
      </c>
      <c r="R525" s="22" t="n">
        <v>1.763</v>
      </c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customFormat="false" ht="15" hidden="false" customHeight="false" outlineLevel="0" collapsed="false">
      <c r="A526" s="22" t="s">
        <v>52</v>
      </c>
      <c r="B526" s="22" t="s">
        <v>3</v>
      </c>
      <c r="C526" s="22" t="s">
        <v>52</v>
      </c>
      <c r="D526" s="22" t="n">
        <v>34980</v>
      </c>
      <c r="E526" s="22" t="s">
        <v>134</v>
      </c>
      <c r="F526" s="22" t="s">
        <v>135</v>
      </c>
      <c r="G526" s="22" t="s">
        <v>131</v>
      </c>
      <c r="H526" s="22" t="s">
        <v>131</v>
      </c>
      <c r="I526" s="22" t="n">
        <v>-0.0266</v>
      </c>
      <c r="J526" s="22" t="n">
        <v>-0.025</v>
      </c>
      <c r="K526" s="22" t="n">
        <v>-0.0229</v>
      </c>
      <c r="L526" s="22" t="n">
        <v>-0.0142</v>
      </c>
      <c r="M526" s="22" t="n">
        <v>-0.0173</v>
      </c>
      <c r="N526" s="22" t="n">
        <v>-0.0251</v>
      </c>
      <c r="O526" s="22" t="n">
        <v>-0.0266</v>
      </c>
      <c r="P526" s="22" t="n">
        <v>-0.0368</v>
      </c>
      <c r="Q526" s="22" t="n">
        <v>-0.0312</v>
      </c>
      <c r="R526" s="22" t="n">
        <v>-0.0217</v>
      </c>
      <c r="S526" s="22" t="n">
        <v>-0.017</v>
      </c>
      <c r="T526" s="22" t="n">
        <v>-0.008</v>
      </c>
      <c r="U526" s="22" t="n">
        <v>0.005</v>
      </c>
      <c r="V526" s="22" t="n">
        <v>0.023</v>
      </c>
      <c r="W526" s="22" t="n">
        <v>0.027</v>
      </c>
      <c r="X526" s="22" t="n">
        <v>0.029</v>
      </c>
      <c r="Y526" s="22" t="n">
        <v>0.027</v>
      </c>
      <c r="Z526" s="22" t="n">
        <v>0.027</v>
      </c>
      <c r="AA526" s="22" t="n">
        <v>0.029</v>
      </c>
      <c r="AB526" s="22" t="n">
        <v>0.029</v>
      </c>
      <c r="AC526" s="22" t="n">
        <v>0.029</v>
      </c>
      <c r="AD526" s="22" t="n">
        <v>0.029</v>
      </c>
      <c r="AE526" s="22" t="n">
        <v>0.031</v>
      </c>
      <c r="AF526" s="22" t="n">
        <v>0.031</v>
      </c>
    </row>
    <row r="527" customFormat="false" ht="15" hidden="false" customHeight="false" outlineLevel="0" collapsed="false">
      <c r="A527" s="22" t="s">
        <v>52</v>
      </c>
      <c r="B527" s="22" t="s">
        <v>3</v>
      </c>
      <c r="C527" s="22" t="s">
        <v>52</v>
      </c>
      <c r="D527" s="22" t="n">
        <v>34980</v>
      </c>
      <c r="E527" s="22" t="s">
        <v>136</v>
      </c>
      <c r="F527" s="22" t="s">
        <v>137</v>
      </c>
      <c r="G527" s="22" t="s">
        <v>131</v>
      </c>
      <c r="H527" s="22" t="s">
        <v>131</v>
      </c>
      <c r="I527" s="22" t="n">
        <v>18</v>
      </c>
      <c r="J527" s="22" t="n">
        <v>17</v>
      </c>
      <c r="K527" s="22" t="n">
        <v>16</v>
      </c>
      <c r="L527" s="22" t="n">
        <v>16</v>
      </c>
      <c r="M527" s="22" t="n">
        <v>24</v>
      </c>
      <c r="N527" s="22" t="n">
        <v>25</v>
      </c>
      <c r="O527" s="22" t="n">
        <v>31</v>
      </c>
      <c r="P527" s="22" t="n">
        <v>35</v>
      </c>
      <c r="Q527" s="22" t="n">
        <v>28</v>
      </c>
      <c r="R527" s="22" t="n">
        <v>26</v>
      </c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</row>
    <row r="528" customFormat="false" ht="15" hidden="false" customHeight="false" outlineLevel="0" collapsed="false">
      <c r="A528" s="22" t="s">
        <v>185</v>
      </c>
      <c r="B528" s="22" t="s">
        <v>3</v>
      </c>
      <c r="C528" s="22" t="s">
        <v>185</v>
      </c>
      <c r="D528" s="22" t="n">
        <v>35004</v>
      </c>
      <c r="E528" s="22" t="s">
        <v>129</v>
      </c>
      <c r="F528" s="22" t="s">
        <v>130</v>
      </c>
      <c r="G528" s="22" t="s">
        <v>131</v>
      </c>
      <c r="H528" s="22" t="s">
        <v>131</v>
      </c>
      <c r="I528" s="22" t="n">
        <v>3.21062901508287</v>
      </c>
      <c r="J528" s="22" t="n">
        <v>3.22098372573224</v>
      </c>
      <c r="K528" s="22" t="n">
        <v>3.21945035657958</v>
      </c>
      <c r="L528" s="22" t="n">
        <v>3.30634821850541</v>
      </c>
      <c r="M528" s="22" t="n">
        <v>3.15953091344414</v>
      </c>
      <c r="N528" s="22" t="n">
        <v>3.31693520671929</v>
      </c>
      <c r="O528" s="22" t="n">
        <v>3.36639857835497</v>
      </c>
      <c r="P528" s="22" t="n">
        <v>3.39267909286703</v>
      </c>
      <c r="Q528" s="22" t="n">
        <v>3.40133591937417</v>
      </c>
      <c r="R528" s="22" t="n">
        <v>3.290985093788</v>
      </c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customFormat="false" ht="15" hidden="false" customHeight="false" outlineLevel="0" collapsed="false">
      <c r="A529" s="22" t="s">
        <v>185</v>
      </c>
      <c r="B529" s="22" t="s">
        <v>3</v>
      </c>
      <c r="C529" s="22" t="s">
        <v>185</v>
      </c>
      <c r="D529" s="22" t="n">
        <v>35004</v>
      </c>
      <c r="E529" s="22" t="s">
        <v>132</v>
      </c>
      <c r="F529" s="22" t="s">
        <v>6</v>
      </c>
      <c r="G529" s="22" t="s">
        <v>131</v>
      </c>
      <c r="H529" s="22" t="s">
        <v>131</v>
      </c>
      <c r="I529" s="22" t="n">
        <v>3.223</v>
      </c>
      <c r="J529" s="22" t="n">
        <v>3.219</v>
      </c>
      <c r="K529" s="22" t="n">
        <v>3.236</v>
      </c>
      <c r="L529" s="22" t="n">
        <v>3.255</v>
      </c>
      <c r="M529" s="22" t="n">
        <v>3.295</v>
      </c>
      <c r="N529" s="22" t="n">
        <v>3.36</v>
      </c>
      <c r="O529" s="22" t="n">
        <v>3.316</v>
      </c>
      <c r="P529" s="22" t="n">
        <v>3.303</v>
      </c>
      <c r="Q529" s="22" t="n">
        <v>3.349</v>
      </c>
      <c r="R529" s="22" t="n">
        <v>3.416</v>
      </c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customFormat="false" ht="15" hidden="false" customHeight="false" outlineLevel="0" collapsed="false">
      <c r="A530" s="22" t="s">
        <v>185</v>
      </c>
      <c r="B530" s="22" t="s">
        <v>3</v>
      </c>
      <c r="C530" s="22" t="s">
        <v>185</v>
      </c>
      <c r="D530" s="22" t="n">
        <v>35004</v>
      </c>
      <c r="E530" s="22" t="s">
        <v>132</v>
      </c>
      <c r="F530" s="22" t="s">
        <v>133</v>
      </c>
      <c r="G530" s="22" t="s">
        <v>131</v>
      </c>
      <c r="H530" s="22" t="s">
        <v>131</v>
      </c>
      <c r="I530" s="22" t="n">
        <v>82328</v>
      </c>
      <c r="J530" s="22" t="n">
        <v>82768</v>
      </c>
      <c r="K530" s="22" t="n">
        <v>82906</v>
      </c>
      <c r="L530" s="22" t="n">
        <v>83125</v>
      </c>
      <c r="M530" s="22" t="n">
        <v>83143</v>
      </c>
      <c r="N530" s="22" t="n">
        <v>83298</v>
      </c>
      <c r="O530" s="22" t="n">
        <v>83505</v>
      </c>
      <c r="P530" s="22" t="n">
        <v>83534</v>
      </c>
      <c r="Q530" s="22" t="n">
        <v>83534</v>
      </c>
      <c r="R530" s="22" t="n">
        <v>83800</v>
      </c>
      <c r="S530" s="22" t="n">
        <v>83851</v>
      </c>
      <c r="T530" s="22" t="n">
        <v>84179</v>
      </c>
      <c r="U530" s="22" t="n">
        <v>84302</v>
      </c>
      <c r="V530" s="22" t="n">
        <v>84539</v>
      </c>
      <c r="W530" s="22" t="n">
        <v>84637</v>
      </c>
      <c r="X530" s="22" t="n">
        <v>84881</v>
      </c>
      <c r="Y530" s="22" t="n">
        <v>85045</v>
      </c>
      <c r="Z530" s="22" t="n">
        <v>85271</v>
      </c>
      <c r="AA530" s="22" t="n">
        <v>85384</v>
      </c>
      <c r="AB530" s="22" t="n">
        <v>85621</v>
      </c>
      <c r="AC530" s="22" t="n">
        <v>85781</v>
      </c>
      <c r="AD530" s="22" t="n">
        <v>86001</v>
      </c>
      <c r="AE530" s="22" t="n">
        <v>86105</v>
      </c>
      <c r="AF530" s="22" t="n">
        <v>86340</v>
      </c>
    </row>
    <row r="531" customFormat="false" ht="15" hidden="false" customHeight="false" outlineLevel="0" collapsed="false">
      <c r="A531" s="22" t="s">
        <v>185</v>
      </c>
      <c r="B531" s="22" t="s">
        <v>3</v>
      </c>
      <c r="C531" s="22" t="s">
        <v>185</v>
      </c>
      <c r="D531" s="22" t="n">
        <v>35004</v>
      </c>
      <c r="E531" s="22" t="s">
        <v>132</v>
      </c>
      <c r="F531" s="22" t="s">
        <v>5</v>
      </c>
      <c r="G531" s="22" t="s">
        <v>131</v>
      </c>
      <c r="H531" s="22" t="s">
        <v>131</v>
      </c>
      <c r="I531" s="22" t="n">
        <v>3.247</v>
      </c>
      <c r="J531" s="22" t="n">
        <v>3.244</v>
      </c>
      <c r="K531" s="22" t="n">
        <v>3.262</v>
      </c>
      <c r="L531" s="22" t="n">
        <v>3.28</v>
      </c>
      <c r="M531" s="22" t="n">
        <v>3.321</v>
      </c>
      <c r="N531" s="22" t="n">
        <v>3.38</v>
      </c>
      <c r="O531" s="22" t="n">
        <v>3.341</v>
      </c>
      <c r="P531" s="22" t="n">
        <v>3.325</v>
      </c>
      <c r="Q531" s="22" t="n">
        <v>3.364</v>
      </c>
      <c r="R531" s="22" t="n">
        <v>3.43</v>
      </c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</row>
    <row r="532" customFormat="false" ht="15" hidden="false" customHeight="false" outlineLevel="0" collapsed="false">
      <c r="A532" s="22" t="s">
        <v>185</v>
      </c>
      <c r="B532" s="22" t="s">
        <v>3</v>
      </c>
      <c r="C532" s="22" t="s">
        <v>185</v>
      </c>
      <c r="D532" s="22" t="n">
        <v>35004</v>
      </c>
      <c r="E532" s="22" t="s">
        <v>134</v>
      </c>
      <c r="F532" s="22" t="s">
        <v>135</v>
      </c>
      <c r="G532" s="22" t="s">
        <v>131</v>
      </c>
      <c r="H532" s="22" t="s">
        <v>131</v>
      </c>
      <c r="I532" s="22" t="n">
        <v>0.0188</v>
      </c>
      <c r="J532" s="22" t="n">
        <v>0.0134</v>
      </c>
      <c r="K532" s="22" t="n">
        <v>0.0211</v>
      </c>
      <c r="L532" s="22" t="n">
        <v>0.0241</v>
      </c>
      <c r="M532" s="22" t="n">
        <v>0.0247</v>
      </c>
      <c r="N532" s="22" t="n">
        <v>0.0385</v>
      </c>
      <c r="O532" s="22" t="n">
        <v>0.0301</v>
      </c>
      <c r="P532" s="22" t="n">
        <v>0.0143</v>
      </c>
      <c r="Q532" s="22" t="n">
        <v>0.0165</v>
      </c>
      <c r="R532" s="22" t="n">
        <v>0.0211</v>
      </c>
      <c r="S532" s="22" t="n">
        <v>0.021</v>
      </c>
      <c r="T532" s="22" t="n">
        <v>0.019</v>
      </c>
      <c r="U532" s="22" t="n">
        <v>0.014</v>
      </c>
      <c r="V532" s="22" t="n">
        <v>0.013</v>
      </c>
      <c r="W532" s="22" t="n">
        <v>0.02</v>
      </c>
      <c r="X532" s="22" t="n">
        <v>0.021</v>
      </c>
      <c r="Y532" s="22" t="n">
        <v>0.017</v>
      </c>
      <c r="Z532" s="22" t="n">
        <v>0.018</v>
      </c>
      <c r="AA532" s="22" t="n">
        <v>0.024</v>
      </c>
      <c r="AB532" s="22" t="n">
        <v>0.024</v>
      </c>
      <c r="AC532" s="22" t="n">
        <v>0.019</v>
      </c>
      <c r="AD532" s="22" t="n">
        <v>0.019</v>
      </c>
      <c r="AE532" s="22" t="n">
        <v>0.024</v>
      </c>
      <c r="AF532" s="22" t="n">
        <v>0.023</v>
      </c>
    </row>
    <row r="533" customFormat="false" ht="15" hidden="false" customHeight="false" outlineLevel="0" collapsed="false">
      <c r="A533" s="22" t="s">
        <v>185</v>
      </c>
      <c r="B533" s="22" t="s">
        <v>3</v>
      </c>
      <c r="C533" s="22" t="s">
        <v>185</v>
      </c>
      <c r="D533" s="22" t="n">
        <v>35004</v>
      </c>
      <c r="E533" s="22" t="s">
        <v>136</v>
      </c>
      <c r="F533" s="22" t="s">
        <v>137</v>
      </c>
      <c r="G533" s="22" t="s">
        <v>131</v>
      </c>
      <c r="H533" s="22" t="s">
        <v>131</v>
      </c>
      <c r="I533" s="22" t="n">
        <v>7</v>
      </c>
      <c r="J533" s="22" t="n">
        <v>4</v>
      </c>
      <c r="K533" s="22" t="n">
        <v>3</v>
      </c>
      <c r="L533" s="22" t="n">
        <v>3</v>
      </c>
      <c r="M533" s="22" t="n">
        <v>1</v>
      </c>
      <c r="N533" s="22" t="n">
        <v>2</v>
      </c>
      <c r="O533" s="22" t="n">
        <v>3</v>
      </c>
      <c r="P533" s="22" t="n">
        <v>3</v>
      </c>
      <c r="Q533" s="22" t="n">
        <v>5</v>
      </c>
      <c r="R533" s="22" t="n">
        <v>5</v>
      </c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customFormat="false" ht="15" hidden="false" customHeight="false" outlineLevel="0" collapsed="false">
      <c r="A534" s="22" t="s">
        <v>186</v>
      </c>
      <c r="B534" s="22" t="s">
        <v>3</v>
      </c>
      <c r="C534" s="22" t="s">
        <v>186</v>
      </c>
      <c r="D534" s="22" t="n">
        <v>235084</v>
      </c>
      <c r="E534" s="22" t="s">
        <v>129</v>
      </c>
      <c r="F534" s="22" t="s">
        <v>130</v>
      </c>
      <c r="G534" s="22" t="s">
        <v>131</v>
      </c>
      <c r="H534" s="22" t="s">
        <v>131</v>
      </c>
      <c r="I534" s="22" t="n">
        <v>3.06092430614358</v>
      </c>
      <c r="J534" s="22" t="n">
        <v>3.08114893955075</v>
      </c>
      <c r="K534" s="22" t="n">
        <v>3.10054498557798</v>
      </c>
      <c r="L534" s="22" t="n">
        <v>3.10309170805636</v>
      </c>
      <c r="M534" s="22" t="n">
        <v>3.00814615427201</v>
      </c>
      <c r="N534" s="22" t="n">
        <v>3.03400148920297</v>
      </c>
      <c r="O534" s="22" t="n">
        <v>3.07337769852131</v>
      </c>
      <c r="P534" s="22" t="n">
        <v>3.11541553613343</v>
      </c>
      <c r="Q534" s="22" t="n">
        <v>3.1527357858497</v>
      </c>
      <c r="R534" s="22" t="n">
        <v>3.18743378595616</v>
      </c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customFormat="false" ht="15" hidden="false" customHeight="false" outlineLevel="0" collapsed="false">
      <c r="A535" s="22" t="s">
        <v>186</v>
      </c>
      <c r="B535" s="22" t="s">
        <v>3</v>
      </c>
      <c r="C535" s="22" t="s">
        <v>186</v>
      </c>
      <c r="D535" s="22" t="n">
        <v>235084</v>
      </c>
      <c r="E535" s="22" t="s">
        <v>132</v>
      </c>
      <c r="F535" s="22" t="s">
        <v>6</v>
      </c>
      <c r="G535" s="22" t="s">
        <v>131</v>
      </c>
      <c r="H535" s="22" t="s">
        <v>131</v>
      </c>
      <c r="I535" s="22" t="n">
        <v>2.999</v>
      </c>
      <c r="J535" s="22" t="n">
        <v>3.043</v>
      </c>
      <c r="K535" s="22" t="n">
        <v>3.09</v>
      </c>
      <c r="L535" s="22" t="n">
        <v>3.078</v>
      </c>
      <c r="M535" s="22" t="n">
        <v>3.09</v>
      </c>
      <c r="N535" s="22" t="n">
        <v>3.139</v>
      </c>
      <c r="O535" s="22" t="n">
        <v>3.183</v>
      </c>
      <c r="P535" s="22" t="n">
        <v>3.163</v>
      </c>
      <c r="Q535" s="22" t="n">
        <v>3.155</v>
      </c>
      <c r="R535" s="22" t="n">
        <v>3.208</v>
      </c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customFormat="false" ht="15" hidden="false" customHeight="false" outlineLevel="0" collapsed="false">
      <c r="A536" s="22" t="s">
        <v>186</v>
      </c>
      <c r="B536" s="22" t="s">
        <v>3</v>
      </c>
      <c r="C536" s="22" t="s">
        <v>186</v>
      </c>
      <c r="D536" s="22" t="n">
        <v>235084</v>
      </c>
      <c r="E536" s="22" t="s">
        <v>132</v>
      </c>
      <c r="F536" s="22" t="s">
        <v>133</v>
      </c>
      <c r="G536" s="22" t="s">
        <v>131</v>
      </c>
      <c r="H536" s="22" t="s">
        <v>131</v>
      </c>
      <c r="I536" s="22" t="n">
        <v>560050</v>
      </c>
      <c r="J536" s="22" t="n">
        <v>562963</v>
      </c>
      <c r="K536" s="22" t="n">
        <v>567800</v>
      </c>
      <c r="L536" s="22" t="n">
        <v>572530</v>
      </c>
      <c r="M536" s="22" t="n">
        <v>575707</v>
      </c>
      <c r="N536" s="22" t="n">
        <v>580055</v>
      </c>
      <c r="O536" s="22" t="n">
        <v>584461</v>
      </c>
      <c r="P536" s="22" t="n">
        <v>588822</v>
      </c>
      <c r="Q536" s="22" t="n">
        <v>592955</v>
      </c>
      <c r="R536" s="22" t="n">
        <v>596462</v>
      </c>
      <c r="S536" s="22" t="n">
        <v>601440</v>
      </c>
      <c r="T536" s="22" t="n">
        <v>605519</v>
      </c>
      <c r="U536" s="22" t="n">
        <v>608481</v>
      </c>
      <c r="V536" s="22" t="n">
        <v>612582</v>
      </c>
      <c r="W536" s="22" t="n">
        <v>614826</v>
      </c>
      <c r="X536" s="22" t="n">
        <v>616488</v>
      </c>
      <c r="Y536" s="22" t="n">
        <v>617081</v>
      </c>
      <c r="Z536" s="22" t="n">
        <v>618375</v>
      </c>
      <c r="AA536" s="22" t="n">
        <v>620041</v>
      </c>
      <c r="AB536" s="22" t="n">
        <v>621371</v>
      </c>
      <c r="AC536" s="22" t="n">
        <v>621856</v>
      </c>
      <c r="AD536" s="22" t="n">
        <v>623079</v>
      </c>
      <c r="AE536" s="22" t="n">
        <v>624702</v>
      </c>
      <c r="AF536" s="22" t="n">
        <v>625988</v>
      </c>
    </row>
    <row r="537" customFormat="false" ht="15" hidden="false" customHeight="false" outlineLevel="0" collapsed="false">
      <c r="A537" s="22" t="s">
        <v>186</v>
      </c>
      <c r="B537" s="22" t="s">
        <v>3</v>
      </c>
      <c r="C537" s="22" t="s">
        <v>186</v>
      </c>
      <c r="D537" s="22" t="n">
        <v>235084</v>
      </c>
      <c r="E537" s="22" t="s">
        <v>132</v>
      </c>
      <c r="F537" s="22" t="s">
        <v>5</v>
      </c>
      <c r="G537" s="22" t="s">
        <v>131</v>
      </c>
      <c r="H537" s="22" t="s">
        <v>131</v>
      </c>
      <c r="I537" s="22" t="n">
        <v>3.025</v>
      </c>
      <c r="J537" s="22" t="n">
        <v>3.069</v>
      </c>
      <c r="K537" s="22" t="n">
        <v>3.113</v>
      </c>
      <c r="L537" s="22" t="n">
        <v>3.101</v>
      </c>
      <c r="M537" s="22" t="n">
        <v>3.116</v>
      </c>
      <c r="N537" s="22" t="n">
        <v>3.163</v>
      </c>
      <c r="O537" s="22" t="n">
        <v>3.211</v>
      </c>
      <c r="P537" s="22" t="n">
        <v>3.194</v>
      </c>
      <c r="Q537" s="22" t="n">
        <v>3.192</v>
      </c>
      <c r="R537" s="22" t="n">
        <v>3.243</v>
      </c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customFormat="false" ht="15" hidden="false" customHeight="false" outlineLevel="0" collapsed="false">
      <c r="A538" s="22" t="s">
        <v>186</v>
      </c>
      <c r="B538" s="22" t="s">
        <v>3</v>
      </c>
      <c r="C538" s="22" t="s">
        <v>186</v>
      </c>
      <c r="D538" s="22" t="n">
        <v>235084</v>
      </c>
      <c r="E538" s="22" t="s">
        <v>134</v>
      </c>
      <c r="F538" s="22" t="s">
        <v>135</v>
      </c>
      <c r="G538" s="22" t="s">
        <v>131</v>
      </c>
      <c r="H538" s="22" t="s">
        <v>131</v>
      </c>
      <c r="I538" s="22" t="n">
        <v>0.027</v>
      </c>
      <c r="J538" s="22" t="n">
        <v>0.0274</v>
      </c>
      <c r="K538" s="22" t="n">
        <v>0.0251</v>
      </c>
      <c r="L538" s="22" t="n">
        <v>0.0283</v>
      </c>
      <c r="M538" s="22" t="n">
        <v>0.0294</v>
      </c>
      <c r="N538" s="22" t="n">
        <v>0.0257</v>
      </c>
      <c r="O538" s="22" t="n">
        <v>0.0174</v>
      </c>
      <c r="P538" s="22" t="n">
        <v>0.0137</v>
      </c>
      <c r="Q538" s="22" t="n">
        <v>0.0088</v>
      </c>
      <c r="R538" s="22" t="n">
        <v>0.0118</v>
      </c>
      <c r="S538" s="22" t="n">
        <v>0.006</v>
      </c>
      <c r="T538" s="22" t="n">
        <v>0.011</v>
      </c>
      <c r="U538" s="22" t="n">
        <v>0.017</v>
      </c>
      <c r="V538" s="22" t="n">
        <v>0.02</v>
      </c>
      <c r="W538" s="22" t="n">
        <v>0.025</v>
      </c>
      <c r="X538" s="22" t="n">
        <v>0.026</v>
      </c>
      <c r="Y538" s="22" t="n">
        <v>0.027</v>
      </c>
      <c r="Z538" s="22" t="n">
        <v>0.024</v>
      </c>
      <c r="AA538" s="22" t="n">
        <v>0.025</v>
      </c>
      <c r="AB538" s="22" t="n">
        <v>0.027</v>
      </c>
      <c r="AC538" s="22" t="n">
        <v>0.027</v>
      </c>
      <c r="AD538" s="22" t="n">
        <v>0.025</v>
      </c>
      <c r="AE538" s="22" t="n">
        <v>0.024</v>
      </c>
      <c r="AF538" s="22" t="n">
        <v>0.027</v>
      </c>
    </row>
    <row r="539" customFormat="false" ht="15" hidden="false" customHeight="false" outlineLevel="0" collapsed="false">
      <c r="A539" s="22" t="s">
        <v>186</v>
      </c>
      <c r="B539" s="22" t="s">
        <v>3</v>
      </c>
      <c r="C539" s="22" t="s">
        <v>186</v>
      </c>
      <c r="D539" s="22" t="n">
        <v>235084</v>
      </c>
      <c r="E539" s="22" t="s">
        <v>136</v>
      </c>
      <c r="F539" s="22" t="s">
        <v>137</v>
      </c>
      <c r="G539" s="22" t="s">
        <v>131</v>
      </c>
      <c r="H539" s="22" t="s">
        <v>131</v>
      </c>
      <c r="I539" s="22" t="n">
        <v>79</v>
      </c>
      <c r="J539" s="22" t="n">
        <v>84</v>
      </c>
      <c r="K539" s="22" t="n">
        <v>83</v>
      </c>
      <c r="L539" s="22" t="n">
        <v>83</v>
      </c>
      <c r="M539" s="22" t="n">
        <v>78</v>
      </c>
      <c r="N539" s="22" t="n">
        <v>79</v>
      </c>
      <c r="O539" s="22" t="n">
        <v>93</v>
      </c>
      <c r="P539" s="22" t="n">
        <v>97</v>
      </c>
      <c r="Q539" s="22" t="n">
        <v>86</v>
      </c>
      <c r="R539" s="22" t="n">
        <v>76</v>
      </c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</row>
    <row r="540" customFormat="false" ht="15" hidden="false" customHeight="false" outlineLevel="0" collapsed="false">
      <c r="A540" s="22" t="s">
        <v>187</v>
      </c>
      <c r="B540" s="22" t="s">
        <v>3</v>
      </c>
      <c r="C540" s="22" t="s">
        <v>187</v>
      </c>
      <c r="D540" s="22" t="n">
        <v>235300</v>
      </c>
      <c r="E540" s="22" t="s">
        <v>129</v>
      </c>
      <c r="F540" s="22" t="s">
        <v>130</v>
      </c>
      <c r="G540" s="22" t="s">
        <v>131</v>
      </c>
      <c r="H540" s="22" t="s">
        <v>131</v>
      </c>
      <c r="I540" s="22" t="n">
        <v>2.30733762954628</v>
      </c>
      <c r="J540" s="22" t="n">
        <v>2.32666897711976</v>
      </c>
      <c r="K540" s="22" t="n">
        <v>2.37101022728846</v>
      </c>
      <c r="L540" s="22" t="n">
        <v>2.44036626306074</v>
      </c>
      <c r="M540" s="22" t="n">
        <v>2.43390696298599</v>
      </c>
      <c r="N540" s="22" t="n">
        <v>2.47562679140993</v>
      </c>
      <c r="O540" s="22" t="n">
        <v>2.50766389821381</v>
      </c>
      <c r="P540" s="22" t="n">
        <v>2.5122349065674</v>
      </c>
      <c r="Q540" s="22" t="n">
        <v>2.45415690164186</v>
      </c>
      <c r="R540" s="22" t="n">
        <v>2.40089935794678</v>
      </c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customFormat="false" ht="15" hidden="false" customHeight="false" outlineLevel="0" collapsed="false">
      <c r="A541" s="22" t="s">
        <v>187</v>
      </c>
      <c r="B541" s="22" t="s">
        <v>3</v>
      </c>
      <c r="C541" s="22" t="s">
        <v>187</v>
      </c>
      <c r="D541" s="22" t="n">
        <v>235300</v>
      </c>
      <c r="E541" s="22" t="s">
        <v>132</v>
      </c>
      <c r="F541" s="22" t="s">
        <v>6</v>
      </c>
      <c r="G541" s="22" t="s">
        <v>131</v>
      </c>
      <c r="H541" s="22" t="s">
        <v>131</v>
      </c>
      <c r="I541" s="22" t="n">
        <v>2.311</v>
      </c>
      <c r="J541" s="22" t="n">
        <v>2.355</v>
      </c>
      <c r="K541" s="22" t="n">
        <v>2.442</v>
      </c>
      <c r="L541" s="22" t="n">
        <v>2.458</v>
      </c>
      <c r="M541" s="22" t="n">
        <v>2.465</v>
      </c>
      <c r="N541" s="22" t="n">
        <v>2.532</v>
      </c>
      <c r="O541" s="22" t="n">
        <v>2.559</v>
      </c>
      <c r="P541" s="22" t="n">
        <v>2.55</v>
      </c>
      <c r="Q541" s="22" t="n">
        <v>2.543</v>
      </c>
      <c r="R541" s="22" t="n">
        <v>2.65</v>
      </c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customFormat="false" ht="15" hidden="false" customHeight="false" outlineLevel="0" collapsed="false">
      <c r="A542" s="22" t="s">
        <v>187</v>
      </c>
      <c r="B542" s="22" t="s">
        <v>3</v>
      </c>
      <c r="C542" s="22" t="s">
        <v>187</v>
      </c>
      <c r="D542" s="22" t="n">
        <v>235300</v>
      </c>
      <c r="E542" s="22" t="s">
        <v>132</v>
      </c>
      <c r="F542" s="22" t="s">
        <v>133</v>
      </c>
      <c r="G542" s="22" t="s">
        <v>131</v>
      </c>
      <c r="H542" s="22" t="s">
        <v>131</v>
      </c>
      <c r="I542" s="22" t="n">
        <v>62079</v>
      </c>
      <c r="J542" s="22" t="n">
        <v>62210</v>
      </c>
      <c r="K542" s="22" t="n">
        <v>62504</v>
      </c>
      <c r="L542" s="22" t="n">
        <v>62819</v>
      </c>
      <c r="M542" s="22" t="n">
        <v>63234</v>
      </c>
      <c r="N542" s="22" t="n">
        <v>63427</v>
      </c>
      <c r="O542" s="22" t="n">
        <v>63479</v>
      </c>
      <c r="P542" s="22" t="n">
        <v>63371</v>
      </c>
      <c r="Q542" s="22" t="n">
        <v>63602</v>
      </c>
      <c r="R542" s="22" t="n">
        <v>63804</v>
      </c>
      <c r="S542" s="22" t="n">
        <v>64094</v>
      </c>
      <c r="T542" s="22" t="n">
        <v>64161</v>
      </c>
      <c r="U542" s="22" t="n">
        <v>64266</v>
      </c>
      <c r="V542" s="22" t="n">
        <v>64443</v>
      </c>
      <c r="W542" s="22" t="n">
        <v>64566</v>
      </c>
      <c r="X542" s="22" t="n">
        <v>64472</v>
      </c>
      <c r="Y542" s="22" t="n">
        <v>64620</v>
      </c>
      <c r="Z542" s="22" t="n">
        <v>64639</v>
      </c>
      <c r="AA542" s="22" t="n">
        <v>64728</v>
      </c>
      <c r="AB542" s="22" t="n">
        <v>64639</v>
      </c>
      <c r="AC542" s="22" t="n">
        <v>64788</v>
      </c>
      <c r="AD542" s="22" t="n">
        <v>64815</v>
      </c>
      <c r="AE542" s="22" t="n">
        <v>64915</v>
      </c>
      <c r="AF542" s="22" t="n">
        <v>64838</v>
      </c>
    </row>
    <row r="543" customFormat="false" ht="15" hidden="false" customHeight="false" outlineLevel="0" collapsed="false">
      <c r="A543" s="22" t="s">
        <v>187</v>
      </c>
      <c r="B543" s="22" t="s">
        <v>3</v>
      </c>
      <c r="C543" s="22" t="s">
        <v>187</v>
      </c>
      <c r="D543" s="22" t="n">
        <v>235300</v>
      </c>
      <c r="E543" s="22" t="s">
        <v>132</v>
      </c>
      <c r="F543" s="22" t="s">
        <v>5</v>
      </c>
      <c r="G543" s="22" t="s">
        <v>131</v>
      </c>
      <c r="H543" s="22" t="s">
        <v>131</v>
      </c>
      <c r="I543" s="22" t="n">
        <v>2.357</v>
      </c>
      <c r="J543" s="22" t="n">
        <v>2.396</v>
      </c>
      <c r="K543" s="22" t="n">
        <v>2.484</v>
      </c>
      <c r="L543" s="22" t="n">
        <v>2.489</v>
      </c>
      <c r="M543" s="22" t="n">
        <v>2.492</v>
      </c>
      <c r="N543" s="22" t="n">
        <v>2.56</v>
      </c>
      <c r="O543" s="22" t="n">
        <v>2.6</v>
      </c>
      <c r="P543" s="22" t="n">
        <v>2.599</v>
      </c>
      <c r="Q543" s="22" t="n">
        <v>2.592</v>
      </c>
      <c r="R543" s="22" t="n">
        <v>2.714</v>
      </c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</row>
    <row r="544" customFormat="false" ht="15" hidden="false" customHeight="false" outlineLevel="0" collapsed="false">
      <c r="A544" s="22" t="s">
        <v>187</v>
      </c>
      <c r="B544" s="22" t="s">
        <v>3</v>
      </c>
      <c r="C544" s="22" t="s">
        <v>187</v>
      </c>
      <c r="D544" s="22" t="n">
        <v>235300</v>
      </c>
      <c r="E544" s="22" t="s">
        <v>134</v>
      </c>
      <c r="F544" s="22" t="s">
        <v>135</v>
      </c>
      <c r="G544" s="22" t="s">
        <v>131</v>
      </c>
      <c r="H544" s="22" t="s">
        <v>131</v>
      </c>
      <c r="I544" s="22" t="n">
        <v>0.047</v>
      </c>
      <c r="J544" s="22" t="n">
        <v>0.0467</v>
      </c>
      <c r="K544" s="22" t="n">
        <v>0.0575</v>
      </c>
      <c r="L544" s="22" t="n">
        <v>0.0619</v>
      </c>
      <c r="M544" s="22" t="n">
        <v>0.0648</v>
      </c>
      <c r="N544" s="22" t="n">
        <v>0.0588</v>
      </c>
      <c r="O544" s="22" t="n">
        <v>0.0134</v>
      </c>
      <c r="P544" s="22" t="n">
        <v>-0.0081</v>
      </c>
      <c r="Q544" s="22" t="n">
        <v>-0.016</v>
      </c>
      <c r="R544" s="22" t="n">
        <v>-0.0033</v>
      </c>
      <c r="S544" s="22" t="n">
        <v>0.004</v>
      </c>
      <c r="T544" s="22" t="n">
        <v>0.011</v>
      </c>
      <c r="U544" s="22" t="n">
        <v>0.019</v>
      </c>
      <c r="V544" s="22" t="n">
        <v>0.016</v>
      </c>
      <c r="W544" s="22" t="n">
        <v>0.015</v>
      </c>
      <c r="X544" s="22" t="n">
        <v>0.017</v>
      </c>
      <c r="Y544" s="22" t="n">
        <v>0.013</v>
      </c>
      <c r="Z544" s="22" t="n">
        <v>0.014</v>
      </c>
      <c r="AA544" s="22" t="n">
        <v>0.019</v>
      </c>
      <c r="AB544" s="22" t="n">
        <v>0.019</v>
      </c>
      <c r="AC544" s="22" t="n">
        <v>0.02</v>
      </c>
      <c r="AD544" s="22" t="n">
        <v>0.015</v>
      </c>
      <c r="AE544" s="22" t="n">
        <v>0.019</v>
      </c>
      <c r="AF544" s="22" t="n">
        <v>0.018</v>
      </c>
    </row>
    <row r="545" customFormat="false" ht="15" hidden="false" customHeight="false" outlineLevel="0" collapsed="false">
      <c r="A545" s="22" t="s">
        <v>187</v>
      </c>
      <c r="B545" s="22" t="s">
        <v>3</v>
      </c>
      <c r="C545" s="22" t="s">
        <v>187</v>
      </c>
      <c r="D545" s="22" t="n">
        <v>235300</v>
      </c>
      <c r="E545" s="22" t="s">
        <v>136</v>
      </c>
      <c r="F545" s="22" t="s">
        <v>137</v>
      </c>
      <c r="G545" s="22" t="s">
        <v>131</v>
      </c>
      <c r="H545" s="22" t="s">
        <v>131</v>
      </c>
      <c r="I545" s="22" t="n">
        <v>6</v>
      </c>
      <c r="J545" s="22" t="n">
        <v>4</v>
      </c>
      <c r="K545" s="22" t="n">
        <v>4</v>
      </c>
      <c r="L545" s="22" t="n">
        <v>2</v>
      </c>
      <c r="M545" s="22" t="n">
        <v>2</v>
      </c>
      <c r="N545" s="22" t="n">
        <v>4</v>
      </c>
      <c r="O545" s="22" t="n">
        <v>4</v>
      </c>
      <c r="P545" s="22" t="n">
        <v>5</v>
      </c>
      <c r="Q545" s="22" t="n">
        <v>4</v>
      </c>
      <c r="R545" s="22" t="n">
        <v>3</v>
      </c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</row>
    <row r="546" customFormat="false" ht="15" hidden="false" customHeight="false" outlineLevel="0" collapsed="false">
      <c r="A546" s="22" t="s">
        <v>83</v>
      </c>
      <c r="B546" s="22" t="s">
        <v>3</v>
      </c>
      <c r="C546" s="22" t="s">
        <v>83</v>
      </c>
      <c r="D546" s="22" t="n">
        <v>235380</v>
      </c>
      <c r="E546" s="22" t="s">
        <v>129</v>
      </c>
      <c r="F546" s="22" t="s">
        <v>130</v>
      </c>
      <c r="G546" s="22" t="s">
        <v>131</v>
      </c>
      <c r="H546" s="22" t="s">
        <v>131</v>
      </c>
      <c r="I546" s="22" t="n">
        <v>1.63322232020712</v>
      </c>
      <c r="J546" s="22" t="n">
        <v>1.61130846321016</v>
      </c>
      <c r="K546" s="22" t="n">
        <v>1.62174999007201</v>
      </c>
      <c r="L546" s="22" t="n">
        <v>1.63020953863318</v>
      </c>
      <c r="M546" s="22" t="n">
        <v>1.63131526669093</v>
      </c>
      <c r="N546" s="22" t="n">
        <v>1.61359195926338</v>
      </c>
      <c r="O546" s="22" t="n">
        <v>1.64276125367985</v>
      </c>
      <c r="P546" s="22" t="n">
        <v>1.64104744202106</v>
      </c>
      <c r="Q546" s="22" t="n">
        <v>1.67451098600676</v>
      </c>
      <c r="R546" s="22" t="n">
        <v>1.67035502222085</v>
      </c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</row>
    <row r="547" customFormat="false" ht="15" hidden="false" customHeight="false" outlineLevel="0" collapsed="false">
      <c r="A547" s="22" t="s">
        <v>83</v>
      </c>
      <c r="B547" s="22" t="s">
        <v>3</v>
      </c>
      <c r="C547" s="22" t="s">
        <v>83</v>
      </c>
      <c r="D547" s="22" t="n">
        <v>235380</v>
      </c>
      <c r="E547" s="22" t="s">
        <v>132</v>
      </c>
      <c r="F547" s="22" t="s">
        <v>6</v>
      </c>
      <c r="G547" s="22" t="s">
        <v>131</v>
      </c>
      <c r="H547" s="22" t="s">
        <v>131</v>
      </c>
      <c r="I547" s="22" t="n">
        <v>1.486</v>
      </c>
      <c r="J547" s="22" t="n">
        <v>1.507</v>
      </c>
      <c r="K547" s="22" t="n">
        <v>1.519</v>
      </c>
      <c r="L547" s="22" t="n">
        <v>1.498</v>
      </c>
      <c r="M547" s="22" t="n">
        <v>1.5</v>
      </c>
      <c r="N547" s="22" t="n">
        <v>1.55</v>
      </c>
      <c r="O547" s="22" t="n">
        <v>1.531</v>
      </c>
      <c r="P547" s="22" t="n">
        <v>1.514</v>
      </c>
      <c r="Q547" s="22" t="n">
        <v>1.526</v>
      </c>
      <c r="R547" s="22" t="n">
        <v>1.528</v>
      </c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customFormat="false" ht="15" hidden="false" customHeight="false" outlineLevel="0" collapsed="false">
      <c r="A548" s="22" t="s">
        <v>83</v>
      </c>
      <c r="B548" s="22" t="s">
        <v>3</v>
      </c>
      <c r="C548" s="22" t="s">
        <v>83</v>
      </c>
      <c r="D548" s="22" t="n">
        <v>235380</v>
      </c>
      <c r="E548" s="22" t="s">
        <v>132</v>
      </c>
      <c r="F548" s="22" t="s">
        <v>133</v>
      </c>
      <c r="G548" s="22" t="s">
        <v>131</v>
      </c>
      <c r="H548" s="22" t="s">
        <v>131</v>
      </c>
      <c r="I548" s="22" t="n">
        <v>82942</v>
      </c>
      <c r="J548" s="22" t="n">
        <v>82979</v>
      </c>
      <c r="K548" s="22" t="n">
        <v>82979</v>
      </c>
      <c r="L548" s="22" t="n">
        <v>83278</v>
      </c>
      <c r="M548" s="22" t="n">
        <v>83368</v>
      </c>
      <c r="N548" s="22" t="n">
        <v>83428</v>
      </c>
      <c r="O548" s="22" t="n">
        <v>83488</v>
      </c>
      <c r="P548" s="22" t="n">
        <v>83548</v>
      </c>
      <c r="Q548" s="22" t="n">
        <v>83568</v>
      </c>
      <c r="R548" s="22" t="n">
        <v>83568</v>
      </c>
      <c r="S548" s="22" t="n">
        <v>83568</v>
      </c>
      <c r="T548" s="22" t="n">
        <v>83568</v>
      </c>
      <c r="U548" s="22" t="n">
        <v>83628</v>
      </c>
      <c r="V548" s="22" t="n">
        <v>83628</v>
      </c>
      <c r="W548" s="22" t="n">
        <v>83807</v>
      </c>
      <c r="X548" s="22" t="n">
        <v>83806</v>
      </c>
      <c r="Y548" s="22" t="n">
        <v>83834</v>
      </c>
      <c r="Z548" s="22" t="n">
        <v>83901</v>
      </c>
      <c r="AA548" s="22" t="n">
        <v>84081</v>
      </c>
      <c r="AB548" s="22" t="n">
        <v>84086</v>
      </c>
      <c r="AC548" s="22" t="n">
        <v>84053</v>
      </c>
      <c r="AD548" s="22" t="n">
        <v>84121</v>
      </c>
      <c r="AE548" s="22" t="n">
        <v>84301</v>
      </c>
      <c r="AF548" s="22" t="n">
        <v>84295</v>
      </c>
    </row>
    <row r="549" customFormat="false" ht="15" hidden="false" customHeight="false" outlineLevel="0" collapsed="false">
      <c r="A549" s="22" t="s">
        <v>83</v>
      </c>
      <c r="B549" s="22" t="s">
        <v>3</v>
      </c>
      <c r="C549" s="22" t="s">
        <v>83</v>
      </c>
      <c r="D549" s="22" t="n">
        <v>235380</v>
      </c>
      <c r="E549" s="22" t="s">
        <v>132</v>
      </c>
      <c r="F549" s="22" t="s">
        <v>5</v>
      </c>
      <c r="G549" s="22" t="s">
        <v>131</v>
      </c>
      <c r="H549" s="22" t="s">
        <v>131</v>
      </c>
      <c r="I549" s="22" t="n">
        <v>1.499</v>
      </c>
      <c r="J549" s="22" t="n">
        <v>1.518</v>
      </c>
      <c r="K549" s="22" t="n">
        <v>1.534</v>
      </c>
      <c r="L549" s="22" t="n">
        <v>1.513</v>
      </c>
      <c r="M549" s="22" t="n">
        <v>1.512</v>
      </c>
      <c r="N549" s="22" t="n">
        <v>1.56</v>
      </c>
      <c r="O549" s="22" t="n">
        <v>1.544</v>
      </c>
      <c r="P549" s="22" t="n">
        <v>1.532</v>
      </c>
      <c r="Q549" s="22" t="n">
        <v>1.542</v>
      </c>
      <c r="R549" s="22" t="n">
        <v>1.545</v>
      </c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customFormat="false" ht="15" hidden="false" customHeight="false" outlineLevel="0" collapsed="false">
      <c r="A550" s="22" t="s">
        <v>83</v>
      </c>
      <c r="B550" s="22" t="s">
        <v>3</v>
      </c>
      <c r="C550" s="22" t="s">
        <v>83</v>
      </c>
      <c r="D550" s="22" t="n">
        <v>235380</v>
      </c>
      <c r="E550" s="22" t="s">
        <v>134</v>
      </c>
      <c r="F550" s="22" t="s">
        <v>135</v>
      </c>
      <c r="G550" s="22" t="s">
        <v>131</v>
      </c>
      <c r="H550" s="22" t="s">
        <v>131</v>
      </c>
      <c r="I550" s="22" t="n">
        <v>0.008</v>
      </c>
      <c r="J550" s="22" t="n">
        <v>0.0147</v>
      </c>
      <c r="K550" s="22" t="n">
        <v>0.005</v>
      </c>
      <c r="L550" s="22" t="n">
        <v>-0.0011</v>
      </c>
      <c r="M550" s="22" t="n">
        <v>0.0089</v>
      </c>
      <c r="N550" s="22" t="n">
        <v>0.0053</v>
      </c>
      <c r="O550" s="22" t="n">
        <v>-0.0143</v>
      </c>
      <c r="P550" s="22" t="n">
        <v>-0.0136</v>
      </c>
      <c r="Q550" s="22" t="n">
        <v>-0.0188</v>
      </c>
      <c r="R550" s="22" t="n">
        <v>-0.0248</v>
      </c>
      <c r="S550" s="22" t="n">
        <v>-0.021</v>
      </c>
      <c r="T550" s="22" t="n">
        <v>-0.016</v>
      </c>
      <c r="U550" s="22" t="n">
        <v>-0.01</v>
      </c>
      <c r="V550" s="22" t="n">
        <v>0.003</v>
      </c>
      <c r="W550" s="22" t="n">
        <v>0.024</v>
      </c>
      <c r="X550" s="22" t="n">
        <v>0.034</v>
      </c>
      <c r="Y550" s="22" t="n">
        <v>0.03</v>
      </c>
      <c r="Z550" s="22" t="n">
        <v>0.03</v>
      </c>
      <c r="AA550" s="22" t="n">
        <v>0.035</v>
      </c>
      <c r="AB550" s="22" t="n">
        <v>0.033</v>
      </c>
      <c r="AC550" s="22" t="n">
        <v>0.031</v>
      </c>
      <c r="AD550" s="22" t="n">
        <v>0.028</v>
      </c>
      <c r="AE550" s="22" t="n">
        <v>0.029</v>
      </c>
      <c r="AF550" s="22" t="n">
        <v>0.032</v>
      </c>
    </row>
    <row r="551" customFormat="false" ht="15" hidden="false" customHeight="false" outlineLevel="0" collapsed="false">
      <c r="A551" s="22" t="s">
        <v>83</v>
      </c>
      <c r="B551" s="22" t="s">
        <v>3</v>
      </c>
      <c r="C551" s="22" t="s">
        <v>83</v>
      </c>
      <c r="D551" s="22" t="n">
        <v>235380</v>
      </c>
      <c r="E551" s="22" t="s">
        <v>136</v>
      </c>
      <c r="F551" s="22" t="s">
        <v>137</v>
      </c>
      <c r="G551" s="22" t="s">
        <v>131</v>
      </c>
      <c r="H551" s="22" t="s">
        <v>131</v>
      </c>
      <c r="I551" s="22" t="n">
        <v>1</v>
      </c>
      <c r="J551" s="22" t="n">
        <v>1</v>
      </c>
      <c r="K551" s="22" t="n">
        <v>0</v>
      </c>
      <c r="L551" s="22" t="n">
        <v>0</v>
      </c>
      <c r="M551" s="22" t="n">
        <v>0</v>
      </c>
      <c r="N551" s="22" t="n">
        <v>0</v>
      </c>
      <c r="O551" s="22" t="n">
        <v>1</v>
      </c>
      <c r="P551" s="22" t="n">
        <v>1</v>
      </c>
      <c r="Q551" s="22" t="n">
        <v>1</v>
      </c>
      <c r="R551" s="22" t="n">
        <v>2</v>
      </c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customFormat="false" ht="15" hidden="false" customHeight="false" outlineLevel="0" collapsed="false">
      <c r="A552" s="22" t="s">
        <v>188</v>
      </c>
      <c r="B552" s="22" t="s">
        <v>3</v>
      </c>
      <c r="C552" s="22" t="s">
        <v>188</v>
      </c>
      <c r="D552" s="22" t="n">
        <v>235614</v>
      </c>
      <c r="E552" s="22" t="s">
        <v>129</v>
      </c>
      <c r="F552" s="22" t="s">
        <v>130</v>
      </c>
      <c r="G552" s="22" t="s">
        <v>131</v>
      </c>
      <c r="H552" s="22" t="s">
        <v>131</v>
      </c>
      <c r="I552" s="22" t="n">
        <v>4.56775520028308</v>
      </c>
      <c r="J552" s="22" t="n">
        <v>4.61037352645924</v>
      </c>
      <c r="K552" s="22" t="n">
        <v>4.60513968841439</v>
      </c>
      <c r="L552" s="22" t="n">
        <v>4.64029452281797</v>
      </c>
      <c r="M552" s="22" t="n">
        <v>4.6497888166275</v>
      </c>
      <c r="N552" s="22" t="n">
        <v>4.72881878360119</v>
      </c>
      <c r="O552" s="22" t="n">
        <v>4.82354672315269</v>
      </c>
      <c r="P552" s="22" t="n">
        <v>4.93601684918899</v>
      </c>
      <c r="Q552" s="22" t="n">
        <v>4.8901095196059</v>
      </c>
      <c r="R552" s="22" t="n">
        <v>4.97420773790444</v>
      </c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</row>
    <row r="553" customFormat="false" ht="15" hidden="false" customHeight="false" outlineLevel="0" collapsed="false">
      <c r="A553" s="22" t="s">
        <v>188</v>
      </c>
      <c r="B553" s="22" t="s">
        <v>3</v>
      </c>
      <c r="C553" s="22" t="s">
        <v>188</v>
      </c>
      <c r="D553" s="22" t="n">
        <v>235614</v>
      </c>
      <c r="E553" s="22" t="s">
        <v>132</v>
      </c>
      <c r="F553" s="22" t="s">
        <v>6</v>
      </c>
      <c r="G553" s="22" t="s">
        <v>131</v>
      </c>
      <c r="H553" s="22" t="s">
        <v>131</v>
      </c>
      <c r="I553" s="22" t="n">
        <v>5.492</v>
      </c>
      <c r="J553" s="22" t="n">
        <v>5.527</v>
      </c>
      <c r="K553" s="22" t="n">
        <v>5.628</v>
      </c>
      <c r="L553" s="22" t="n">
        <v>5.579</v>
      </c>
      <c r="M553" s="22" t="n">
        <v>5.582</v>
      </c>
      <c r="N553" s="22" t="n">
        <v>5.689</v>
      </c>
      <c r="O553" s="22" t="n">
        <v>5.695</v>
      </c>
      <c r="P553" s="22" t="n">
        <v>5.642</v>
      </c>
      <c r="Q553" s="22" t="n">
        <v>5.69</v>
      </c>
      <c r="R553" s="22" t="n">
        <v>5.823</v>
      </c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</row>
    <row r="554" customFormat="false" ht="15" hidden="false" customHeight="false" outlineLevel="0" collapsed="false">
      <c r="A554" s="22" t="s">
        <v>188</v>
      </c>
      <c r="B554" s="22" t="s">
        <v>3</v>
      </c>
      <c r="C554" s="22" t="s">
        <v>188</v>
      </c>
      <c r="D554" s="22" t="n">
        <v>235614</v>
      </c>
      <c r="E554" s="22" t="s">
        <v>132</v>
      </c>
      <c r="F554" s="22" t="s">
        <v>133</v>
      </c>
      <c r="G554" s="22" t="s">
        <v>131</v>
      </c>
      <c r="H554" s="22" t="s">
        <v>131</v>
      </c>
      <c r="I554" s="22" t="n">
        <v>1934257</v>
      </c>
      <c r="J554" s="22" t="n">
        <v>1938411</v>
      </c>
      <c r="K554" s="22" t="n">
        <v>1944489</v>
      </c>
      <c r="L554" s="22" t="n">
        <v>1949973</v>
      </c>
      <c r="M554" s="22" t="n">
        <v>1954580</v>
      </c>
      <c r="N554" s="22" t="n">
        <v>1961266</v>
      </c>
      <c r="O554" s="22" t="n">
        <v>1968633</v>
      </c>
      <c r="P554" s="22" t="n">
        <v>1974840</v>
      </c>
      <c r="Q554" s="22" t="n">
        <v>1978088</v>
      </c>
      <c r="R554" s="22" t="n">
        <v>1979840</v>
      </c>
      <c r="S554" s="22" t="n">
        <v>1983656</v>
      </c>
      <c r="T554" s="22" t="n">
        <v>1989970</v>
      </c>
      <c r="U554" s="22" t="n">
        <v>1992699</v>
      </c>
      <c r="V554" s="22" t="n">
        <v>1996253</v>
      </c>
      <c r="W554" s="22" t="n">
        <v>2002541</v>
      </c>
      <c r="X554" s="22" t="n">
        <v>2010175</v>
      </c>
      <c r="Y554" s="22" t="n">
        <v>2014620</v>
      </c>
      <c r="Z554" s="22" t="n">
        <v>2018740</v>
      </c>
      <c r="AA554" s="22" t="n">
        <v>2021834</v>
      </c>
      <c r="AB554" s="22" t="n">
        <v>2029613</v>
      </c>
      <c r="AC554" s="22" t="n">
        <v>2034174</v>
      </c>
      <c r="AD554" s="22" t="n">
        <v>2038547</v>
      </c>
      <c r="AE554" s="22" t="n">
        <v>2041773</v>
      </c>
      <c r="AF554" s="22" t="n">
        <v>2049508</v>
      </c>
    </row>
    <row r="555" customFormat="false" ht="15" hidden="false" customHeight="false" outlineLevel="0" collapsed="false">
      <c r="A555" s="22" t="s">
        <v>188</v>
      </c>
      <c r="B555" s="22" t="s">
        <v>3</v>
      </c>
      <c r="C555" s="22" t="s">
        <v>188</v>
      </c>
      <c r="D555" s="22" t="n">
        <v>235614</v>
      </c>
      <c r="E555" s="22" t="s">
        <v>132</v>
      </c>
      <c r="F555" s="22" t="s">
        <v>5</v>
      </c>
      <c r="G555" s="22" t="s">
        <v>131</v>
      </c>
      <c r="H555" s="22" t="s">
        <v>131</v>
      </c>
      <c r="I555" s="22" t="n">
        <v>5.53</v>
      </c>
      <c r="J555" s="22" t="n">
        <v>5.566</v>
      </c>
      <c r="K555" s="22" t="n">
        <v>5.679</v>
      </c>
      <c r="L555" s="22" t="n">
        <v>5.629</v>
      </c>
      <c r="M555" s="22" t="n">
        <v>5.643</v>
      </c>
      <c r="N555" s="22" t="n">
        <v>5.734</v>
      </c>
      <c r="O555" s="22" t="n">
        <v>5.756</v>
      </c>
      <c r="P555" s="22" t="n">
        <v>5.691</v>
      </c>
      <c r="Q555" s="22" t="n">
        <v>5.74</v>
      </c>
      <c r="R555" s="22" t="n">
        <v>5.867</v>
      </c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customFormat="false" ht="15" hidden="false" customHeight="false" outlineLevel="0" collapsed="false">
      <c r="A556" s="22" t="s">
        <v>188</v>
      </c>
      <c r="B556" s="22" t="s">
        <v>3</v>
      </c>
      <c r="C556" s="22" t="s">
        <v>188</v>
      </c>
      <c r="D556" s="22" t="n">
        <v>235614</v>
      </c>
      <c r="E556" s="22" t="s">
        <v>134</v>
      </c>
      <c r="F556" s="22" t="s">
        <v>135</v>
      </c>
      <c r="G556" s="22" t="s">
        <v>131</v>
      </c>
      <c r="H556" s="22" t="s">
        <v>131</v>
      </c>
      <c r="I556" s="22" t="n">
        <v>0.0208</v>
      </c>
      <c r="J556" s="22" t="n">
        <v>0.0183</v>
      </c>
      <c r="K556" s="22" t="n">
        <v>0.0151</v>
      </c>
      <c r="L556" s="22" t="n">
        <v>0.0151</v>
      </c>
      <c r="M556" s="22" t="n">
        <v>0.0204</v>
      </c>
      <c r="N556" s="22" t="n">
        <v>0.0371</v>
      </c>
      <c r="O556" s="22" t="n">
        <v>0.0328</v>
      </c>
      <c r="P556" s="22" t="n">
        <v>0.0374</v>
      </c>
      <c r="Q556" s="22" t="n">
        <v>0.0385</v>
      </c>
      <c r="R556" s="22" t="n">
        <v>0.0321</v>
      </c>
      <c r="S556" s="22" t="n">
        <v>0.026</v>
      </c>
      <c r="T556" s="22" t="n">
        <v>0.025</v>
      </c>
      <c r="U556" s="22" t="n">
        <v>0.026</v>
      </c>
      <c r="V556" s="22" t="n">
        <v>0.015</v>
      </c>
      <c r="W556" s="22" t="n">
        <v>0.016</v>
      </c>
      <c r="X556" s="22" t="n">
        <v>0.022</v>
      </c>
      <c r="Y556" s="22" t="n">
        <v>0.022</v>
      </c>
      <c r="Z556" s="22" t="n">
        <v>0.018</v>
      </c>
      <c r="AA556" s="22" t="n">
        <v>0.018</v>
      </c>
      <c r="AB556" s="22" t="n">
        <v>0.023</v>
      </c>
      <c r="AC556" s="22" t="n">
        <v>0.024</v>
      </c>
      <c r="AD556" s="22" t="n">
        <v>0.023</v>
      </c>
      <c r="AE556" s="22" t="n">
        <v>0.021</v>
      </c>
      <c r="AF556" s="22" t="n">
        <v>0.022</v>
      </c>
    </row>
    <row r="557" customFormat="false" ht="15" hidden="false" customHeight="false" outlineLevel="0" collapsed="false">
      <c r="A557" s="22" t="s">
        <v>188</v>
      </c>
      <c r="B557" s="22" t="s">
        <v>3</v>
      </c>
      <c r="C557" s="22" t="s">
        <v>188</v>
      </c>
      <c r="D557" s="22" t="n">
        <v>235614</v>
      </c>
      <c r="E557" s="22" t="s">
        <v>136</v>
      </c>
      <c r="F557" s="22" t="s">
        <v>137</v>
      </c>
      <c r="G557" s="22" t="s">
        <v>131</v>
      </c>
      <c r="H557" s="22" t="s">
        <v>131</v>
      </c>
      <c r="I557" s="22" t="n">
        <v>101</v>
      </c>
      <c r="J557" s="22" t="n">
        <v>105</v>
      </c>
      <c r="K557" s="22" t="n">
        <v>105</v>
      </c>
      <c r="L557" s="22" t="n">
        <v>97</v>
      </c>
      <c r="M557" s="22" t="n">
        <v>71</v>
      </c>
      <c r="N557" s="22" t="n">
        <v>51</v>
      </c>
      <c r="O557" s="22" t="n">
        <v>50</v>
      </c>
      <c r="P557" s="22" t="n">
        <v>48</v>
      </c>
      <c r="Q557" s="22" t="n">
        <v>44</v>
      </c>
      <c r="R557" s="22" t="n">
        <v>46</v>
      </c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</row>
    <row r="558" customFormat="false" ht="15" hidden="false" customHeight="false" outlineLevel="0" collapsed="false">
      <c r="A558" s="22" t="s">
        <v>189</v>
      </c>
      <c r="B558" s="22" t="s">
        <v>3</v>
      </c>
      <c r="C558" s="22" t="s">
        <v>189</v>
      </c>
      <c r="D558" s="22" t="n">
        <v>235840</v>
      </c>
      <c r="E558" s="22" t="s">
        <v>129</v>
      </c>
      <c r="F558" s="22" t="s">
        <v>130</v>
      </c>
      <c r="G558" s="22" t="s">
        <v>131</v>
      </c>
      <c r="H558" s="22" t="s">
        <v>131</v>
      </c>
      <c r="I558" s="22" t="n">
        <v>1.913602873228</v>
      </c>
      <c r="J558" s="22" t="n">
        <v>1.92250785851896</v>
      </c>
      <c r="K558" s="22" t="n">
        <v>1.91775797040076</v>
      </c>
      <c r="L558" s="22" t="n">
        <v>1.87942694224258</v>
      </c>
      <c r="M558" s="22" t="n">
        <v>1.8751032959133</v>
      </c>
      <c r="N558" s="22" t="n">
        <v>1.88317154372527</v>
      </c>
      <c r="O558" s="22" t="n">
        <v>1.86226027541023</v>
      </c>
      <c r="P558" s="22" t="n">
        <v>1.82992919699817</v>
      </c>
      <c r="Q558" s="22" t="n">
        <v>1.80509222535158</v>
      </c>
      <c r="R558" s="22" t="n">
        <v>1.78235487434899</v>
      </c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customFormat="false" ht="15" hidden="false" customHeight="false" outlineLevel="0" collapsed="false">
      <c r="A559" s="22" t="s">
        <v>189</v>
      </c>
      <c r="B559" s="22" t="s">
        <v>3</v>
      </c>
      <c r="C559" s="22" t="s">
        <v>189</v>
      </c>
      <c r="D559" s="22" t="n">
        <v>235840</v>
      </c>
      <c r="E559" s="22" t="s">
        <v>132</v>
      </c>
      <c r="F559" s="22" t="s">
        <v>6</v>
      </c>
      <c r="G559" s="22" t="s">
        <v>131</v>
      </c>
      <c r="H559" s="22" t="s">
        <v>131</v>
      </c>
      <c r="I559" s="22" t="n">
        <v>1.94</v>
      </c>
      <c r="J559" s="22" t="n">
        <v>1.922</v>
      </c>
      <c r="K559" s="22" t="n">
        <v>1.87</v>
      </c>
      <c r="L559" s="22" t="n">
        <v>1.873</v>
      </c>
      <c r="M559" s="22" t="n">
        <v>1.89</v>
      </c>
      <c r="N559" s="22" t="n">
        <v>1.845</v>
      </c>
      <c r="O559" s="22" t="n">
        <v>1.745</v>
      </c>
      <c r="P559" s="22" t="n">
        <v>1.699</v>
      </c>
      <c r="Q559" s="22" t="n">
        <v>1.713</v>
      </c>
      <c r="R559" s="22" t="n">
        <v>1.699</v>
      </c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</row>
    <row r="560" customFormat="false" ht="15" hidden="false" customHeight="false" outlineLevel="0" collapsed="false">
      <c r="A560" s="22" t="s">
        <v>189</v>
      </c>
      <c r="B560" s="22" t="s">
        <v>3</v>
      </c>
      <c r="C560" s="22" t="s">
        <v>189</v>
      </c>
      <c r="D560" s="22" t="n">
        <v>235840</v>
      </c>
      <c r="E560" s="22" t="s">
        <v>132</v>
      </c>
      <c r="F560" s="22" t="s">
        <v>133</v>
      </c>
      <c r="G560" s="22" t="s">
        <v>131</v>
      </c>
      <c r="H560" s="22" t="s">
        <v>131</v>
      </c>
      <c r="I560" s="22" t="n">
        <v>67871</v>
      </c>
      <c r="J560" s="22" t="n">
        <v>69805</v>
      </c>
      <c r="K560" s="22" t="n">
        <v>70970</v>
      </c>
      <c r="L560" s="22" t="n">
        <v>72327</v>
      </c>
      <c r="M560" s="22" t="n">
        <v>73411</v>
      </c>
      <c r="N560" s="22" t="n">
        <v>74484</v>
      </c>
      <c r="O560" s="22" t="n">
        <v>75864</v>
      </c>
      <c r="P560" s="22" t="n">
        <v>77169</v>
      </c>
      <c r="Q560" s="22" t="n">
        <v>77951</v>
      </c>
      <c r="R560" s="22" t="n">
        <v>78523</v>
      </c>
      <c r="S560" s="22" t="n">
        <v>79541</v>
      </c>
      <c r="T560" s="22" t="n">
        <v>80603</v>
      </c>
      <c r="U560" s="22" t="n">
        <v>81548</v>
      </c>
      <c r="V560" s="22" t="n">
        <v>82602</v>
      </c>
      <c r="W560" s="22" t="n">
        <v>83485</v>
      </c>
      <c r="X560" s="22" t="n">
        <v>84140</v>
      </c>
      <c r="Y560" s="22" t="n">
        <v>84244</v>
      </c>
      <c r="Z560" s="22" t="n">
        <v>84238</v>
      </c>
      <c r="AA560" s="22" t="n">
        <v>84966</v>
      </c>
      <c r="AB560" s="22" t="n">
        <v>85658</v>
      </c>
      <c r="AC560" s="22" t="n">
        <v>85704</v>
      </c>
      <c r="AD560" s="22" t="n">
        <v>85594</v>
      </c>
      <c r="AE560" s="22" t="n">
        <v>86193</v>
      </c>
      <c r="AF560" s="22" t="n">
        <v>86727</v>
      </c>
    </row>
    <row r="561" customFormat="false" ht="15" hidden="false" customHeight="false" outlineLevel="0" collapsed="false">
      <c r="A561" s="22" t="s">
        <v>189</v>
      </c>
      <c r="B561" s="22" t="s">
        <v>3</v>
      </c>
      <c r="C561" s="22" t="s">
        <v>189</v>
      </c>
      <c r="D561" s="22" t="n">
        <v>235840</v>
      </c>
      <c r="E561" s="22" t="s">
        <v>132</v>
      </c>
      <c r="F561" s="22" t="s">
        <v>5</v>
      </c>
      <c r="G561" s="22" t="s">
        <v>131</v>
      </c>
      <c r="H561" s="22" t="s">
        <v>131</v>
      </c>
      <c r="I561" s="22" t="n">
        <v>1.965</v>
      </c>
      <c r="J561" s="22" t="n">
        <v>1.953</v>
      </c>
      <c r="K561" s="22" t="n">
        <v>1.921</v>
      </c>
      <c r="L561" s="22" t="n">
        <v>1.911</v>
      </c>
      <c r="M561" s="22" t="n">
        <v>1.929</v>
      </c>
      <c r="N561" s="22" t="n">
        <v>1.884</v>
      </c>
      <c r="O561" s="22" t="n">
        <v>1.81</v>
      </c>
      <c r="P561" s="22" t="n">
        <v>1.765</v>
      </c>
      <c r="Q561" s="22" t="n">
        <v>1.777</v>
      </c>
      <c r="R561" s="22" t="n">
        <v>1.793</v>
      </c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customFormat="false" ht="15" hidden="false" customHeight="false" outlineLevel="0" collapsed="false">
      <c r="A562" s="22" t="s">
        <v>189</v>
      </c>
      <c r="B562" s="22" t="s">
        <v>3</v>
      </c>
      <c r="C562" s="22" t="s">
        <v>189</v>
      </c>
      <c r="D562" s="22" t="n">
        <v>235840</v>
      </c>
      <c r="E562" s="22" t="s">
        <v>134</v>
      </c>
      <c r="F562" s="22" t="s">
        <v>135</v>
      </c>
      <c r="G562" s="22" t="s">
        <v>131</v>
      </c>
      <c r="H562" s="22" t="s">
        <v>131</v>
      </c>
      <c r="I562" s="22" t="n">
        <v>-0.0494</v>
      </c>
      <c r="J562" s="22" t="n">
        <v>-0.0486</v>
      </c>
      <c r="K562" s="22" t="n">
        <v>-0.0395</v>
      </c>
      <c r="L562" s="22" t="n">
        <v>-0.0317</v>
      </c>
      <c r="M562" s="22" t="n">
        <v>-0.0276</v>
      </c>
      <c r="N562" s="22" t="n">
        <v>-0.0404</v>
      </c>
      <c r="O562" s="22" t="n">
        <v>-0.067</v>
      </c>
      <c r="P562" s="22" t="n">
        <v>-0.0902</v>
      </c>
      <c r="Q562" s="22" t="n">
        <v>-0.0888</v>
      </c>
      <c r="R562" s="22" t="n">
        <v>-0.0815</v>
      </c>
      <c r="S562" s="22" t="n">
        <v>-0.074</v>
      </c>
      <c r="T562" s="22" t="n">
        <v>-0.068</v>
      </c>
      <c r="U562" s="22" t="n">
        <v>-0.052</v>
      </c>
      <c r="V562" s="22" t="n">
        <v>-0.028</v>
      </c>
      <c r="W562" s="22" t="n">
        <v>0.006</v>
      </c>
      <c r="X562" s="22" t="n">
        <v>0.033</v>
      </c>
      <c r="Y562" s="22" t="n">
        <v>0.047</v>
      </c>
      <c r="Z562" s="22" t="n">
        <v>0.033</v>
      </c>
      <c r="AA562" s="22" t="n">
        <v>0.037</v>
      </c>
      <c r="AB562" s="22" t="n">
        <v>0.031</v>
      </c>
      <c r="AC562" s="22" t="n">
        <v>0.031</v>
      </c>
      <c r="AD562" s="22" t="n">
        <v>0.032</v>
      </c>
      <c r="AE562" s="22" t="n">
        <v>0.036</v>
      </c>
      <c r="AF562" s="22" t="n">
        <v>0.029</v>
      </c>
    </row>
    <row r="563" customFormat="false" ht="15" hidden="false" customHeight="false" outlineLevel="0" collapsed="false">
      <c r="A563" s="22" t="s">
        <v>189</v>
      </c>
      <c r="B563" s="22" t="s">
        <v>3</v>
      </c>
      <c r="C563" s="22" t="s">
        <v>189</v>
      </c>
      <c r="D563" s="22" t="n">
        <v>235840</v>
      </c>
      <c r="E563" s="22" t="s">
        <v>136</v>
      </c>
      <c r="F563" s="22" t="s">
        <v>137</v>
      </c>
      <c r="G563" s="22" t="s">
        <v>131</v>
      </c>
      <c r="H563" s="22" t="s">
        <v>131</v>
      </c>
      <c r="I563" s="22" t="n">
        <v>13</v>
      </c>
      <c r="J563" s="22" t="n">
        <v>15</v>
      </c>
      <c r="K563" s="22" t="n">
        <v>15</v>
      </c>
      <c r="L563" s="22" t="n">
        <v>13</v>
      </c>
      <c r="M563" s="22" t="n">
        <v>15</v>
      </c>
      <c r="N563" s="22" t="n">
        <v>16</v>
      </c>
      <c r="O563" s="22" t="n">
        <v>19</v>
      </c>
      <c r="P563" s="22" t="n">
        <v>20</v>
      </c>
      <c r="Q563" s="22" t="n">
        <v>15</v>
      </c>
      <c r="R563" s="22" t="n">
        <v>12</v>
      </c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</row>
    <row r="564" customFormat="false" ht="15" hidden="false" customHeight="false" outlineLevel="0" collapsed="false">
      <c r="A564" s="22" t="s">
        <v>190</v>
      </c>
      <c r="B564" s="22" t="s">
        <v>3</v>
      </c>
      <c r="C564" s="22" t="s">
        <v>190</v>
      </c>
      <c r="D564" s="22" t="n">
        <v>36084</v>
      </c>
      <c r="E564" s="22" t="s">
        <v>129</v>
      </c>
      <c r="F564" s="22" t="s">
        <v>130</v>
      </c>
      <c r="G564" s="22" t="s">
        <v>131</v>
      </c>
      <c r="H564" s="22" t="s">
        <v>131</v>
      </c>
      <c r="I564" s="22" t="n">
        <v>2.94778634865412</v>
      </c>
      <c r="J564" s="22" t="n">
        <v>2.95805769375546</v>
      </c>
      <c r="K564" s="22" t="n">
        <v>2.9896645652154</v>
      </c>
      <c r="L564" s="22" t="n">
        <v>3.00567301342553</v>
      </c>
      <c r="M564" s="22" t="n">
        <v>2.97881047960238</v>
      </c>
      <c r="N564" s="22" t="n">
        <v>3.03442136673864</v>
      </c>
      <c r="O564" s="22" t="n">
        <v>3.05320566791748</v>
      </c>
      <c r="P564" s="22" t="n">
        <v>3.0659419908005</v>
      </c>
      <c r="Q564" s="22" t="n">
        <v>3.05788745503686</v>
      </c>
      <c r="R564" s="22" t="n">
        <v>3.09129073126652</v>
      </c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customFormat="false" ht="15" hidden="false" customHeight="false" outlineLevel="0" collapsed="false">
      <c r="A565" s="22" t="s">
        <v>190</v>
      </c>
      <c r="B565" s="22" t="s">
        <v>3</v>
      </c>
      <c r="C565" s="22" t="s">
        <v>190</v>
      </c>
      <c r="D565" s="22" t="n">
        <v>36084</v>
      </c>
      <c r="E565" s="22" t="s">
        <v>132</v>
      </c>
      <c r="F565" s="22" t="s">
        <v>6</v>
      </c>
      <c r="G565" s="22" t="s">
        <v>131</v>
      </c>
      <c r="H565" s="22" t="s">
        <v>131</v>
      </c>
      <c r="I565" s="22" t="n">
        <v>3.066</v>
      </c>
      <c r="J565" s="22" t="n">
        <v>3.081</v>
      </c>
      <c r="K565" s="22" t="n">
        <v>3.077</v>
      </c>
      <c r="L565" s="22" t="n">
        <v>3.056</v>
      </c>
      <c r="M565" s="22" t="n">
        <v>3.093</v>
      </c>
      <c r="N565" s="22" t="n">
        <v>3.139</v>
      </c>
      <c r="O565" s="22" t="n">
        <v>3.157</v>
      </c>
      <c r="P565" s="22" t="n">
        <v>3.123</v>
      </c>
      <c r="Q565" s="22" t="n">
        <v>3.179</v>
      </c>
      <c r="R565" s="22" t="n">
        <v>3.282</v>
      </c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customFormat="false" ht="15" hidden="false" customHeight="false" outlineLevel="0" collapsed="false">
      <c r="A566" s="22" t="s">
        <v>190</v>
      </c>
      <c r="B566" s="22" t="s">
        <v>3</v>
      </c>
      <c r="C566" s="22" t="s">
        <v>190</v>
      </c>
      <c r="D566" s="22" t="n">
        <v>36084</v>
      </c>
      <c r="E566" s="22" t="s">
        <v>132</v>
      </c>
      <c r="F566" s="22" t="s">
        <v>133</v>
      </c>
      <c r="G566" s="22" t="s">
        <v>131</v>
      </c>
      <c r="H566" s="22" t="s">
        <v>131</v>
      </c>
      <c r="I566" s="22" t="n">
        <v>221648</v>
      </c>
      <c r="J566" s="22" t="n">
        <v>222471</v>
      </c>
      <c r="K566" s="22" t="n">
        <v>223118</v>
      </c>
      <c r="L566" s="22" t="n">
        <v>223403</v>
      </c>
      <c r="M566" s="22" t="n">
        <v>223804</v>
      </c>
      <c r="N566" s="22" t="n">
        <v>224241</v>
      </c>
      <c r="O566" s="22" t="n">
        <v>224333</v>
      </c>
      <c r="P566" s="22" t="n">
        <v>224552</v>
      </c>
      <c r="Q566" s="22" t="n">
        <v>224685</v>
      </c>
      <c r="R566" s="22" t="n">
        <v>224611</v>
      </c>
      <c r="S566" s="22" t="n">
        <v>224795</v>
      </c>
      <c r="T566" s="22" t="n">
        <v>224806</v>
      </c>
      <c r="U566" s="22" t="n">
        <v>224806</v>
      </c>
      <c r="V566" s="22" t="n">
        <v>225045</v>
      </c>
      <c r="W566" s="22" t="n">
        <v>225281</v>
      </c>
      <c r="X566" s="22" t="n">
        <v>225814</v>
      </c>
      <c r="Y566" s="22" t="n">
        <v>225940</v>
      </c>
      <c r="Z566" s="22" t="n">
        <v>226223</v>
      </c>
      <c r="AA566" s="22" t="n">
        <v>226467</v>
      </c>
      <c r="AB566" s="22" t="n">
        <v>226996</v>
      </c>
      <c r="AC566" s="22" t="n">
        <v>227108</v>
      </c>
      <c r="AD566" s="22" t="n">
        <v>227375</v>
      </c>
      <c r="AE566" s="22" t="n">
        <v>227602</v>
      </c>
      <c r="AF566" s="22" t="n">
        <v>228113</v>
      </c>
    </row>
    <row r="567" customFormat="false" ht="15" hidden="false" customHeight="false" outlineLevel="0" collapsed="false">
      <c r="A567" s="22" t="s">
        <v>190</v>
      </c>
      <c r="B567" s="22" t="s">
        <v>3</v>
      </c>
      <c r="C567" s="22" t="s">
        <v>190</v>
      </c>
      <c r="D567" s="22" t="n">
        <v>36084</v>
      </c>
      <c r="E567" s="22" t="s">
        <v>132</v>
      </c>
      <c r="F567" s="22" t="s">
        <v>5</v>
      </c>
      <c r="G567" s="22" t="s">
        <v>131</v>
      </c>
      <c r="H567" s="22" t="s">
        <v>131</v>
      </c>
      <c r="I567" s="22" t="n">
        <v>3.12</v>
      </c>
      <c r="J567" s="22" t="n">
        <v>3.131</v>
      </c>
      <c r="K567" s="22" t="n">
        <v>3.138</v>
      </c>
      <c r="L567" s="22" t="n">
        <v>3.115</v>
      </c>
      <c r="M567" s="22" t="n">
        <v>3.142</v>
      </c>
      <c r="N567" s="22" t="n">
        <v>3.189</v>
      </c>
      <c r="O567" s="22" t="n">
        <v>3.204</v>
      </c>
      <c r="P567" s="22" t="n">
        <v>3.178</v>
      </c>
      <c r="Q567" s="22" t="n">
        <v>3.231</v>
      </c>
      <c r="R567" s="22" t="n">
        <v>3.328</v>
      </c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</row>
    <row r="568" customFormat="false" ht="15" hidden="false" customHeight="false" outlineLevel="0" collapsed="false">
      <c r="A568" s="22" t="s">
        <v>190</v>
      </c>
      <c r="B568" s="22" t="s">
        <v>3</v>
      </c>
      <c r="C568" s="22" t="s">
        <v>190</v>
      </c>
      <c r="D568" s="22" t="n">
        <v>36084</v>
      </c>
      <c r="E568" s="22" t="s">
        <v>134</v>
      </c>
      <c r="F568" s="22" t="s">
        <v>135</v>
      </c>
      <c r="G568" s="22" t="s">
        <v>131</v>
      </c>
      <c r="H568" s="22" t="s">
        <v>131</v>
      </c>
      <c r="I568" s="22" t="n">
        <v>-0.0138</v>
      </c>
      <c r="J568" s="22" t="n">
        <v>-0.0099</v>
      </c>
      <c r="K568" s="22" t="n">
        <v>-0.0132</v>
      </c>
      <c r="L568" s="22" t="n">
        <v>-0.0105</v>
      </c>
      <c r="M568" s="22" t="n">
        <v>0.0027</v>
      </c>
      <c r="N568" s="22" t="n">
        <v>0.0069</v>
      </c>
      <c r="O568" s="22" t="n">
        <v>0.014</v>
      </c>
      <c r="P568" s="22" t="n">
        <v>0.0092</v>
      </c>
      <c r="Q568" s="22" t="n">
        <v>0.0138</v>
      </c>
      <c r="R568" s="22" t="n">
        <v>0.0344</v>
      </c>
      <c r="S568" s="22" t="n">
        <v>0.034</v>
      </c>
      <c r="T568" s="22" t="n">
        <v>0.032</v>
      </c>
      <c r="U568" s="22" t="n">
        <v>0.028</v>
      </c>
      <c r="V568" s="22" t="n">
        <v>0.026</v>
      </c>
      <c r="W568" s="22" t="n">
        <v>0.028</v>
      </c>
      <c r="X568" s="22" t="n">
        <v>0.028</v>
      </c>
      <c r="Y568" s="22" t="n">
        <v>0.027</v>
      </c>
      <c r="Z568" s="22" t="n">
        <v>0.026</v>
      </c>
      <c r="AA568" s="22" t="n">
        <v>0.026</v>
      </c>
      <c r="AB568" s="22" t="n">
        <v>0.027</v>
      </c>
      <c r="AC568" s="22" t="n">
        <v>0.028</v>
      </c>
      <c r="AD568" s="22" t="n">
        <v>0.029</v>
      </c>
      <c r="AE568" s="22" t="n">
        <v>0.03</v>
      </c>
      <c r="AF568" s="22" t="n">
        <v>0.031</v>
      </c>
    </row>
    <row r="569" customFormat="false" ht="15" hidden="false" customHeight="false" outlineLevel="0" collapsed="false">
      <c r="A569" s="22" t="s">
        <v>190</v>
      </c>
      <c r="B569" s="22" t="s">
        <v>3</v>
      </c>
      <c r="C569" s="22" t="s">
        <v>190</v>
      </c>
      <c r="D569" s="22" t="n">
        <v>36084</v>
      </c>
      <c r="E569" s="22" t="s">
        <v>136</v>
      </c>
      <c r="F569" s="22" t="s">
        <v>137</v>
      </c>
      <c r="G569" s="22" t="s">
        <v>131</v>
      </c>
      <c r="H569" s="22" t="s">
        <v>131</v>
      </c>
      <c r="I569" s="22" t="n">
        <v>5</v>
      </c>
      <c r="J569" s="22" t="n">
        <v>6</v>
      </c>
      <c r="K569" s="22" t="n">
        <v>5</v>
      </c>
      <c r="L569" s="22" t="n">
        <v>3</v>
      </c>
      <c r="M569" s="22" t="n">
        <v>3</v>
      </c>
      <c r="N569" s="22" t="n">
        <v>3</v>
      </c>
      <c r="O569" s="22" t="n">
        <v>4</v>
      </c>
      <c r="P569" s="22" t="n">
        <v>5</v>
      </c>
      <c r="Q569" s="22" t="n">
        <v>5</v>
      </c>
      <c r="R569" s="22" t="n">
        <v>3</v>
      </c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</row>
    <row r="570" customFormat="false" ht="15" hidden="false" customHeight="false" outlineLevel="0" collapsed="false">
      <c r="A570" s="22" t="s">
        <v>58</v>
      </c>
      <c r="B570" s="22" t="s">
        <v>3</v>
      </c>
      <c r="C570" s="22" t="s">
        <v>58</v>
      </c>
      <c r="D570" s="22" t="n">
        <v>36420</v>
      </c>
      <c r="E570" s="22" t="s">
        <v>129</v>
      </c>
      <c r="F570" s="22" t="s">
        <v>130</v>
      </c>
      <c r="G570" s="22" t="s">
        <v>131</v>
      </c>
      <c r="H570" s="22" t="s">
        <v>131</v>
      </c>
      <c r="I570" s="22" t="n">
        <v>1.17714390344868</v>
      </c>
      <c r="J570" s="22" t="n">
        <v>1.23266787362725</v>
      </c>
      <c r="K570" s="22" t="n">
        <v>1.24325863714725</v>
      </c>
      <c r="L570" s="22" t="n">
        <v>1.26066404663737</v>
      </c>
      <c r="M570" s="22" t="n">
        <v>1.21091049668803</v>
      </c>
      <c r="N570" s="22" t="n">
        <v>1.21469631730077</v>
      </c>
      <c r="O570" s="22" t="n">
        <v>1.22598578536772</v>
      </c>
      <c r="P570" s="22" t="n">
        <v>1.26473507783946</v>
      </c>
      <c r="Q570" s="22" t="n">
        <v>1.26964153427895</v>
      </c>
      <c r="R570" s="22" t="n">
        <v>1.27461304398897</v>
      </c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customFormat="false" ht="15" hidden="false" customHeight="false" outlineLevel="0" collapsed="false">
      <c r="A571" s="22" t="s">
        <v>58</v>
      </c>
      <c r="B571" s="22" t="s">
        <v>3</v>
      </c>
      <c r="C571" s="22" t="s">
        <v>58</v>
      </c>
      <c r="D571" s="22" t="n">
        <v>36420</v>
      </c>
      <c r="E571" s="22" t="s">
        <v>132</v>
      </c>
      <c r="F571" s="22" t="s">
        <v>6</v>
      </c>
      <c r="G571" s="22" t="s">
        <v>131</v>
      </c>
      <c r="H571" s="22" t="s">
        <v>131</v>
      </c>
      <c r="I571" s="22" t="n">
        <v>1.174</v>
      </c>
      <c r="J571" s="22" t="n">
        <v>1.198</v>
      </c>
      <c r="K571" s="22" t="n">
        <v>1.218</v>
      </c>
      <c r="L571" s="22" t="n">
        <v>1.203</v>
      </c>
      <c r="M571" s="22" t="n">
        <v>1.195</v>
      </c>
      <c r="N571" s="22" t="n">
        <v>1.22</v>
      </c>
      <c r="O571" s="22" t="n">
        <v>1.227</v>
      </c>
      <c r="P571" s="22" t="n">
        <v>1.22</v>
      </c>
      <c r="Q571" s="22" t="n">
        <v>1.224</v>
      </c>
      <c r="R571" s="22" t="n">
        <v>1.232</v>
      </c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customFormat="false" ht="15" hidden="false" customHeight="false" outlineLevel="0" collapsed="false">
      <c r="A572" s="22" t="s">
        <v>58</v>
      </c>
      <c r="B572" s="22" t="s">
        <v>3</v>
      </c>
      <c r="C572" s="22" t="s">
        <v>58</v>
      </c>
      <c r="D572" s="22" t="n">
        <v>36420</v>
      </c>
      <c r="E572" s="22" t="s">
        <v>132</v>
      </c>
      <c r="F572" s="22" t="s">
        <v>133</v>
      </c>
      <c r="G572" s="22" t="s">
        <v>131</v>
      </c>
      <c r="H572" s="22" t="s">
        <v>131</v>
      </c>
      <c r="I572" s="22" t="n">
        <v>101832</v>
      </c>
      <c r="J572" s="22" t="n">
        <v>102376</v>
      </c>
      <c r="K572" s="22" t="n">
        <v>102907</v>
      </c>
      <c r="L572" s="22" t="n">
        <v>103507</v>
      </c>
      <c r="M572" s="22" t="n">
        <v>103996</v>
      </c>
      <c r="N572" s="22" t="n">
        <v>104043</v>
      </c>
      <c r="O572" s="22" t="n">
        <v>104230</v>
      </c>
      <c r="P572" s="22" t="n">
        <v>104435</v>
      </c>
      <c r="Q572" s="22" t="n">
        <v>104619</v>
      </c>
      <c r="R572" s="22" t="n">
        <v>104807</v>
      </c>
      <c r="S572" s="22" t="n">
        <v>104857</v>
      </c>
      <c r="T572" s="22" t="n">
        <v>104857</v>
      </c>
      <c r="U572" s="22" t="n">
        <v>104906</v>
      </c>
      <c r="V572" s="22" t="n">
        <v>105053</v>
      </c>
      <c r="W572" s="22" t="n">
        <v>105293</v>
      </c>
      <c r="X572" s="22" t="n">
        <v>105355</v>
      </c>
      <c r="Y572" s="22" t="n">
        <v>105466</v>
      </c>
      <c r="Z572" s="22" t="n">
        <v>105638</v>
      </c>
      <c r="AA572" s="22" t="n">
        <v>105861</v>
      </c>
      <c r="AB572" s="22" t="n">
        <v>105902</v>
      </c>
      <c r="AC572" s="22" t="n">
        <v>105991</v>
      </c>
      <c r="AD572" s="22" t="n">
        <v>106145</v>
      </c>
      <c r="AE572" s="22" t="n">
        <v>106359</v>
      </c>
      <c r="AF572" s="22" t="n">
        <v>106397</v>
      </c>
    </row>
    <row r="573" customFormat="false" ht="15" hidden="false" customHeight="false" outlineLevel="0" collapsed="false">
      <c r="A573" s="22" t="s">
        <v>58</v>
      </c>
      <c r="B573" s="22" t="s">
        <v>3</v>
      </c>
      <c r="C573" s="22" t="s">
        <v>58</v>
      </c>
      <c r="D573" s="22" t="n">
        <v>36420</v>
      </c>
      <c r="E573" s="22" t="s">
        <v>132</v>
      </c>
      <c r="F573" s="22" t="s">
        <v>5</v>
      </c>
      <c r="G573" s="22" t="s">
        <v>131</v>
      </c>
      <c r="H573" s="22" t="s">
        <v>131</v>
      </c>
      <c r="I573" s="22" t="n">
        <v>1.183</v>
      </c>
      <c r="J573" s="22" t="n">
        <v>1.208</v>
      </c>
      <c r="K573" s="22" t="n">
        <v>1.225</v>
      </c>
      <c r="L573" s="22" t="n">
        <v>1.212</v>
      </c>
      <c r="M573" s="22" t="n">
        <v>1.207</v>
      </c>
      <c r="N573" s="22" t="n">
        <v>1.229</v>
      </c>
      <c r="O573" s="22" t="n">
        <v>1.236</v>
      </c>
      <c r="P573" s="22" t="n">
        <v>1.232</v>
      </c>
      <c r="Q573" s="22" t="n">
        <v>1.236</v>
      </c>
      <c r="R573" s="22" t="n">
        <v>1.244</v>
      </c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customFormat="false" ht="15" hidden="false" customHeight="false" outlineLevel="0" collapsed="false">
      <c r="A574" s="22" t="s">
        <v>58</v>
      </c>
      <c r="B574" s="22" t="s">
        <v>3</v>
      </c>
      <c r="C574" s="22" t="s">
        <v>58</v>
      </c>
      <c r="D574" s="22" t="n">
        <v>36420</v>
      </c>
      <c r="E574" s="22" t="s">
        <v>134</v>
      </c>
      <c r="F574" s="22" t="s">
        <v>135</v>
      </c>
      <c r="G574" s="22" t="s">
        <v>131</v>
      </c>
      <c r="H574" s="22" t="s">
        <v>131</v>
      </c>
      <c r="I574" s="22" t="n">
        <v>0.018</v>
      </c>
      <c r="J574" s="22" t="n">
        <v>0.0245</v>
      </c>
      <c r="K574" s="22" t="n">
        <v>0.0247</v>
      </c>
      <c r="L574" s="22" t="n">
        <v>0.0219</v>
      </c>
      <c r="M574" s="22" t="n">
        <v>0.0234</v>
      </c>
      <c r="N574" s="22" t="n">
        <v>0.0171</v>
      </c>
      <c r="O574" s="22" t="n">
        <v>0.0056</v>
      </c>
      <c r="P574" s="22" t="n">
        <v>0.0041</v>
      </c>
      <c r="Q574" s="22" t="n">
        <v>0.0052</v>
      </c>
      <c r="R574" s="22" t="n">
        <v>0.0036</v>
      </c>
      <c r="S574" s="22" t="n">
        <v>0.01</v>
      </c>
      <c r="T574" s="22" t="n">
        <v>0.016</v>
      </c>
      <c r="U574" s="22" t="n">
        <v>0.022</v>
      </c>
      <c r="V574" s="22" t="n">
        <v>0.032</v>
      </c>
      <c r="W574" s="22" t="n">
        <v>0.039</v>
      </c>
      <c r="X574" s="22" t="n">
        <v>0.037</v>
      </c>
      <c r="Y574" s="22" t="n">
        <v>0.034</v>
      </c>
      <c r="Z574" s="22" t="n">
        <v>0.034</v>
      </c>
      <c r="AA574" s="22" t="n">
        <v>0.037</v>
      </c>
      <c r="AB574" s="22" t="n">
        <v>0.041</v>
      </c>
      <c r="AC574" s="22" t="n">
        <v>0.041</v>
      </c>
      <c r="AD574" s="22" t="n">
        <v>0.037</v>
      </c>
      <c r="AE574" s="22" t="n">
        <v>0.036</v>
      </c>
      <c r="AF574" s="22" t="n">
        <v>0.04</v>
      </c>
    </row>
    <row r="575" customFormat="false" ht="15" hidden="false" customHeight="false" outlineLevel="0" collapsed="false">
      <c r="A575" s="22" t="s">
        <v>58</v>
      </c>
      <c r="B575" s="22" t="s">
        <v>3</v>
      </c>
      <c r="C575" s="22" t="s">
        <v>58</v>
      </c>
      <c r="D575" s="22" t="n">
        <v>36420</v>
      </c>
      <c r="E575" s="22" t="s">
        <v>136</v>
      </c>
      <c r="F575" s="22" t="s">
        <v>137</v>
      </c>
      <c r="G575" s="22" t="s">
        <v>131</v>
      </c>
      <c r="H575" s="22" t="s">
        <v>131</v>
      </c>
      <c r="I575" s="22" t="n">
        <v>1</v>
      </c>
      <c r="J575" s="22" t="n">
        <v>2</v>
      </c>
      <c r="K575" s="22" t="n">
        <v>3</v>
      </c>
      <c r="L575" s="22" t="n">
        <v>4</v>
      </c>
      <c r="M575" s="22" t="n">
        <v>4</v>
      </c>
      <c r="N575" s="22" t="n">
        <v>4</v>
      </c>
      <c r="O575" s="22" t="n">
        <v>2</v>
      </c>
      <c r="P575" s="22" t="n">
        <v>1</v>
      </c>
      <c r="Q575" s="22" t="n">
        <v>1</v>
      </c>
      <c r="R575" s="22" t="n">
        <v>0</v>
      </c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customFormat="false" ht="15" hidden="false" customHeight="false" outlineLevel="0" collapsed="false">
      <c r="A576" s="22" t="s">
        <v>34</v>
      </c>
      <c r="B576" s="22" t="s">
        <v>3</v>
      </c>
      <c r="C576" s="22" t="s">
        <v>34</v>
      </c>
      <c r="D576" s="22" t="n">
        <v>36540</v>
      </c>
      <c r="E576" s="22" t="s">
        <v>129</v>
      </c>
      <c r="F576" s="22" t="s">
        <v>130</v>
      </c>
      <c r="G576" s="22" t="s">
        <v>131</v>
      </c>
      <c r="H576" s="22" t="s">
        <v>131</v>
      </c>
      <c r="I576" s="22" t="n">
        <v>1.19846788158764</v>
      </c>
      <c r="J576" s="22" t="n">
        <v>1.22181010632451</v>
      </c>
      <c r="K576" s="22" t="n">
        <v>1.243297990982</v>
      </c>
      <c r="L576" s="22" t="n">
        <v>1.26765025126011</v>
      </c>
      <c r="M576" s="22" t="n">
        <v>1.27840258930343</v>
      </c>
      <c r="N576" s="22" t="n">
        <v>1.29664394444764</v>
      </c>
      <c r="O576" s="22" t="n">
        <v>1.34360694196956</v>
      </c>
      <c r="P576" s="22" t="n">
        <v>1.36515036559032</v>
      </c>
      <c r="Q576" s="22" t="n">
        <v>1.37129334170923</v>
      </c>
      <c r="R576" s="22" t="n">
        <v>1.38387713635167</v>
      </c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customFormat="false" ht="15" hidden="false" customHeight="false" outlineLevel="0" collapsed="false">
      <c r="A577" s="22" t="s">
        <v>34</v>
      </c>
      <c r="B577" s="22" t="s">
        <v>3</v>
      </c>
      <c r="C577" s="22" t="s">
        <v>34</v>
      </c>
      <c r="D577" s="22" t="n">
        <v>36540</v>
      </c>
      <c r="E577" s="22" t="s">
        <v>132</v>
      </c>
      <c r="F577" s="22" t="s">
        <v>6</v>
      </c>
      <c r="G577" s="22" t="s">
        <v>131</v>
      </c>
      <c r="H577" s="22" t="s">
        <v>131</v>
      </c>
      <c r="I577" s="22" t="n">
        <v>1.291</v>
      </c>
      <c r="J577" s="22" t="n">
        <v>1.321</v>
      </c>
      <c r="K577" s="22" t="n">
        <v>1.356</v>
      </c>
      <c r="L577" s="22" t="n">
        <v>1.359</v>
      </c>
      <c r="M577" s="22" t="n">
        <v>1.369</v>
      </c>
      <c r="N577" s="22" t="n">
        <v>1.407</v>
      </c>
      <c r="O577" s="22" t="n">
        <v>1.424</v>
      </c>
      <c r="P577" s="22" t="n">
        <v>1.411</v>
      </c>
      <c r="Q577" s="22" t="n">
        <v>1.415</v>
      </c>
      <c r="R577" s="22" t="n">
        <v>1.431</v>
      </c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customFormat="false" ht="15" hidden="false" customHeight="false" outlineLevel="0" collapsed="false">
      <c r="A578" s="22" t="s">
        <v>34</v>
      </c>
      <c r="B578" s="22" t="s">
        <v>3</v>
      </c>
      <c r="C578" s="22" t="s">
        <v>34</v>
      </c>
      <c r="D578" s="22" t="n">
        <v>36540</v>
      </c>
      <c r="E578" s="22" t="s">
        <v>132</v>
      </c>
      <c r="F578" s="22" t="s">
        <v>133</v>
      </c>
      <c r="G578" s="22" t="s">
        <v>131</v>
      </c>
      <c r="H578" s="22" t="s">
        <v>131</v>
      </c>
      <c r="I578" s="22" t="n">
        <v>88751</v>
      </c>
      <c r="J578" s="22" t="n">
        <v>89341</v>
      </c>
      <c r="K578" s="22" t="n">
        <v>90136</v>
      </c>
      <c r="L578" s="22" t="n">
        <v>90649</v>
      </c>
      <c r="M578" s="22" t="n">
        <v>91013</v>
      </c>
      <c r="N578" s="22" t="n">
        <v>91591</v>
      </c>
      <c r="O578" s="22" t="n">
        <v>92190</v>
      </c>
      <c r="P578" s="22" t="n">
        <v>93098</v>
      </c>
      <c r="Q578" s="22" t="n">
        <v>93414</v>
      </c>
      <c r="R578" s="22" t="n">
        <v>94200</v>
      </c>
      <c r="S578" s="22" t="n">
        <v>95139</v>
      </c>
      <c r="T578" s="22" t="n">
        <v>96051</v>
      </c>
      <c r="U578" s="22" t="n">
        <v>96641</v>
      </c>
      <c r="V578" s="22" t="n">
        <v>97503</v>
      </c>
      <c r="W578" s="22" t="n">
        <v>98334</v>
      </c>
      <c r="X578" s="22" t="n">
        <v>99030</v>
      </c>
      <c r="Y578" s="22" t="n">
        <v>99296</v>
      </c>
      <c r="Z578" s="22" t="n">
        <v>99725</v>
      </c>
      <c r="AA578" s="22" t="n">
        <v>100357</v>
      </c>
      <c r="AB578" s="22" t="n">
        <v>101082</v>
      </c>
      <c r="AC578" s="22" t="n">
        <v>101396</v>
      </c>
      <c r="AD578" s="22" t="n">
        <v>101873</v>
      </c>
      <c r="AE578" s="22" t="n">
        <v>102535</v>
      </c>
      <c r="AF578" s="22" t="n">
        <v>103252</v>
      </c>
    </row>
    <row r="579" customFormat="false" ht="15" hidden="false" customHeight="false" outlineLevel="0" collapsed="false">
      <c r="A579" s="22" t="s">
        <v>34</v>
      </c>
      <c r="B579" s="22" t="s">
        <v>3</v>
      </c>
      <c r="C579" s="22" t="s">
        <v>34</v>
      </c>
      <c r="D579" s="22" t="n">
        <v>36540</v>
      </c>
      <c r="E579" s="22" t="s">
        <v>132</v>
      </c>
      <c r="F579" s="22" t="s">
        <v>5</v>
      </c>
      <c r="G579" s="22" t="s">
        <v>131</v>
      </c>
      <c r="H579" s="22" t="s">
        <v>131</v>
      </c>
      <c r="I579" s="22" t="n">
        <v>1.3</v>
      </c>
      <c r="J579" s="22" t="n">
        <v>1.327</v>
      </c>
      <c r="K579" s="22" t="n">
        <v>1.361</v>
      </c>
      <c r="L579" s="22" t="n">
        <v>1.369</v>
      </c>
      <c r="M579" s="22" t="n">
        <v>1.376</v>
      </c>
      <c r="N579" s="22" t="n">
        <v>1.413</v>
      </c>
      <c r="O579" s="22" t="n">
        <v>1.432</v>
      </c>
      <c r="P579" s="22" t="n">
        <v>1.425</v>
      </c>
      <c r="Q579" s="22" t="n">
        <v>1.432</v>
      </c>
      <c r="R579" s="22" t="n">
        <v>1.445</v>
      </c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customFormat="false" ht="15" hidden="false" customHeight="false" outlineLevel="0" collapsed="false">
      <c r="A580" s="22" t="s">
        <v>34</v>
      </c>
      <c r="B580" s="22" t="s">
        <v>3</v>
      </c>
      <c r="C580" s="22" t="s">
        <v>34</v>
      </c>
      <c r="D580" s="22" t="n">
        <v>36540</v>
      </c>
      <c r="E580" s="22" t="s">
        <v>134</v>
      </c>
      <c r="F580" s="22" t="s">
        <v>135</v>
      </c>
      <c r="G580" s="22" t="s">
        <v>131</v>
      </c>
      <c r="H580" s="22" t="s">
        <v>131</v>
      </c>
      <c r="I580" s="22" t="n">
        <v>0.0356</v>
      </c>
      <c r="J580" s="22" t="n">
        <v>0.0323</v>
      </c>
      <c r="K580" s="22" t="n">
        <v>0.0373</v>
      </c>
      <c r="L580" s="22" t="n">
        <v>0.0401</v>
      </c>
      <c r="M580" s="22" t="n">
        <v>0.041</v>
      </c>
      <c r="N580" s="22" t="n">
        <v>0.0461</v>
      </c>
      <c r="O580" s="22" t="n">
        <v>0.03</v>
      </c>
      <c r="P580" s="22" t="n">
        <v>0.0266</v>
      </c>
      <c r="Q580" s="22" t="n">
        <v>0.0222</v>
      </c>
      <c r="R580" s="22" t="n">
        <v>0.0086</v>
      </c>
      <c r="S580" s="22" t="n">
        <v>0.009</v>
      </c>
      <c r="T580" s="22" t="n">
        <v>0.018</v>
      </c>
      <c r="U580" s="22" t="n">
        <v>0.02</v>
      </c>
      <c r="V580" s="22" t="n">
        <v>0.028</v>
      </c>
      <c r="W580" s="22" t="n">
        <v>0.033</v>
      </c>
      <c r="X580" s="22" t="n">
        <v>0.034</v>
      </c>
      <c r="Y580" s="22" t="n">
        <v>0.034</v>
      </c>
      <c r="Z580" s="22" t="n">
        <v>0.029</v>
      </c>
      <c r="AA580" s="22" t="n">
        <v>0.029</v>
      </c>
      <c r="AB580" s="22" t="n">
        <v>0.034</v>
      </c>
      <c r="AC580" s="22" t="n">
        <v>0.035</v>
      </c>
      <c r="AD580" s="22" t="n">
        <v>0.03</v>
      </c>
      <c r="AE580" s="22" t="n">
        <v>0.031</v>
      </c>
      <c r="AF580" s="22" t="n">
        <v>0.034</v>
      </c>
    </row>
    <row r="581" customFormat="false" ht="15" hidden="false" customHeight="false" outlineLevel="0" collapsed="false">
      <c r="A581" s="22" t="s">
        <v>34</v>
      </c>
      <c r="B581" s="22" t="s">
        <v>3</v>
      </c>
      <c r="C581" s="22" t="s">
        <v>34</v>
      </c>
      <c r="D581" s="22" t="n">
        <v>36540</v>
      </c>
      <c r="E581" s="22" t="s">
        <v>136</v>
      </c>
      <c r="F581" s="22" t="s">
        <v>137</v>
      </c>
      <c r="G581" s="22" t="s">
        <v>131</v>
      </c>
      <c r="H581" s="22" t="s">
        <v>131</v>
      </c>
      <c r="I581" s="22" t="n">
        <v>11</v>
      </c>
      <c r="J581" s="22" t="n">
        <v>12</v>
      </c>
      <c r="K581" s="22" t="n">
        <v>14</v>
      </c>
      <c r="L581" s="22" t="n">
        <v>14</v>
      </c>
      <c r="M581" s="22" t="n">
        <v>18</v>
      </c>
      <c r="N581" s="22" t="n">
        <v>16</v>
      </c>
      <c r="O581" s="22" t="n">
        <v>25</v>
      </c>
      <c r="P581" s="22" t="n">
        <v>25</v>
      </c>
      <c r="Q581" s="22" t="n">
        <v>21</v>
      </c>
      <c r="R581" s="22" t="n">
        <v>20</v>
      </c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customFormat="false" ht="15" hidden="false" customHeight="false" outlineLevel="0" collapsed="false">
      <c r="A582" s="22" t="s">
        <v>65</v>
      </c>
      <c r="B582" s="22" t="s">
        <v>3</v>
      </c>
      <c r="C582" s="22" t="s">
        <v>65</v>
      </c>
      <c r="D582" s="22" t="n">
        <v>36740</v>
      </c>
      <c r="E582" s="22" t="s">
        <v>129</v>
      </c>
      <c r="F582" s="22" t="s">
        <v>130</v>
      </c>
      <c r="G582" s="22" t="s">
        <v>131</v>
      </c>
      <c r="H582" s="22" t="s">
        <v>131</v>
      </c>
      <c r="I582" s="22" t="n">
        <v>1.84122598726356</v>
      </c>
      <c r="J582" s="22" t="n">
        <v>1.83159313892867</v>
      </c>
      <c r="K582" s="22" t="n">
        <v>1.83445211914449</v>
      </c>
      <c r="L582" s="22" t="n">
        <v>1.83012115927638</v>
      </c>
      <c r="M582" s="22" t="n">
        <v>1.82415151277468</v>
      </c>
      <c r="N582" s="22" t="n">
        <v>1.82588525863261</v>
      </c>
      <c r="O582" s="22" t="n">
        <v>1.83057352796826</v>
      </c>
      <c r="P582" s="22" t="n">
        <v>1.83158391515184</v>
      </c>
      <c r="Q582" s="22" t="n">
        <v>1.8195423838962</v>
      </c>
      <c r="R582" s="22" t="n">
        <v>1.81163277224696</v>
      </c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customFormat="false" ht="15" hidden="false" customHeight="false" outlineLevel="0" collapsed="false">
      <c r="A583" s="22" t="s">
        <v>65</v>
      </c>
      <c r="B583" s="22" t="s">
        <v>3</v>
      </c>
      <c r="C583" s="22" t="s">
        <v>65</v>
      </c>
      <c r="D583" s="22" t="n">
        <v>36740</v>
      </c>
      <c r="E583" s="22" t="s">
        <v>132</v>
      </c>
      <c r="F583" s="22" t="s">
        <v>6</v>
      </c>
      <c r="G583" s="22" t="s">
        <v>131</v>
      </c>
      <c r="H583" s="22" t="s">
        <v>131</v>
      </c>
      <c r="I583" s="22" t="n">
        <v>1.809</v>
      </c>
      <c r="J583" s="22" t="n">
        <v>1.83</v>
      </c>
      <c r="K583" s="22" t="n">
        <v>1.825</v>
      </c>
      <c r="L583" s="22" t="n">
        <v>1.781</v>
      </c>
      <c r="M583" s="22" t="n">
        <v>1.787</v>
      </c>
      <c r="N583" s="22" t="n">
        <v>1.803</v>
      </c>
      <c r="O583" s="22" t="n">
        <v>1.783</v>
      </c>
      <c r="P583" s="22" t="n">
        <v>1.745</v>
      </c>
      <c r="Q583" s="22" t="n">
        <v>1.756</v>
      </c>
      <c r="R583" s="22" t="n">
        <v>1.776</v>
      </c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customFormat="false" ht="15" hidden="false" customHeight="false" outlineLevel="0" collapsed="false">
      <c r="A584" s="22" t="s">
        <v>65</v>
      </c>
      <c r="B584" s="22" t="s">
        <v>3</v>
      </c>
      <c r="C584" s="22" t="s">
        <v>65</v>
      </c>
      <c r="D584" s="22" t="n">
        <v>36740</v>
      </c>
      <c r="E584" s="22" t="s">
        <v>132</v>
      </c>
      <c r="F584" s="22" t="s">
        <v>133</v>
      </c>
      <c r="G584" s="22" t="s">
        <v>131</v>
      </c>
      <c r="H584" s="22" t="s">
        <v>131</v>
      </c>
      <c r="I584" s="22" t="n">
        <v>273028</v>
      </c>
      <c r="J584" s="22" t="n">
        <v>276464</v>
      </c>
      <c r="K584" s="22" t="n">
        <v>280518</v>
      </c>
      <c r="L584" s="22" t="n">
        <v>284469</v>
      </c>
      <c r="M584" s="22" t="n">
        <v>286409</v>
      </c>
      <c r="N584" s="22" t="n">
        <v>288426</v>
      </c>
      <c r="O584" s="22" t="n">
        <v>291110</v>
      </c>
      <c r="P584" s="22" t="n">
        <v>294137</v>
      </c>
      <c r="Q584" s="22" t="n">
        <v>295478</v>
      </c>
      <c r="R584" s="22" t="n">
        <v>297139</v>
      </c>
      <c r="S584" s="22" t="n">
        <v>298525</v>
      </c>
      <c r="T584" s="22" t="n">
        <v>300345</v>
      </c>
      <c r="U584" s="22" t="n">
        <v>302502</v>
      </c>
      <c r="V584" s="22" t="n">
        <v>304685</v>
      </c>
      <c r="W584" s="22" t="n">
        <v>306774</v>
      </c>
      <c r="X584" s="22" t="n">
        <v>308889</v>
      </c>
      <c r="Y584" s="22" t="n">
        <v>309729</v>
      </c>
      <c r="Z584" s="22" t="n">
        <v>311330</v>
      </c>
      <c r="AA584" s="22" t="n">
        <v>312502</v>
      </c>
      <c r="AB584" s="22" t="n">
        <v>314331</v>
      </c>
      <c r="AC584" s="22" t="n">
        <v>315046</v>
      </c>
      <c r="AD584" s="22" t="n">
        <v>316608</v>
      </c>
      <c r="AE584" s="22" t="n">
        <v>317717</v>
      </c>
      <c r="AF584" s="22" t="n">
        <v>319529</v>
      </c>
    </row>
    <row r="585" customFormat="false" ht="15" hidden="false" customHeight="false" outlineLevel="0" collapsed="false">
      <c r="A585" s="22" t="s">
        <v>65</v>
      </c>
      <c r="B585" s="22" t="s">
        <v>3</v>
      </c>
      <c r="C585" s="22" t="s">
        <v>65</v>
      </c>
      <c r="D585" s="22" t="n">
        <v>36740</v>
      </c>
      <c r="E585" s="22" t="s">
        <v>132</v>
      </c>
      <c r="F585" s="22" t="s">
        <v>5</v>
      </c>
      <c r="G585" s="22" t="s">
        <v>131</v>
      </c>
      <c r="H585" s="22" t="s">
        <v>131</v>
      </c>
      <c r="I585" s="22" t="n">
        <v>1.823</v>
      </c>
      <c r="J585" s="22" t="n">
        <v>1.845</v>
      </c>
      <c r="K585" s="22" t="n">
        <v>1.846</v>
      </c>
      <c r="L585" s="22" t="n">
        <v>1.803</v>
      </c>
      <c r="M585" s="22" t="n">
        <v>1.81</v>
      </c>
      <c r="N585" s="22" t="n">
        <v>1.829</v>
      </c>
      <c r="O585" s="22" t="n">
        <v>1.814</v>
      </c>
      <c r="P585" s="22" t="n">
        <v>1.785</v>
      </c>
      <c r="Q585" s="22" t="n">
        <v>1.795</v>
      </c>
      <c r="R585" s="22" t="n">
        <v>1.819</v>
      </c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customFormat="false" ht="15" hidden="false" customHeight="false" outlineLevel="0" collapsed="false">
      <c r="A586" s="22" t="s">
        <v>65</v>
      </c>
      <c r="B586" s="22" t="s">
        <v>3</v>
      </c>
      <c r="C586" s="22" t="s">
        <v>65</v>
      </c>
      <c r="D586" s="22" t="n">
        <v>36740</v>
      </c>
      <c r="E586" s="22" t="s">
        <v>134</v>
      </c>
      <c r="F586" s="22" t="s">
        <v>135</v>
      </c>
      <c r="G586" s="22" t="s">
        <v>131</v>
      </c>
      <c r="H586" s="22" t="s">
        <v>131</v>
      </c>
      <c r="I586" s="22" t="n">
        <v>-0.0427</v>
      </c>
      <c r="J586" s="22" t="n">
        <v>-0.0385</v>
      </c>
      <c r="K586" s="22" t="n">
        <v>-0.0271</v>
      </c>
      <c r="L586" s="22" t="n">
        <v>-0.0243</v>
      </c>
      <c r="M586" s="22" t="n">
        <v>-0.0174</v>
      </c>
      <c r="N586" s="22" t="n">
        <v>-0.0235</v>
      </c>
      <c r="O586" s="22" t="n">
        <v>-0.0341</v>
      </c>
      <c r="P586" s="22" t="n">
        <v>-0.0266</v>
      </c>
      <c r="Q586" s="22" t="n">
        <v>-0.0244</v>
      </c>
      <c r="R586" s="22" t="n">
        <v>-0.0208</v>
      </c>
      <c r="S586" s="22" t="n">
        <v>-0.015</v>
      </c>
      <c r="T586" s="22" t="n">
        <v>-0.007</v>
      </c>
      <c r="U586" s="22" t="n">
        <v>0</v>
      </c>
      <c r="V586" s="22" t="n">
        <v>0.015</v>
      </c>
      <c r="W586" s="22" t="n">
        <v>0.027</v>
      </c>
      <c r="X586" s="22" t="n">
        <v>0.025</v>
      </c>
      <c r="Y586" s="22" t="n">
        <v>0.022</v>
      </c>
      <c r="Z586" s="22" t="n">
        <v>0.023</v>
      </c>
      <c r="AA586" s="22" t="n">
        <v>0.031</v>
      </c>
      <c r="AB586" s="22" t="n">
        <v>0.032</v>
      </c>
      <c r="AC586" s="22" t="n">
        <v>0.032</v>
      </c>
      <c r="AD586" s="22" t="n">
        <v>0.03</v>
      </c>
      <c r="AE586" s="22" t="n">
        <v>0.033</v>
      </c>
      <c r="AF586" s="22" t="n">
        <v>0.038</v>
      </c>
    </row>
    <row r="587" customFormat="false" ht="15" hidden="false" customHeight="false" outlineLevel="0" collapsed="false">
      <c r="A587" s="22" t="s">
        <v>65</v>
      </c>
      <c r="B587" s="22" t="s">
        <v>3</v>
      </c>
      <c r="C587" s="22" t="s">
        <v>65</v>
      </c>
      <c r="D587" s="22" t="n">
        <v>36740</v>
      </c>
      <c r="E587" s="22" t="s">
        <v>136</v>
      </c>
      <c r="F587" s="22" t="s">
        <v>137</v>
      </c>
      <c r="G587" s="22" t="s">
        <v>131</v>
      </c>
      <c r="H587" s="22" t="s">
        <v>131</v>
      </c>
      <c r="I587" s="22" t="n">
        <v>24</v>
      </c>
      <c r="J587" s="22" t="n">
        <v>24</v>
      </c>
      <c r="K587" s="22" t="n">
        <v>21</v>
      </c>
      <c r="L587" s="22" t="n">
        <v>19</v>
      </c>
      <c r="M587" s="22" t="n">
        <v>26</v>
      </c>
      <c r="N587" s="22" t="n">
        <v>29</v>
      </c>
      <c r="O587" s="22" t="n">
        <v>28</v>
      </c>
      <c r="P587" s="22" t="n">
        <v>30</v>
      </c>
      <c r="Q587" s="22" t="n">
        <v>26</v>
      </c>
      <c r="R587" s="22" t="n">
        <v>19</v>
      </c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customFormat="false" ht="15" hidden="false" customHeight="false" outlineLevel="0" collapsed="false">
      <c r="A588" s="22" t="s">
        <v>191</v>
      </c>
      <c r="B588" s="22" t="s">
        <v>3</v>
      </c>
      <c r="C588" s="22" t="s">
        <v>191</v>
      </c>
      <c r="D588" s="22" t="n">
        <v>37100</v>
      </c>
      <c r="E588" s="22" t="s">
        <v>129</v>
      </c>
      <c r="F588" s="22" t="s">
        <v>130</v>
      </c>
      <c r="G588" s="22" t="s">
        <v>131</v>
      </c>
      <c r="H588" s="22" t="s">
        <v>131</v>
      </c>
      <c r="I588" s="22" t="n">
        <v>2.75885433665437</v>
      </c>
      <c r="J588" s="22" t="n">
        <v>2.80924757596921</v>
      </c>
      <c r="K588" s="22" t="n">
        <v>2.84483989596801</v>
      </c>
      <c r="L588" s="22" t="n">
        <v>2.91790782618142</v>
      </c>
      <c r="M588" s="22" t="n">
        <v>3.00080562972578</v>
      </c>
      <c r="N588" s="22" t="n">
        <v>3.10345595240258</v>
      </c>
      <c r="O588" s="22" t="n">
        <v>3.13369106123669</v>
      </c>
      <c r="P588" s="22" t="n">
        <v>3.15943461595844</v>
      </c>
      <c r="Q588" s="22" t="n">
        <v>3.24709015799446</v>
      </c>
      <c r="R588" s="22" t="n">
        <v>3.25772131639709</v>
      </c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customFormat="false" ht="15" hidden="false" customHeight="false" outlineLevel="0" collapsed="false">
      <c r="A589" s="22" t="s">
        <v>191</v>
      </c>
      <c r="B589" s="22" t="s">
        <v>3</v>
      </c>
      <c r="C589" s="22" t="s">
        <v>191</v>
      </c>
      <c r="D589" s="22" t="n">
        <v>37100</v>
      </c>
      <c r="E589" s="22" t="s">
        <v>132</v>
      </c>
      <c r="F589" s="22" t="s">
        <v>6</v>
      </c>
      <c r="G589" s="22" t="s">
        <v>131</v>
      </c>
      <c r="H589" s="22" t="s">
        <v>131</v>
      </c>
      <c r="I589" s="22" t="n">
        <v>3</v>
      </c>
      <c r="J589" s="22" t="n">
        <v>3.02</v>
      </c>
      <c r="K589" s="22" t="n">
        <v>3.049</v>
      </c>
      <c r="L589" s="22" t="n">
        <v>2.992</v>
      </c>
      <c r="M589" s="22" t="n">
        <v>3.043</v>
      </c>
      <c r="N589" s="22" t="n">
        <v>3.095</v>
      </c>
      <c r="O589" s="22" t="n">
        <v>3.03</v>
      </c>
      <c r="P589" s="22" t="n">
        <v>2.989</v>
      </c>
      <c r="Q589" s="22" t="n">
        <v>3.028</v>
      </c>
      <c r="R589" s="22" t="n">
        <v>3.036</v>
      </c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customFormat="false" ht="15" hidden="false" customHeight="false" outlineLevel="0" collapsed="false">
      <c r="A590" s="22" t="s">
        <v>191</v>
      </c>
      <c r="B590" s="22" t="s">
        <v>3</v>
      </c>
      <c r="C590" s="22" t="s">
        <v>191</v>
      </c>
      <c r="D590" s="22" t="n">
        <v>37100</v>
      </c>
      <c r="E590" s="22" t="s">
        <v>132</v>
      </c>
      <c r="F590" s="22" t="s">
        <v>133</v>
      </c>
      <c r="G590" s="22" t="s">
        <v>131</v>
      </c>
      <c r="H590" s="22" t="s">
        <v>131</v>
      </c>
      <c r="I590" s="22" t="n">
        <v>43984</v>
      </c>
      <c r="J590" s="22" t="n">
        <v>44137</v>
      </c>
      <c r="K590" s="22" t="n">
        <v>44295</v>
      </c>
      <c r="L590" s="22" t="n">
        <v>44441</v>
      </c>
      <c r="M590" s="22" t="n">
        <v>44559</v>
      </c>
      <c r="N590" s="22" t="n">
        <v>44830</v>
      </c>
      <c r="O590" s="22" t="n">
        <v>45108</v>
      </c>
      <c r="P590" s="22" t="n">
        <v>45369</v>
      </c>
      <c r="Q590" s="22" t="n">
        <v>45530</v>
      </c>
      <c r="R590" s="22" t="n">
        <v>45674</v>
      </c>
      <c r="S590" s="22" t="n">
        <v>45753</v>
      </c>
      <c r="T590" s="22" t="n">
        <v>45865</v>
      </c>
      <c r="U590" s="22" t="n">
        <v>45947</v>
      </c>
      <c r="V590" s="22" t="n">
        <v>46003</v>
      </c>
      <c r="W590" s="22" t="n">
        <v>46363</v>
      </c>
      <c r="X590" s="22" t="n">
        <v>46504</v>
      </c>
      <c r="Y590" s="22" t="n">
        <v>46719</v>
      </c>
      <c r="Z590" s="22" t="n">
        <v>46772</v>
      </c>
      <c r="AA590" s="22" t="n">
        <v>46954</v>
      </c>
      <c r="AB590" s="22" t="n">
        <v>46989</v>
      </c>
      <c r="AC590" s="22" t="n">
        <v>47231</v>
      </c>
      <c r="AD590" s="22" t="n">
        <v>47294</v>
      </c>
      <c r="AE590" s="22" t="n">
        <v>47479</v>
      </c>
      <c r="AF590" s="22" t="n">
        <v>47511</v>
      </c>
    </row>
    <row r="591" customFormat="false" ht="15" hidden="false" customHeight="false" outlineLevel="0" collapsed="false">
      <c r="A591" s="22" t="s">
        <v>191</v>
      </c>
      <c r="B591" s="22" t="s">
        <v>3</v>
      </c>
      <c r="C591" s="22" t="s">
        <v>191</v>
      </c>
      <c r="D591" s="22" t="n">
        <v>37100</v>
      </c>
      <c r="E591" s="22" t="s">
        <v>132</v>
      </c>
      <c r="F591" s="22" t="s">
        <v>5</v>
      </c>
      <c r="G591" s="22" t="s">
        <v>131</v>
      </c>
      <c r="H591" s="22" t="s">
        <v>131</v>
      </c>
      <c r="I591" s="22" t="n">
        <v>3.006</v>
      </c>
      <c r="J591" s="22" t="n">
        <v>3.029</v>
      </c>
      <c r="K591" s="22" t="n">
        <v>3.056</v>
      </c>
      <c r="L591" s="22" t="n">
        <v>3.001</v>
      </c>
      <c r="M591" s="22" t="n">
        <v>3.049</v>
      </c>
      <c r="N591" s="22" t="n">
        <v>3.102</v>
      </c>
      <c r="O591" s="22" t="n">
        <v>3.057</v>
      </c>
      <c r="P591" s="22" t="n">
        <v>3.01</v>
      </c>
      <c r="Q591" s="22" t="n">
        <v>3.043</v>
      </c>
      <c r="R591" s="22" t="n">
        <v>3.058</v>
      </c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customFormat="false" ht="15" hidden="false" customHeight="false" outlineLevel="0" collapsed="false">
      <c r="A592" s="22" t="s">
        <v>191</v>
      </c>
      <c r="B592" s="22" t="s">
        <v>3</v>
      </c>
      <c r="C592" s="22" t="s">
        <v>191</v>
      </c>
      <c r="D592" s="22" t="n">
        <v>37100</v>
      </c>
      <c r="E592" s="22" t="s">
        <v>134</v>
      </c>
      <c r="F592" s="22" t="s">
        <v>135</v>
      </c>
      <c r="G592" s="22" t="s">
        <v>131</v>
      </c>
      <c r="H592" s="22" t="s">
        <v>131</v>
      </c>
      <c r="I592" s="22" t="n">
        <v>0.0205</v>
      </c>
      <c r="J592" s="22" t="n">
        <v>0.0079</v>
      </c>
      <c r="K592" s="22" t="n">
        <v>0.0049</v>
      </c>
      <c r="L592" s="22" t="n">
        <v>-0.0059</v>
      </c>
      <c r="M592" s="22" t="n">
        <v>0.0128</v>
      </c>
      <c r="N592" s="22" t="n">
        <v>0.0246</v>
      </c>
      <c r="O592" s="22" t="n">
        <v>-0.0096</v>
      </c>
      <c r="P592" s="22" t="n">
        <v>-0.0032</v>
      </c>
      <c r="Q592" s="22" t="n">
        <v>-0.0061</v>
      </c>
      <c r="R592" s="22" t="n">
        <v>-0.0232</v>
      </c>
      <c r="S592" s="22" t="n">
        <v>-0.019</v>
      </c>
      <c r="T592" s="22" t="n">
        <v>-0.015</v>
      </c>
      <c r="U592" s="22" t="n">
        <v>-0.015</v>
      </c>
      <c r="V592" s="22" t="n">
        <v>-0.008</v>
      </c>
      <c r="W592" s="22" t="n">
        <v>0.006</v>
      </c>
      <c r="X592" s="22" t="n">
        <v>0.016</v>
      </c>
      <c r="Y592" s="22" t="n">
        <v>0.022</v>
      </c>
      <c r="Z592" s="22" t="n">
        <v>0.023</v>
      </c>
      <c r="AA592" s="22" t="n">
        <v>0.027</v>
      </c>
      <c r="AB592" s="22" t="n">
        <v>0.027</v>
      </c>
      <c r="AC592" s="22" t="n">
        <v>0.022</v>
      </c>
      <c r="AD592" s="22" t="n">
        <v>0.023</v>
      </c>
      <c r="AE592" s="22" t="n">
        <v>0.028</v>
      </c>
      <c r="AF592" s="22" t="n">
        <v>0.028</v>
      </c>
    </row>
    <row r="593" customFormat="false" ht="15" hidden="false" customHeight="false" outlineLevel="0" collapsed="false">
      <c r="A593" s="22" t="s">
        <v>191</v>
      </c>
      <c r="B593" s="22" t="s">
        <v>3</v>
      </c>
      <c r="C593" s="22" t="s">
        <v>191</v>
      </c>
      <c r="D593" s="22" t="n">
        <v>37100</v>
      </c>
      <c r="E593" s="22" t="s">
        <v>136</v>
      </c>
      <c r="F593" s="22" t="s">
        <v>137</v>
      </c>
      <c r="G593" s="22" t="s">
        <v>131</v>
      </c>
      <c r="H593" s="22" t="s">
        <v>131</v>
      </c>
      <c r="I593" s="22" t="n">
        <v>4</v>
      </c>
      <c r="J593" s="22" t="n">
        <v>4</v>
      </c>
      <c r="K593" s="22" t="n">
        <v>4</v>
      </c>
      <c r="L593" s="22" t="n">
        <v>3</v>
      </c>
      <c r="M593" s="22" t="n">
        <v>4</v>
      </c>
      <c r="N593" s="22" t="n">
        <v>4</v>
      </c>
      <c r="O593" s="22" t="n">
        <v>6</v>
      </c>
      <c r="P593" s="22" t="n">
        <v>3</v>
      </c>
      <c r="Q593" s="22" t="n">
        <v>2</v>
      </c>
      <c r="R593" s="22" t="n">
        <v>2</v>
      </c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customFormat="false" ht="15" hidden="false" customHeight="false" outlineLevel="0" collapsed="false">
      <c r="A594" s="22" t="s">
        <v>69</v>
      </c>
      <c r="B594" s="22" t="s">
        <v>3</v>
      </c>
      <c r="C594" s="22" t="s">
        <v>69</v>
      </c>
      <c r="D594" s="22" t="n">
        <v>37340</v>
      </c>
      <c r="E594" s="22" t="s">
        <v>129</v>
      </c>
      <c r="F594" s="22" t="s">
        <v>130</v>
      </c>
      <c r="G594" s="22" t="s">
        <v>131</v>
      </c>
      <c r="H594" s="22" t="s">
        <v>131</v>
      </c>
      <c r="I594" s="22" t="n">
        <v>1.69433538802385</v>
      </c>
      <c r="J594" s="22" t="n">
        <v>1.6822204155389</v>
      </c>
      <c r="K594" s="22" t="n">
        <v>1.70333651723488</v>
      </c>
      <c r="L594" s="22" t="n">
        <v>1.6833826245831</v>
      </c>
      <c r="M594" s="22" t="n">
        <v>1.67470653697762</v>
      </c>
      <c r="N594" s="22" t="n">
        <v>1.67730569224221</v>
      </c>
      <c r="O594" s="22" t="n">
        <v>1.7079597370978</v>
      </c>
      <c r="P594" s="22" t="n">
        <v>1.69585915235825</v>
      </c>
      <c r="Q594" s="22" t="n">
        <v>1.66422606421353</v>
      </c>
      <c r="R594" s="22" t="n">
        <v>1.66829754025293</v>
      </c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customFormat="false" ht="15" hidden="false" customHeight="false" outlineLevel="0" collapsed="false">
      <c r="A595" s="22" t="s">
        <v>69</v>
      </c>
      <c r="B595" s="22" t="s">
        <v>3</v>
      </c>
      <c r="C595" s="22" t="s">
        <v>69</v>
      </c>
      <c r="D595" s="22" t="n">
        <v>37340</v>
      </c>
      <c r="E595" s="22" t="s">
        <v>132</v>
      </c>
      <c r="F595" s="22" t="s">
        <v>6</v>
      </c>
      <c r="G595" s="22" t="s">
        <v>131</v>
      </c>
      <c r="H595" s="22" t="s">
        <v>131</v>
      </c>
      <c r="I595" s="22" t="n">
        <v>1.612</v>
      </c>
      <c r="J595" s="22" t="n">
        <v>1.632</v>
      </c>
      <c r="K595" s="22" t="n">
        <v>1.637</v>
      </c>
      <c r="L595" s="22" t="n">
        <v>1.641</v>
      </c>
      <c r="M595" s="22" t="n">
        <v>1.632</v>
      </c>
      <c r="N595" s="22" t="n">
        <v>1.648</v>
      </c>
      <c r="O595" s="22" t="n">
        <v>1.636</v>
      </c>
      <c r="P595" s="22" t="n">
        <v>1.623</v>
      </c>
      <c r="Q595" s="22" t="n">
        <v>1.628</v>
      </c>
      <c r="R595" s="22" t="n">
        <v>1.612</v>
      </c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customFormat="false" ht="15" hidden="false" customHeight="false" outlineLevel="0" collapsed="false">
      <c r="A596" s="22" t="s">
        <v>69</v>
      </c>
      <c r="B596" s="22" t="s">
        <v>3</v>
      </c>
      <c r="C596" s="22" t="s">
        <v>69</v>
      </c>
      <c r="D596" s="22" t="n">
        <v>37340</v>
      </c>
      <c r="E596" s="22" t="s">
        <v>132</v>
      </c>
      <c r="F596" s="22" t="s">
        <v>133</v>
      </c>
      <c r="G596" s="22" t="s">
        <v>131</v>
      </c>
      <c r="H596" s="22" t="s">
        <v>131</v>
      </c>
      <c r="I596" s="22" t="n">
        <v>40690</v>
      </c>
      <c r="J596" s="22" t="n">
        <v>41231</v>
      </c>
      <c r="K596" s="22" t="n">
        <v>42214</v>
      </c>
      <c r="L596" s="22" t="n">
        <v>43124</v>
      </c>
      <c r="M596" s="22" t="n">
        <v>43247</v>
      </c>
      <c r="N596" s="22" t="n">
        <v>43465</v>
      </c>
      <c r="O596" s="22" t="n">
        <v>43929</v>
      </c>
      <c r="P596" s="22" t="n">
        <v>44359</v>
      </c>
      <c r="Q596" s="22" t="n">
        <v>44625</v>
      </c>
      <c r="R596" s="22" t="n">
        <v>45134</v>
      </c>
      <c r="S596" s="22" t="n">
        <v>45649</v>
      </c>
      <c r="T596" s="22" t="n">
        <v>46121</v>
      </c>
      <c r="U596" s="22" t="n">
        <v>46662</v>
      </c>
      <c r="V596" s="22" t="n">
        <v>46919</v>
      </c>
      <c r="W596" s="22" t="n">
        <v>46919</v>
      </c>
      <c r="X596" s="22" t="n">
        <v>46919</v>
      </c>
      <c r="Y596" s="22" t="n">
        <v>47112</v>
      </c>
      <c r="Z596" s="22" t="n">
        <v>47351</v>
      </c>
      <c r="AA596" s="22" t="n">
        <v>47338</v>
      </c>
      <c r="AB596" s="22" t="n">
        <v>47322</v>
      </c>
      <c r="AC596" s="22" t="n">
        <v>47496</v>
      </c>
      <c r="AD596" s="22" t="n">
        <v>47710</v>
      </c>
      <c r="AE596" s="22" t="n">
        <v>47663</v>
      </c>
      <c r="AF596" s="22" t="n">
        <v>47612</v>
      </c>
    </row>
    <row r="597" customFormat="false" ht="15" hidden="false" customHeight="false" outlineLevel="0" collapsed="false">
      <c r="A597" s="22" t="s">
        <v>69</v>
      </c>
      <c r="B597" s="22" t="s">
        <v>3</v>
      </c>
      <c r="C597" s="22" t="s">
        <v>69</v>
      </c>
      <c r="D597" s="22" t="n">
        <v>37340</v>
      </c>
      <c r="E597" s="22" t="s">
        <v>132</v>
      </c>
      <c r="F597" s="22" t="s">
        <v>5</v>
      </c>
      <c r="G597" s="22" t="s">
        <v>131</v>
      </c>
      <c r="H597" s="22" t="s">
        <v>131</v>
      </c>
      <c r="I597" s="22" t="n">
        <v>1.641</v>
      </c>
      <c r="J597" s="22" t="n">
        <v>1.673</v>
      </c>
      <c r="K597" s="22" t="n">
        <v>1.677</v>
      </c>
      <c r="L597" s="22" t="n">
        <v>1.67</v>
      </c>
      <c r="M597" s="22" t="n">
        <v>1.666</v>
      </c>
      <c r="N597" s="22" t="n">
        <v>1.677</v>
      </c>
      <c r="O597" s="22" t="n">
        <v>1.669</v>
      </c>
      <c r="P597" s="22" t="n">
        <v>1.651</v>
      </c>
      <c r="Q597" s="22" t="n">
        <v>1.658</v>
      </c>
      <c r="R597" s="22" t="n">
        <v>1.66</v>
      </c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customFormat="false" ht="15" hidden="false" customHeight="false" outlineLevel="0" collapsed="false">
      <c r="A598" s="22" t="s">
        <v>69</v>
      </c>
      <c r="B598" s="22" t="s">
        <v>3</v>
      </c>
      <c r="C598" s="22" t="s">
        <v>69</v>
      </c>
      <c r="D598" s="22" t="n">
        <v>37340</v>
      </c>
      <c r="E598" s="22" t="s">
        <v>134</v>
      </c>
      <c r="F598" s="22" t="s">
        <v>135</v>
      </c>
      <c r="G598" s="22" t="s">
        <v>131</v>
      </c>
      <c r="H598" s="22" t="s">
        <v>131</v>
      </c>
      <c r="I598" s="22" t="n">
        <v>-0.0437</v>
      </c>
      <c r="J598" s="22" t="n">
        <v>-0.0332</v>
      </c>
      <c r="K598" s="22" t="n">
        <v>-0.0253</v>
      </c>
      <c r="L598" s="22" t="n">
        <v>0.0054</v>
      </c>
      <c r="M598" s="22" t="n">
        <v>-0.0017</v>
      </c>
      <c r="N598" s="22" t="n">
        <v>-0.0023</v>
      </c>
      <c r="O598" s="22" t="n">
        <v>-0.0089</v>
      </c>
      <c r="P598" s="22" t="n">
        <v>-0.0174</v>
      </c>
      <c r="Q598" s="22" t="n">
        <v>-0.011</v>
      </c>
      <c r="R598" s="22" t="n">
        <v>-0.0248</v>
      </c>
      <c r="S598" s="22" t="n">
        <v>-0.022</v>
      </c>
      <c r="T598" s="22" t="n">
        <v>-0.015</v>
      </c>
      <c r="U598" s="22" t="n">
        <v>-0.006</v>
      </c>
      <c r="V598" s="22" t="n">
        <v>0.007</v>
      </c>
      <c r="W598" s="22" t="n">
        <v>0.019</v>
      </c>
      <c r="X598" s="22" t="n">
        <v>0.021</v>
      </c>
      <c r="Y598" s="22" t="n">
        <v>0.025</v>
      </c>
      <c r="Z598" s="22" t="n">
        <v>0.029</v>
      </c>
      <c r="AA598" s="22" t="n">
        <v>0.033</v>
      </c>
      <c r="AB598" s="22" t="n">
        <v>0.036</v>
      </c>
      <c r="AC598" s="22" t="n">
        <v>0.037</v>
      </c>
      <c r="AD598" s="22" t="n">
        <v>0.037</v>
      </c>
      <c r="AE598" s="22" t="n">
        <v>0.038</v>
      </c>
      <c r="AF598" s="22" t="n">
        <v>0.039</v>
      </c>
    </row>
    <row r="599" customFormat="false" ht="15" hidden="false" customHeight="false" outlineLevel="0" collapsed="false">
      <c r="A599" s="22" t="s">
        <v>69</v>
      </c>
      <c r="B599" s="22" t="s">
        <v>3</v>
      </c>
      <c r="C599" s="22" t="s">
        <v>69</v>
      </c>
      <c r="D599" s="22" t="n">
        <v>37340</v>
      </c>
      <c r="E599" s="22" t="s">
        <v>136</v>
      </c>
      <c r="F599" s="22" t="s">
        <v>137</v>
      </c>
      <c r="G599" s="22" t="s">
        <v>131</v>
      </c>
      <c r="H599" s="22" t="s">
        <v>131</v>
      </c>
      <c r="I599" s="22" t="n">
        <v>3</v>
      </c>
      <c r="J599" s="22" t="n">
        <v>3</v>
      </c>
      <c r="K599" s="22" t="n">
        <v>6</v>
      </c>
      <c r="L599" s="22" t="n">
        <v>7</v>
      </c>
      <c r="M599" s="22" t="n">
        <v>10</v>
      </c>
      <c r="N599" s="22" t="n">
        <v>10</v>
      </c>
      <c r="O599" s="22" t="n">
        <v>6</v>
      </c>
      <c r="P599" s="22" t="n">
        <v>4</v>
      </c>
      <c r="Q599" s="22" t="n">
        <v>1</v>
      </c>
      <c r="R599" s="22" t="n">
        <v>0</v>
      </c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customFormat="false" ht="15" hidden="false" customHeight="false" outlineLevel="0" collapsed="false">
      <c r="A600" s="22" t="s">
        <v>192</v>
      </c>
      <c r="B600" s="22" t="s">
        <v>3</v>
      </c>
      <c r="C600" s="22" t="s">
        <v>192</v>
      </c>
      <c r="D600" s="22" t="n">
        <v>37860</v>
      </c>
      <c r="E600" s="22" t="s">
        <v>129</v>
      </c>
      <c r="F600" s="22" t="s">
        <v>130</v>
      </c>
      <c r="G600" s="22" t="s">
        <v>131</v>
      </c>
      <c r="H600" s="22" t="s">
        <v>131</v>
      </c>
      <c r="I600" s="22" t="n">
        <v>1.39666240102463</v>
      </c>
      <c r="J600" s="22" t="n">
        <v>1.39195905503061</v>
      </c>
      <c r="K600" s="22" t="n">
        <v>1.39995012005669</v>
      </c>
      <c r="L600" s="22" t="n">
        <v>1.39205753830329</v>
      </c>
      <c r="M600" s="22" t="n">
        <v>1.45978593891648</v>
      </c>
      <c r="N600" s="22" t="n">
        <v>1.49072824617746</v>
      </c>
      <c r="O600" s="22" t="n">
        <v>1.45700418534012</v>
      </c>
      <c r="P600" s="22" t="n">
        <v>1.45954005651607</v>
      </c>
      <c r="Q600" s="22" t="n">
        <v>1.45756547427376</v>
      </c>
      <c r="R600" s="22" t="n">
        <v>1.42683748437401</v>
      </c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customFormat="false" ht="15" hidden="false" customHeight="false" outlineLevel="0" collapsed="false">
      <c r="A601" s="22" t="s">
        <v>192</v>
      </c>
      <c r="B601" s="22" t="s">
        <v>3</v>
      </c>
      <c r="C601" s="22" t="s">
        <v>192</v>
      </c>
      <c r="D601" s="22" t="n">
        <v>37860</v>
      </c>
      <c r="E601" s="22" t="s">
        <v>132</v>
      </c>
      <c r="F601" s="22" t="s">
        <v>6</v>
      </c>
      <c r="G601" s="22" t="s">
        <v>131</v>
      </c>
      <c r="H601" s="22" t="s">
        <v>131</v>
      </c>
      <c r="I601" s="22" t="n">
        <v>1.414</v>
      </c>
      <c r="J601" s="22" t="n">
        <v>1.472</v>
      </c>
      <c r="K601" s="22" t="n">
        <v>1.512</v>
      </c>
      <c r="L601" s="22" t="n">
        <v>1.451</v>
      </c>
      <c r="M601" s="22" t="n">
        <v>1.448</v>
      </c>
      <c r="N601" s="22" t="n">
        <v>1.497</v>
      </c>
      <c r="O601" s="22" t="n">
        <v>1.502</v>
      </c>
      <c r="P601" s="22" t="n">
        <v>1.482</v>
      </c>
      <c r="Q601" s="22" t="n">
        <v>1.503</v>
      </c>
      <c r="R601" s="22" t="n">
        <v>1.529</v>
      </c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customFormat="false" ht="15" hidden="false" customHeight="false" outlineLevel="0" collapsed="false">
      <c r="A602" s="22" t="s">
        <v>192</v>
      </c>
      <c r="B602" s="22" t="s">
        <v>3</v>
      </c>
      <c r="C602" s="22" t="s">
        <v>192</v>
      </c>
      <c r="D602" s="22" t="n">
        <v>37860</v>
      </c>
      <c r="E602" s="22" t="s">
        <v>132</v>
      </c>
      <c r="F602" s="22" t="s">
        <v>133</v>
      </c>
      <c r="G602" s="22" t="s">
        <v>131</v>
      </c>
      <c r="H602" s="22" t="s">
        <v>131</v>
      </c>
      <c r="I602" s="22" t="n">
        <v>27348</v>
      </c>
      <c r="J602" s="22" t="n">
        <v>27642</v>
      </c>
      <c r="K602" s="22" t="n">
        <v>27914</v>
      </c>
      <c r="L602" s="22" t="n">
        <v>28215</v>
      </c>
      <c r="M602" s="22" t="n">
        <v>28650</v>
      </c>
      <c r="N602" s="22" t="n">
        <v>28923</v>
      </c>
      <c r="O602" s="22" t="n">
        <v>28974</v>
      </c>
      <c r="P602" s="22" t="n">
        <v>29069</v>
      </c>
      <c r="Q602" s="22" t="n">
        <v>29159</v>
      </c>
      <c r="R602" s="22" t="n">
        <v>29249</v>
      </c>
      <c r="S602" s="22" t="n">
        <v>29599</v>
      </c>
      <c r="T602" s="22" t="n">
        <v>29885</v>
      </c>
      <c r="U602" s="22" t="n">
        <v>29953</v>
      </c>
      <c r="V602" s="22" t="n">
        <v>30023</v>
      </c>
      <c r="W602" s="22" t="n">
        <v>30153</v>
      </c>
      <c r="X602" s="22" t="n">
        <v>30441</v>
      </c>
      <c r="Y602" s="22" t="n">
        <v>30465</v>
      </c>
      <c r="Z602" s="22" t="n">
        <v>30484</v>
      </c>
      <c r="AA602" s="22" t="n">
        <v>30585</v>
      </c>
      <c r="AB602" s="22" t="n">
        <v>30820</v>
      </c>
      <c r="AC602" s="22" t="n">
        <v>30826</v>
      </c>
      <c r="AD602" s="22" t="n">
        <v>30828</v>
      </c>
      <c r="AE602" s="22" t="n">
        <v>30918</v>
      </c>
      <c r="AF602" s="22" t="n">
        <v>31135</v>
      </c>
    </row>
    <row r="603" customFormat="false" ht="15" hidden="false" customHeight="false" outlineLevel="0" collapsed="false">
      <c r="A603" s="22" t="s">
        <v>192</v>
      </c>
      <c r="B603" s="22" t="s">
        <v>3</v>
      </c>
      <c r="C603" s="22" t="s">
        <v>192</v>
      </c>
      <c r="D603" s="22" t="n">
        <v>37860</v>
      </c>
      <c r="E603" s="22" t="s">
        <v>132</v>
      </c>
      <c r="F603" s="22" t="s">
        <v>5</v>
      </c>
      <c r="G603" s="22" t="s">
        <v>131</v>
      </c>
      <c r="H603" s="22" t="s">
        <v>131</v>
      </c>
      <c r="I603" s="22" t="n">
        <v>1.437</v>
      </c>
      <c r="J603" s="22" t="n">
        <v>1.498</v>
      </c>
      <c r="K603" s="22" t="n">
        <v>1.53</v>
      </c>
      <c r="L603" s="22" t="n">
        <v>1.475</v>
      </c>
      <c r="M603" s="22" t="n">
        <v>1.477</v>
      </c>
      <c r="N603" s="22" t="n">
        <v>1.519</v>
      </c>
      <c r="O603" s="22" t="n">
        <v>1.532</v>
      </c>
      <c r="P603" s="22" t="n">
        <v>1.516</v>
      </c>
      <c r="Q603" s="22" t="n">
        <v>1.534</v>
      </c>
      <c r="R603" s="22" t="n">
        <v>1.569</v>
      </c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customFormat="false" ht="15" hidden="false" customHeight="false" outlineLevel="0" collapsed="false">
      <c r="A604" s="22" t="s">
        <v>192</v>
      </c>
      <c r="B604" s="22" t="s">
        <v>3</v>
      </c>
      <c r="C604" s="22" t="s">
        <v>192</v>
      </c>
      <c r="D604" s="22" t="n">
        <v>37860</v>
      </c>
      <c r="E604" s="22" t="s">
        <v>134</v>
      </c>
      <c r="F604" s="22" t="s">
        <v>135</v>
      </c>
      <c r="G604" s="22" t="s">
        <v>131</v>
      </c>
      <c r="H604" s="22" t="s">
        <v>131</v>
      </c>
      <c r="I604" s="22" t="n">
        <v>-0.0276</v>
      </c>
      <c r="J604" s="22" t="n">
        <v>-0.0182</v>
      </c>
      <c r="K604" s="22" t="n">
        <v>0.0106</v>
      </c>
      <c r="L604" s="22" t="n">
        <v>0.0056</v>
      </c>
      <c r="M604" s="22" t="n">
        <v>0.0028</v>
      </c>
      <c r="N604" s="22" t="n">
        <v>-0.002</v>
      </c>
      <c r="O604" s="22" t="n">
        <v>-0.022</v>
      </c>
      <c r="P604" s="22" t="n">
        <v>-0.003</v>
      </c>
      <c r="Q604" s="22" t="n">
        <v>0.0083</v>
      </c>
      <c r="R604" s="22" t="n">
        <v>0.0068</v>
      </c>
      <c r="S604" s="22" t="n">
        <v>0.004</v>
      </c>
      <c r="T604" s="22" t="n">
        <v>-0.005</v>
      </c>
      <c r="U604" s="22" t="n">
        <v>0.003</v>
      </c>
      <c r="V604" s="22" t="n">
        <v>0.008</v>
      </c>
      <c r="W604" s="22" t="n">
        <v>0.015</v>
      </c>
      <c r="X604" s="22" t="n">
        <v>0.016</v>
      </c>
      <c r="Y604" s="22" t="n">
        <v>0.013</v>
      </c>
      <c r="Z604" s="22" t="n">
        <v>0.013</v>
      </c>
      <c r="AA604" s="22" t="n">
        <v>0.02</v>
      </c>
      <c r="AB604" s="22" t="n">
        <v>0.02</v>
      </c>
      <c r="AC604" s="22" t="n">
        <v>0.015</v>
      </c>
      <c r="AD604" s="22" t="n">
        <v>0.014</v>
      </c>
      <c r="AE604" s="22" t="n">
        <v>0.019</v>
      </c>
      <c r="AF604" s="22" t="n">
        <v>0.02</v>
      </c>
    </row>
    <row r="605" customFormat="false" ht="15" hidden="false" customHeight="false" outlineLevel="0" collapsed="false">
      <c r="A605" s="22" t="s">
        <v>192</v>
      </c>
      <c r="B605" s="22" t="s">
        <v>3</v>
      </c>
      <c r="C605" s="22" t="s">
        <v>192</v>
      </c>
      <c r="D605" s="22" t="n">
        <v>37860</v>
      </c>
      <c r="E605" s="22" t="s">
        <v>136</v>
      </c>
      <c r="F605" s="22" t="s">
        <v>137</v>
      </c>
      <c r="G605" s="22" t="s">
        <v>131</v>
      </c>
      <c r="H605" s="22" t="s">
        <v>131</v>
      </c>
      <c r="I605" s="22" t="n">
        <v>4</v>
      </c>
      <c r="J605" s="22" t="n">
        <v>3</v>
      </c>
      <c r="K605" s="22" t="n">
        <v>3</v>
      </c>
      <c r="L605" s="22" t="n">
        <v>2</v>
      </c>
      <c r="M605" s="22" t="n">
        <v>3</v>
      </c>
      <c r="N605" s="22" t="n">
        <v>2</v>
      </c>
      <c r="O605" s="22" t="n">
        <v>2</v>
      </c>
      <c r="P605" s="22" t="n">
        <v>3</v>
      </c>
      <c r="Q605" s="22" t="n">
        <v>1</v>
      </c>
      <c r="R605" s="22" t="n">
        <v>1</v>
      </c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customFormat="false" ht="15" hidden="false" customHeight="false" outlineLevel="0" collapsed="false">
      <c r="A606" s="22" t="s">
        <v>193</v>
      </c>
      <c r="B606" s="22" t="s">
        <v>3</v>
      </c>
      <c r="C606" s="22" t="s">
        <v>193</v>
      </c>
      <c r="D606" s="22" t="n">
        <v>37980</v>
      </c>
      <c r="E606" s="22" t="s">
        <v>129</v>
      </c>
      <c r="F606" s="22" t="s">
        <v>130</v>
      </c>
      <c r="G606" s="22" t="s">
        <v>131</v>
      </c>
      <c r="H606" s="22" t="s">
        <v>131</v>
      </c>
      <c r="I606" s="22" t="n">
        <v>2.0273039727212</v>
      </c>
      <c r="J606" s="22" t="n">
        <v>2.04920420137396</v>
      </c>
      <c r="K606" s="22" t="n">
        <v>2.06153645484236</v>
      </c>
      <c r="L606" s="22" t="n">
        <v>2.08003899583219</v>
      </c>
      <c r="M606" s="22" t="n">
        <v>2.11837851987017</v>
      </c>
      <c r="N606" s="22" t="n">
        <v>2.13916061208069</v>
      </c>
      <c r="O606" s="22" t="n">
        <v>2.16632304634274</v>
      </c>
      <c r="P606" s="22" t="n">
        <v>2.19382888290814</v>
      </c>
      <c r="Q606" s="22" t="n">
        <v>2.21327741699581</v>
      </c>
      <c r="R606" s="22" t="n">
        <v>2.24584910017559</v>
      </c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customFormat="false" ht="15" hidden="false" customHeight="false" outlineLevel="0" collapsed="false">
      <c r="A607" s="22" t="s">
        <v>193</v>
      </c>
      <c r="B607" s="22" t="s">
        <v>3</v>
      </c>
      <c r="C607" s="22" t="s">
        <v>193</v>
      </c>
      <c r="D607" s="22" t="n">
        <v>37980</v>
      </c>
      <c r="E607" s="22" t="s">
        <v>132</v>
      </c>
      <c r="F607" s="22" t="s">
        <v>6</v>
      </c>
      <c r="G607" s="22" t="s">
        <v>131</v>
      </c>
      <c r="H607" s="22" t="s">
        <v>131</v>
      </c>
      <c r="I607" s="22" t="n">
        <v>2.015</v>
      </c>
      <c r="J607" s="22" t="n">
        <v>2.045</v>
      </c>
      <c r="K607" s="22" t="n">
        <v>2.072</v>
      </c>
      <c r="L607" s="22" t="n">
        <v>2.058</v>
      </c>
      <c r="M607" s="22" t="n">
        <v>2.072</v>
      </c>
      <c r="N607" s="22" t="n">
        <v>2.124</v>
      </c>
      <c r="O607" s="22" t="n">
        <v>2.151</v>
      </c>
      <c r="P607" s="22" t="n">
        <v>2.131</v>
      </c>
      <c r="Q607" s="22" t="n">
        <v>2.153</v>
      </c>
      <c r="R607" s="22" t="n">
        <v>2.194</v>
      </c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customFormat="false" ht="15" hidden="false" customHeight="false" outlineLevel="0" collapsed="false">
      <c r="A608" s="22" t="s">
        <v>193</v>
      </c>
      <c r="B608" s="22" t="s">
        <v>3</v>
      </c>
      <c r="C608" s="22" t="s">
        <v>193</v>
      </c>
      <c r="D608" s="22" t="n">
        <v>37980</v>
      </c>
      <c r="E608" s="22" t="s">
        <v>132</v>
      </c>
      <c r="F608" s="22" t="s">
        <v>133</v>
      </c>
      <c r="G608" s="22" t="s">
        <v>131</v>
      </c>
      <c r="H608" s="22" t="s">
        <v>131</v>
      </c>
      <c r="I608" s="22" t="n">
        <v>410795</v>
      </c>
      <c r="J608" s="22" t="n">
        <v>413016</v>
      </c>
      <c r="K608" s="22" t="n">
        <v>415768</v>
      </c>
      <c r="L608" s="22" t="n">
        <v>419582</v>
      </c>
      <c r="M608" s="22" t="n">
        <v>421597</v>
      </c>
      <c r="N608" s="22" t="n">
        <v>423716</v>
      </c>
      <c r="O608" s="22" t="n">
        <v>426071</v>
      </c>
      <c r="P608" s="22" t="n">
        <v>427668</v>
      </c>
      <c r="Q608" s="22" t="n">
        <v>429181</v>
      </c>
      <c r="R608" s="22" t="n">
        <v>430604</v>
      </c>
      <c r="S608" s="22" t="n">
        <v>431817</v>
      </c>
      <c r="T608" s="22" t="n">
        <v>432657</v>
      </c>
      <c r="U608" s="22" t="n">
        <v>433612</v>
      </c>
      <c r="V608" s="22" t="n">
        <v>435116</v>
      </c>
      <c r="W608" s="22" t="n">
        <v>436777</v>
      </c>
      <c r="X608" s="22" t="n">
        <v>438216</v>
      </c>
      <c r="Y608" s="22" t="n">
        <v>439695</v>
      </c>
      <c r="Z608" s="22" t="n">
        <v>440764</v>
      </c>
      <c r="AA608" s="22" t="n">
        <v>441277</v>
      </c>
      <c r="AB608" s="22" t="n">
        <v>441837</v>
      </c>
      <c r="AC608" s="22" t="n">
        <v>443397</v>
      </c>
      <c r="AD608" s="22" t="n">
        <v>444612</v>
      </c>
      <c r="AE608" s="22" t="n">
        <v>445243</v>
      </c>
      <c r="AF608" s="22" t="n">
        <v>445868</v>
      </c>
    </row>
    <row r="609" customFormat="false" ht="15" hidden="false" customHeight="false" outlineLevel="0" collapsed="false">
      <c r="A609" s="22" t="s">
        <v>193</v>
      </c>
      <c r="B609" s="22" t="s">
        <v>3</v>
      </c>
      <c r="C609" s="22" t="s">
        <v>193</v>
      </c>
      <c r="D609" s="22" t="n">
        <v>37980</v>
      </c>
      <c r="E609" s="22" t="s">
        <v>132</v>
      </c>
      <c r="F609" s="22" t="s">
        <v>5</v>
      </c>
      <c r="G609" s="22" t="s">
        <v>131</v>
      </c>
      <c r="H609" s="22" t="s">
        <v>131</v>
      </c>
      <c r="I609" s="22" t="n">
        <v>2.034</v>
      </c>
      <c r="J609" s="22" t="n">
        <v>2.065</v>
      </c>
      <c r="K609" s="22" t="n">
        <v>2.09</v>
      </c>
      <c r="L609" s="22" t="n">
        <v>2.08</v>
      </c>
      <c r="M609" s="22" t="n">
        <v>2.092</v>
      </c>
      <c r="N609" s="22" t="n">
        <v>2.145</v>
      </c>
      <c r="O609" s="22" t="n">
        <v>2.174</v>
      </c>
      <c r="P609" s="22" t="n">
        <v>2.157</v>
      </c>
      <c r="Q609" s="22" t="n">
        <v>2.183</v>
      </c>
      <c r="R609" s="22" t="n">
        <v>2.221</v>
      </c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customFormat="false" ht="15" hidden="false" customHeight="false" outlineLevel="0" collapsed="false">
      <c r="A610" s="22" t="s">
        <v>193</v>
      </c>
      <c r="B610" s="22" t="s">
        <v>3</v>
      </c>
      <c r="C610" s="22" t="s">
        <v>193</v>
      </c>
      <c r="D610" s="22" t="n">
        <v>37980</v>
      </c>
      <c r="E610" s="22" t="s">
        <v>134</v>
      </c>
      <c r="F610" s="22" t="s">
        <v>135</v>
      </c>
      <c r="G610" s="22" t="s">
        <v>131</v>
      </c>
      <c r="H610" s="22" t="s">
        <v>131</v>
      </c>
      <c r="I610" s="22" t="n">
        <v>0.0155</v>
      </c>
      <c r="J610" s="22" t="n">
        <v>0.0165</v>
      </c>
      <c r="K610" s="22" t="n">
        <v>0.0165</v>
      </c>
      <c r="L610" s="22" t="n">
        <v>0.0148</v>
      </c>
      <c r="M610" s="22" t="n">
        <v>0.0249</v>
      </c>
      <c r="N610" s="22" t="n">
        <v>0.0214</v>
      </c>
      <c r="O610" s="22" t="n">
        <v>0.0168</v>
      </c>
      <c r="P610" s="22" t="n">
        <v>0.0143</v>
      </c>
      <c r="Q610" s="22" t="n">
        <v>0.0107</v>
      </c>
      <c r="R610" s="22" t="n">
        <v>0.0155</v>
      </c>
      <c r="S610" s="22" t="n">
        <v>0.019</v>
      </c>
      <c r="T610" s="22" t="n">
        <v>0.021</v>
      </c>
      <c r="U610" s="22" t="n">
        <v>0.022</v>
      </c>
      <c r="V610" s="22" t="n">
        <v>0.026</v>
      </c>
      <c r="W610" s="22" t="n">
        <v>0.032</v>
      </c>
      <c r="X610" s="22" t="n">
        <v>0.033</v>
      </c>
      <c r="Y610" s="22" t="n">
        <v>0.032</v>
      </c>
      <c r="Z610" s="22" t="n">
        <v>0.03</v>
      </c>
      <c r="AA610" s="22" t="n">
        <v>0.032</v>
      </c>
      <c r="AB610" s="22" t="n">
        <v>0.032</v>
      </c>
      <c r="AC610" s="22" t="n">
        <v>0.031</v>
      </c>
      <c r="AD610" s="22" t="n">
        <v>0.03</v>
      </c>
      <c r="AE610" s="22" t="n">
        <v>0.03</v>
      </c>
      <c r="AF610" s="22" t="n">
        <v>0.033</v>
      </c>
    </row>
    <row r="611" customFormat="false" ht="15" hidden="false" customHeight="false" outlineLevel="0" collapsed="false">
      <c r="A611" s="22" t="s">
        <v>193</v>
      </c>
      <c r="B611" s="22" t="s">
        <v>3</v>
      </c>
      <c r="C611" s="22" t="s">
        <v>193</v>
      </c>
      <c r="D611" s="22" t="n">
        <v>37980</v>
      </c>
      <c r="E611" s="22" t="s">
        <v>136</v>
      </c>
      <c r="F611" s="22" t="s">
        <v>137</v>
      </c>
      <c r="G611" s="22" t="s">
        <v>131</v>
      </c>
      <c r="H611" s="22" t="s">
        <v>131</v>
      </c>
      <c r="I611" s="22" t="n">
        <v>48</v>
      </c>
      <c r="J611" s="22" t="n">
        <v>42</v>
      </c>
      <c r="K611" s="22" t="n">
        <v>38</v>
      </c>
      <c r="L611" s="22" t="n">
        <v>32</v>
      </c>
      <c r="M611" s="22" t="n">
        <v>34</v>
      </c>
      <c r="N611" s="22" t="n">
        <v>38</v>
      </c>
      <c r="O611" s="22" t="n">
        <v>42</v>
      </c>
      <c r="P611" s="22" t="n">
        <v>49</v>
      </c>
      <c r="Q611" s="22" t="n">
        <v>49</v>
      </c>
      <c r="R611" s="22" t="n">
        <v>43</v>
      </c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customFormat="false" ht="15" hidden="false" customHeight="false" outlineLevel="0" collapsed="false">
      <c r="A612" s="22" t="s">
        <v>75</v>
      </c>
      <c r="B612" s="22" t="s">
        <v>3</v>
      </c>
      <c r="C612" s="22" t="s">
        <v>75</v>
      </c>
      <c r="D612" s="22" t="n">
        <v>38060</v>
      </c>
      <c r="E612" s="22" t="s">
        <v>129</v>
      </c>
      <c r="F612" s="22" t="s">
        <v>130</v>
      </c>
      <c r="G612" s="22" t="s">
        <v>131</v>
      </c>
      <c r="H612" s="22" t="s">
        <v>131</v>
      </c>
      <c r="I612" s="22" t="n">
        <v>1.82448458650295</v>
      </c>
      <c r="J612" s="22" t="n">
        <v>1.82368057211202</v>
      </c>
      <c r="K612" s="22" t="n">
        <v>1.81393828850215</v>
      </c>
      <c r="L612" s="22" t="n">
        <v>1.81531843557348</v>
      </c>
      <c r="M612" s="22" t="n">
        <v>1.80175763380053</v>
      </c>
      <c r="N612" s="22" t="n">
        <v>1.79416949070172</v>
      </c>
      <c r="O612" s="22" t="n">
        <v>1.77699859588364</v>
      </c>
      <c r="P612" s="22" t="n">
        <v>1.76691996844729</v>
      </c>
      <c r="Q612" s="22" t="n">
        <v>1.75707833799272</v>
      </c>
      <c r="R612" s="22" t="n">
        <v>1.73984624480331</v>
      </c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customFormat="false" ht="15" hidden="false" customHeight="false" outlineLevel="0" collapsed="false">
      <c r="A613" s="22" t="s">
        <v>75</v>
      </c>
      <c r="B613" s="22" t="s">
        <v>3</v>
      </c>
      <c r="C613" s="22" t="s">
        <v>75</v>
      </c>
      <c r="D613" s="22" t="n">
        <v>38060</v>
      </c>
      <c r="E613" s="22" t="s">
        <v>132</v>
      </c>
      <c r="F613" s="22" t="s">
        <v>6</v>
      </c>
      <c r="G613" s="22" t="s">
        <v>131</v>
      </c>
      <c r="H613" s="22" t="s">
        <v>131</v>
      </c>
      <c r="I613" s="22" t="n">
        <v>1.809</v>
      </c>
      <c r="J613" s="22" t="n">
        <v>1.806</v>
      </c>
      <c r="K613" s="22" t="n">
        <v>1.786</v>
      </c>
      <c r="L613" s="22" t="n">
        <v>1.744</v>
      </c>
      <c r="M613" s="22" t="n">
        <v>1.74</v>
      </c>
      <c r="N613" s="22" t="n">
        <v>1.735</v>
      </c>
      <c r="O613" s="22" t="n">
        <v>1.705</v>
      </c>
      <c r="P613" s="22" t="n">
        <v>1.658</v>
      </c>
      <c r="Q613" s="22" t="n">
        <v>1.665</v>
      </c>
      <c r="R613" s="22" t="n">
        <v>1.677</v>
      </c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customFormat="false" ht="15" hidden="false" customHeight="false" outlineLevel="0" collapsed="false">
      <c r="A614" s="22" t="s">
        <v>75</v>
      </c>
      <c r="B614" s="22" t="s">
        <v>3</v>
      </c>
      <c r="C614" s="22" t="s">
        <v>75</v>
      </c>
      <c r="D614" s="22" t="n">
        <v>38060</v>
      </c>
      <c r="E614" s="22" t="s">
        <v>132</v>
      </c>
      <c r="F614" s="22" t="s">
        <v>133</v>
      </c>
      <c r="G614" s="22" t="s">
        <v>131</v>
      </c>
      <c r="H614" s="22" t="s">
        <v>131</v>
      </c>
      <c r="I614" s="22" t="n">
        <v>414304</v>
      </c>
      <c r="J614" s="22" t="n">
        <v>420917</v>
      </c>
      <c r="K614" s="22" t="n">
        <v>427735</v>
      </c>
      <c r="L614" s="22" t="n">
        <v>434774</v>
      </c>
      <c r="M614" s="22" t="n">
        <v>440890</v>
      </c>
      <c r="N614" s="22" t="n">
        <v>446003</v>
      </c>
      <c r="O614" s="22" t="n">
        <v>451768</v>
      </c>
      <c r="P614" s="22" t="n">
        <v>456277</v>
      </c>
      <c r="Q614" s="22" t="n">
        <v>461107</v>
      </c>
      <c r="R614" s="22" t="n">
        <v>465235</v>
      </c>
      <c r="S614" s="22" t="n">
        <v>469340</v>
      </c>
      <c r="T614" s="22" t="n">
        <v>473413</v>
      </c>
      <c r="U614" s="22" t="n">
        <v>476642</v>
      </c>
      <c r="V614" s="22" t="n">
        <v>479363</v>
      </c>
      <c r="W614" s="22" t="n">
        <v>482968</v>
      </c>
      <c r="X614" s="22" t="n">
        <v>486480</v>
      </c>
      <c r="Y614" s="22" t="n">
        <v>489400</v>
      </c>
      <c r="Z614" s="22" t="n">
        <v>491645</v>
      </c>
      <c r="AA614" s="22" t="n">
        <v>494605</v>
      </c>
      <c r="AB614" s="22" t="n">
        <v>498122</v>
      </c>
      <c r="AC614" s="22" t="n">
        <v>500874</v>
      </c>
      <c r="AD614" s="22" t="n">
        <v>502934</v>
      </c>
      <c r="AE614" s="22" t="n">
        <v>505469</v>
      </c>
      <c r="AF614" s="22" t="n">
        <v>508624</v>
      </c>
    </row>
    <row r="615" customFormat="false" ht="15" hidden="false" customHeight="false" outlineLevel="0" collapsed="false">
      <c r="A615" s="22" t="s">
        <v>75</v>
      </c>
      <c r="B615" s="22" t="s">
        <v>3</v>
      </c>
      <c r="C615" s="22" t="s">
        <v>75</v>
      </c>
      <c r="D615" s="22" t="n">
        <v>38060</v>
      </c>
      <c r="E615" s="22" t="s">
        <v>132</v>
      </c>
      <c r="F615" s="22" t="s">
        <v>5</v>
      </c>
      <c r="G615" s="22" t="s">
        <v>131</v>
      </c>
      <c r="H615" s="22" t="s">
        <v>131</v>
      </c>
      <c r="I615" s="22" t="n">
        <v>1.836</v>
      </c>
      <c r="J615" s="22" t="n">
        <v>1.836</v>
      </c>
      <c r="K615" s="22" t="n">
        <v>1.821</v>
      </c>
      <c r="L615" s="22" t="n">
        <v>1.778</v>
      </c>
      <c r="M615" s="22" t="n">
        <v>1.774</v>
      </c>
      <c r="N615" s="22" t="n">
        <v>1.774</v>
      </c>
      <c r="O615" s="22" t="n">
        <v>1.752</v>
      </c>
      <c r="P615" s="22" t="n">
        <v>1.713</v>
      </c>
      <c r="Q615" s="22" t="n">
        <v>1.73</v>
      </c>
      <c r="R615" s="22" t="n">
        <v>1.742</v>
      </c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customFormat="false" ht="15" hidden="false" customHeight="false" outlineLevel="0" collapsed="false">
      <c r="A616" s="22" t="s">
        <v>75</v>
      </c>
      <c r="B616" s="22" t="s">
        <v>3</v>
      </c>
      <c r="C616" s="22" t="s">
        <v>75</v>
      </c>
      <c r="D616" s="22" t="n">
        <v>38060</v>
      </c>
      <c r="E616" s="22" t="s">
        <v>134</v>
      </c>
      <c r="F616" s="22" t="s">
        <v>135</v>
      </c>
      <c r="G616" s="22" t="s">
        <v>131</v>
      </c>
      <c r="H616" s="22" t="s">
        <v>131</v>
      </c>
      <c r="I616" s="22" t="n">
        <v>-0.037</v>
      </c>
      <c r="J616" s="22" t="n">
        <v>-0.0332</v>
      </c>
      <c r="K616" s="22" t="n">
        <v>-0.0415</v>
      </c>
      <c r="L616" s="22" t="n">
        <v>-0.0446</v>
      </c>
      <c r="M616" s="22" t="n">
        <v>-0.0414</v>
      </c>
      <c r="N616" s="22" t="n">
        <v>-0.0466</v>
      </c>
      <c r="O616" s="22" t="n">
        <v>-0.0532</v>
      </c>
      <c r="P616" s="22" t="n">
        <v>-0.0548</v>
      </c>
      <c r="Q616" s="22" t="n">
        <v>-0.0481</v>
      </c>
      <c r="R616" s="22" t="n">
        <v>-0.0395</v>
      </c>
      <c r="S616" s="22" t="n">
        <v>-0.032</v>
      </c>
      <c r="T616" s="22" t="n">
        <v>-0.021</v>
      </c>
      <c r="U616" s="22" t="n">
        <v>-0.01</v>
      </c>
      <c r="V616" s="22" t="n">
        <v>0.011</v>
      </c>
      <c r="W616" s="22" t="n">
        <v>0.032</v>
      </c>
      <c r="X616" s="22" t="n">
        <v>0.029</v>
      </c>
      <c r="Y616" s="22" t="n">
        <v>0.027</v>
      </c>
      <c r="Z616" s="22" t="n">
        <v>0.029</v>
      </c>
      <c r="AA616" s="22" t="n">
        <v>0.037</v>
      </c>
      <c r="AB616" s="22" t="n">
        <v>0.039</v>
      </c>
      <c r="AC616" s="22" t="n">
        <v>0.036</v>
      </c>
      <c r="AD616" s="22" t="n">
        <v>0.036</v>
      </c>
      <c r="AE616" s="22" t="n">
        <v>0.04</v>
      </c>
      <c r="AF616" s="22" t="n">
        <v>0.042</v>
      </c>
    </row>
    <row r="617" customFormat="false" ht="15" hidden="false" customHeight="false" outlineLevel="0" collapsed="false">
      <c r="A617" s="22" t="s">
        <v>75</v>
      </c>
      <c r="B617" s="22" t="s">
        <v>3</v>
      </c>
      <c r="C617" s="22" t="s">
        <v>75</v>
      </c>
      <c r="D617" s="22" t="n">
        <v>38060</v>
      </c>
      <c r="E617" s="22" t="s">
        <v>136</v>
      </c>
      <c r="F617" s="22" t="s">
        <v>137</v>
      </c>
      <c r="G617" s="22" t="s">
        <v>131</v>
      </c>
      <c r="H617" s="22" t="s">
        <v>131</v>
      </c>
      <c r="I617" s="22" t="n">
        <v>75</v>
      </c>
      <c r="J617" s="22" t="n">
        <v>64</v>
      </c>
      <c r="K617" s="22" t="n">
        <v>64</v>
      </c>
      <c r="L617" s="22" t="n">
        <v>51</v>
      </c>
      <c r="M617" s="22" t="n">
        <v>46</v>
      </c>
      <c r="N617" s="22" t="n">
        <v>52</v>
      </c>
      <c r="O617" s="22" t="n">
        <v>46</v>
      </c>
      <c r="P617" s="22" t="n">
        <v>57</v>
      </c>
      <c r="Q617" s="22" t="n">
        <v>63</v>
      </c>
      <c r="R617" s="22" t="n">
        <v>61</v>
      </c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customFormat="false" ht="15" hidden="false" customHeight="false" outlineLevel="0" collapsed="false">
      <c r="A618" s="22" t="s">
        <v>194</v>
      </c>
      <c r="B618" s="22" t="s">
        <v>3</v>
      </c>
      <c r="C618" s="22" t="s">
        <v>194</v>
      </c>
      <c r="D618" s="22" t="n">
        <v>38300</v>
      </c>
      <c r="E618" s="22" t="s">
        <v>129</v>
      </c>
      <c r="F618" s="22" t="s">
        <v>130</v>
      </c>
      <c r="G618" s="22" t="s">
        <v>131</v>
      </c>
      <c r="H618" s="22" t="s">
        <v>131</v>
      </c>
      <c r="I618" s="22" t="n">
        <v>1.58853302585323</v>
      </c>
      <c r="J618" s="22" t="n">
        <v>1.61269136943771</v>
      </c>
      <c r="K618" s="22" t="n">
        <v>1.63470943235847</v>
      </c>
      <c r="L618" s="22" t="n">
        <v>1.66819307706424</v>
      </c>
      <c r="M618" s="22" t="n">
        <v>1.6734414203834</v>
      </c>
      <c r="N618" s="22" t="n">
        <v>1.65665582812842</v>
      </c>
      <c r="O618" s="22" t="n">
        <v>1.68226985957665</v>
      </c>
      <c r="P618" s="22" t="n">
        <v>1.69848399686599</v>
      </c>
      <c r="Q618" s="22" t="n">
        <v>1.704435900587</v>
      </c>
      <c r="R618" s="22" t="n">
        <v>1.73350074353178</v>
      </c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</row>
    <row r="619" customFormat="false" ht="15" hidden="false" customHeight="false" outlineLevel="0" collapsed="false">
      <c r="A619" s="22" t="s">
        <v>194</v>
      </c>
      <c r="B619" s="22" t="s">
        <v>3</v>
      </c>
      <c r="C619" s="22" t="s">
        <v>194</v>
      </c>
      <c r="D619" s="22" t="n">
        <v>38300</v>
      </c>
      <c r="E619" s="22" t="s">
        <v>132</v>
      </c>
      <c r="F619" s="22" t="s">
        <v>6</v>
      </c>
      <c r="G619" s="22" t="s">
        <v>131</v>
      </c>
      <c r="H619" s="22" t="s">
        <v>131</v>
      </c>
      <c r="I619" s="22" t="n">
        <v>1.645</v>
      </c>
      <c r="J619" s="22" t="n">
        <v>1.673</v>
      </c>
      <c r="K619" s="22" t="n">
        <v>1.691</v>
      </c>
      <c r="L619" s="22" t="n">
        <v>1.69</v>
      </c>
      <c r="M619" s="22" t="n">
        <v>1.714</v>
      </c>
      <c r="N619" s="22" t="n">
        <v>1.765</v>
      </c>
      <c r="O619" s="22" t="n">
        <v>1.801</v>
      </c>
      <c r="P619" s="22" t="n">
        <v>1.769</v>
      </c>
      <c r="Q619" s="22" t="n">
        <v>1.771</v>
      </c>
      <c r="R619" s="22" t="n">
        <v>1.815</v>
      </c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customFormat="false" ht="15" hidden="false" customHeight="false" outlineLevel="0" collapsed="false">
      <c r="A620" s="22" t="s">
        <v>194</v>
      </c>
      <c r="B620" s="22" t="s">
        <v>3</v>
      </c>
      <c r="C620" s="22" t="s">
        <v>194</v>
      </c>
      <c r="D620" s="22" t="n">
        <v>38300</v>
      </c>
      <c r="E620" s="22" t="s">
        <v>132</v>
      </c>
      <c r="F620" s="22" t="s">
        <v>133</v>
      </c>
      <c r="G620" s="22" t="s">
        <v>131</v>
      </c>
      <c r="H620" s="22" t="s">
        <v>131</v>
      </c>
      <c r="I620" s="22" t="n">
        <v>151433</v>
      </c>
      <c r="J620" s="22" t="n">
        <v>151633</v>
      </c>
      <c r="K620" s="22" t="n">
        <v>151939</v>
      </c>
      <c r="L620" s="22" t="n">
        <v>152270</v>
      </c>
      <c r="M620" s="22" t="n">
        <v>152490</v>
      </c>
      <c r="N620" s="22" t="n">
        <v>152564</v>
      </c>
      <c r="O620" s="22" t="n">
        <v>152697</v>
      </c>
      <c r="P620" s="22" t="n">
        <v>152863</v>
      </c>
      <c r="Q620" s="22" t="n">
        <v>153616</v>
      </c>
      <c r="R620" s="22" t="n">
        <v>153446</v>
      </c>
      <c r="S620" s="22" t="n">
        <v>153677</v>
      </c>
      <c r="T620" s="22" t="n">
        <v>153951</v>
      </c>
      <c r="U620" s="22" t="n">
        <v>153951</v>
      </c>
      <c r="V620" s="22" t="n">
        <v>154421</v>
      </c>
      <c r="W620" s="22" t="n">
        <v>154900</v>
      </c>
      <c r="X620" s="22" t="n">
        <v>155056</v>
      </c>
      <c r="Y620" s="22" t="n">
        <v>155108</v>
      </c>
      <c r="Z620" s="22" t="n">
        <v>155217</v>
      </c>
      <c r="AA620" s="22" t="n">
        <v>155607</v>
      </c>
      <c r="AB620" s="22" t="n">
        <v>155656</v>
      </c>
      <c r="AC620" s="22" t="n">
        <v>155681</v>
      </c>
      <c r="AD620" s="22" t="n">
        <v>155791</v>
      </c>
      <c r="AE620" s="22" t="n">
        <v>156186</v>
      </c>
      <c r="AF620" s="22" t="n">
        <v>156235</v>
      </c>
    </row>
    <row r="621" customFormat="false" ht="15" hidden="false" customHeight="false" outlineLevel="0" collapsed="false">
      <c r="A621" s="22" t="s">
        <v>194</v>
      </c>
      <c r="B621" s="22" t="s">
        <v>3</v>
      </c>
      <c r="C621" s="22" t="s">
        <v>194</v>
      </c>
      <c r="D621" s="22" t="n">
        <v>38300</v>
      </c>
      <c r="E621" s="22" t="s">
        <v>132</v>
      </c>
      <c r="F621" s="22" t="s">
        <v>5</v>
      </c>
      <c r="G621" s="22" t="s">
        <v>131</v>
      </c>
      <c r="H621" s="22" t="s">
        <v>131</v>
      </c>
      <c r="I621" s="22" t="n">
        <v>1.662</v>
      </c>
      <c r="J621" s="22" t="n">
        <v>1.687</v>
      </c>
      <c r="K621" s="22" t="n">
        <v>1.709</v>
      </c>
      <c r="L621" s="22" t="n">
        <v>1.708</v>
      </c>
      <c r="M621" s="22" t="n">
        <v>1.732</v>
      </c>
      <c r="N621" s="22" t="n">
        <v>1.78</v>
      </c>
      <c r="O621" s="22" t="n">
        <v>1.812</v>
      </c>
      <c r="P621" s="22" t="n">
        <v>1.785</v>
      </c>
      <c r="Q621" s="22" t="n">
        <v>1.795</v>
      </c>
      <c r="R621" s="22" t="n">
        <v>1.834</v>
      </c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customFormat="false" ht="15" hidden="false" customHeight="false" outlineLevel="0" collapsed="false">
      <c r="A622" s="22" t="s">
        <v>194</v>
      </c>
      <c r="B622" s="22" t="s">
        <v>3</v>
      </c>
      <c r="C622" s="22" t="s">
        <v>194</v>
      </c>
      <c r="D622" s="22" t="n">
        <v>38300</v>
      </c>
      <c r="E622" s="22" t="s">
        <v>134</v>
      </c>
      <c r="F622" s="22" t="s">
        <v>135</v>
      </c>
      <c r="G622" s="22" t="s">
        <v>131</v>
      </c>
      <c r="H622" s="22" t="s">
        <v>131</v>
      </c>
      <c r="I622" s="22" t="n">
        <v>0.01</v>
      </c>
      <c r="J622" s="22" t="n">
        <v>0.0218</v>
      </c>
      <c r="K622" s="22" t="n">
        <v>0.0236</v>
      </c>
      <c r="L622" s="22" t="n">
        <v>0.0222</v>
      </c>
      <c r="M622" s="22" t="n">
        <v>0.0319</v>
      </c>
      <c r="N622" s="22" t="n">
        <v>0.0282</v>
      </c>
      <c r="O622" s="22" t="n">
        <v>0.0308</v>
      </c>
      <c r="P622" s="22" t="n">
        <v>0.0231</v>
      </c>
      <c r="Q622" s="22" t="n">
        <v>0.0137</v>
      </c>
      <c r="R622" s="22" t="n">
        <v>0.019</v>
      </c>
      <c r="S622" s="22" t="n">
        <v>0.019</v>
      </c>
      <c r="T622" s="22" t="n">
        <v>0.023</v>
      </c>
      <c r="U622" s="22" t="n">
        <v>0.026</v>
      </c>
      <c r="V622" s="22" t="n">
        <v>0.026</v>
      </c>
      <c r="W622" s="22" t="n">
        <v>0.027</v>
      </c>
      <c r="X622" s="22" t="n">
        <v>0.03</v>
      </c>
      <c r="Y622" s="22" t="n">
        <v>0.03</v>
      </c>
      <c r="Z622" s="22" t="n">
        <v>0.028</v>
      </c>
      <c r="AA622" s="22" t="n">
        <v>0.028</v>
      </c>
      <c r="AB622" s="22" t="n">
        <v>0.03</v>
      </c>
      <c r="AC622" s="22" t="n">
        <v>0.031</v>
      </c>
      <c r="AD622" s="22" t="n">
        <v>0.028</v>
      </c>
      <c r="AE622" s="22" t="n">
        <v>0.028</v>
      </c>
      <c r="AF622" s="22" t="n">
        <v>0.031</v>
      </c>
    </row>
    <row r="623" customFormat="false" ht="15" hidden="false" customHeight="false" outlineLevel="0" collapsed="false">
      <c r="A623" s="22" t="s">
        <v>194</v>
      </c>
      <c r="B623" s="22" t="s">
        <v>3</v>
      </c>
      <c r="C623" s="22" t="s">
        <v>194</v>
      </c>
      <c r="D623" s="22" t="n">
        <v>38300</v>
      </c>
      <c r="E623" s="22" t="s">
        <v>136</v>
      </c>
      <c r="F623" s="22" t="s">
        <v>137</v>
      </c>
      <c r="G623" s="22" t="s">
        <v>131</v>
      </c>
      <c r="H623" s="22" t="s">
        <v>131</v>
      </c>
      <c r="I623" s="22" t="n">
        <v>6</v>
      </c>
      <c r="J623" s="22" t="n">
        <v>7</v>
      </c>
      <c r="K623" s="22" t="n">
        <v>4</v>
      </c>
      <c r="L623" s="22" t="n">
        <v>5</v>
      </c>
      <c r="M623" s="22" t="n">
        <v>2</v>
      </c>
      <c r="N623" s="22" t="n">
        <v>2</v>
      </c>
      <c r="O623" s="22" t="n">
        <v>5</v>
      </c>
      <c r="P623" s="22" t="n">
        <v>5</v>
      </c>
      <c r="Q623" s="22" t="n">
        <v>6</v>
      </c>
      <c r="R623" s="22" t="n">
        <v>5</v>
      </c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customFormat="false" ht="15" hidden="false" customHeight="false" outlineLevel="0" collapsed="false">
      <c r="A624" s="22" t="s">
        <v>195</v>
      </c>
      <c r="B624" s="22" t="s">
        <v>3</v>
      </c>
      <c r="C624" s="22" t="s">
        <v>195</v>
      </c>
      <c r="D624" s="22" t="n">
        <v>38860</v>
      </c>
      <c r="E624" s="22" t="s">
        <v>129</v>
      </c>
      <c r="F624" s="22" t="s">
        <v>130</v>
      </c>
      <c r="G624" s="22" t="s">
        <v>131</v>
      </c>
      <c r="H624" s="22" t="s">
        <v>131</v>
      </c>
      <c r="I624" s="22" t="n">
        <v>1.80996695030082</v>
      </c>
      <c r="J624" s="22" t="n">
        <v>1.84397547273022</v>
      </c>
      <c r="K624" s="22" t="n">
        <v>1.87720635788264</v>
      </c>
      <c r="L624" s="22" t="n">
        <v>1.9179207211794</v>
      </c>
      <c r="M624" s="22" t="n">
        <v>1.95395528925946</v>
      </c>
      <c r="N624" s="22" t="n">
        <v>1.94129870730064</v>
      </c>
      <c r="O624" s="22" t="n">
        <v>1.95842120009101</v>
      </c>
      <c r="P624" s="22" t="n">
        <v>2.04227155972624</v>
      </c>
      <c r="Q624" s="22" t="n">
        <v>2.05276726520587</v>
      </c>
      <c r="R624" s="22" t="n">
        <v>2.09650393507561</v>
      </c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customFormat="false" ht="15" hidden="false" customHeight="false" outlineLevel="0" collapsed="false">
      <c r="A625" s="22" t="s">
        <v>195</v>
      </c>
      <c r="B625" s="22" t="s">
        <v>3</v>
      </c>
      <c r="C625" s="22" t="s">
        <v>195</v>
      </c>
      <c r="D625" s="22" t="n">
        <v>38860</v>
      </c>
      <c r="E625" s="22" t="s">
        <v>132</v>
      </c>
      <c r="F625" s="22" t="s">
        <v>6</v>
      </c>
      <c r="G625" s="22" t="s">
        <v>131</v>
      </c>
      <c r="H625" s="22" t="s">
        <v>131</v>
      </c>
      <c r="I625" s="22" t="n">
        <v>2.251</v>
      </c>
      <c r="J625" s="22" t="n">
        <v>2.31</v>
      </c>
      <c r="K625" s="22" t="n">
        <v>2.483</v>
      </c>
      <c r="L625" s="22" t="n">
        <v>2.462</v>
      </c>
      <c r="M625" s="22" t="n">
        <v>2.574</v>
      </c>
      <c r="N625" s="22" t="n">
        <v>2.714</v>
      </c>
      <c r="O625" s="22" t="n">
        <v>2.806</v>
      </c>
      <c r="P625" s="22" t="n">
        <v>2.702</v>
      </c>
      <c r="Q625" s="22" t="n">
        <v>2.713</v>
      </c>
      <c r="R625" s="22" t="n">
        <v>2.781</v>
      </c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customFormat="false" ht="15" hidden="false" customHeight="false" outlineLevel="0" collapsed="false">
      <c r="A626" s="22" t="s">
        <v>195</v>
      </c>
      <c r="B626" s="22" t="s">
        <v>3</v>
      </c>
      <c r="C626" s="22" t="s">
        <v>195</v>
      </c>
      <c r="D626" s="22" t="n">
        <v>38860</v>
      </c>
      <c r="E626" s="22" t="s">
        <v>132</v>
      </c>
      <c r="F626" s="22" t="s">
        <v>133</v>
      </c>
      <c r="G626" s="22" t="s">
        <v>131</v>
      </c>
      <c r="H626" s="22" t="s">
        <v>131</v>
      </c>
      <c r="I626" s="22" t="n">
        <v>29412</v>
      </c>
      <c r="J626" s="22" t="n">
        <v>29538</v>
      </c>
      <c r="K626" s="22" t="n">
        <v>29634</v>
      </c>
      <c r="L626" s="22" t="n">
        <v>29778</v>
      </c>
      <c r="M626" s="22" t="n">
        <v>29904</v>
      </c>
      <c r="N626" s="22" t="n">
        <v>30210</v>
      </c>
      <c r="O626" s="22" t="n">
        <v>30290</v>
      </c>
      <c r="P626" s="22" t="n">
        <v>30496</v>
      </c>
      <c r="Q626" s="22" t="n">
        <v>30676</v>
      </c>
      <c r="R626" s="22" t="n">
        <v>30743</v>
      </c>
      <c r="S626" s="22" t="n">
        <v>30875</v>
      </c>
      <c r="T626" s="22" t="n">
        <v>31230</v>
      </c>
      <c r="U626" s="22" t="n">
        <v>31369</v>
      </c>
      <c r="V626" s="22" t="n">
        <v>31552</v>
      </c>
      <c r="W626" s="22" t="n">
        <v>31794</v>
      </c>
      <c r="X626" s="22" t="n">
        <v>32201</v>
      </c>
      <c r="Y626" s="22" t="n">
        <v>32440</v>
      </c>
      <c r="Z626" s="22" t="n">
        <v>32440</v>
      </c>
      <c r="AA626" s="22" t="n">
        <v>32440</v>
      </c>
      <c r="AB626" s="22" t="n">
        <v>32496</v>
      </c>
      <c r="AC626" s="22" t="n">
        <v>32738</v>
      </c>
      <c r="AD626" s="22" t="n">
        <v>32743</v>
      </c>
      <c r="AE626" s="22" t="n">
        <v>32748</v>
      </c>
      <c r="AF626" s="22" t="n">
        <v>32807</v>
      </c>
    </row>
    <row r="627" customFormat="false" ht="15" hidden="false" customHeight="false" outlineLevel="0" collapsed="false">
      <c r="A627" s="22" t="s">
        <v>195</v>
      </c>
      <c r="B627" s="22" t="s">
        <v>3</v>
      </c>
      <c r="C627" s="22" t="s">
        <v>195</v>
      </c>
      <c r="D627" s="22" t="n">
        <v>38860</v>
      </c>
      <c r="E627" s="22" t="s">
        <v>132</v>
      </c>
      <c r="F627" s="22" t="s">
        <v>5</v>
      </c>
      <c r="G627" s="22" t="s">
        <v>131</v>
      </c>
      <c r="H627" s="22" t="s">
        <v>131</v>
      </c>
      <c r="I627" s="22" t="n">
        <v>2.252</v>
      </c>
      <c r="J627" s="22" t="n">
        <v>2.311</v>
      </c>
      <c r="K627" s="22" t="n">
        <v>2.484</v>
      </c>
      <c r="L627" s="22" t="n">
        <v>2.468</v>
      </c>
      <c r="M627" s="22" t="n">
        <v>2.588</v>
      </c>
      <c r="N627" s="22" t="n">
        <v>2.734</v>
      </c>
      <c r="O627" s="22" t="n">
        <v>2.809</v>
      </c>
      <c r="P627" s="22" t="n">
        <v>2.737</v>
      </c>
      <c r="Q627" s="22" t="n">
        <v>2.751</v>
      </c>
      <c r="R627" s="22" t="n">
        <v>2.818</v>
      </c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customFormat="false" ht="15" hidden="false" customHeight="false" outlineLevel="0" collapsed="false">
      <c r="A628" s="22" t="s">
        <v>195</v>
      </c>
      <c r="B628" s="22" t="s">
        <v>3</v>
      </c>
      <c r="C628" s="22" t="s">
        <v>195</v>
      </c>
      <c r="D628" s="22" t="n">
        <v>38860</v>
      </c>
      <c r="E628" s="22" t="s">
        <v>134</v>
      </c>
      <c r="F628" s="22" t="s">
        <v>135</v>
      </c>
      <c r="G628" s="22" t="s">
        <v>131</v>
      </c>
      <c r="H628" s="22" t="s">
        <v>131</v>
      </c>
      <c r="I628" s="22" t="n">
        <v>0.0454</v>
      </c>
      <c r="J628" s="22" t="n">
        <v>0.0193</v>
      </c>
      <c r="K628" s="22" t="n">
        <v>0.0281</v>
      </c>
      <c r="L628" s="22" t="n">
        <v>0.0525</v>
      </c>
      <c r="M628" s="22" t="n">
        <v>0.0452</v>
      </c>
      <c r="N628" s="22" t="n">
        <v>0.0652</v>
      </c>
      <c r="O628" s="22" t="n">
        <v>0.0563</v>
      </c>
      <c r="P628" s="22" t="n">
        <v>0.0353</v>
      </c>
      <c r="Q628" s="22" t="n">
        <v>0.0462</v>
      </c>
      <c r="R628" s="22" t="n">
        <v>0.0126</v>
      </c>
      <c r="S628" s="22" t="n">
        <v>0.015</v>
      </c>
      <c r="T628" s="22" t="n">
        <v>0.03</v>
      </c>
      <c r="U628" s="22" t="n">
        <v>0.036</v>
      </c>
      <c r="V628" s="22" t="n">
        <v>0.036</v>
      </c>
      <c r="W628" s="22" t="n">
        <v>0.041</v>
      </c>
      <c r="X628" s="22" t="n">
        <v>0.041</v>
      </c>
      <c r="Y628" s="22" t="n">
        <v>0.037</v>
      </c>
      <c r="Z628" s="22" t="n">
        <v>0.036</v>
      </c>
      <c r="AA628" s="22" t="n">
        <v>0.036</v>
      </c>
      <c r="AB628" s="22" t="n">
        <v>0.042</v>
      </c>
      <c r="AC628" s="22" t="n">
        <v>0.037</v>
      </c>
      <c r="AD628" s="22" t="n">
        <v>0.036</v>
      </c>
      <c r="AE628" s="22" t="n">
        <v>0.035</v>
      </c>
      <c r="AF628" s="22" t="n">
        <v>0.039</v>
      </c>
    </row>
    <row r="629" customFormat="false" ht="15" hidden="false" customHeight="false" outlineLevel="0" collapsed="false">
      <c r="A629" s="22" t="s">
        <v>195</v>
      </c>
      <c r="B629" s="22" t="s">
        <v>3</v>
      </c>
      <c r="C629" s="22" t="s">
        <v>195</v>
      </c>
      <c r="D629" s="22" t="n">
        <v>38860</v>
      </c>
      <c r="E629" s="22" t="s">
        <v>136</v>
      </c>
      <c r="F629" s="22" t="s">
        <v>137</v>
      </c>
      <c r="G629" s="22" t="s">
        <v>131</v>
      </c>
      <c r="H629" s="22" t="s">
        <v>131</v>
      </c>
      <c r="I629" s="22" t="n">
        <v>7</v>
      </c>
      <c r="J629" s="22" t="n">
        <v>7</v>
      </c>
      <c r="K629" s="22" t="n">
        <v>6</v>
      </c>
      <c r="L629" s="22" t="n">
        <v>3</v>
      </c>
      <c r="M629" s="22" t="n">
        <v>2</v>
      </c>
      <c r="N629" s="22" t="n">
        <v>3</v>
      </c>
      <c r="O629" s="22" t="n">
        <v>3</v>
      </c>
      <c r="P629" s="22" t="n">
        <v>2</v>
      </c>
      <c r="Q629" s="22" t="n">
        <v>2</v>
      </c>
      <c r="R629" s="22" t="n">
        <v>1</v>
      </c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customFormat="false" ht="15" hidden="false" customHeight="false" outlineLevel="0" collapsed="false">
      <c r="A630" s="22" t="s">
        <v>196</v>
      </c>
      <c r="B630" s="22" t="s">
        <v>3</v>
      </c>
      <c r="C630" s="22" t="s">
        <v>196</v>
      </c>
      <c r="D630" s="22" t="n">
        <v>38900</v>
      </c>
      <c r="E630" s="22" t="s">
        <v>129</v>
      </c>
      <c r="F630" s="22" t="s">
        <v>130</v>
      </c>
      <c r="G630" s="22" t="s">
        <v>131</v>
      </c>
      <c r="H630" s="22" t="s">
        <v>131</v>
      </c>
      <c r="I630" s="22" t="n">
        <v>1.99368535171328</v>
      </c>
      <c r="J630" s="22" t="n">
        <v>2.00548603236511</v>
      </c>
      <c r="K630" s="22" t="n">
        <v>2.02611369580805</v>
      </c>
      <c r="L630" s="22" t="n">
        <v>2.03359638982309</v>
      </c>
      <c r="M630" s="22" t="n">
        <v>2.0392067808596</v>
      </c>
      <c r="N630" s="22" t="n">
        <v>2.04903109365602</v>
      </c>
      <c r="O630" s="22" t="n">
        <v>2.05849496493051</v>
      </c>
      <c r="P630" s="22" t="n">
        <v>2.06171940697316</v>
      </c>
      <c r="Q630" s="22" t="n">
        <v>2.05802143245079</v>
      </c>
      <c r="R630" s="22" t="n">
        <v>2.06017818268371</v>
      </c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customFormat="false" ht="15" hidden="false" customHeight="false" outlineLevel="0" collapsed="false">
      <c r="A631" s="22" t="s">
        <v>196</v>
      </c>
      <c r="B631" s="22" t="s">
        <v>3</v>
      </c>
      <c r="C631" s="22" t="s">
        <v>196</v>
      </c>
      <c r="D631" s="22" t="n">
        <v>38900</v>
      </c>
      <c r="E631" s="22" t="s">
        <v>132</v>
      </c>
      <c r="F631" s="22" t="s">
        <v>6</v>
      </c>
      <c r="G631" s="22" t="s">
        <v>131</v>
      </c>
      <c r="H631" s="22" t="s">
        <v>131</v>
      </c>
      <c r="I631" s="22" t="n">
        <v>1.988</v>
      </c>
      <c r="J631" s="22" t="n">
        <v>2.024</v>
      </c>
      <c r="K631" s="22" t="n">
        <v>2.045</v>
      </c>
      <c r="L631" s="22" t="n">
        <v>2.009</v>
      </c>
      <c r="M631" s="22" t="n">
        <v>2.008</v>
      </c>
      <c r="N631" s="22" t="n">
        <v>2.046</v>
      </c>
      <c r="O631" s="22" t="n">
        <v>2.048</v>
      </c>
      <c r="P631" s="22" t="n">
        <v>1.998</v>
      </c>
      <c r="Q631" s="22" t="n">
        <v>2.002</v>
      </c>
      <c r="R631" s="22" t="n">
        <v>2.025</v>
      </c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customFormat="false" ht="15" hidden="false" customHeight="false" outlineLevel="0" collapsed="false">
      <c r="A632" s="22" t="s">
        <v>196</v>
      </c>
      <c r="B632" s="22" t="s">
        <v>3</v>
      </c>
      <c r="C632" s="22" t="s">
        <v>196</v>
      </c>
      <c r="D632" s="22" t="n">
        <v>38900</v>
      </c>
      <c r="E632" s="22" t="s">
        <v>132</v>
      </c>
      <c r="F632" s="22" t="s">
        <v>133</v>
      </c>
      <c r="G632" s="22" t="s">
        <v>131</v>
      </c>
      <c r="H632" s="22" t="s">
        <v>131</v>
      </c>
      <c r="I632" s="22" t="n">
        <v>240681</v>
      </c>
      <c r="J632" s="22" t="n">
        <v>242236</v>
      </c>
      <c r="K632" s="22" t="n">
        <v>243806</v>
      </c>
      <c r="L632" s="22" t="n">
        <v>245977</v>
      </c>
      <c r="M632" s="22" t="n">
        <v>247066</v>
      </c>
      <c r="N632" s="22" t="n">
        <v>247886</v>
      </c>
      <c r="O632" s="22" t="n">
        <v>248276</v>
      </c>
      <c r="P632" s="22" t="n">
        <v>249288</v>
      </c>
      <c r="Q632" s="22" t="n">
        <v>249559</v>
      </c>
      <c r="R632" s="22" t="n">
        <v>250287</v>
      </c>
      <c r="S632" s="22" t="n">
        <v>250737</v>
      </c>
      <c r="T632" s="22" t="n">
        <v>251590</v>
      </c>
      <c r="U632" s="22" t="n">
        <v>251764</v>
      </c>
      <c r="V632" s="22" t="n">
        <v>252098</v>
      </c>
      <c r="W632" s="22" t="n">
        <v>253538</v>
      </c>
      <c r="X632" s="22" t="n">
        <v>254432</v>
      </c>
      <c r="Y632" s="22" t="n">
        <v>254603</v>
      </c>
      <c r="Z632" s="22" t="n">
        <v>254915</v>
      </c>
      <c r="AA632" s="22" t="n">
        <v>256317</v>
      </c>
      <c r="AB632" s="22" t="n">
        <v>257167</v>
      </c>
      <c r="AC632" s="22" t="n">
        <v>257291</v>
      </c>
      <c r="AD632" s="22" t="n">
        <v>257556</v>
      </c>
      <c r="AE632" s="22" t="n">
        <v>258912</v>
      </c>
      <c r="AF632" s="22" t="n">
        <v>259717</v>
      </c>
    </row>
    <row r="633" customFormat="false" ht="15" hidden="false" customHeight="false" outlineLevel="0" collapsed="false">
      <c r="A633" s="22" t="s">
        <v>196</v>
      </c>
      <c r="B633" s="22" t="s">
        <v>3</v>
      </c>
      <c r="C633" s="22" t="s">
        <v>196</v>
      </c>
      <c r="D633" s="22" t="n">
        <v>38900</v>
      </c>
      <c r="E633" s="22" t="s">
        <v>132</v>
      </c>
      <c r="F633" s="22" t="s">
        <v>5</v>
      </c>
      <c r="G633" s="22" t="s">
        <v>131</v>
      </c>
      <c r="H633" s="22" t="s">
        <v>131</v>
      </c>
      <c r="I633" s="22" t="n">
        <v>2.015</v>
      </c>
      <c r="J633" s="22" t="n">
        <v>2.053</v>
      </c>
      <c r="K633" s="22" t="n">
        <v>2.079</v>
      </c>
      <c r="L633" s="22" t="n">
        <v>2.041</v>
      </c>
      <c r="M633" s="22" t="n">
        <v>2.035</v>
      </c>
      <c r="N633" s="22" t="n">
        <v>2.075</v>
      </c>
      <c r="O633" s="22" t="n">
        <v>2.082</v>
      </c>
      <c r="P633" s="22" t="n">
        <v>2.035</v>
      </c>
      <c r="Q633" s="22" t="n">
        <v>2.044</v>
      </c>
      <c r="R633" s="22" t="n">
        <v>2.071</v>
      </c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</row>
    <row r="634" customFormat="false" ht="15" hidden="false" customHeight="false" outlineLevel="0" collapsed="false">
      <c r="A634" s="22" t="s">
        <v>196</v>
      </c>
      <c r="B634" s="22" t="s">
        <v>3</v>
      </c>
      <c r="C634" s="22" t="s">
        <v>196</v>
      </c>
      <c r="D634" s="22" t="n">
        <v>38900</v>
      </c>
      <c r="E634" s="22" t="s">
        <v>134</v>
      </c>
      <c r="F634" s="22" t="s">
        <v>135</v>
      </c>
      <c r="G634" s="22" t="s">
        <v>131</v>
      </c>
      <c r="H634" s="22" t="s">
        <v>131</v>
      </c>
      <c r="I634" s="22" t="n">
        <v>-0.0275</v>
      </c>
      <c r="J634" s="22" t="n">
        <v>-0.0092</v>
      </c>
      <c r="K634" s="22" t="n">
        <v>0.0047</v>
      </c>
      <c r="L634" s="22" t="n">
        <v>0.0075</v>
      </c>
      <c r="M634" s="22" t="n">
        <v>0.006</v>
      </c>
      <c r="N634" s="22" t="n">
        <v>0.0018</v>
      </c>
      <c r="O634" s="22" t="n">
        <v>-0.0126</v>
      </c>
      <c r="P634" s="22" t="n">
        <v>-0.0186</v>
      </c>
      <c r="Q634" s="22" t="n">
        <v>-0.0191</v>
      </c>
      <c r="R634" s="22" t="n">
        <v>-0.0225</v>
      </c>
      <c r="S634" s="22" t="n">
        <v>-0.019</v>
      </c>
      <c r="T634" s="22" t="n">
        <v>-0.011</v>
      </c>
      <c r="U634" s="22" t="n">
        <v>0.001</v>
      </c>
      <c r="V634" s="22" t="n">
        <v>0.014</v>
      </c>
      <c r="W634" s="22" t="n">
        <v>0.016</v>
      </c>
      <c r="X634" s="22" t="n">
        <v>0.018</v>
      </c>
      <c r="Y634" s="22" t="n">
        <v>0.018</v>
      </c>
      <c r="Z634" s="22" t="n">
        <v>0.019</v>
      </c>
      <c r="AA634" s="22" t="n">
        <v>0.019</v>
      </c>
      <c r="AB634" s="22" t="n">
        <v>0.019</v>
      </c>
      <c r="AC634" s="22" t="n">
        <v>0.019</v>
      </c>
      <c r="AD634" s="22" t="n">
        <v>0.021</v>
      </c>
      <c r="AE634" s="22" t="n">
        <v>0.024</v>
      </c>
      <c r="AF634" s="22" t="n">
        <v>0.029</v>
      </c>
    </row>
    <row r="635" customFormat="false" ht="15" hidden="false" customHeight="false" outlineLevel="0" collapsed="false">
      <c r="A635" s="22" t="s">
        <v>196</v>
      </c>
      <c r="B635" s="22" t="s">
        <v>3</v>
      </c>
      <c r="C635" s="22" t="s">
        <v>196</v>
      </c>
      <c r="D635" s="22" t="n">
        <v>38900</v>
      </c>
      <c r="E635" s="22" t="s">
        <v>136</v>
      </c>
      <c r="F635" s="22" t="s">
        <v>137</v>
      </c>
      <c r="G635" s="22" t="s">
        <v>131</v>
      </c>
      <c r="H635" s="22" t="s">
        <v>131</v>
      </c>
      <c r="I635" s="22" t="n">
        <v>15</v>
      </c>
      <c r="J635" s="22" t="n">
        <v>13</v>
      </c>
      <c r="K635" s="22" t="n">
        <v>15</v>
      </c>
      <c r="L635" s="22" t="n">
        <v>11</v>
      </c>
      <c r="M635" s="22" t="n">
        <v>12</v>
      </c>
      <c r="N635" s="22" t="n">
        <v>13</v>
      </c>
      <c r="O635" s="22" t="n">
        <v>9</v>
      </c>
      <c r="P635" s="22" t="n">
        <v>13</v>
      </c>
      <c r="Q635" s="22" t="n">
        <v>12</v>
      </c>
      <c r="R635" s="22" t="n">
        <v>11</v>
      </c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customFormat="false" ht="15" hidden="false" customHeight="false" outlineLevel="0" collapsed="false">
      <c r="A636" s="22" t="s">
        <v>28</v>
      </c>
      <c r="B636" s="22" t="s">
        <v>3</v>
      </c>
      <c r="C636" s="22" t="s">
        <v>28</v>
      </c>
      <c r="D636" s="22" t="n">
        <v>238940</v>
      </c>
      <c r="E636" s="22" t="s">
        <v>129</v>
      </c>
      <c r="F636" s="22" t="s">
        <v>130</v>
      </c>
      <c r="G636" s="22" t="s">
        <v>131</v>
      </c>
      <c r="H636" s="22" t="s">
        <v>131</v>
      </c>
      <c r="I636" s="22" t="n">
        <v>1.68916511215688</v>
      </c>
      <c r="J636" s="22" t="n">
        <v>1.66795169034258</v>
      </c>
      <c r="K636" s="22" t="n">
        <v>1.62647229522675</v>
      </c>
      <c r="L636" s="22" t="n">
        <v>1.57489631680087</v>
      </c>
      <c r="M636" s="22" t="n">
        <v>1.61489546891214</v>
      </c>
      <c r="N636" s="22" t="n">
        <v>1.65345026109073</v>
      </c>
      <c r="O636" s="22" t="n">
        <v>1.65804849394352</v>
      </c>
      <c r="P636" s="22" t="n">
        <v>1.68375395932446</v>
      </c>
      <c r="Q636" s="22" t="n">
        <v>1.75783771667331</v>
      </c>
      <c r="R636" s="22" t="n">
        <v>1.76337901828346</v>
      </c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customFormat="false" ht="15" hidden="false" customHeight="false" outlineLevel="0" collapsed="false">
      <c r="A637" s="22" t="s">
        <v>28</v>
      </c>
      <c r="B637" s="22" t="s">
        <v>3</v>
      </c>
      <c r="C637" s="22" t="s">
        <v>28</v>
      </c>
      <c r="D637" s="22" t="n">
        <v>238940</v>
      </c>
      <c r="E637" s="22" t="s">
        <v>132</v>
      </c>
      <c r="F637" s="22" t="s">
        <v>6</v>
      </c>
      <c r="G637" s="22" t="s">
        <v>131</v>
      </c>
      <c r="H637" s="22" t="s">
        <v>131</v>
      </c>
      <c r="I637" s="22" t="n">
        <v>1.759</v>
      </c>
      <c r="J637" s="22" t="n">
        <v>1.791</v>
      </c>
      <c r="K637" s="22" t="n">
        <v>1.826</v>
      </c>
      <c r="L637" s="22" t="n">
        <v>1.838</v>
      </c>
      <c r="M637" s="22" t="n">
        <v>1.893</v>
      </c>
      <c r="N637" s="22" t="n">
        <v>1.904</v>
      </c>
      <c r="O637" s="22" t="n">
        <v>1.891</v>
      </c>
      <c r="P637" s="22" t="n">
        <v>1.86</v>
      </c>
      <c r="Q637" s="22" t="n">
        <v>1.888</v>
      </c>
      <c r="R637" s="22" t="n">
        <v>1.877</v>
      </c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customFormat="false" ht="15" hidden="false" customHeight="false" outlineLevel="0" collapsed="false">
      <c r="A638" s="22" t="s">
        <v>28</v>
      </c>
      <c r="B638" s="22" t="s">
        <v>3</v>
      </c>
      <c r="C638" s="22" t="s">
        <v>28</v>
      </c>
      <c r="D638" s="22" t="n">
        <v>238940</v>
      </c>
      <c r="E638" s="22" t="s">
        <v>132</v>
      </c>
      <c r="F638" s="22" t="s">
        <v>133</v>
      </c>
      <c r="G638" s="22" t="s">
        <v>131</v>
      </c>
      <c r="H638" s="22" t="s">
        <v>131</v>
      </c>
      <c r="I638" s="22" t="n">
        <v>30760</v>
      </c>
      <c r="J638" s="22" t="n">
        <v>31303</v>
      </c>
      <c r="K638" s="22" t="n">
        <v>31686</v>
      </c>
      <c r="L638" s="22" t="n">
        <v>31923</v>
      </c>
      <c r="M638" s="22" t="n">
        <v>32088</v>
      </c>
      <c r="N638" s="22" t="n">
        <v>32198</v>
      </c>
      <c r="O638" s="22" t="n">
        <v>32438</v>
      </c>
      <c r="P638" s="22" t="n">
        <v>32663</v>
      </c>
      <c r="Q638" s="22" t="n">
        <v>32726</v>
      </c>
      <c r="R638" s="22" t="n">
        <v>32961</v>
      </c>
      <c r="S638" s="22" t="n">
        <v>33033</v>
      </c>
      <c r="T638" s="22" t="n">
        <v>33105</v>
      </c>
      <c r="U638" s="22" t="n">
        <v>33160</v>
      </c>
      <c r="V638" s="22" t="n">
        <v>33352</v>
      </c>
      <c r="W638" s="22" t="n">
        <v>33546</v>
      </c>
      <c r="X638" s="22" t="n">
        <v>33743</v>
      </c>
      <c r="Y638" s="22" t="n">
        <v>33743</v>
      </c>
      <c r="Z638" s="22" t="n">
        <v>33743</v>
      </c>
      <c r="AA638" s="22" t="n">
        <v>33743</v>
      </c>
      <c r="AB638" s="22" t="n">
        <v>33909</v>
      </c>
      <c r="AC638" s="22" t="n">
        <v>33906</v>
      </c>
      <c r="AD638" s="22" t="n">
        <v>33904</v>
      </c>
      <c r="AE638" s="22" t="n">
        <v>33902</v>
      </c>
      <c r="AF638" s="22" t="n">
        <v>34063</v>
      </c>
    </row>
    <row r="639" customFormat="false" ht="15" hidden="false" customHeight="false" outlineLevel="0" collapsed="false">
      <c r="A639" s="22" t="s">
        <v>28</v>
      </c>
      <c r="B639" s="22" t="s">
        <v>3</v>
      </c>
      <c r="C639" s="22" t="s">
        <v>28</v>
      </c>
      <c r="D639" s="22" t="n">
        <v>238940</v>
      </c>
      <c r="E639" s="22" t="s">
        <v>132</v>
      </c>
      <c r="F639" s="22" t="s">
        <v>5</v>
      </c>
      <c r="G639" s="22" t="s">
        <v>131</v>
      </c>
      <c r="H639" s="22" t="s">
        <v>131</v>
      </c>
      <c r="I639" s="22" t="n">
        <v>1.795</v>
      </c>
      <c r="J639" s="22" t="n">
        <v>1.831</v>
      </c>
      <c r="K639" s="22" t="n">
        <v>1.865</v>
      </c>
      <c r="L639" s="22" t="n">
        <v>1.868</v>
      </c>
      <c r="M639" s="22" t="n">
        <v>1.923</v>
      </c>
      <c r="N639" s="22" t="n">
        <v>1.945</v>
      </c>
      <c r="O639" s="22" t="n">
        <v>1.927</v>
      </c>
      <c r="P639" s="22" t="n">
        <v>1.909</v>
      </c>
      <c r="Q639" s="22" t="n">
        <v>1.922</v>
      </c>
      <c r="R639" s="22" t="n">
        <v>1.923</v>
      </c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customFormat="false" ht="15" hidden="false" customHeight="false" outlineLevel="0" collapsed="false">
      <c r="A640" s="22" t="s">
        <v>28</v>
      </c>
      <c r="B640" s="22" t="s">
        <v>3</v>
      </c>
      <c r="C640" s="22" t="s">
        <v>28</v>
      </c>
      <c r="D640" s="22" t="n">
        <v>238940</v>
      </c>
      <c r="E640" s="22" t="s">
        <v>134</v>
      </c>
      <c r="F640" s="22" t="s">
        <v>135</v>
      </c>
      <c r="G640" s="22" t="s">
        <v>131</v>
      </c>
      <c r="H640" s="22" t="s">
        <v>131</v>
      </c>
      <c r="I640" s="22" t="n">
        <v>-0.0265</v>
      </c>
      <c r="J640" s="22" t="n">
        <v>-0.0348</v>
      </c>
      <c r="K640" s="22" t="n">
        <v>-0.0305</v>
      </c>
      <c r="L640" s="22" t="n">
        <v>-0.0188</v>
      </c>
      <c r="M640" s="22" t="n">
        <v>0.0235</v>
      </c>
      <c r="N640" s="22" t="n">
        <v>0.0235</v>
      </c>
      <c r="O640" s="22" t="n">
        <v>-0.0008</v>
      </c>
      <c r="P640" s="22" t="n">
        <v>-0.0142</v>
      </c>
      <c r="Q640" s="22" t="n">
        <v>-0.0146</v>
      </c>
      <c r="R640" s="22" t="n">
        <v>-0.0113</v>
      </c>
      <c r="S640" s="22" t="n">
        <v>0</v>
      </c>
      <c r="T640" s="22" t="n">
        <v>0.004</v>
      </c>
      <c r="U640" s="22" t="n">
        <v>0.014</v>
      </c>
      <c r="V640" s="22" t="n">
        <v>0.02</v>
      </c>
      <c r="W640" s="22" t="n">
        <v>0.027</v>
      </c>
      <c r="X640" s="22" t="n">
        <v>0.032</v>
      </c>
      <c r="Y640" s="22" t="n">
        <v>0.033</v>
      </c>
      <c r="Z640" s="22" t="n">
        <v>0.039</v>
      </c>
      <c r="AA640" s="22" t="n">
        <v>0.045</v>
      </c>
      <c r="AB640" s="22" t="n">
        <v>0.047</v>
      </c>
      <c r="AC640" s="22" t="n">
        <v>0.042</v>
      </c>
      <c r="AD640" s="22" t="n">
        <v>0.042</v>
      </c>
      <c r="AE640" s="22" t="n">
        <v>0.042</v>
      </c>
      <c r="AF640" s="22" t="n">
        <v>0.041</v>
      </c>
    </row>
    <row r="641" customFormat="false" ht="15" hidden="false" customHeight="false" outlineLevel="0" collapsed="false">
      <c r="A641" s="22" t="s">
        <v>28</v>
      </c>
      <c r="B641" s="22" t="s">
        <v>3</v>
      </c>
      <c r="C641" s="22" t="s">
        <v>28</v>
      </c>
      <c r="D641" s="22" t="n">
        <v>238940</v>
      </c>
      <c r="E641" s="22" t="s">
        <v>136</v>
      </c>
      <c r="F641" s="22" t="s">
        <v>137</v>
      </c>
      <c r="G641" s="22" t="s">
        <v>131</v>
      </c>
      <c r="H641" s="22" t="s">
        <v>131</v>
      </c>
      <c r="I641" s="22" t="n">
        <v>4</v>
      </c>
      <c r="J641" s="22" t="n">
        <v>4</v>
      </c>
      <c r="K641" s="22" t="n">
        <v>3</v>
      </c>
      <c r="L641" s="22" t="n">
        <v>1</v>
      </c>
      <c r="M641" s="22" t="n">
        <v>1</v>
      </c>
      <c r="N641" s="22" t="n">
        <v>1</v>
      </c>
      <c r="O641" s="22" t="n">
        <v>1</v>
      </c>
      <c r="P641" s="22" t="n">
        <v>1</v>
      </c>
      <c r="Q641" s="22" t="n">
        <v>2</v>
      </c>
      <c r="R641" s="22" t="n">
        <v>1</v>
      </c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customFormat="false" ht="15" hidden="false" customHeight="false" outlineLevel="0" collapsed="false">
      <c r="A642" s="22" t="s">
        <v>197</v>
      </c>
      <c r="B642" s="22" t="s">
        <v>3</v>
      </c>
      <c r="C642" s="22" t="s">
        <v>197</v>
      </c>
      <c r="D642" s="22" t="n">
        <v>39300</v>
      </c>
      <c r="E642" s="22" t="s">
        <v>129</v>
      </c>
      <c r="F642" s="22" t="s">
        <v>130</v>
      </c>
      <c r="G642" s="22" t="s">
        <v>131</v>
      </c>
      <c r="H642" s="22" t="s">
        <v>131</v>
      </c>
      <c r="I642" s="22" t="n">
        <v>2.04671640170166</v>
      </c>
      <c r="J642" s="22" t="n">
        <v>2.06923828791834</v>
      </c>
      <c r="K642" s="22" t="n">
        <v>2.13470704245122</v>
      </c>
      <c r="L642" s="22" t="n">
        <v>2.16177913650288</v>
      </c>
      <c r="M642" s="22" t="n">
        <v>2.17883157057422</v>
      </c>
      <c r="N642" s="22" t="n">
        <v>2.20808560160315</v>
      </c>
      <c r="O642" s="22" t="n">
        <v>2.25097456321248</v>
      </c>
      <c r="P642" s="22" t="n">
        <v>2.28655639110344</v>
      </c>
      <c r="Q642" s="22" t="n">
        <v>2.2969728811139</v>
      </c>
      <c r="R642" s="22" t="n">
        <v>2.34502811715468</v>
      </c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</row>
    <row r="643" customFormat="false" ht="15" hidden="false" customHeight="false" outlineLevel="0" collapsed="false">
      <c r="A643" s="22" t="s">
        <v>197</v>
      </c>
      <c r="B643" s="22" t="s">
        <v>3</v>
      </c>
      <c r="C643" s="22" t="s">
        <v>197</v>
      </c>
      <c r="D643" s="22" t="n">
        <v>39300</v>
      </c>
      <c r="E643" s="22" t="s">
        <v>132</v>
      </c>
      <c r="F643" s="22" t="s">
        <v>6</v>
      </c>
      <c r="G643" s="22" t="s">
        <v>131</v>
      </c>
      <c r="H643" s="22" t="s">
        <v>131</v>
      </c>
      <c r="I643" s="22" t="n">
        <v>2.226</v>
      </c>
      <c r="J643" s="22" t="n">
        <v>2.273</v>
      </c>
      <c r="K643" s="22" t="n">
        <v>2.319</v>
      </c>
      <c r="L643" s="22" t="n">
        <v>2.318</v>
      </c>
      <c r="M643" s="22" t="n">
        <v>2.355</v>
      </c>
      <c r="N643" s="22" t="n">
        <v>2.454</v>
      </c>
      <c r="O643" s="22" t="n">
        <v>2.483</v>
      </c>
      <c r="P643" s="22" t="n">
        <v>2.45</v>
      </c>
      <c r="Q643" s="22" t="n">
        <v>2.45</v>
      </c>
      <c r="R643" s="22" t="n">
        <v>2.488</v>
      </c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customFormat="false" ht="15" hidden="false" customHeight="false" outlineLevel="0" collapsed="false">
      <c r="A644" s="22" t="s">
        <v>197</v>
      </c>
      <c r="B644" s="22" t="s">
        <v>3</v>
      </c>
      <c r="C644" s="22" t="s">
        <v>197</v>
      </c>
      <c r="D644" s="22" t="n">
        <v>39300</v>
      </c>
      <c r="E644" s="22" t="s">
        <v>132</v>
      </c>
      <c r="F644" s="22" t="s">
        <v>133</v>
      </c>
      <c r="G644" s="22" t="s">
        <v>131</v>
      </c>
      <c r="H644" s="22" t="s">
        <v>131</v>
      </c>
      <c r="I644" s="22" t="n">
        <v>108564</v>
      </c>
      <c r="J644" s="22" t="n">
        <v>108767</v>
      </c>
      <c r="K644" s="22" t="n">
        <v>108920</v>
      </c>
      <c r="L644" s="22" t="n">
        <v>109062</v>
      </c>
      <c r="M644" s="22" t="n">
        <v>109241</v>
      </c>
      <c r="N644" s="22" t="n">
        <v>109301</v>
      </c>
      <c r="O644" s="22" t="n">
        <v>109508</v>
      </c>
      <c r="P644" s="22" t="n">
        <v>109710</v>
      </c>
      <c r="Q644" s="22" t="n">
        <v>109733</v>
      </c>
      <c r="R644" s="22" t="n">
        <v>109818</v>
      </c>
      <c r="S644" s="22" t="n">
        <v>110010</v>
      </c>
      <c r="T644" s="22" t="n">
        <v>110328</v>
      </c>
      <c r="U644" s="22" t="n">
        <v>110521</v>
      </c>
      <c r="V644" s="22" t="n">
        <v>110732</v>
      </c>
      <c r="W644" s="22" t="n">
        <v>110990</v>
      </c>
      <c r="X644" s="22" t="n">
        <v>111428</v>
      </c>
      <c r="Y644" s="22" t="n">
        <v>111488</v>
      </c>
      <c r="Z644" s="22" t="n">
        <v>111488</v>
      </c>
      <c r="AA644" s="22" t="n">
        <v>111567</v>
      </c>
      <c r="AB644" s="22" t="n">
        <v>112026</v>
      </c>
      <c r="AC644" s="22" t="n">
        <v>112096</v>
      </c>
      <c r="AD644" s="22" t="n">
        <v>112108</v>
      </c>
      <c r="AE644" s="22" t="n">
        <v>112196</v>
      </c>
      <c r="AF644" s="22" t="n">
        <v>112661</v>
      </c>
    </row>
    <row r="645" customFormat="false" ht="15" hidden="false" customHeight="false" outlineLevel="0" collapsed="false">
      <c r="A645" s="22" t="s">
        <v>197</v>
      </c>
      <c r="B645" s="22" t="s">
        <v>3</v>
      </c>
      <c r="C645" s="22" t="s">
        <v>197</v>
      </c>
      <c r="D645" s="22" t="n">
        <v>39300</v>
      </c>
      <c r="E645" s="22" t="s">
        <v>132</v>
      </c>
      <c r="F645" s="22" t="s">
        <v>5</v>
      </c>
      <c r="G645" s="22" t="s">
        <v>131</v>
      </c>
      <c r="H645" s="22" t="s">
        <v>131</v>
      </c>
      <c r="I645" s="22" t="n">
        <v>2.239</v>
      </c>
      <c r="J645" s="22" t="n">
        <v>2.283</v>
      </c>
      <c r="K645" s="22" t="n">
        <v>2.328</v>
      </c>
      <c r="L645" s="22" t="n">
        <v>2.328</v>
      </c>
      <c r="M645" s="22" t="n">
        <v>2.362</v>
      </c>
      <c r="N645" s="22" t="n">
        <v>2.46</v>
      </c>
      <c r="O645" s="22" t="n">
        <v>2.493</v>
      </c>
      <c r="P645" s="22" t="n">
        <v>2.461</v>
      </c>
      <c r="Q645" s="22" t="n">
        <v>2.47</v>
      </c>
      <c r="R645" s="22" t="n">
        <v>2.511</v>
      </c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customFormat="false" ht="15" hidden="false" customHeight="false" outlineLevel="0" collapsed="false">
      <c r="A646" s="22" t="s">
        <v>197</v>
      </c>
      <c r="B646" s="22" t="s">
        <v>3</v>
      </c>
      <c r="C646" s="22" t="s">
        <v>197</v>
      </c>
      <c r="D646" s="22" t="n">
        <v>39300</v>
      </c>
      <c r="E646" s="22" t="s">
        <v>134</v>
      </c>
      <c r="F646" s="22" t="s">
        <v>135</v>
      </c>
      <c r="G646" s="22" t="s">
        <v>131</v>
      </c>
      <c r="H646" s="22" t="s">
        <v>131</v>
      </c>
      <c r="I646" s="22" t="n">
        <v>0.042</v>
      </c>
      <c r="J646" s="22" t="n">
        <v>0.0371</v>
      </c>
      <c r="K646" s="22" t="n">
        <v>0.0408</v>
      </c>
      <c r="L646" s="22" t="n">
        <v>0.0458</v>
      </c>
      <c r="M646" s="22" t="n">
        <v>0.059</v>
      </c>
      <c r="N646" s="22" t="n">
        <v>0.0585</v>
      </c>
      <c r="O646" s="22" t="n">
        <v>0.0492</v>
      </c>
      <c r="P646" s="22" t="n">
        <v>0.0422</v>
      </c>
      <c r="Q646" s="22" t="n">
        <v>0.022</v>
      </c>
      <c r="R646" s="22" t="n">
        <v>0.0124</v>
      </c>
      <c r="S646" s="22" t="n">
        <v>0.011</v>
      </c>
      <c r="T646" s="22" t="n">
        <v>0.019</v>
      </c>
      <c r="U646" s="22" t="n">
        <v>0.023</v>
      </c>
      <c r="V646" s="22" t="n">
        <v>0.023</v>
      </c>
      <c r="W646" s="22" t="n">
        <v>0.026</v>
      </c>
      <c r="X646" s="22" t="n">
        <v>0.029</v>
      </c>
      <c r="Y646" s="22" t="n">
        <v>0.026</v>
      </c>
      <c r="Z646" s="22" t="n">
        <v>0.02</v>
      </c>
      <c r="AA646" s="22" t="n">
        <v>0.02</v>
      </c>
      <c r="AB646" s="22" t="n">
        <v>0.025</v>
      </c>
      <c r="AC646" s="22" t="n">
        <v>0.026</v>
      </c>
      <c r="AD646" s="22" t="n">
        <v>0.024</v>
      </c>
      <c r="AE646" s="22" t="n">
        <v>0.022</v>
      </c>
      <c r="AF646" s="22" t="n">
        <v>0.027</v>
      </c>
    </row>
    <row r="647" customFormat="false" ht="15" hidden="false" customHeight="false" outlineLevel="0" collapsed="false">
      <c r="A647" s="22" t="s">
        <v>197</v>
      </c>
      <c r="B647" s="22" t="s">
        <v>3</v>
      </c>
      <c r="C647" s="22" t="s">
        <v>197</v>
      </c>
      <c r="D647" s="22" t="n">
        <v>39300</v>
      </c>
      <c r="E647" s="22" t="s">
        <v>136</v>
      </c>
      <c r="F647" s="22" t="s">
        <v>137</v>
      </c>
      <c r="G647" s="22" t="s">
        <v>131</v>
      </c>
      <c r="H647" s="22" t="s">
        <v>131</v>
      </c>
      <c r="I647" s="22" t="n">
        <v>4</v>
      </c>
      <c r="J647" s="22" t="n">
        <v>7</v>
      </c>
      <c r="K647" s="22" t="n">
        <v>5</v>
      </c>
      <c r="L647" s="22" t="n">
        <v>6</v>
      </c>
      <c r="M647" s="22" t="n">
        <v>7</v>
      </c>
      <c r="N647" s="22" t="n">
        <v>7</v>
      </c>
      <c r="O647" s="22" t="n">
        <v>7</v>
      </c>
      <c r="P647" s="22" t="n">
        <v>6</v>
      </c>
      <c r="Q647" s="22" t="n">
        <v>5</v>
      </c>
      <c r="R647" s="22" t="n">
        <v>4</v>
      </c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customFormat="false" ht="15" hidden="false" customHeight="false" outlineLevel="0" collapsed="false">
      <c r="A648" s="22" t="s">
        <v>198</v>
      </c>
      <c r="B648" s="22" t="s">
        <v>3</v>
      </c>
      <c r="C648" s="22" t="s">
        <v>198</v>
      </c>
      <c r="D648" s="22" t="n">
        <v>39340</v>
      </c>
      <c r="E648" s="22" t="s">
        <v>129</v>
      </c>
      <c r="F648" s="22" t="s">
        <v>130</v>
      </c>
      <c r="G648" s="22" t="s">
        <v>131</v>
      </c>
      <c r="H648" s="22" t="s">
        <v>131</v>
      </c>
      <c r="I648" s="22" t="n">
        <v>1.59213858633669</v>
      </c>
      <c r="J648" s="22" t="n">
        <v>1.56769882516472</v>
      </c>
      <c r="K648" s="22" t="n">
        <v>1.56585301809035</v>
      </c>
      <c r="L648" s="22" t="n">
        <v>1.54739218813307</v>
      </c>
      <c r="M648" s="22" t="n">
        <v>1.53995889389768</v>
      </c>
      <c r="N648" s="22" t="n">
        <v>1.53395385535546</v>
      </c>
      <c r="O648" s="22" t="n">
        <v>1.53884327023394</v>
      </c>
      <c r="P648" s="22" t="n">
        <v>1.53921484654568</v>
      </c>
      <c r="Q648" s="22" t="n">
        <v>1.56179156403804</v>
      </c>
      <c r="R648" s="22" t="n">
        <v>1.53691502538193</v>
      </c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customFormat="false" ht="15" hidden="false" customHeight="false" outlineLevel="0" collapsed="false">
      <c r="A649" s="22" t="s">
        <v>198</v>
      </c>
      <c r="B649" s="22" t="s">
        <v>3</v>
      </c>
      <c r="C649" s="22" t="s">
        <v>198</v>
      </c>
      <c r="D649" s="22" t="n">
        <v>39340</v>
      </c>
      <c r="E649" s="22" t="s">
        <v>132</v>
      </c>
      <c r="F649" s="22" t="s">
        <v>6</v>
      </c>
      <c r="G649" s="22" t="s">
        <v>131</v>
      </c>
      <c r="H649" s="22" t="s">
        <v>131</v>
      </c>
      <c r="I649" s="22" t="n">
        <v>1.564</v>
      </c>
      <c r="J649" s="22" t="n">
        <v>1.565</v>
      </c>
      <c r="K649" s="22" t="n">
        <v>1.575</v>
      </c>
      <c r="L649" s="22" t="n">
        <v>1.523</v>
      </c>
      <c r="M649" s="22" t="n">
        <v>1.515</v>
      </c>
      <c r="N649" s="22" t="n">
        <v>1.543</v>
      </c>
      <c r="O649" s="22" t="n">
        <v>1.567</v>
      </c>
      <c r="P649" s="22" t="n">
        <v>1.529</v>
      </c>
      <c r="Q649" s="22" t="n">
        <v>1.531</v>
      </c>
      <c r="R649" s="22" t="n">
        <v>1.556</v>
      </c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customFormat="false" ht="15" hidden="false" customHeight="false" outlineLevel="0" collapsed="false">
      <c r="A650" s="22" t="s">
        <v>198</v>
      </c>
      <c r="B650" s="22" t="s">
        <v>3</v>
      </c>
      <c r="C650" s="22" t="s">
        <v>198</v>
      </c>
      <c r="D650" s="22" t="n">
        <v>39340</v>
      </c>
      <c r="E650" s="22" t="s">
        <v>132</v>
      </c>
      <c r="F650" s="22" t="s">
        <v>133</v>
      </c>
      <c r="G650" s="22" t="s">
        <v>131</v>
      </c>
      <c r="H650" s="22" t="s">
        <v>131</v>
      </c>
      <c r="I650" s="22" t="n">
        <v>27977</v>
      </c>
      <c r="J650" s="22" t="n">
        <v>28460</v>
      </c>
      <c r="K650" s="22" t="n">
        <v>28925</v>
      </c>
      <c r="L650" s="22" t="n">
        <v>29279</v>
      </c>
      <c r="M650" s="22" t="n">
        <v>29410</v>
      </c>
      <c r="N650" s="22" t="n">
        <v>29449</v>
      </c>
      <c r="O650" s="22" t="n">
        <v>29630</v>
      </c>
      <c r="P650" s="22" t="n">
        <v>29933</v>
      </c>
      <c r="Q650" s="22" t="n">
        <v>30370</v>
      </c>
      <c r="R650" s="22" t="n">
        <v>30637</v>
      </c>
      <c r="S650" s="22" t="n">
        <v>30767</v>
      </c>
      <c r="T650" s="22" t="n">
        <v>30910</v>
      </c>
      <c r="U650" s="22" t="n">
        <v>31171</v>
      </c>
      <c r="V650" s="22" t="n">
        <v>31258</v>
      </c>
      <c r="W650" s="22" t="n">
        <v>31550</v>
      </c>
      <c r="X650" s="22" t="n">
        <v>31917</v>
      </c>
      <c r="Y650" s="22" t="n">
        <v>31974</v>
      </c>
      <c r="Z650" s="22" t="n">
        <v>32062</v>
      </c>
      <c r="AA650" s="22" t="n">
        <v>32318</v>
      </c>
      <c r="AB650" s="22" t="n">
        <v>32677</v>
      </c>
      <c r="AC650" s="22" t="n">
        <v>32750</v>
      </c>
      <c r="AD650" s="22" t="n">
        <v>32867</v>
      </c>
      <c r="AE650" s="22" t="n">
        <v>33158</v>
      </c>
      <c r="AF650" s="22" t="n">
        <v>33547</v>
      </c>
    </row>
    <row r="651" customFormat="false" ht="15" hidden="false" customHeight="false" outlineLevel="0" collapsed="false">
      <c r="A651" s="22" t="s">
        <v>198</v>
      </c>
      <c r="B651" s="22" t="s">
        <v>3</v>
      </c>
      <c r="C651" s="22" t="s">
        <v>198</v>
      </c>
      <c r="D651" s="22" t="n">
        <v>39340</v>
      </c>
      <c r="E651" s="22" t="s">
        <v>132</v>
      </c>
      <c r="F651" s="22" t="s">
        <v>5</v>
      </c>
      <c r="G651" s="22" t="s">
        <v>131</v>
      </c>
      <c r="H651" s="22" t="s">
        <v>131</v>
      </c>
      <c r="I651" s="22" t="n">
        <v>1.596</v>
      </c>
      <c r="J651" s="22" t="n">
        <v>1.588</v>
      </c>
      <c r="K651" s="22" t="n">
        <v>1.603</v>
      </c>
      <c r="L651" s="22" t="n">
        <v>1.554</v>
      </c>
      <c r="M651" s="22" t="n">
        <v>1.532</v>
      </c>
      <c r="N651" s="22" t="n">
        <v>1.57</v>
      </c>
      <c r="O651" s="22" t="n">
        <v>1.59</v>
      </c>
      <c r="P651" s="22" t="n">
        <v>1.561</v>
      </c>
      <c r="Q651" s="22" t="n">
        <v>1.564</v>
      </c>
      <c r="R651" s="22" t="n">
        <v>1.585</v>
      </c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</row>
    <row r="652" customFormat="false" ht="15" hidden="false" customHeight="false" outlineLevel="0" collapsed="false">
      <c r="A652" s="22" t="s">
        <v>198</v>
      </c>
      <c r="B652" s="22" t="s">
        <v>3</v>
      </c>
      <c r="C652" s="22" t="s">
        <v>198</v>
      </c>
      <c r="D652" s="22" t="n">
        <v>39340</v>
      </c>
      <c r="E652" s="22" t="s">
        <v>134</v>
      </c>
      <c r="F652" s="22" t="s">
        <v>135</v>
      </c>
      <c r="G652" s="22" t="s">
        <v>131</v>
      </c>
      <c r="H652" s="22" t="s">
        <v>131</v>
      </c>
      <c r="I652" s="22" t="n">
        <v>-0.0134</v>
      </c>
      <c r="J652" s="22" t="n">
        <v>-0.0227</v>
      </c>
      <c r="K652" s="22" t="n">
        <v>-0.0192</v>
      </c>
      <c r="L652" s="22" t="n">
        <v>-0.023</v>
      </c>
      <c r="M652" s="22" t="n">
        <v>-0.0276</v>
      </c>
      <c r="N652" s="22" t="n">
        <v>-0.0101</v>
      </c>
      <c r="O652" s="22" t="n">
        <v>-0.0129</v>
      </c>
      <c r="P652" s="22" t="n">
        <v>-0.0111</v>
      </c>
      <c r="Q652" s="22" t="n">
        <v>-0.0043</v>
      </c>
      <c r="R652" s="22" t="n">
        <v>-0.0004</v>
      </c>
      <c r="S652" s="22" t="n">
        <v>0.001</v>
      </c>
      <c r="T652" s="22" t="n">
        <v>0.012</v>
      </c>
      <c r="U652" s="22" t="n">
        <v>0.018</v>
      </c>
      <c r="V652" s="22" t="n">
        <v>0.018</v>
      </c>
      <c r="W652" s="22" t="n">
        <v>0.021</v>
      </c>
      <c r="X652" s="22" t="n">
        <v>0.02</v>
      </c>
      <c r="Y652" s="22" t="n">
        <v>0.019</v>
      </c>
      <c r="Z652" s="22" t="n">
        <v>0.013</v>
      </c>
      <c r="AA652" s="22" t="n">
        <v>0.013</v>
      </c>
      <c r="AB652" s="22" t="n">
        <v>0.016</v>
      </c>
      <c r="AC652" s="22" t="n">
        <v>0.015</v>
      </c>
      <c r="AD652" s="22" t="n">
        <v>0.011</v>
      </c>
      <c r="AE652" s="22" t="n">
        <v>0.011</v>
      </c>
      <c r="AF652" s="22" t="n">
        <v>0.016</v>
      </c>
    </row>
    <row r="653" customFormat="false" ht="15" hidden="false" customHeight="false" outlineLevel="0" collapsed="false">
      <c r="A653" s="22" t="s">
        <v>198</v>
      </c>
      <c r="B653" s="22" t="s">
        <v>3</v>
      </c>
      <c r="C653" s="22" t="s">
        <v>198</v>
      </c>
      <c r="D653" s="22" t="n">
        <v>39340</v>
      </c>
      <c r="E653" s="22" t="s">
        <v>136</v>
      </c>
      <c r="F653" s="22" t="s">
        <v>137</v>
      </c>
      <c r="G653" s="22" t="s">
        <v>131</v>
      </c>
      <c r="H653" s="22" t="s">
        <v>131</v>
      </c>
      <c r="I653" s="22" t="n">
        <v>2</v>
      </c>
      <c r="J653" s="22" t="n">
        <v>1</v>
      </c>
      <c r="K653" s="22" t="n">
        <v>2</v>
      </c>
      <c r="L653" s="22" t="n">
        <v>2</v>
      </c>
      <c r="M653" s="22" t="n">
        <v>3</v>
      </c>
      <c r="N653" s="22" t="n">
        <v>3</v>
      </c>
      <c r="O653" s="22" t="n">
        <v>2</v>
      </c>
      <c r="P653" s="22" t="n">
        <v>1</v>
      </c>
      <c r="Q653" s="22" t="n">
        <v>0</v>
      </c>
      <c r="R653" s="22" t="n">
        <v>0</v>
      </c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</row>
    <row r="654" customFormat="false" ht="15" hidden="false" customHeight="false" outlineLevel="0" collapsed="false">
      <c r="A654" s="22" t="s">
        <v>73</v>
      </c>
      <c r="B654" s="22" t="s">
        <v>3</v>
      </c>
      <c r="C654" s="22" t="s">
        <v>73</v>
      </c>
      <c r="D654" s="22" t="n">
        <v>239580</v>
      </c>
      <c r="E654" s="22" t="s">
        <v>129</v>
      </c>
      <c r="F654" s="22" t="s">
        <v>130</v>
      </c>
      <c r="G654" s="22" t="s">
        <v>131</v>
      </c>
      <c r="H654" s="22" t="s">
        <v>131</v>
      </c>
      <c r="I654" s="22" t="n">
        <v>1.60782033112798</v>
      </c>
      <c r="J654" s="22" t="n">
        <v>1.60304602433585</v>
      </c>
      <c r="K654" s="22" t="n">
        <v>1.59706810231711</v>
      </c>
      <c r="L654" s="22" t="n">
        <v>1.59635905609554</v>
      </c>
      <c r="M654" s="22" t="n">
        <v>1.58133534827691</v>
      </c>
      <c r="N654" s="22" t="n">
        <v>1.58274234917289</v>
      </c>
      <c r="O654" s="22" t="n">
        <v>1.58101353323401</v>
      </c>
      <c r="P654" s="22" t="n">
        <v>1.58515583548835</v>
      </c>
      <c r="Q654" s="22" t="n">
        <v>1.58034587078107</v>
      </c>
      <c r="R654" s="22" t="n">
        <v>1.5706469805598</v>
      </c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</row>
    <row r="655" customFormat="false" ht="15" hidden="false" customHeight="false" outlineLevel="0" collapsed="false">
      <c r="A655" s="22" t="s">
        <v>73</v>
      </c>
      <c r="B655" s="22" t="s">
        <v>3</v>
      </c>
      <c r="C655" s="22" t="s">
        <v>73</v>
      </c>
      <c r="D655" s="22" t="n">
        <v>239580</v>
      </c>
      <c r="E655" s="22" t="s">
        <v>132</v>
      </c>
      <c r="F655" s="22" t="s">
        <v>6</v>
      </c>
      <c r="G655" s="22" t="s">
        <v>131</v>
      </c>
      <c r="H655" s="22" t="s">
        <v>131</v>
      </c>
      <c r="I655" s="22" t="n">
        <v>1.555</v>
      </c>
      <c r="J655" s="22" t="n">
        <v>1.555</v>
      </c>
      <c r="K655" s="22" t="n">
        <v>1.551</v>
      </c>
      <c r="L655" s="22" t="n">
        <v>1.528</v>
      </c>
      <c r="M655" s="22" t="n">
        <v>1.53</v>
      </c>
      <c r="N655" s="22" t="n">
        <v>1.55</v>
      </c>
      <c r="O655" s="22" t="n">
        <v>1.531</v>
      </c>
      <c r="P655" s="22" t="n">
        <v>1.489</v>
      </c>
      <c r="Q655" s="22" t="n">
        <v>1.497</v>
      </c>
      <c r="R655" s="22" t="n">
        <v>1.526</v>
      </c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</row>
    <row r="656" customFormat="false" ht="15" hidden="false" customHeight="false" outlineLevel="0" collapsed="false">
      <c r="A656" s="22" t="s">
        <v>73</v>
      </c>
      <c r="B656" s="22" t="s">
        <v>3</v>
      </c>
      <c r="C656" s="22" t="s">
        <v>73</v>
      </c>
      <c r="D656" s="22" t="n">
        <v>239580</v>
      </c>
      <c r="E656" s="22" t="s">
        <v>132</v>
      </c>
      <c r="F656" s="22" t="s">
        <v>133</v>
      </c>
      <c r="G656" s="22" t="s">
        <v>131</v>
      </c>
      <c r="H656" s="22" t="s">
        <v>131</v>
      </c>
      <c r="I656" s="22" t="n">
        <v>193998</v>
      </c>
      <c r="J656" s="22" t="n">
        <v>197529</v>
      </c>
      <c r="K656" s="22" t="n">
        <v>201984</v>
      </c>
      <c r="L656" s="22" t="n">
        <v>205825</v>
      </c>
      <c r="M656" s="22" t="n">
        <v>208115</v>
      </c>
      <c r="N656" s="22" t="n">
        <v>210265</v>
      </c>
      <c r="O656" s="22" t="n">
        <v>212094</v>
      </c>
      <c r="P656" s="22" t="n">
        <v>213624</v>
      </c>
      <c r="Q656" s="22" t="n">
        <v>215110</v>
      </c>
      <c r="R656" s="22" t="n">
        <v>216538</v>
      </c>
      <c r="S656" s="22" t="n">
        <v>217825</v>
      </c>
      <c r="T656" s="22" t="n">
        <v>218921</v>
      </c>
      <c r="U656" s="22" t="n">
        <v>219724</v>
      </c>
      <c r="V656" s="22" t="n">
        <v>222590</v>
      </c>
      <c r="W656" s="22" t="n">
        <v>226243</v>
      </c>
      <c r="X656" s="22" t="n">
        <v>228761</v>
      </c>
      <c r="Y656" s="22" t="n">
        <v>230630</v>
      </c>
      <c r="Z656" s="22" t="n">
        <v>231831</v>
      </c>
      <c r="AA656" s="22" t="n">
        <v>232912</v>
      </c>
      <c r="AB656" s="22" t="n">
        <v>233262</v>
      </c>
      <c r="AC656" s="22" t="n">
        <v>233906</v>
      </c>
      <c r="AD656" s="22" t="n">
        <v>234438</v>
      </c>
      <c r="AE656" s="22" t="n">
        <v>235844</v>
      </c>
      <c r="AF656" s="22" t="n">
        <v>236570</v>
      </c>
    </row>
    <row r="657" customFormat="false" ht="15" hidden="false" customHeight="false" outlineLevel="0" collapsed="false">
      <c r="A657" s="22" t="s">
        <v>73</v>
      </c>
      <c r="B657" s="22" t="s">
        <v>3</v>
      </c>
      <c r="C657" s="22" t="s">
        <v>73</v>
      </c>
      <c r="D657" s="22" t="n">
        <v>239580</v>
      </c>
      <c r="E657" s="22" t="s">
        <v>132</v>
      </c>
      <c r="F657" s="22" t="s">
        <v>5</v>
      </c>
      <c r="G657" s="22" t="s">
        <v>131</v>
      </c>
      <c r="H657" s="22" t="s">
        <v>131</v>
      </c>
      <c r="I657" s="22" t="n">
        <v>1.577</v>
      </c>
      <c r="J657" s="22" t="n">
        <v>1.585</v>
      </c>
      <c r="K657" s="22" t="n">
        <v>1.58</v>
      </c>
      <c r="L657" s="22" t="n">
        <v>1.553</v>
      </c>
      <c r="M657" s="22" t="n">
        <v>1.556</v>
      </c>
      <c r="N657" s="22" t="n">
        <v>1.577</v>
      </c>
      <c r="O657" s="22" t="n">
        <v>1.566</v>
      </c>
      <c r="P657" s="22" t="n">
        <v>1.53</v>
      </c>
      <c r="Q657" s="22" t="n">
        <v>1.54</v>
      </c>
      <c r="R657" s="22" t="n">
        <v>1.571</v>
      </c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customFormat="false" ht="15" hidden="false" customHeight="false" outlineLevel="0" collapsed="false">
      <c r="A658" s="22" t="s">
        <v>73</v>
      </c>
      <c r="B658" s="22" t="s">
        <v>3</v>
      </c>
      <c r="C658" s="22" t="s">
        <v>73</v>
      </c>
      <c r="D658" s="22" t="n">
        <v>239580</v>
      </c>
      <c r="E658" s="22" t="s">
        <v>134</v>
      </c>
      <c r="F658" s="22" t="s">
        <v>135</v>
      </c>
      <c r="G658" s="22" t="s">
        <v>131</v>
      </c>
      <c r="H658" s="22" t="s">
        <v>131</v>
      </c>
      <c r="I658" s="22" t="n">
        <v>-0.0311</v>
      </c>
      <c r="J658" s="22" t="n">
        <v>-0.0431</v>
      </c>
      <c r="K658" s="22" t="n">
        <v>-0.0479</v>
      </c>
      <c r="L658" s="22" t="n">
        <v>-0.0386</v>
      </c>
      <c r="M658" s="22" t="n">
        <v>-0.0264</v>
      </c>
      <c r="N658" s="22" t="n">
        <v>-0.0148</v>
      </c>
      <c r="O658" s="22" t="n">
        <v>-0.023</v>
      </c>
      <c r="P658" s="22" t="n">
        <v>-0.033</v>
      </c>
      <c r="Q658" s="22" t="n">
        <v>-0.0298</v>
      </c>
      <c r="R658" s="22" t="n">
        <v>-0.0228</v>
      </c>
      <c r="S658" s="22" t="n">
        <v>-0.016</v>
      </c>
      <c r="T658" s="22" t="n">
        <v>-0.007</v>
      </c>
      <c r="U658" s="22" t="n">
        <v>0.005</v>
      </c>
      <c r="V658" s="22" t="n">
        <v>0.02</v>
      </c>
      <c r="W658" s="22" t="n">
        <v>0.027</v>
      </c>
      <c r="X658" s="22" t="n">
        <v>0.029</v>
      </c>
      <c r="Y658" s="22" t="n">
        <v>0.027</v>
      </c>
      <c r="Z658" s="22" t="n">
        <v>0.027</v>
      </c>
      <c r="AA658" s="22" t="n">
        <v>0.031</v>
      </c>
      <c r="AB658" s="22" t="n">
        <v>0.03</v>
      </c>
      <c r="AC658" s="22" t="n">
        <v>0.03</v>
      </c>
      <c r="AD658" s="22" t="n">
        <v>0.029</v>
      </c>
      <c r="AE658" s="22" t="n">
        <v>0.032</v>
      </c>
      <c r="AF658" s="22" t="n">
        <v>0.033</v>
      </c>
    </row>
    <row r="659" customFormat="false" ht="15" hidden="false" customHeight="false" outlineLevel="0" collapsed="false">
      <c r="A659" s="22" t="s">
        <v>73</v>
      </c>
      <c r="B659" s="22" t="s">
        <v>3</v>
      </c>
      <c r="C659" s="22" t="s">
        <v>73</v>
      </c>
      <c r="D659" s="22" t="n">
        <v>239580</v>
      </c>
      <c r="E659" s="22" t="s">
        <v>136</v>
      </c>
      <c r="F659" s="22" t="s">
        <v>137</v>
      </c>
      <c r="G659" s="22" t="s">
        <v>131</v>
      </c>
      <c r="H659" s="22" t="s">
        <v>131</v>
      </c>
      <c r="I659" s="22" t="n">
        <v>21</v>
      </c>
      <c r="J659" s="22" t="n">
        <v>17</v>
      </c>
      <c r="K659" s="22" t="n">
        <v>16</v>
      </c>
      <c r="L659" s="22" t="n">
        <v>17</v>
      </c>
      <c r="M659" s="22" t="n">
        <v>21</v>
      </c>
      <c r="N659" s="22" t="n">
        <v>26</v>
      </c>
      <c r="O659" s="22" t="n">
        <v>28</v>
      </c>
      <c r="P659" s="22" t="n">
        <v>39</v>
      </c>
      <c r="Q659" s="22" t="n">
        <v>41</v>
      </c>
      <c r="R659" s="22" t="n">
        <v>36</v>
      </c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customFormat="false" ht="15" hidden="false" customHeight="false" outlineLevel="0" collapsed="false">
      <c r="A660" s="22" t="s">
        <v>25</v>
      </c>
      <c r="B660" s="22" t="s">
        <v>3</v>
      </c>
      <c r="C660" s="22" t="s">
        <v>25</v>
      </c>
      <c r="D660" s="22" t="n">
        <v>39900</v>
      </c>
      <c r="E660" s="22" t="s">
        <v>129</v>
      </c>
      <c r="F660" s="22" t="s">
        <v>130</v>
      </c>
      <c r="G660" s="22" t="s">
        <v>131</v>
      </c>
      <c r="H660" s="22" t="s">
        <v>131</v>
      </c>
      <c r="I660" s="22" t="n">
        <v>1.73483906972221</v>
      </c>
      <c r="J660" s="22" t="n">
        <v>1.74702282665463</v>
      </c>
      <c r="K660" s="22" t="n">
        <v>1.7633149588335</v>
      </c>
      <c r="L660" s="22" t="n">
        <v>1.77607199303934</v>
      </c>
      <c r="M660" s="22" t="n">
        <v>1.79260070835016</v>
      </c>
      <c r="N660" s="22" t="n">
        <v>1.80298247044727</v>
      </c>
      <c r="O660" s="22" t="n">
        <v>1.82975212929336</v>
      </c>
      <c r="P660" s="22" t="n">
        <v>1.82631545323192</v>
      </c>
      <c r="Q660" s="22" t="n">
        <v>1.84704952314969</v>
      </c>
      <c r="R660" s="22" t="n">
        <v>1.81967735778447</v>
      </c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</row>
    <row r="661" customFormat="false" ht="15" hidden="false" customHeight="false" outlineLevel="0" collapsed="false">
      <c r="A661" s="22" t="s">
        <v>25</v>
      </c>
      <c r="B661" s="22" t="s">
        <v>3</v>
      </c>
      <c r="C661" s="22" t="s">
        <v>25</v>
      </c>
      <c r="D661" s="22" t="n">
        <v>39900</v>
      </c>
      <c r="E661" s="22" t="s">
        <v>132</v>
      </c>
      <c r="F661" s="22" t="s">
        <v>6</v>
      </c>
      <c r="G661" s="22" t="s">
        <v>131</v>
      </c>
      <c r="H661" s="22" t="s">
        <v>131</v>
      </c>
      <c r="I661" s="22" t="n">
        <v>1.733</v>
      </c>
      <c r="J661" s="22" t="n">
        <v>1.779</v>
      </c>
      <c r="K661" s="22" t="n">
        <v>1.816</v>
      </c>
      <c r="L661" s="22" t="n">
        <v>1.785</v>
      </c>
      <c r="M661" s="22" t="n">
        <v>1.811</v>
      </c>
      <c r="N661" s="22" t="n">
        <v>1.861</v>
      </c>
      <c r="O661" s="22" t="n">
        <v>1.895</v>
      </c>
      <c r="P661" s="22" t="n">
        <v>1.897</v>
      </c>
      <c r="Q661" s="22" t="n">
        <v>1.921</v>
      </c>
      <c r="R661" s="22" t="n">
        <v>2.008</v>
      </c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customFormat="false" ht="15" hidden="false" customHeight="false" outlineLevel="0" collapsed="false">
      <c r="A662" s="22" t="s">
        <v>25</v>
      </c>
      <c r="B662" s="22" t="s">
        <v>3</v>
      </c>
      <c r="C662" s="22" t="s">
        <v>25</v>
      </c>
      <c r="D662" s="22" t="n">
        <v>39900</v>
      </c>
      <c r="E662" s="22" t="s">
        <v>132</v>
      </c>
      <c r="F662" s="22" t="s">
        <v>133</v>
      </c>
      <c r="G662" s="22" t="s">
        <v>131</v>
      </c>
      <c r="H662" s="22" t="s">
        <v>131</v>
      </c>
      <c r="I662" s="22" t="n">
        <v>51137</v>
      </c>
      <c r="J662" s="22" t="n">
        <v>51419</v>
      </c>
      <c r="K662" s="22" t="n">
        <v>52316</v>
      </c>
      <c r="L662" s="22" t="n">
        <v>52951</v>
      </c>
      <c r="M662" s="22" t="n">
        <v>53326</v>
      </c>
      <c r="N662" s="22" t="n">
        <v>53565</v>
      </c>
      <c r="O662" s="22" t="n">
        <v>53861</v>
      </c>
      <c r="P662" s="22" t="n">
        <v>54126</v>
      </c>
      <c r="Q662" s="22" t="n">
        <v>54291</v>
      </c>
      <c r="R662" s="22" t="n">
        <v>54345</v>
      </c>
      <c r="S662" s="22" t="n">
        <v>54441</v>
      </c>
      <c r="T662" s="22" t="n">
        <v>54506</v>
      </c>
      <c r="U662" s="22" t="n">
        <v>54529</v>
      </c>
      <c r="V662" s="22" t="n">
        <v>54651</v>
      </c>
      <c r="W662" s="22" t="n">
        <v>55349</v>
      </c>
      <c r="X662" s="22" t="n">
        <v>55769</v>
      </c>
      <c r="Y662" s="22" t="n">
        <v>55799</v>
      </c>
      <c r="Z662" s="22" t="n">
        <v>55799</v>
      </c>
      <c r="AA662" s="22" t="n">
        <v>56267</v>
      </c>
      <c r="AB662" s="22" t="n">
        <v>56646</v>
      </c>
      <c r="AC662" s="22" t="n">
        <v>56642</v>
      </c>
      <c r="AD662" s="22" t="n">
        <v>56621</v>
      </c>
      <c r="AE662" s="22" t="n">
        <v>57079</v>
      </c>
      <c r="AF662" s="22" t="n">
        <v>57453</v>
      </c>
    </row>
    <row r="663" customFormat="false" ht="15" hidden="false" customHeight="false" outlineLevel="0" collapsed="false">
      <c r="A663" s="22" t="s">
        <v>25</v>
      </c>
      <c r="B663" s="22" t="s">
        <v>3</v>
      </c>
      <c r="C663" s="22" t="s">
        <v>25</v>
      </c>
      <c r="D663" s="22" t="n">
        <v>39900</v>
      </c>
      <c r="E663" s="22" t="s">
        <v>132</v>
      </c>
      <c r="F663" s="22" t="s">
        <v>5</v>
      </c>
      <c r="G663" s="22" t="s">
        <v>131</v>
      </c>
      <c r="H663" s="22" t="s">
        <v>131</v>
      </c>
      <c r="I663" s="22" t="n">
        <v>1.77</v>
      </c>
      <c r="J663" s="22" t="n">
        <v>1.808</v>
      </c>
      <c r="K663" s="22" t="n">
        <v>1.836</v>
      </c>
      <c r="L663" s="22" t="n">
        <v>1.812</v>
      </c>
      <c r="M663" s="22" t="n">
        <v>1.837</v>
      </c>
      <c r="N663" s="22" t="n">
        <v>1.887</v>
      </c>
      <c r="O663" s="22" t="n">
        <v>1.915</v>
      </c>
      <c r="P663" s="22" t="n">
        <v>1.913</v>
      </c>
      <c r="Q663" s="22" t="n">
        <v>1.94</v>
      </c>
      <c r="R663" s="22" t="n">
        <v>2.025</v>
      </c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</row>
    <row r="664" customFormat="false" ht="15" hidden="false" customHeight="false" outlineLevel="0" collapsed="false">
      <c r="A664" s="22" t="s">
        <v>25</v>
      </c>
      <c r="B664" s="22" t="s">
        <v>3</v>
      </c>
      <c r="C664" s="22" t="s">
        <v>25</v>
      </c>
      <c r="D664" s="22" t="n">
        <v>39900</v>
      </c>
      <c r="E664" s="22" t="s">
        <v>134</v>
      </c>
      <c r="F664" s="22" t="s">
        <v>135</v>
      </c>
      <c r="G664" s="22" t="s">
        <v>131</v>
      </c>
      <c r="H664" s="22" t="s">
        <v>131</v>
      </c>
      <c r="I664" s="22" t="n">
        <v>-0.0143</v>
      </c>
      <c r="J664" s="22" t="n">
        <v>0.0026</v>
      </c>
      <c r="K664" s="22" t="n">
        <v>0.0162</v>
      </c>
      <c r="L664" s="22" t="n">
        <v>0.0204</v>
      </c>
      <c r="M664" s="22" t="n">
        <v>0.0393</v>
      </c>
      <c r="N664" s="22" t="n">
        <v>0.0405</v>
      </c>
      <c r="O664" s="22" t="n">
        <v>0.0278</v>
      </c>
      <c r="P664" s="22" t="n">
        <v>0.0474</v>
      </c>
      <c r="Q664" s="22" t="n">
        <v>0.047</v>
      </c>
      <c r="R664" s="22" t="n">
        <v>0.0609</v>
      </c>
      <c r="S664" s="22" t="n">
        <v>0.061</v>
      </c>
      <c r="T664" s="22" t="n">
        <v>0.055</v>
      </c>
      <c r="U664" s="22" t="n">
        <v>0.047</v>
      </c>
      <c r="V664" s="22" t="n">
        <v>0.034</v>
      </c>
      <c r="W664" s="22" t="n">
        <v>0.037</v>
      </c>
      <c r="X664" s="22" t="n">
        <v>0.034</v>
      </c>
      <c r="Y664" s="22" t="n">
        <v>0.034</v>
      </c>
      <c r="Z664" s="22" t="n">
        <v>0.037</v>
      </c>
      <c r="AA664" s="22" t="n">
        <v>0.047</v>
      </c>
      <c r="AB664" s="22" t="n">
        <v>0.049</v>
      </c>
      <c r="AC664" s="22" t="n">
        <v>0.053</v>
      </c>
      <c r="AD664" s="22" t="n">
        <v>0.05</v>
      </c>
      <c r="AE664" s="22" t="n">
        <v>0.056</v>
      </c>
      <c r="AF664" s="22" t="n">
        <v>0.057</v>
      </c>
    </row>
    <row r="665" customFormat="false" ht="15" hidden="false" customHeight="false" outlineLevel="0" collapsed="false">
      <c r="A665" s="22" t="s">
        <v>25</v>
      </c>
      <c r="B665" s="22" t="s">
        <v>3</v>
      </c>
      <c r="C665" s="22" t="s">
        <v>25</v>
      </c>
      <c r="D665" s="22" t="n">
        <v>39900</v>
      </c>
      <c r="E665" s="22" t="s">
        <v>136</v>
      </c>
      <c r="F665" s="22" t="s">
        <v>137</v>
      </c>
      <c r="G665" s="22" t="s">
        <v>131</v>
      </c>
      <c r="H665" s="22" t="s">
        <v>131</v>
      </c>
      <c r="I665" s="22" t="n">
        <v>4</v>
      </c>
      <c r="J665" s="22" t="n">
        <v>5</v>
      </c>
      <c r="K665" s="22" t="n">
        <v>3</v>
      </c>
      <c r="L665" s="22" t="n">
        <v>1</v>
      </c>
      <c r="M665" s="22" t="n">
        <v>1</v>
      </c>
      <c r="N665" s="22" t="n">
        <v>0</v>
      </c>
      <c r="O665" s="22" t="n">
        <v>0</v>
      </c>
      <c r="P665" s="22" t="n">
        <v>3</v>
      </c>
      <c r="Q665" s="22" t="n">
        <v>4</v>
      </c>
      <c r="R665" s="22" t="n">
        <v>6</v>
      </c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</row>
    <row r="666" customFormat="false" ht="15" hidden="false" customHeight="false" outlineLevel="0" collapsed="false">
      <c r="A666" s="22" t="s">
        <v>31</v>
      </c>
      <c r="B666" s="22" t="s">
        <v>3</v>
      </c>
      <c r="C666" s="22" t="s">
        <v>31</v>
      </c>
      <c r="D666" s="22" t="n">
        <v>40060</v>
      </c>
      <c r="E666" s="22" t="s">
        <v>129</v>
      </c>
      <c r="F666" s="22" t="s">
        <v>130</v>
      </c>
      <c r="G666" s="22" t="s">
        <v>131</v>
      </c>
      <c r="H666" s="22" t="s">
        <v>131</v>
      </c>
      <c r="I666" s="22" t="n">
        <v>1.6017408318545</v>
      </c>
      <c r="J666" s="22" t="n">
        <v>1.61457943625898</v>
      </c>
      <c r="K666" s="22" t="n">
        <v>1.62162328483846</v>
      </c>
      <c r="L666" s="22" t="n">
        <v>1.64202940680324</v>
      </c>
      <c r="M666" s="22" t="n">
        <v>1.65418328450278</v>
      </c>
      <c r="N666" s="22" t="n">
        <v>1.66409716300208</v>
      </c>
      <c r="O666" s="22" t="n">
        <v>1.68001018557941</v>
      </c>
      <c r="P666" s="22" t="n">
        <v>1.6928623257769</v>
      </c>
      <c r="Q666" s="22" t="n">
        <v>1.7029684222161</v>
      </c>
      <c r="R666" s="22" t="n">
        <v>1.71619874132329</v>
      </c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customFormat="false" ht="15" hidden="false" customHeight="false" outlineLevel="0" collapsed="false">
      <c r="A667" s="22" t="s">
        <v>31</v>
      </c>
      <c r="B667" s="22" t="s">
        <v>3</v>
      </c>
      <c r="C667" s="22" t="s">
        <v>31</v>
      </c>
      <c r="D667" s="22" t="n">
        <v>40060</v>
      </c>
      <c r="E667" s="22" t="s">
        <v>132</v>
      </c>
      <c r="F667" s="22" t="s">
        <v>6</v>
      </c>
      <c r="G667" s="22" t="s">
        <v>131</v>
      </c>
      <c r="H667" s="22" t="s">
        <v>131</v>
      </c>
      <c r="I667" s="22" t="n">
        <v>1.646</v>
      </c>
      <c r="J667" s="22" t="n">
        <v>1.682</v>
      </c>
      <c r="K667" s="22" t="n">
        <v>1.716</v>
      </c>
      <c r="L667" s="22" t="n">
        <v>1.71</v>
      </c>
      <c r="M667" s="22" t="n">
        <v>1.717</v>
      </c>
      <c r="N667" s="22" t="n">
        <v>1.751</v>
      </c>
      <c r="O667" s="22" t="n">
        <v>1.756</v>
      </c>
      <c r="P667" s="22" t="n">
        <v>1.733</v>
      </c>
      <c r="Q667" s="22" t="n">
        <v>1.757</v>
      </c>
      <c r="R667" s="22" t="n">
        <v>1.793</v>
      </c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customFormat="false" ht="15" hidden="false" customHeight="false" outlineLevel="0" collapsed="false">
      <c r="A668" s="22" t="s">
        <v>31</v>
      </c>
      <c r="B668" s="22" t="s">
        <v>3</v>
      </c>
      <c r="C668" s="22" t="s">
        <v>31</v>
      </c>
      <c r="D668" s="22" t="n">
        <v>40060</v>
      </c>
      <c r="E668" s="22" t="s">
        <v>132</v>
      </c>
      <c r="F668" s="22" t="s">
        <v>133</v>
      </c>
      <c r="G668" s="22" t="s">
        <v>131</v>
      </c>
      <c r="H668" s="22" t="s">
        <v>131</v>
      </c>
      <c r="I668" s="22" t="n">
        <v>114519</v>
      </c>
      <c r="J668" s="22" t="n">
        <v>115312</v>
      </c>
      <c r="K668" s="22" t="n">
        <v>115947</v>
      </c>
      <c r="L668" s="22" t="n">
        <v>116474</v>
      </c>
      <c r="M668" s="22" t="n">
        <v>117181</v>
      </c>
      <c r="N668" s="22" t="n">
        <v>118411</v>
      </c>
      <c r="O668" s="22" t="n">
        <v>119224</v>
      </c>
      <c r="P668" s="22" t="n">
        <v>119946</v>
      </c>
      <c r="Q668" s="22" t="n">
        <v>120219</v>
      </c>
      <c r="R668" s="22" t="n">
        <v>120508</v>
      </c>
      <c r="S668" s="22" t="n">
        <v>120905</v>
      </c>
      <c r="T668" s="22" t="n">
        <v>122677</v>
      </c>
      <c r="U668" s="22" t="n">
        <v>123685</v>
      </c>
      <c r="V668" s="22" t="n">
        <v>124236</v>
      </c>
      <c r="W668" s="22" t="n">
        <v>124605</v>
      </c>
      <c r="X668" s="22" t="n">
        <v>125564</v>
      </c>
      <c r="Y668" s="22" t="n">
        <v>125732</v>
      </c>
      <c r="Z668" s="22" t="n">
        <v>126171</v>
      </c>
      <c r="AA668" s="22" t="n">
        <v>126536</v>
      </c>
      <c r="AB668" s="22" t="n">
        <v>127496</v>
      </c>
      <c r="AC668" s="22" t="n">
        <v>127685</v>
      </c>
      <c r="AD668" s="22" t="n">
        <v>128154</v>
      </c>
      <c r="AE668" s="22" t="n">
        <v>128564</v>
      </c>
      <c r="AF668" s="22" t="n">
        <v>129569</v>
      </c>
    </row>
    <row r="669" customFormat="false" ht="15" hidden="false" customHeight="false" outlineLevel="0" collapsed="false">
      <c r="A669" s="22" t="s">
        <v>31</v>
      </c>
      <c r="B669" s="22" t="s">
        <v>3</v>
      </c>
      <c r="C669" s="22" t="s">
        <v>31</v>
      </c>
      <c r="D669" s="22" t="n">
        <v>40060</v>
      </c>
      <c r="E669" s="22" t="s">
        <v>132</v>
      </c>
      <c r="F669" s="22" t="s">
        <v>5</v>
      </c>
      <c r="G669" s="22" t="s">
        <v>131</v>
      </c>
      <c r="H669" s="22" t="s">
        <v>131</v>
      </c>
      <c r="I669" s="22" t="n">
        <v>1.656</v>
      </c>
      <c r="J669" s="22" t="n">
        <v>1.695</v>
      </c>
      <c r="K669" s="22" t="n">
        <v>1.728</v>
      </c>
      <c r="L669" s="22" t="n">
        <v>1.72</v>
      </c>
      <c r="M669" s="22" t="n">
        <v>1.728</v>
      </c>
      <c r="N669" s="22" t="n">
        <v>1.766</v>
      </c>
      <c r="O669" s="22" t="n">
        <v>1.777</v>
      </c>
      <c r="P669" s="22" t="n">
        <v>1.757</v>
      </c>
      <c r="Q669" s="22" t="n">
        <v>1.777</v>
      </c>
      <c r="R669" s="22" t="n">
        <v>1.812</v>
      </c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</row>
    <row r="670" customFormat="false" ht="15" hidden="false" customHeight="false" outlineLevel="0" collapsed="false">
      <c r="A670" s="22" t="s">
        <v>31</v>
      </c>
      <c r="B670" s="22" t="s">
        <v>3</v>
      </c>
      <c r="C670" s="22" t="s">
        <v>31</v>
      </c>
      <c r="D670" s="22" t="n">
        <v>40060</v>
      </c>
      <c r="E670" s="22" t="s">
        <v>134</v>
      </c>
      <c r="F670" s="22" t="s">
        <v>135</v>
      </c>
      <c r="G670" s="22" t="s">
        <v>131</v>
      </c>
      <c r="H670" s="22" t="s">
        <v>131</v>
      </c>
      <c r="I670" s="22" t="n">
        <v>0.0034</v>
      </c>
      <c r="J670" s="22" t="n">
        <v>0.0074</v>
      </c>
      <c r="K670" s="22" t="n">
        <v>0.0223</v>
      </c>
      <c r="L670" s="22" t="n">
        <v>0.0316</v>
      </c>
      <c r="M670" s="22" t="n">
        <v>0.0361</v>
      </c>
      <c r="N670" s="22" t="n">
        <v>0.0348</v>
      </c>
      <c r="O670" s="22" t="n">
        <v>0.0089</v>
      </c>
      <c r="P670" s="22" t="n">
        <v>-0.0015</v>
      </c>
      <c r="Q670" s="22" t="n">
        <v>0.0124</v>
      </c>
      <c r="R670" s="22" t="n">
        <v>0.0134</v>
      </c>
      <c r="S670" s="22" t="n">
        <v>0.014</v>
      </c>
      <c r="T670" s="22" t="n">
        <v>0.015</v>
      </c>
      <c r="U670" s="22" t="n">
        <v>0.018</v>
      </c>
      <c r="V670" s="22" t="n">
        <v>0.021</v>
      </c>
      <c r="W670" s="22" t="n">
        <v>0.026</v>
      </c>
      <c r="X670" s="22" t="n">
        <v>0.031</v>
      </c>
      <c r="Y670" s="22" t="n">
        <v>0.036</v>
      </c>
      <c r="Z670" s="22" t="n">
        <v>0.036</v>
      </c>
      <c r="AA670" s="22" t="n">
        <v>0.035</v>
      </c>
      <c r="AB670" s="22" t="n">
        <v>0.034</v>
      </c>
      <c r="AC670" s="22" t="n">
        <v>0.033</v>
      </c>
      <c r="AD670" s="22" t="n">
        <v>0.033</v>
      </c>
      <c r="AE670" s="22" t="n">
        <v>0.033</v>
      </c>
      <c r="AF670" s="22" t="n">
        <v>0.032</v>
      </c>
    </row>
    <row r="671" customFormat="false" ht="15" hidden="false" customHeight="false" outlineLevel="0" collapsed="false">
      <c r="A671" s="22" t="s">
        <v>31</v>
      </c>
      <c r="B671" s="22" t="s">
        <v>3</v>
      </c>
      <c r="C671" s="22" t="s">
        <v>31</v>
      </c>
      <c r="D671" s="22" t="n">
        <v>40060</v>
      </c>
      <c r="E671" s="22" t="s">
        <v>136</v>
      </c>
      <c r="F671" s="22" t="s">
        <v>137</v>
      </c>
      <c r="G671" s="22" t="s">
        <v>131</v>
      </c>
      <c r="H671" s="22" t="s">
        <v>131</v>
      </c>
      <c r="I671" s="22" t="n">
        <v>13</v>
      </c>
      <c r="J671" s="22" t="n">
        <v>10</v>
      </c>
      <c r="K671" s="22" t="n">
        <v>10</v>
      </c>
      <c r="L671" s="22" t="n">
        <v>9</v>
      </c>
      <c r="M671" s="22" t="n">
        <v>8</v>
      </c>
      <c r="N671" s="22" t="n">
        <v>11</v>
      </c>
      <c r="O671" s="22" t="n">
        <v>8</v>
      </c>
      <c r="P671" s="22" t="n">
        <v>5</v>
      </c>
      <c r="Q671" s="22" t="n">
        <v>9</v>
      </c>
      <c r="R671" s="22" t="n">
        <v>7</v>
      </c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customFormat="false" ht="15" hidden="false" customHeight="false" outlineLevel="0" collapsed="false">
      <c r="A672" s="22" t="s">
        <v>199</v>
      </c>
      <c r="B672" s="22" t="s">
        <v>3</v>
      </c>
      <c r="C672" s="22" t="s">
        <v>199</v>
      </c>
      <c r="D672" s="22" t="n">
        <v>40140</v>
      </c>
      <c r="E672" s="22" t="s">
        <v>129</v>
      </c>
      <c r="F672" s="22" t="s">
        <v>130</v>
      </c>
      <c r="G672" s="22" t="s">
        <v>131</v>
      </c>
      <c r="H672" s="22" t="s">
        <v>131</v>
      </c>
      <c r="I672" s="22" t="n">
        <v>2.36277700710222</v>
      </c>
      <c r="J672" s="22" t="n">
        <v>2.38035023128983</v>
      </c>
      <c r="K672" s="22" t="n">
        <v>2.40335053638636</v>
      </c>
      <c r="L672" s="22" t="n">
        <v>2.41282376390816</v>
      </c>
      <c r="M672" s="22" t="n">
        <v>2.41753426396495</v>
      </c>
      <c r="N672" s="22" t="n">
        <v>2.41429621687869</v>
      </c>
      <c r="O672" s="22" t="n">
        <v>2.43864109968482</v>
      </c>
      <c r="P672" s="22" t="n">
        <v>2.45757332999987</v>
      </c>
      <c r="Q672" s="22" t="n">
        <v>2.46113578042467</v>
      </c>
      <c r="R672" s="22" t="n">
        <v>2.48793651824494</v>
      </c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customFormat="false" ht="15" hidden="false" customHeight="false" outlineLevel="0" collapsed="false">
      <c r="A673" s="22" t="s">
        <v>199</v>
      </c>
      <c r="B673" s="22" t="s">
        <v>3</v>
      </c>
      <c r="C673" s="22" t="s">
        <v>199</v>
      </c>
      <c r="D673" s="22" t="n">
        <v>40140</v>
      </c>
      <c r="E673" s="22" t="s">
        <v>132</v>
      </c>
      <c r="F673" s="22" t="s">
        <v>6</v>
      </c>
      <c r="G673" s="22" t="s">
        <v>131</v>
      </c>
      <c r="H673" s="22" t="s">
        <v>131</v>
      </c>
      <c r="I673" s="22" t="n">
        <v>2.457</v>
      </c>
      <c r="J673" s="22" t="n">
        <v>2.496</v>
      </c>
      <c r="K673" s="22" t="n">
        <v>2.504</v>
      </c>
      <c r="L673" s="22" t="n">
        <v>2.468</v>
      </c>
      <c r="M673" s="22" t="n">
        <v>2.488</v>
      </c>
      <c r="N673" s="22" t="n">
        <v>2.525</v>
      </c>
      <c r="O673" s="22" t="n">
        <v>2.531</v>
      </c>
      <c r="P673" s="22" t="n">
        <v>2.5</v>
      </c>
      <c r="Q673" s="22" t="n">
        <v>2.526</v>
      </c>
      <c r="R673" s="22" t="n">
        <v>2.559</v>
      </c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customFormat="false" ht="15" hidden="false" customHeight="false" outlineLevel="0" collapsed="false">
      <c r="A674" s="22" t="s">
        <v>199</v>
      </c>
      <c r="B674" s="22" t="s">
        <v>3</v>
      </c>
      <c r="C674" s="22" t="s">
        <v>199</v>
      </c>
      <c r="D674" s="22" t="n">
        <v>40140</v>
      </c>
      <c r="E674" s="22" t="s">
        <v>132</v>
      </c>
      <c r="F674" s="22" t="s">
        <v>133</v>
      </c>
      <c r="G674" s="22" t="s">
        <v>131</v>
      </c>
      <c r="H674" s="22" t="s">
        <v>131</v>
      </c>
      <c r="I674" s="22" t="n">
        <v>194963</v>
      </c>
      <c r="J674" s="22" t="n">
        <v>195883</v>
      </c>
      <c r="K674" s="22" t="n">
        <v>196850</v>
      </c>
      <c r="L674" s="22" t="n">
        <v>198585</v>
      </c>
      <c r="M674" s="22" t="n">
        <v>200076</v>
      </c>
      <c r="N674" s="22" t="n">
        <v>201416</v>
      </c>
      <c r="O674" s="22" t="n">
        <v>202489</v>
      </c>
      <c r="P674" s="22" t="n">
        <v>202842</v>
      </c>
      <c r="Q674" s="22" t="n">
        <v>203238</v>
      </c>
      <c r="R674" s="22" t="n">
        <v>203781</v>
      </c>
      <c r="S674" s="22" t="n">
        <v>204074</v>
      </c>
      <c r="T674" s="22" t="n">
        <v>204617</v>
      </c>
      <c r="U674" s="22" t="n">
        <v>205391</v>
      </c>
      <c r="V674" s="22" t="n">
        <v>206145</v>
      </c>
      <c r="W674" s="22" t="n">
        <v>206276</v>
      </c>
      <c r="X674" s="22" t="n">
        <v>206276</v>
      </c>
      <c r="Y674" s="22" t="n">
        <v>206276</v>
      </c>
      <c r="Z674" s="22" t="n">
        <v>206908</v>
      </c>
      <c r="AA674" s="22" t="n">
        <v>207137</v>
      </c>
      <c r="AB674" s="22" t="n">
        <v>207221</v>
      </c>
      <c r="AC674" s="22" t="n">
        <v>207282</v>
      </c>
      <c r="AD674" s="22" t="n">
        <v>207950</v>
      </c>
      <c r="AE674" s="22" t="n">
        <v>208205</v>
      </c>
      <c r="AF674" s="22" t="n">
        <v>208306</v>
      </c>
    </row>
    <row r="675" customFormat="false" ht="15" hidden="false" customHeight="false" outlineLevel="0" collapsed="false">
      <c r="A675" s="22" t="s">
        <v>199</v>
      </c>
      <c r="B675" s="22" t="s">
        <v>3</v>
      </c>
      <c r="C675" s="22" t="s">
        <v>199</v>
      </c>
      <c r="D675" s="22" t="n">
        <v>40140</v>
      </c>
      <c r="E675" s="22" t="s">
        <v>132</v>
      </c>
      <c r="F675" s="22" t="s">
        <v>5</v>
      </c>
      <c r="G675" s="22" t="s">
        <v>131</v>
      </c>
      <c r="H675" s="22" t="s">
        <v>131</v>
      </c>
      <c r="I675" s="22" t="n">
        <v>2.472</v>
      </c>
      <c r="J675" s="22" t="n">
        <v>2.51</v>
      </c>
      <c r="K675" s="22" t="n">
        <v>2.516</v>
      </c>
      <c r="L675" s="22" t="n">
        <v>2.481</v>
      </c>
      <c r="M675" s="22" t="n">
        <v>2.5</v>
      </c>
      <c r="N675" s="22" t="n">
        <v>2.538</v>
      </c>
      <c r="O675" s="22" t="n">
        <v>2.546</v>
      </c>
      <c r="P675" s="22" t="n">
        <v>2.522</v>
      </c>
      <c r="Q675" s="22" t="n">
        <v>2.546</v>
      </c>
      <c r="R675" s="22" t="n">
        <v>2.578</v>
      </c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customFormat="false" ht="15" hidden="false" customHeight="false" outlineLevel="0" collapsed="false">
      <c r="A676" s="22" t="s">
        <v>199</v>
      </c>
      <c r="B676" s="22" t="s">
        <v>3</v>
      </c>
      <c r="C676" s="22" t="s">
        <v>199</v>
      </c>
      <c r="D676" s="22" t="n">
        <v>40140</v>
      </c>
      <c r="E676" s="22" t="s">
        <v>134</v>
      </c>
      <c r="F676" s="22" t="s">
        <v>135</v>
      </c>
      <c r="G676" s="22" t="s">
        <v>131</v>
      </c>
      <c r="H676" s="22" t="s">
        <v>131</v>
      </c>
      <c r="I676" s="22" t="n">
        <v>-0.0107</v>
      </c>
      <c r="J676" s="22" t="n">
        <v>-0.0039</v>
      </c>
      <c r="K676" s="22" t="n">
        <v>0.0019</v>
      </c>
      <c r="L676" s="22" t="n">
        <v>0.0035</v>
      </c>
      <c r="M676" s="22" t="n">
        <v>0.0113</v>
      </c>
      <c r="N676" s="22" t="n">
        <v>0.0008</v>
      </c>
      <c r="O676" s="22" t="n">
        <v>-0.0105</v>
      </c>
      <c r="P676" s="22" t="n">
        <v>-0.0048</v>
      </c>
      <c r="Q676" s="22" t="n">
        <v>-0.004</v>
      </c>
      <c r="R676" s="22" t="n">
        <v>0.0021</v>
      </c>
      <c r="S676" s="22" t="n">
        <v>0.007</v>
      </c>
      <c r="T676" s="22" t="n">
        <v>0.016</v>
      </c>
      <c r="U676" s="22" t="n">
        <v>0.022</v>
      </c>
      <c r="V676" s="22" t="n">
        <v>0.023</v>
      </c>
      <c r="W676" s="22" t="n">
        <v>0.024</v>
      </c>
      <c r="X676" s="22" t="n">
        <v>0.025</v>
      </c>
      <c r="Y676" s="22" t="n">
        <v>0.024</v>
      </c>
      <c r="Z676" s="22" t="n">
        <v>0.025</v>
      </c>
      <c r="AA676" s="22" t="n">
        <v>0.026</v>
      </c>
      <c r="AB676" s="22" t="n">
        <v>0.026</v>
      </c>
      <c r="AC676" s="22" t="n">
        <v>0.025</v>
      </c>
      <c r="AD676" s="22" t="n">
        <v>0.025</v>
      </c>
      <c r="AE676" s="22" t="n">
        <v>0.027</v>
      </c>
      <c r="AF676" s="22" t="n">
        <v>0.027</v>
      </c>
    </row>
    <row r="677" customFormat="false" ht="15" hidden="false" customHeight="false" outlineLevel="0" collapsed="false">
      <c r="A677" s="22" t="s">
        <v>199</v>
      </c>
      <c r="B677" s="22" t="s">
        <v>3</v>
      </c>
      <c r="C677" s="22" t="s">
        <v>199</v>
      </c>
      <c r="D677" s="22" t="n">
        <v>40140</v>
      </c>
      <c r="E677" s="22" t="s">
        <v>136</v>
      </c>
      <c r="F677" s="22" t="s">
        <v>137</v>
      </c>
      <c r="G677" s="22" t="s">
        <v>131</v>
      </c>
      <c r="H677" s="22" t="s">
        <v>131</v>
      </c>
      <c r="I677" s="22" t="n">
        <v>12</v>
      </c>
      <c r="J677" s="22" t="n">
        <v>10</v>
      </c>
      <c r="K677" s="22" t="n">
        <v>8</v>
      </c>
      <c r="L677" s="22" t="n">
        <v>10</v>
      </c>
      <c r="M677" s="22" t="n">
        <v>9</v>
      </c>
      <c r="N677" s="22" t="n">
        <v>5</v>
      </c>
      <c r="O677" s="22" t="n">
        <v>5</v>
      </c>
      <c r="P677" s="22" t="n">
        <v>5</v>
      </c>
      <c r="Q677" s="22" t="n">
        <v>3</v>
      </c>
      <c r="R677" s="22" t="n">
        <v>3</v>
      </c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customFormat="false" ht="15" hidden="false" customHeight="false" outlineLevel="0" collapsed="false">
      <c r="A678" s="22" t="s">
        <v>200</v>
      </c>
      <c r="B678" s="22" t="s">
        <v>3</v>
      </c>
      <c r="C678" s="22" t="s">
        <v>200</v>
      </c>
      <c r="D678" s="22" t="n">
        <v>40380</v>
      </c>
      <c r="E678" s="22" t="s">
        <v>129</v>
      </c>
      <c r="F678" s="22" t="s">
        <v>130</v>
      </c>
      <c r="G678" s="22" t="s">
        <v>131</v>
      </c>
      <c r="H678" s="22" t="s">
        <v>131</v>
      </c>
      <c r="I678" s="22" t="n">
        <v>1.40069017582734</v>
      </c>
      <c r="J678" s="22" t="n">
        <v>1.42564644004342</v>
      </c>
      <c r="K678" s="22" t="n">
        <v>1.44018229636462</v>
      </c>
      <c r="L678" s="22" t="n">
        <v>1.46904260418389</v>
      </c>
      <c r="M678" s="22" t="n">
        <v>1.48030001270946</v>
      </c>
      <c r="N678" s="22" t="n">
        <v>1.49550308284456</v>
      </c>
      <c r="O678" s="22" t="n">
        <v>1.51269849936239</v>
      </c>
      <c r="P678" s="22" t="n">
        <v>1.51146239970199</v>
      </c>
      <c r="Q678" s="22" t="n">
        <v>1.53025856933601</v>
      </c>
      <c r="R678" s="22" t="n">
        <v>1.54216947662303</v>
      </c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</row>
    <row r="679" customFormat="false" ht="15" hidden="false" customHeight="false" outlineLevel="0" collapsed="false">
      <c r="A679" s="22" t="s">
        <v>200</v>
      </c>
      <c r="B679" s="22" t="s">
        <v>3</v>
      </c>
      <c r="C679" s="22" t="s">
        <v>200</v>
      </c>
      <c r="D679" s="22" t="n">
        <v>40380</v>
      </c>
      <c r="E679" s="22" t="s">
        <v>132</v>
      </c>
      <c r="F679" s="22" t="s">
        <v>6</v>
      </c>
      <c r="G679" s="22" t="s">
        <v>131</v>
      </c>
      <c r="H679" s="22" t="s">
        <v>131</v>
      </c>
      <c r="I679" s="22" t="n">
        <v>1.489</v>
      </c>
      <c r="J679" s="22" t="n">
        <v>1.515</v>
      </c>
      <c r="K679" s="22" t="n">
        <v>1.545</v>
      </c>
      <c r="L679" s="22" t="n">
        <v>1.557</v>
      </c>
      <c r="M679" s="22" t="n">
        <v>1.562</v>
      </c>
      <c r="N679" s="22" t="n">
        <v>1.584</v>
      </c>
      <c r="O679" s="22" t="n">
        <v>1.616</v>
      </c>
      <c r="P679" s="22" t="n">
        <v>1.615</v>
      </c>
      <c r="Q679" s="22" t="n">
        <v>1.632</v>
      </c>
      <c r="R679" s="22" t="n">
        <v>1.65</v>
      </c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customFormat="false" ht="15" hidden="false" customHeight="false" outlineLevel="0" collapsed="false">
      <c r="A680" s="22" t="s">
        <v>200</v>
      </c>
      <c r="B680" s="22" t="s">
        <v>3</v>
      </c>
      <c r="C680" s="22" t="s">
        <v>200</v>
      </c>
      <c r="D680" s="22" t="n">
        <v>40380</v>
      </c>
      <c r="E680" s="22" t="s">
        <v>132</v>
      </c>
      <c r="F680" s="22" t="s">
        <v>133</v>
      </c>
      <c r="G680" s="22" t="s">
        <v>131</v>
      </c>
      <c r="H680" s="22" t="s">
        <v>131</v>
      </c>
      <c r="I680" s="22" t="n">
        <v>69266</v>
      </c>
      <c r="J680" s="22" t="n">
        <v>69303</v>
      </c>
      <c r="K680" s="22" t="n">
        <v>69303</v>
      </c>
      <c r="L680" s="22" t="n">
        <v>69325</v>
      </c>
      <c r="M680" s="22" t="n">
        <v>69391</v>
      </c>
      <c r="N680" s="22" t="n">
        <v>69413</v>
      </c>
      <c r="O680" s="22" t="n">
        <v>69453</v>
      </c>
      <c r="P680" s="22" t="n">
        <v>69513</v>
      </c>
      <c r="Q680" s="22" t="n">
        <v>69573</v>
      </c>
      <c r="R680" s="22" t="n">
        <v>69645</v>
      </c>
      <c r="S680" s="22" t="n">
        <v>69781</v>
      </c>
      <c r="T680" s="22" t="n">
        <v>69852</v>
      </c>
      <c r="U680" s="22" t="n">
        <v>70167</v>
      </c>
      <c r="V680" s="22" t="n">
        <v>70351</v>
      </c>
      <c r="W680" s="22" t="n">
        <v>70497</v>
      </c>
      <c r="X680" s="22" t="n">
        <v>70497</v>
      </c>
      <c r="Y680" s="22" t="n">
        <v>70499</v>
      </c>
      <c r="Z680" s="22" t="n">
        <v>70660</v>
      </c>
      <c r="AA680" s="22" t="n">
        <v>70786</v>
      </c>
      <c r="AB680" s="22" t="n">
        <v>70759</v>
      </c>
      <c r="AC680" s="22" t="n">
        <v>70738</v>
      </c>
      <c r="AD680" s="22" t="n">
        <v>70878</v>
      </c>
      <c r="AE680" s="22" t="n">
        <v>71006</v>
      </c>
      <c r="AF680" s="22" t="n">
        <v>70983</v>
      </c>
    </row>
    <row r="681" customFormat="false" ht="15" hidden="false" customHeight="false" outlineLevel="0" collapsed="false">
      <c r="A681" s="22" t="s">
        <v>200</v>
      </c>
      <c r="B681" s="22" t="s">
        <v>3</v>
      </c>
      <c r="C681" s="22" t="s">
        <v>200</v>
      </c>
      <c r="D681" s="22" t="n">
        <v>40380</v>
      </c>
      <c r="E681" s="22" t="s">
        <v>132</v>
      </c>
      <c r="F681" s="22" t="s">
        <v>5</v>
      </c>
      <c r="G681" s="22" t="s">
        <v>131</v>
      </c>
      <c r="H681" s="22" t="s">
        <v>131</v>
      </c>
      <c r="I681" s="22" t="n">
        <v>1.491</v>
      </c>
      <c r="J681" s="22" t="n">
        <v>1.517</v>
      </c>
      <c r="K681" s="22" t="n">
        <v>1.546</v>
      </c>
      <c r="L681" s="22" t="n">
        <v>1.558</v>
      </c>
      <c r="M681" s="22" t="n">
        <v>1.564</v>
      </c>
      <c r="N681" s="22" t="n">
        <v>1.586</v>
      </c>
      <c r="O681" s="22" t="n">
        <v>1.618</v>
      </c>
      <c r="P681" s="22" t="n">
        <v>1.62</v>
      </c>
      <c r="Q681" s="22" t="n">
        <v>1.636</v>
      </c>
      <c r="R681" s="22" t="n">
        <v>1.653</v>
      </c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customFormat="false" ht="15" hidden="false" customHeight="false" outlineLevel="0" collapsed="false">
      <c r="A682" s="22" t="s">
        <v>200</v>
      </c>
      <c r="B682" s="22" t="s">
        <v>3</v>
      </c>
      <c r="C682" s="22" t="s">
        <v>200</v>
      </c>
      <c r="D682" s="22" t="n">
        <v>40380</v>
      </c>
      <c r="E682" s="22" t="s">
        <v>134</v>
      </c>
      <c r="F682" s="22" t="s">
        <v>135</v>
      </c>
      <c r="G682" s="22" t="s">
        <v>131</v>
      </c>
      <c r="H682" s="22" t="s">
        <v>131</v>
      </c>
      <c r="I682" s="22" t="n">
        <v>0.0649</v>
      </c>
      <c r="J682" s="22" t="n">
        <v>0.0483</v>
      </c>
      <c r="K682" s="22" t="n">
        <v>0.0501</v>
      </c>
      <c r="L682" s="22" t="n">
        <v>0.0442</v>
      </c>
      <c r="M682" s="22" t="n">
        <v>0.0429</v>
      </c>
      <c r="N682" s="22" t="n">
        <v>0.0411</v>
      </c>
      <c r="O682" s="22" t="n">
        <v>0.0367</v>
      </c>
      <c r="P682" s="22" t="n">
        <v>0.0295</v>
      </c>
      <c r="Q682" s="22" t="n">
        <v>0.0416</v>
      </c>
      <c r="R682" s="22" t="n">
        <v>0.0384</v>
      </c>
      <c r="S682" s="22" t="n">
        <v>0.033</v>
      </c>
      <c r="T682" s="22" t="n">
        <v>0.034</v>
      </c>
      <c r="U682" s="22" t="n">
        <v>0.028</v>
      </c>
      <c r="V682" s="22" t="n">
        <v>0.02</v>
      </c>
      <c r="W682" s="22" t="n">
        <v>0.016</v>
      </c>
      <c r="X682" s="22" t="n">
        <v>0.021</v>
      </c>
      <c r="Y682" s="22" t="n">
        <v>0.023</v>
      </c>
      <c r="Z682" s="22" t="n">
        <v>0.023</v>
      </c>
      <c r="AA682" s="22" t="n">
        <v>0.018</v>
      </c>
      <c r="AB682" s="22" t="n">
        <v>0.018</v>
      </c>
      <c r="AC682" s="22" t="n">
        <v>0.019</v>
      </c>
      <c r="AD682" s="22" t="n">
        <v>0.023</v>
      </c>
      <c r="AE682" s="22" t="n">
        <v>0.019</v>
      </c>
      <c r="AF682" s="22" t="n">
        <v>0.021</v>
      </c>
    </row>
    <row r="683" customFormat="false" ht="15" hidden="false" customHeight="false" outlineLevel="0" collapsed="false">
      <c r="A683" s="22" t="s">
        <v>200</v>
      </c>
      <c r="B683" s="22" t="s">
        <v>3</v>
      </c>
      <c r="C683" s="22" t="s">
        <v>200</v>
      </c>
      <c r="D683" s="22" t="n">
        <v>40380</v>
      </c>
      <c r="E683" s="22" t="s">
        <v>136</v>
      </c>
      <c r="F683" s="22" t="s">
        <v>137</v>
      </c>
      <c r="G683" s="22" t="s">
        <v>131</v>
      </c>
      <c r="H683" s="22" t="s">
        <v>131</v>
      </c>
      <c r="I683" s="22" t="n">
        <v>0</v>
      </c>
      <c r="J683" s="22" t="n">
        <v>0</v>
      </c>
      <c r="K683" s="22" t="n">
        <v>1</v>
      </c>
      <c r="L683" s="22" t="n">
        <v>1</v>
      </c>
      <c r="M683" s="22" t="n">
        <v>4</v>
      </c>
      <c r="N683" s="22" t="n">
        <v>4</v>
      </c>
      <c r="O683" s="22" t="n">
        <v>5</v>
      </c>
      <c r="P683" s="22" t="n">
        <v>7</v>
      </c>
      <c r="Q683" s="22" t="n">
        <v>4</v>
      </c>
      <c r="R683" s="22" t="n">
        <v>4</v>
      </c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customFormat="false" ht="15" hidden="false" customHeight="false" outlineLevel="0" collapsed="false">
      <c r="A684" s="22" t="s">
        <v>201</v>
      </c>
      <c r="B684" s="22" t="s">
        <v>3</v>
      </c>
      <c r="C684" s="22" t="s">
        <v>201</v>
      </c>
      <c r="D684" s="22" t="n">
        <v>40900</v>
      </c>
      <c r="E684" s="22" t="s">
        <v>129</v>
      </c>
      <c r="F684" s="22" t="s">
        <v>130</v>
      </c>
      <c r="G684" s="22" t="s">
        <v>131</v>
      </c>
      <c r="H684" s="22" t="s">
        <v>131</v>
      </c>
      <c r="I684" s="22" t="n">
        <v>2.17910375875347</v>
      </c>
      <c r="J684" s="22" t="n">
        <v>2.1841034253868</v>
      </c>
      <c r="K684" s="22" t="n">
        <v>2.21271827100428</v>
      </c>
      <c r="L684" s="22" t="n">
        <v>2.22355974669203</v>
      </c>
      <c r="M684" s="22" t="n">
        <v>2.23918575949897</v>
      </c>
      <c r="N684" s="22" t="n">
        <v>2.25428660011793</v>
      </c>
      <c r="O684" s="22" t="n">
        <v>2.26436078597497</v>
      </c>
      <c r="P684" s="22" t="n">
        <v>2.28997716857391</v>
      </c>
      <c r="Q684" s="22" t="n">
        <v>2.29465471087785</v>
      </c>
      <c r="R684" s="22" t="n">
        <v>2.27417626189748</v>
      </c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</row>
    <row r="685" customFormat="false" ht="15" hidden="false" customHeight="false" outlineLevel="0" collapsed="false">
      <c r="A685" s="22" t="s">
        <v>201</v>
      </c>
      <c r="B685" s="22" t="s">
        <v>3</v>
      </c>
      <c r="C685" s="22" t="s">
        <v>201</v>
      </c>
      <c r="D685" s="22" t="n">
        <v>40900</v>
      </c>
      <c r="E685" s="22" t="s">
        <v>132</v>
      </c>
      <c r="F685" s="22" t="s">
        <v>6</v>
      </c>
      <c r="G685" s="22" t="s">
        <v>131</v>
      </c>
      <c r="H685" s="22" t="s">
        <v>131</v>
      </c>
      <c r="I685" s="22" t="n">
        <v>2.241</v>
      </c>
      <c r="J685" s="22" t="n">
        <v>2.27</v>
      </c>
      <c r="K685" s="22" t="n">
        <v>2.291</v>
      </c>
      <c r="L685" s="22" t="n">
        <v>2.269</v>
      </c>
      <c r="M685" s="22" t="n">
        <v>2.262</v>
      </c>
      <c r="N685" s="22" t="n">
        <v>2.291</v>
      </c>
      <c r="O685" s="22" t="n">
        <v>2.283</v>
      </c>
      <c r="P685" s="22" t="n">
        <v>2.241</v>
      </c>
      <c r="Q685" s="22" t="n">
        <v>2.261</v>
      </c>
      <c r="R685" s="22" t="n">
        <v>2.286</v>
      </c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customFormat="false" ht="15" hidden="false" customHeight="false" outlineLevel="0" collapsed="false">
      <c r="A686" s="22" t="s">
        <v>201</v>
      </c>
      <c r="B686" s="22" t="s">
        <v>3</v>
      </c>
      <c r="C686" s="22" t="s">
        <v>201</v>
      </c>
      <c r="D686" s="22" t="n">
        <v>40900</v>
      </c>
      <c r="E686" s="22" t="s">
        <v>132</v>
      </c>
      <c r="F686" s="22" t="s">
        <v>133</v>
      </c>
      <c r="G686" s="22" t="s">
        <v>131</v>
      </c>
      <c r="H686" s="22" t="s">
        <v>131</v>
      </c>
      <c r="I686" s="22" t="n">
        <v>159193</v>
      </c>
      <c r="J686" s="22" t="n">
        <v>160274</v>
      </c>
      <c r="K686" s="22" t="n">
        <v>160823</v>
      </c>
      <c r="L686" s="22" t="n">
        <v>161566</v>
      </c>
      <c r="M686" s="22" t="n">
        <v>162014</v>
      </c>
      <c r="N686" s="22" t="n">
        <v>162673</v>
      </c>
      <c r="O686" s="22" t="n">
        <v>162798</v>
      </c>
      <c r="P686" s="22" t="n">
        <v>163000</v>
      </c>
      <c r="Q686" s="22" t="n">
        <v>163221</v>
      </c>
      <c r="R686" s="22" t="n">
        <v>163254</v>
      </c>
      <c r="S686" s="22" t="n">
        <v>163625</v>
      </c>
      <c r="T686" s="22" t="n">
        <v>164303</v>
      </c>
      <c r="U686" s="22" t="n">
        <v>164788</v>
      </c>
      <c r="V686" s="22" t="n">
        <v>164973</v>
      </c>
      <c r="W686" s="22" t="n">
        <v>165115</v>
      </c>
      <c r="X686" s="22" t="n">
        <v>165184</v>
      </c>
      <c r="Y686" s="22" t="n">
        <v>165652</v>
      </c>
      <c r="Z686" s="22" t="n">
        <v>165833</v>
      </c>
      <c r="AA686" s="22" t="n">
        <v>165931</v>
      </c>
      <c r="AB686" s="22" t="n">
        <v>165984</v>
      </c>
      <c r="AC686" s="22" t="n">
        <v>166433</v>
      </c>
      <c r="AD686" s="22" t="n">
        <v>166596</v>
      </c>
      <c r="AE686" s="22" t="n">
        <v>166674</v>
      </c>
      <c r="AF686" s="22" t="n">
        <v>166705</v>
      </c>
    </row>
    <row r="687" customFormat="false" ht="15" hidden="false" customHeight="false" outlineLevel="0" collapsed="false">
      <c r="A687" s="22" t="s">
        <v>201</v>
      </c>
      <c r="B687" s="22" t="s">
        <v>3</v>
      </c>
      <c r="C687" s="22" t="s">
        <v>201</v>
      </c>
      <c r="D687" s="22" t="n">
        <v>40900</v>
      </c>
      <c r="E687" s="22" t="s">
        <v>132</v>
      </c>
      <c r="F687" s="22" t="s">
        <v>5</v>
      </c>
      <c r="G687" s="22" t="s">
        <v>131</v>
      </c>
      <c r="H687" s="22" t="s">
        <v>131</v>
      </c>
      <c r="I687" s="22" t="n">
        <v>2.256</v>
      </c>
      <c r="J687" s="22" t="n">
        <v>2.289</v>
      </c>
      <c r="K687" s="22" t="n">
        <v>2.309</v>
      </c>
      <c r="L687" s="22" t="n">
        <v>2.287</v>
      </c>
      <c r="M687" s="22" t="n">
        <v>2.286</v>
      </c>
      <c r="N687" s="22" t="n">
        <v>2.316</v>
      </c>
      <c r="O687" s="22" t="n">
        <v>2.311</v>
      </c>
      <c r="P687" s="22" t="n">
        <v>2.268</v>
      </c>
      <c r="Q687" s="22" t="n">
        <v>2.291</v>
      </c>
      <c r="R687" s="22" t="n">
        <v>2.316</v>
      </c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</row>
    <row r="688" customFormat="false" ht="15" hidden="false" customHeight="false" outlineLevel="0" collapsed="false">
      <c r="A688" s="22" t="s">
        <v>201</v>
      </c>
      <c r="B688" s="22" t="s">
        <v>3</v>
      </c>
      <c r="C688" s="22" t="s">
        <v>201</v>
      </c>
      <c r="D688" s="22" t="n">
        <v>40900</v>
      </c>
      <c r="E688" s="22" t="s">
        <v>134</v>
      </c>
      <c r="F688" s="22" t="s">
        <v>135</v>
      </c>
      <c r="G688" s="22" t="s">
        <v>131</v>
      </c>
      <c r="H688" s="22" t="s">
        <v>131</v>
      </c>
      <c r="I688" s="22" t="n">
        <v>0.0044</v>
      </c>
      <c r="J688" s="22" t="n">
        <v>0.0124</v>
      </c>
      <c r="K688" s="22" t="n">
        <v>0.0141</v>
      </c>
      <c r="L688" s="22" t="n">
        <v>0.0132</v>
      </c>
      <c r="M688" s="22" t="n">
        <v>0.0056</v>
      </c>
      <c r="N688" s="22" t="n">
        <v>-0.0002</v>
      </c>
      <c r="O688" s="22" t="n">
        <v>-0.0181</v>
      </c>
      <c r="P688" s="22" t="n">
        <v>-0.0243</v>
      </c>
      <c r="Q688" s="22" t="n">
        <v>-0.0114</v>
      </c>
      <c r="R688" s="22" t="n">
        <v>-0.0109</v>
      </c>
      <c r="S688" s="22" t="n">
        <v>-0.007</v>
      </c>
      <c r="T688" s="22" t="n">
        <v>-0.003</v>
      </c>
      <c r="U688" s="22" t="n">
        <v>0.002</v>
      </c>
      <c r="V688" s="22" t="n">
        <v>0.01</v>
      </c>
      <c r="W688" s="22" t="n">
        <v>0.021</v>
      </c>
      <c r="X688" s="22" t="n">
        <v>0.02</v>
      </c>
      <c r="Y688" s="22" t="n">
        <v>0.017</v>
      </c>
      <c r="Z688" s="22" t="n">
        <v>0.017</v>
      </c>
      <c r="AA688" s="22" t="n">
        <v>0.019</v>
      </c>
      <c r="AB688" s="22" t="n">
        <v>0.019</v>
      </c>
      <c r="AC688" s="22" t="n">
        <v>0.016</v>
      </c>
      <c r="AD688" s="22" t="n">
        <v>0.016</v>
      </c>
      <c r="AE688" s="22" t="n">
        <v>0.019</v>
      </c>
      <c r="AF688" s="22" t="n">
        <v>0.02</v>
      </c>
    </row>
    <row r="689" customFormat="false" ht="15" hidden="false" customHeight="false" outlineLevel="0" collapsed="false">
      <c r="A689" s="22" t="s">
        <v>201</v>
      </c>
      <c r="B689" s="22" t="s">
        <v>3</v>
      </c>
      <c r="C689" s="22" t="s">
        <v>201</v>
      </c>
      <c r="D689" s="22" t="n">
        <v>40900</v>
      </c>
      <c r="E689" s="22" t="s">
        <v>136</v>
      </c>
      <c r="F689" s="22" t="s">
        <v>137</v>
      </c>
      <c r="G689" s="22" t="s">
        <v>131</v>
      </c>
      <c r="H689" s="22" t="s">
        <v>131</v>
      </c>
      <c r="I689" s="22" t="n">
        <v>8</v>
      </c>
      <c r="J689" s="22" t="n">
        <v>8</v>
      </c>
      <c r="K689" s="22" t="n">
        <v>8</v>
      </c>
      <c r="L689" s="22" t="n">
        <v>10</v>
      </c>
      <c r="M689" s="22" t="n">
        <v>9</v>
      </c>
      <c r="N689" s="22" t="n">
        <v>9</v>
      </c>
      <c r="O689" s="22" t="n">
        <v>9</v>
      </c>
      <c r="P689" s="22" t="n">
        <v>6</v>
      </c>
      <c r="Q689" s="22" t="n">
        <v>6</v>
      </c>
      <c r="R689" s="22" t="n">
        <v>4</v>
      </c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customFormat="false" ht="15" hidden="false" customHeight="false" outlineLevel="0" collapsed="false">
      <c r="A690" s="22" t="s">
        <v>202</v>
      </c>
      <c r="B690" s="22" t="s">
        <v>3</v>
      </c>
      <c r="C690" s="22" t="s">
        <v>202</v>
      </c>
      <c r="D690" s="22" t="n">
        <v>41420</v>
      </c>
      <c r="E690" s="22" t="s">
        <v>129</v>
      </c>
      <c r="F690" s="22" t="s">
        <v>130</v>
      </c>
      <c r="G690" s="22" t="s">
        <v>131</v>
      </c>
      <c r="H690" s="22" t="s">
        <v>131</v>
      </c>
      <c r="I690" s="22" t="n">
        <v>1.5572312792861</v>
      </c>
      <c r="J690" s="22" t="n">
        <v>1.5162035542029</v>
      </c>
      <c r="K690" s="22" t="n">
        <v>1.54468794628117</v>
      </c>
      <c r="L690" s="22" t="n">
        <v>1.37034436790906</v>
      </c>
      <c r="M690" s="22" t="n">
        <v>1.39645454625597</v>
      </c>
      <c r="N690" s="22" t="n">
        <v>1.41999718573738</v>
      </c>
      <c r="O690" s="22" t="n">
        <v>1.45055419409206</v>
      </c>
      <c r="P690" s="22" t="n">
        <v>1.47038417006196</v>
      </c>
      <c r="Q690" s="22" t="n">
        <v>1.48975097653076</v>
      </c>
      <c r="R690" s="22" t="n">
        <v>1.4478542739956</v>
      </c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</row>
    <row r="691" customFormat="false" ht="15" hidden="false" customHeight="false" outlineLevel="0" collapsed="false">
      <c r="A691" s="22" t="s">
        <v>202</v>
      </c>
      <c r="B691" s="22" t="s">
        <v>3</v>
      </c>
      <c r="C691" s="22" t="s">
        <v>202</v>
      </c>
      <c r="D691" s="22" t="n">
        <v>41420</v>
      </c>
      <c r="E691" s="22" t="s">
        <v>132</v>
      </c>
      <c r="F691" s="22" t="s">
        <v>6</v>
      </c>
      <c r="G691" s="22" t="s">
        <v>131</v>
      </c>
      <c r="H691" s="22" t="s">
        <v>131</v>
      </c>
      <c r="I691" s="22" t="n">
        <v>1.653</v>
      </c>
      <c r="J691" s="22" t="n">
        <v>1.674</v>
      </c>
      <c r="K691" s="22" t="n">
        <v>1.675</v>
      </c>
      <c r="L691" s="22" t="n">
        <v>1.665</v>
      </c>
      <c r="M691" s="22" t="n">
        <v>1.663</v>
      </c>
      <c r="N691" s="22" t="n">
        <v>1.709</v>
      </c>
      <c r="O691" s="22" t="n">
        <v>1.753</v>
      </c>
      <c r="P691" s="22" t="n">
        <v>1.754</v>
      </c>
      <c r="Q691" s="22" t="n">
        <v>1.736</v>
      </c>
      <c r="R691" s="22" t="n">
        <v>1.705</v>
      </c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customFormat="false" ht="15" hidden="false" customHeight="false" outlineLevel="0" collapsed="false">
      <c r="A692" s="22" t="s">
        <v>202</v>
      </c>
      <c r="B692" s="22" t="s">
        <v>3</v>
      </c>
      <c r="C692" s="22" t="s">
        <v>202</v>
      </c>
      <c r="D692" s="22" t="n">
        <v>41420</v>
      </c>
      <c r="E692" s="22" t="s">
        <v>132</v>
      </c>
      <c r="F692" s="22" t="s">
        <v>133</v>
      </c>
      <c r="G692" s="22" t="s">
        <v>131</v>
      </c>
      <c r="H692" s="22" t="s">
        <v>131</v>
      </c>
      <c r="I692" s="22" t="n">
        <v>26706</v>
      </c>
      <c r="J692" s="22" t="n">
        <v>27051</v>
      </c>
      <c r="K692" s="22" t="n">
        <v>27428</v>
      </c>
      <c r="L692" s="22" t="n">
        <v>27614</v>
      </c>
      <c r="M692" s="22" t="n">
        <v>27771</v>
      </c>
      <c r="N692" s="22" t="n">
        <v>27977</v>
      </c>
      <c r="O692" s="22" t="n">
        <v>28192</v>
      </c>
      <c r="P692" s="22" t="n">
        <v>28215</v>
      </c>
      <c r="Q692" s="22" t="n">
        <v>28326</v>
      </c>
      <c r="R692" s="22" t="n">
        <v>28677</v>
      </c>
      <c r="S692" s="22" t="n">
        <v>28715</v>
      </c>
      <c r="T692" s="22" t="n">
        <v>28829</v>
      </c>
      <c r="U692" s="22" t="n">
        <v>28835</v>
      </c>
      <c r="V692" s="22" t="n">
        <v>28901</v>
      </c>
      <c r="W692" s="22" t="n">
        <v>29072</v>
      </c>
      <c r="X692" s="22" t="n">
        <v>29154</v>
      </c>
      <c r="Y692" s="22" t="n">
        <v>29255</v>
      </c>
      <c r="Z692" s="22" t="n">
        <v>29255</v>
      </c>
      <c r="AA692" s="22" t="n">
        <v>29272</v>
      </c>
      <c r="AB692" s="22" t="n">
        <v>29356</v>
      </c>
      <c r="AC692" s="22" t="n">
        <v>29459</v>
      </c>
      <c r="AD692" s="22" t="n">
        <v>29460</v>
      </c>
      <c r="AE692" s="22" t="n">
        <v>29478</v>
      </c>
      <c r="AF692" s="22" t="n">
        <v>29562</v>
      </c>
    </row>
    <row r="693" customFormat="false" ht="15" hidden="false" customHeight="false" outlineLevel="0" collapsed="false">
      <c r="A693" s="22" t="s">
        <v>202</v>
      </c>
      <c r="B693" s="22" t="s">
        <v>3</v>
      </c>
      <c r="C693" s="22" t="s">
        <v>202</v>
      </c>
      <c r="D693" s="22" t="n">
        <v>41420</v>
      </c>
      <c r="E693" s="22" t="s">
        <v>132</v>
      </c>
      <c r="F693" s="22" t="s">
        <v>5</v>
      </c>
      <c r="G693" s="22" t="s">
        <v>131</v>
      </c>
      <c r="H693" s="22" t="s">
        <v>131</v>
      </c>
      <c r="I693" s="22" t="n">
        <v>1.678</v>
      </c>
      <c r="J693" s="22" t="n">
        <v>1.693</v>
      </c>
      <c r="K693" s="22" t="n">
        <v>1.698</v>
      </c>
      <c r="L693" s="22" t="n">
        <v>1.692</v>
      </c>
      <c r="M693" s="22" t="n">
        <v>1.698</v>
      </c>
      <c r="N693" s="22" t="n">
        <v>1.735</v>
      </c>
      <c r="O693" s="22" t="n">
        <v>1.777</v>
      </c>
      <c r="P693" s="22" t="n">
        <v>1.771</v>
      </c>
      <c r="Q693" s="22" t="n">
        <v>1.763</v>
      </c>
      <c r="R693" s="22" t="n">
        <v>1.749</v>
      </c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customFormat="false" ht="15" hidden="false" customHeight="false" outlineLevel="0" collapsed="false">
      <c r="A694" s="22" t="s">
        <v>202</v>
      </c>
      <c r="B694" s="22" t="s">
        <v>3</v>
      </c>
      <c r="C694" s="22" t="s">
        <v>202</v>
      </c>
      <c r="D694" s="22" t="n">
        <v>41420</v>
      </c>
      <c r="E694" s="22" t="s">
        <v>134</v>
      </c>
      <c r="F694" s="22" t="s">
        <v>135</v>
      </c>
      <c r="G694" s="22" t="s">
        <v>131</v>
      </c>
      <c r="H694" s="22" t="s">
        <v>131</v>
      </c>
      <c r="I694" s="22" t="n">
        <v>-0.0096</v>
      </c>
      <c r="J694" s="22" t="n">
        <v>-0.005</v>
      </c>
      <c r="K694" s="22" t="n">
        <v>-0.0021</v>
      </c>
      <c r="L694" s="22" t="n">
        <v>-0.0129</v>
      </c>
      <c r="M694" s="22" t="n">
        <v>-0.0003</v>
      </c>
      <c r="N694" s="22" t="n">
        <v>0.0083</v>
      </c>
      <c r="O694" s="22" t="n">
        <v>0.0183</v>
      </c>
      <c r="P694" s="22" t="n">
        <v>0.0199</v>
      </c>
      <c r="Q694" s="22" t="n">
        <v>0.0128</v>
      </c>
      <c r="R694" s="22" t="n">
        <v>-0.0319</v>
      </c>
      <c r="S694" s="22" t="n">
        <v>-0.031</v>
      </c>
      <c r="T694" s="22" t="n">
        <v>-0.022</v>
      </c>
      <c r="U694" s="22" t="n">
        <v>-0.01</v>
      </c>
      <c r="V694" s="22" t="n">
        <v>0.01</v>
      </c>
      <c r="W694" s="22" t="n">
        <v>0.015</v>
      </c>
      <c r="X694" s="22" t="n">
        <v>0.012</v>
      </c>
      <c r="Y694" s="22" t="n">
        <v>0.013</v>
      </c>
      <c r="Z694" s="22" t="n">
        <v>0.015</v>
      </c>
      <c r="AA694" s="22" t="n">
        <v>0.016</v>
      </c>
      <c r="AB694" s="22" t="n">
        <v>0.014</v>
      </c>
      <c r="AC694" s="22" t="n">
        <v>0.01</v>
      </c>
      <c r="AD694" s="22" t="n">
        <v>0.008</v>
      </c>
      <c r="AE694" s="22" t="n">
        <v>0.01</v>
      </c>
      <c r="AF694" s="22" t="n">
        <v>0.009</v>
      </c>
    </row>
    <row r="695" customFormat="false" ht="15" hidden="false" customHeight="false" outlineLevel="0" collapsed="false">
      <c r="A695" s="22" t="s">
        <v>202</v>
      </c>
      <c r="B695" s="22" t="s">
        <v>3</v>
      </c>
      <c r="C695" s="22" t="s">
        <v>202</v>
      </c>
      <c r="D695" s="22" t="n">
        <v>41420</v>
      </c>
      <c r="E695" s="22" t="s">
        <v>136</v>
      </c>
      <c r="F695" s="22" t="s">
        <v>137</v>
      </c>
      <c r="G695" s="22" t="s">
        <v>131</v>
      </c>
      <c r="H695" s="22" t="s">
        <v>131</v>
      </c>
      <c r="I695" s="22" t="n">
        <v>3</v>
      </c>
      <c r="J695" s="22" t="n">
        <v>4</v>
      </c>
      <c r="K695" s="22" t="n">
        <v>5</v>
      </c>
      <c r="L695" s="22" t="n">
        <v>4</v>
      </c>
      <c r="M695" s="22" t="n">
        <v>3</v>
      </c>
      <c r="N695" s="22" t="n">
        <v>1</v>
      </c>
      <c r="O695" s="22" t="n">
        <v>1</v>
      </c>
      <c r="P695" s="22" t="n">
        <v>1</v>
      </c>
      <c r="Q695" s="22" t="n">
        <v>1</v>
      </c>
      <c r="R695" s="22" t="n">
        <v>1</v>
      </c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customFormat="false" ht="15" hidden="false" customHeight="false" outlineLevel="0" collapsed="false">
      <c r="A696" s="22" t="s">
        <v>203</v>
      </c>
      <c r="B696" s="22" t="s">
        <v>3</v>
      </c>
      <c r="C696" s="22" t="s">
        <v>203</v>
      </c>
      <c r="D696" s="22" t="n">
        <v>341540</v>
      </c>
      <c r="E696" s="22" t="s">
        <v>129</v>
      </c>
      <c r="F696" s="22" t="s">
        <v>130</v>
      </c>
      <c r="G696" s="22" t="s">
        <v>131</v>
      </c>
      <c r="H696" s="22" t="s">
        <v>131</v>
      </c>
      <c r="I696" s="22" t="n">
        <v>1.29721308016036</v>
      </c>
      <c r="J696" s="22" t="n">
        <v>1.32102928734389</v>
      </c>
      <c r="K696" s="22" t="n">
        <v>1.34913717935708</v>
      </c>
      <c r="L696" s="22" t="n">
        <v>1.39030869286078</v>
      </c>
      <c r="M696" s="22" t="n">
        <v>1.40030182353353</v>
      </c>
      <c r="N696" s="22" t="n">
        <v>1.41631796248617</v>
      </c>
      <c r="O696" s="22" t="n">
        <v>1.47550779620084</v>
      </c>
      <c r="P696" s="22" t="n">
        <v>1.51804930963915</v>
      </c>
      <c r="Q696" s="22" t="n">
        <v>1.52522619100735</v>
      </c>
      <c r="R696" s="22" t="n">
        <v>1.53866685039652</v>
      </c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customFormat="false" ht="15" hidden="false" customHeight="false" outlineLevel="0" collapsed="false">
      <c r="A697" s="22" t="s">
        <v>203</v>
      </c>
      <c r="B697" s="22" t="s">
        <v>3</v>
      </c>
      <c r="C697" s="22" t="s">
        <v>203</v>
      </c>
      <c r="D697" s="22" t="n">
        <v>341540</v>
      </c>
      <c r="E697" s="22" t="s">
        <v>132</v>
      </c>
      <c r="F697" s="22" t="s">
        <v>6</v>
      </c>
      <c r="G697" s="22" t="s">
        <v>131</v>
      </c>
      <c r="H697" s="22" t="s">
        <v>131</v>
      </c>
      <c r="I697" s="22" t="n">
        <v>1.511</v>
      </c>
      <c r="J697" s="22" t="n">
        <v>1.547</v>
      </c>
      <c r="K697" s="22" t="n">
        <v>1.574</v>
      </c>
      <c r="L697" s="22" t="n">
        <v>1.575</v>
      </c>
      <c r="M697" s="22" t="n">
        <v>1.581</v>
      </c>
      <c r="N697" s="22" t="n">
        <v>1.597</v>
      </c>
      <c r="O697" s="22" t="n">
        <v>1.612</v>
      </c>
      <c r="P697" s="22" t="n">
        <v>1.591</v>
      </c>
      <c r="Q697" s="22" t="n">
        <v>1.584</v>
      </c>
      <c r="R697" s="22" t="n">
        <v>1.604</v>
      </c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customFormat="false" ht="15" hidden="false" customHeight="false" outlineLevel="0" collapsed="false">
      <c r="A698" s="22" t="s">
        <v>203</v>
      </c>
      <c r="B698" s="22" t="s">
        <v>3</v>
      </c>
      <c r="C698" s="22" t="s">
        <v>203</v>
      </c>
      <c r="D698" s="22" t="n">
        <v>341540</v>
      </c>
      <c r="E698" s="22" t="s">
        <v>132</v>
      </c>
      <c r="F698" s="22" t="s">
        <v>133</v>
      </c>
      <c r="G698" s="22" t="s">
        <v>131</v>
      </c>
      <c r="H698" s="22" t="s">
        <v>131</v>
      </c>
      <c r="I698" s="22" t="n">
        <v>25299</v>
      </c>
      <c r="J698" s="22" t="n">
        <v>25604</v>
      </c>
      <c r="K698" s="22" t="n">
        <v>25987</v>
      </c>
      <c r="L698" s="22" t="n">
        <v>26221</v>
      </c>
      <c r="M698" s="22" t="n">
        <v>26317</v>
      </c>
      <c r="N698" s="22" t="n">
        <v>26337</v>
      </c>
      <c r="O698" s="22" t="n">
        <v>26396</v>
      </c>
      <c r="P698" s="22" t="n">
        <v>26515</v>
      </c>
      <c r="Q698" s="22" t="n">
        <v>26515</v>
      </c>
      <c r="R698" s="22" t="n">
        <v>26515</v>
      </c>
      <c r="S698" s="22" t="n">
        <v>26515</v>
      </c>
      <c r="T698" s="22" t="n">
        <v>26515</v>
      </c>
      <c r="U698" s="22" t="n">
        <v>26621</v>
      </c>
      <c r="V698" s="22" t="n">
        <v>26637</v>
      </c>
      <c r="W698" s="22" t="n">
        <v>26651</v>
      </c>
      <c r="X698" s="22" t="n">
        <v>26651</v>
      </c>
      <c r="Y698" s="22" t="n">
        <v>26647</v>
      </c>
      <c r="Z698" s="22" t="n">
        <v>26649</v>
      </c>
      <c r="AA698" s="22" t="n">
        <v>26661</v>
      </c>
      <c r="AB698" s="22" t="n">
        <v>26659</v>
      </c>
      <c r="AC698" s="22" t="n">
        <v>26657</v>
      </c>
      <c r="AD698" s="22" t="n">
        <v>26658</v>
      </c>
      <c r="AE698" s="22" t="n">
        <v>26671</v>
      </c>
      <c r="AF698" s="22" t="n">
        <v>26672</v>
      </c>
    </row>
    <row r="699" customFormat="false" ht="15" hidden="false" customHeight="false" outlineLevel="0" collapsed="false">
      <c r="A699" s="22" t="s">
        <v>203</v>
      </c>
      <c r="B699" s="22" t="s">
        <v>3</v>
      </c>
      <c r="C699" s="22" t="s">
        <v>203</v>
      </c>
      <c r="D699" s="22" t="n">
        <v>341540</v>
      </c>
      <c r="E699" s="22" t="s">
        <v>132</v>
      </c>
      <c r="F699" s="22" t="s">
        <v>5</v>
      </c>
      <c r="G699" s="22" t="s">
        <v>131</v>
      </c>
      <c r="H699" s="22" t="s">
        <v>131</v>
      </c>
      <c r="I699" s="22" t="n">
        <v>1.513</v>
      </c>
      <c r="J699" s="22" t="n">
        <v>1.555</v>
      </c>
      <c r="K699" s="22" t="n">
        <v>1.579</v>
      </c>
      <c r="L699" s="22" t="n">
        <v>1.583</v>
      </c>
      <c r="M699" s="22" t="n">
        <v>1.583</v>
      </c>
      <c r="N699" s="22" t="n">
        <v>1.616</v>
      </c>
      <c r="O699" s="22" t="n">
        <v>1.628</v>
      </c>
      <c r="P699" s="22" t="n">
        <v>1.611</v>
      </c>
      <c r="Q699" s="22" t="n">
        <v>1.592</v>
      </c>
      <c r="R699" s="22" t="n">
        <v>1.612</v>
      </c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customFormat="false" ht="15" hidden="false" customHeight="false" outlineLevel="0" collapsed="false">
      <c r="A700" s="22" t="s">
        <v>203</v>
      </c>
      <c r="B700" s="22" t="s">
        <v>3</v>
      </c>
      <c r="C700" s="22" t="s">
        <v>203</v>
      </c>
      <c r="D700" s="22" t="n">
        <v>341540</v>
      </c>
      <c r="E700" s="22" t="s">
        <v>134</v>
      </c>
      <c r="F700" s="22" t="s">
        <v>135</v>
      </c>
      <c r="G700" s="22" t="s">
        <v>131</v>
      </c>
      <c r="H700" s="22" t="s">
        <v>131</v>
      </c>
      <c r="I700" s="22" t="n">
        <v>0.0362</v>
      </c>
      <c r="J700" s="22" t="n">
        <v>0.0299</v>
      </c>
      <c r="K700" s="22" t="n">
        <v>0.0367</v>
      </c>
      <c r="L700" s="22" t="n">
        <v>0.0301</v>
      </c>
      <c r="M700" s="22" t="n">
        <v>0.0313</v>
      </c>
      <c r="N700" s="22" t="n">
        <v>0.0343</v>
      </c>
      <c r="O700" s="22" t="n">
        <v>0.0231</v>
      </c>
      <c r="P700" s="22" t="n">
        <v>0.0086</v>
      </c>
      <c r="Q700" s="22" t="n">
        <v>0.0046</v>
      </c>
      <c r="R700" s="22" t="n">
        <v>0.0126</v>
      </c>
      <c r="S700" s="22" t="n">
        <v>-0.002</v>
      </c>
      <c r="T700" s="22" t="n">
        <v>0.009</v>
      </c>
      <c r="U700" s="22" t="n">
        <v>0.023</v>
      </c>
      <c r="V700" s="22" t="n">
        <v>0.035</v>
      </c>
      <c r="W700" s="22" t="n">
        <v>0.035</v>
      </c>
      <c r="X700" s="22" t="n">
        <v>0.036</v>
      </c>
      <c r="Y700" s="22" t="n">
        <v>0.032</v>
      </c>
      <c r="Z700" s="22" t="n">
        <v>0.032</v>
      </c>
      <c r="AA700" s="22" t="n">
        <v>0.036</v>
      </c>
      <c r="AB700" s="22" t="n">
        <v>0.042</v>
      </c>
      <c r="AC700" s="22" t="n">
        <v>0.043</v>
      </c>
      <c r="AD700" s="22" t="n">
        <v>0.037</v>
      </c>
      <c r="AE700" s="22" t="n">
        <v>0.038</v>
      </c>
      <c r="AF700" s="22" t="n">
        <v>0.038</v>
      </c>
    </row>
    <row r="701" customFormat="false" ht="15" hidden="false" customHeight="false" outlineLevel="0" collapsed="false">
      <c r="A701" s="22" t="s">
        <v>203</v>
      </c>
      <c r="B701" s="22" t="s">
        <v>3</v>
      </c>
      <c r="C701" s="22" t="s">
        <v>203</v>
      </c>
      <c r="D701" s="22" t="n">
        <v>341540</v>
      </c>
      <c r="E701" s="22" t="s">
        <v>136</v>
      </c>
      <c r="F701" s="22" t="s">
        <v>137</v>
      </c>
      <c r="G701" s="22" t="s">
        <v>131</v>
      </c>
      <c r="H701" s="22" t="s">
        <v>131</v>
      </c>
      <c r="I701" s="22" t="n">
        <v>2</v>
      </c>
      <c r="J701" s="22" t="n">
        <v>1</v>
      </c>
      <c r="K701" s="22" t="n">
        <v>1</v>
      </c>
      <c r="L701" s="22" t="n">
        <v>1</v>
      </c>
      <c r="M701" s="22" t="n">
        <v>1</v>
      </c>
      <c r="N701" s="22" t="n">
        <v>0</v>
      </c>
      <c r="O701" s="22" t="n">
        <v>0</v>
      </c>
      <c r="P701" s="22" t="n">
        <v>1</v>
      </c>
      <c r="Q701" s="22" t="n">
        <v>1</v>
      </c>
      <c r="R701" s="22" t="n">
        <v>2</v>
      </c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customFormat="false" ht="15" hidden="false" customHeight="false" outlineLevel="0" collapsed="false">
      <c r="A702" s="22" t="s">
        <v>27</v>
      </c>
      <c r="B702" s="22" t="s">
        <v>3</v>
      </c>
      <c r="C702" s="22" t="s">
        <v>27</v>
      </c>
      <c r="D702" s="22" t="n">
        <v>341620</v>
      </c>
      <c r="E702" s="22" t="s">
        <v>129</v>
      </c>
      <c r="F702" s="22" t="s">
        <v>130</v>
      </c>
      <c r="G702" s="22" t="s">
        <v>131</v>
      </c>
      <c r="H702" s="22" t="s">
        <v>131</v>
      </c>
      <c r="I702" s="22" t="n">
        <v>1.64740927456011</v>
      </c>
      <c r="J702" s="22" t="n">
        <v>1.64552890456316</v>
      </c>
      <c r="K702" s="22" t="n">
        <v>1.64144968627068</v>
      </c>
      <c r="L702" s="22" t="n">
        <v>1.62789259348102</v>
      </c>
      <c r="M702" s="22" t="n">
        <v>1.62285923213744</v>
      </c>
      <c r="N702" s="22" t="n">
        <v>1.60752619566046</v>
      </c>
      <c r="O702" s="22" t="n">
        <v>1.60565514022886</v>
      </c>
      <c r="P702" s="22" t="n">
        <v>1.6033063913235</v>
      </c>
      <c r="Q702" s="22" t="n">
        <v>1.60467788413738</v>
      </c>
      <c r="R702" s="22" t="n">
        <v>1.57821759797185</v>
      </c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customFormat="false" ht="15" hidden="false" customHeight="false" outlineLevel="0" collapsed="false">
      <c r="A703" s="22" t="s">
        <v>27</v>
      </c>
      <c r="B703" s="22" t="s">
        <v>3</v>
      </c>
      <c r="C703" s="22" t="s">
        <v>27</v>
      </c>
      <c r="D703" s="22" t="n">
        <v>341620</v>
      </c>
      <c r="E703" s="22" t="s">
        <v>132</v>
      </c>
      <c r="F703" s="22" t="s">
        <v>6</v>
      </c>
      <c r="G703" s="22" t="s">
        <v>131</v>
      </c>
      <c r="H703" s="22" t="s">
        <v>131</v>
      </c>
      <c r="I703" s="22" t="n">
        <v>1.724</v>
      </c>
      <c r="J703" s="22" t="n">
        <v>1.73</v>
      </c>
      <c r="K703" s="22" t="n">
        <v>1.713</v>
      </c>
      <c r="L703" s="22" t="n">
        <v>1.685</v>
      </c>
      <c r="M703" s="22" t="n">
        <v>1.68</v>
      </c>
      <c r="N703" s="22" t="n">
        <v>1.713</v>
      </c>
      <c r="O703" s="22" t="n">
        <v>1.691</v>
      </c>
      <c r="P703" s="22" t="n">
        <v>1.647</v>
      </c>
      <c r="Q703" s="22" t="n">
        <v>1.657</v>
      </c>
      <c r="R703" s="22" t="n">
        <v>1.695</v>
      </c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customFormat="false" ht="15" hidden="false" customHeight="false" outlineLevel="0" collapsed="false">
      <c r="A704" s="22" t="s">
        <v>27</v>
      </c>
      <c r="B704" s="22" t="s">
        <v>3</v>
      </c>
      <c r="C704" s="22" t="s">
        <v>27</v>
      </c>
      <c r="D704" s="22" t="n">
        <v>341620</v>
      </c>
      <c r="E704" s="22" t="s">
        <v>132</v>
      </c>
      <c r="F704" s="22" t="s">
        <v>133</v>
      </c>
      <c r="G704" s="22" t="s">
        <v>131</v>
      </c>
      <c r="H704" s="22" t="s">
        <v>131</v>
      </c>
      <c r="I704" s="22" t="n">
        <v>130565</v>
      </c>
      <c r="J704" s="22" t="n">
        <v>132518</v>
      </c>
      <c r="K704" s="22" t="n">
        <v>134460</v>
      </c>
      <c r="L704" s="22" t="n">
        <v>135916</v>
      </c>
      <c r="M704" s="22" t="n">
        <v>137200</v>
      </c>
      <c r="N704" s="22" t="n">
        <v>138654</v>
      </c>
      <c r="O704" s="22" t="n">
        <v>139628</v>
      </c>
      <c r="P704" s="22" t="n">
        <v>140263</v>
      </c>
      <c r="Q704" s="22" t="n">
        <v>141215</v>
      </c>
      <c r="R704" s="22" t="n">
        <v>141560</v>
      </c>
      <c r="S704" s="22" t="n">
        <v>142467</v>
      </c>
      <c r="T704" s="22" t="n">
        <v>143138</v>
      </c>
      <c r="U704" s="22" t="n">
        <v>144595</v>
      </c>
      <c r="V704" s="22" t="n">
        <v>145386</v>
      </c>
      <c r="W704" s="22" t="n">
        <v>146079</v>
      </c>
      <c r="X704" s="22" t="n">
        <v>146373</v>
      </c>
      <c r="Y704" s="22" t="n">
        <v>147105</v>
      </c>
      <c r="Z704" s="22" t="n">
        <v>147380</v>
      </c>
      <c r="AA704" s="22" t="n">
        <v>147836</v>
      </c>
      <c r="AB704" s="22" t="n">
        <v>148202</v>
      </c>
      <c r="AC704" s="22" t="n">
        <v>148923</v>
      </c>
      <c r="AD704" s="22" t="n">
        <v>149196</v>
      </c>
      <c r="AE704" s="22" t="n">
        <v>149646</v>
      </c>
      <c r="AF704" s="22" t="n">
        <v>150001</v>
      </c>
    </row>
    <row r="705" customFormat="false" ht="15" hidden="false" customHeight="false" outlineLevel="0" collapsed="false">
      <c r="A705" s="22" t="s">
        <v>27</v>
      </c>
      <c r="B705" s="22" t="s">
        <v>3</v>
      </c>
      <c r="C705" s="22" t="s">
        <v>27</v>
      </c>
      <c r="D705" s="22" t="n">
        <v>341620</v>
      </c>
      <c r="E705" s="22" t="s">
        <v>132</v>
      </c>
      <c r="F705" s="22" t="s">
        <v>5</v>
      </c>
      <c r="G705" s="22" t="s">
        <v>131</v>
      </c>
      <c r="H705" s="22" t="s">
        <v>131</v>
      </c>
      <c r="I705" s="22" t="n">
        <v>1.759</v>
      </c>
      <c r="J705" s="22" t="n">
        <v>1.769</v>
      </c>
      <c r="K705" s="22" t="n">
        <v>1.751</v>
      </c>
      <c r="L705" s="22" t="n">
        <v>1.717</v>
      </c>
      <c r="M705" s="22" t="n">
        <v>1.718</v>
      </c>
      <c r="N705" s="22" t="n">
        <v>1.754</v>
      </c>
      <c r="O705" s="22" t="n">
        <v>1.734</v>
      </c>
      <c r="P705" s="22" t="n">
        <v>1.698</v>
      </c>
      <c r="Q705" s="22" t="n">
        <v>1.712</v>
      </c>
      <c r="R705" s="22" t="n">
        <v>1.744</v>
      </c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</row>
    <row r="706" customFormat="false" ht="15" hidden="false" customHeight="false" outlineLevel="0" collapsed="false">
      <c r="A706" s="22" t="s">
        <v>27</v>
      </c>
      <c r="B706" s="22" t="s">
        <v>3</v>
      </c>
      <c r="C706" s="22" t="s">
        <v>27</v>
      </c>
      <c r="D706" s="22" t="n">
        <v>341620</v>
      </c>
      <c r="E706" s="22" t="s">
        <v>134</v>
      </c>
      <c r="F706" s="22" t="s">
        <v>135</v>
      </c>
      <c r="G706" s="22" t="s">
        <v>131</v>
      </c>
      <c r="H706" s="22" t="s">
        <v>131</v>
      </c>
      <c r="I706" s="22" t="n">
        <v>-0.028</v>
      </c>
      <c r="J706" s="22" t="n">
        <v>-0.0277</v>
      </c>
      <c r="K706" s="22" t="n">
        <v>-0.0303</v>
      </c>
      <c r="L706" s="22" t="n">
        <v>-0.0212</v>
      </c>
      <c r="M706" s="22" t="n">
        <v>-0.0264</v>
      </c>
      <c r="N706" s="22" t="n">
        <v>-0.0165</v>
      </c>
      <c r="O706" s="22" t="n">
        <v>-0.0198</v>
      </c>
      <c r="P706" s="22" t="n">
        <v>-0.0316</v>
      </c>
      <c r="Q706" s="22" t="n">
        <v>-0.0238</v>
      </c>
      <c r="R706" s="22" t="n">
        <v>-0.0154</v>
      </c>
      <c r="S706" s="22" t="n">
        <v>-0.008</v>
      </c>
      <c r="T706" s="22" t="n">
        <v>0.005</v>
      </c>
      <c r="U706" s="22" t="n">
        <v>0.022</v>
      </c>
      <c r="V706" s="22" t="n">
        <v>0.021</v>
      </c>
      <c r="W706" s="22" t="n">
        <v>0.023</v>
      </c>
      <c r="X706" s="22" t="n">
        <v>0.023</v>
      </c>
      <c r="Y706" s="22" t="n">
        <v>0.023</v>
      </c>
      <c r="Z706" s="22" t="n">
        <v>0.023</v>
      </c>
      <c r="AA706" s="22" t="n">
        <v>0.024</v>
      </c>
      <c r="AB706" s="22" t="n">
        <v>0.024</v>
      </c>
      <c r="AC706" s="22" t="n">
        <v>0.023</v>
      </c>
      <c r="AD706" s="22" t="n">
        <v>0.024</v>
      </c>
      <c r="AE706" s="22" t="n">
        <v>0.026</v>
      </c>
      <c r="AF706" s="22" t="n">
        <v>0.027</v>
      </c>
    </row>
    <row r="707" customFormat="false" ht="15" hidden="false" customHeight="false" outlineLevel="0" collapsed="false">
      <c r="A707" s="22" t="s">
        <v>27</v>
      </c>
      <c r="B707" s="22" t="s">
        <v>3</v>
      </c>
      <c r="C707" s="22" t="s">
        <v>27</v>
      </c>
      <c r="D707" s="22" t="n">
        <v>341620</v>
      </c>
      <c r="E707" s="22" t="s">
        <v>136</v>
      </c>
      <c r="F707" s="22" t="s">
        <v>137</v>
      </c>
      <c r="G707" s="22" t="s">
        <v>131</v>
      </c>
      <c r="H707" s="22" t="s">
        <v>131</v>
      </c>
      <c r="I707" s="22" t="n">
        <v>15</v>
      </c>
      <c r="J707" s="22" t="n">
        <v>14</v>
      </c>
      <c r="K707" s="22" t="n">
        <v>14</v>
      </c>
      <c r="L707" s="22" t="n">
        <v>10</v>
      </c>
      <c r="M707" s="22" t="n">
        <v>17</v>
      </c>
      <c r="N707" s="22" t="n">
        <v>17</v>
      </c>
      <c r="O707" s="22" t="n">
        <v>14</v>
      </c>
      <c r="P707" s="22" t="n">
        <v>12</v>
      </c>
      <c r="Q707" s="22" t="n">
        <v>7</v>
      </c>
      <c r="R707" s="22" t="n">
        <v>5</v>
      </c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customFormat="false" ht="15" hidden="false" customHeight="false" outlineLevel="0" collapsed="false">
      <c r="A708" s="22" t="s">
        <v>86</v>
      </c>
      <c r="B708" s="22" t="s">
        <v>3</v>
      </c>
      <c r="C708" s="22" t="s">
        <v>86</v>
      </c>
      <c r="D708" s="22" t="n">
        <v>41700</v>
      </c>
      <c r="E708" s="22" t="s">
        <v>129</v>
      </c>
      <c r="F708" s="22" t="s">
        <v>130</v>
      </c>
      <c r="G708" s="22" t="s">
        <v>131</v>
      </c>
      <c r="H708" s="22" t="s">
        <v>131</v>
      </c>
      <c r="I708" s="22" t="n">
        <v>1.50224550522043</v>
      </c>
      <c r="J708" s="22" t="n">
        <v>1.49579255203143</v>
      </c>
      <c r="K708" s="22" t="n">
        <v>1.49415079402036</v>
      </c>
      <c r="L708" s="22" t="n">
        <v>1.48409539155242</v>
      </c>
      <c r="M708" s="22" t="n">
        <v>1.48164589469639</v>
      </c>
      <c r="N708" s="22" t="n">
        <v>1.47005557123934</v>
      </c>
      <c r="O708" s="22" t="n">
        <v>1.46856938806123</v>
      </c>
      <c r="P708" s="22" t="n">
        <v>1.4423585875</v>
      </c>
      <c r="Q708" s="22" t="n">
        <v>1.43444656755523</v>
      </c>
      <c r="R708" s="22" t="n">
        <v>1.4268024987129</v>
      </c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customFormat="false" ht="15" hidden="false" customHeight="false" outlineLevel="0" collapsed="false">
      <c r="A709" s="22" t="s">
        <v>86</v>
      </c>
      <c r="B709" s="22" t="s">
        <v>3</v>
      </c>
      <c r="C709" s="22" t="s">
        <v>86</v>
      </c>
      <c r="D709" s="22" t="n">
        <v>41700</v>
      </c>
      <c r="E709" s="22" t="s">
        <v>132</v>
      </c>
      <c r="F709" s="22" t="s">
        <v>6</v>
      </c>
      <c r="G709" s="22" t="s">
        <v>131</v>
      </c>
      <c r="H709" s="22" t="s">
        <v>131</v>
      </c>
      <c r="I709" s="22" t="n">
        <v>1.43</v>
      </c>
      <c r="J709" s="22" t="n">
        <v>1.432</v>
      </c>
      <c r="K709" s="22" t="n">
        <v>1.422</v>
      </c>
      <c r="L709" s="22" t="n">
        <v>1.383</v>
      </c>
      <c r="M709" s="22" t="n">
        <v>1.384</v>
      </c>
      <c r="N709" s="22" t="n">
        <v>1.393</v>
      </c>
      <c r="O709" s="22" t="n">
        <v>1.371</v>
      </c>
      <c r="P709" s="22" t="n">
        <v>1.327</v>
      </c>
      <c r="Q709" s="22" t="n">
        <v>1.32</v>
      </c>
      <c r="R709" s="22" t="n">
        <v>1.325</v>
      </c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customFormat="false" ht="15" hidden="false" customHeight="false" outlineLevel="0" collapsed="false">
      <c r="A710" s="22" t="s">
        <v>86</v>
      </c>
      <c r="B710" s="22" t="s">
        <v>3</v>
      </c>
      <c r="C710" s="22" t="s">
        <v>86</v>
      </c>
      <c r="D710" s="22" t="n">
        <v>41700</v>
      </c>
      <c r="E710" s="22" t="s">
        <v>132</v>
      </c>
      <c r="F710" s="22" t="s">
        <v>133</v>
      </c>
      <c r="G710" s="22" t="s">
        <v>131</v>
      </c>
      <c r="H710" s="22" t="s">
        <v>131</v>
      </c>
      <c r="I710" s="22" t="n">
        <v>227290</v>
      </c>
      <c r="J710" s="22" t="n">
        <v>230249</v>
      </c>
      <c r="K710" s="22" t="n">
        <v>233803</v>
      </c>
      <c r="L710" s="22" t="n">
        <v>237504</v>
      </c>
      <c r="M710" s="22" t="n">
        <v>240332</v>
      </c>
      <c r="N710" s="22" t="n">
        <v>241577</v>
      </c>
      <c r="O710" s="22" t="n">
        <v>242756</v>
      </c>
      <c r="P710" s="22" t="n">
        <v>244456</v>
      </c>
      <c r="Q710" s="22" t="n">
        <v>246451</v>
      </c>
      <c r="R710" s="22" t="n">
        <v>248182</v>
      </c>
      <c r="S710" s="22" t="n">
        <v>249038</v>
      </c>
      <c r="T710" s="22" t="n">
        <v>249633</v>
      </c>
      <c r="U710" s="22" t="n">
        <v>249854</v>
      </c>
      <c r="V710" s="22" t="n">
        <v>250114</v>
      </c>
      <c r="W710" s="22" t="n">
        <v>252293</v>
      </c>
      <c r="X710" s="22" t="n">
        <v>252828</v>
      </c>
      <c r="Y710" s="22" t="n">
        <v>252978</v>
      </c>
      <c r="Z710" s="22" t="n">
        <v>253160</v>
      </c>
      <c r="AA710" s="22" t="n">
        <v>255263</v>
      </c>
      <c r="AB710" s="22" t="n">
        <v>255714</v>
      </c>
      <c r="AC710" s="22" t="n">
        <v>255787</v>
      </c>
      <c r="AD710" s="22" t="n">
        <v>255895</v>
      </c>
      <c r="AE710" s="22" t="n">
        <v>257939</v>
      </c>
      <c r="AF710" s="22" t="n">
        <v>258360</v>
      </c>
    </row>
    <row r="711" customFormat="false" ht="15" hidden="false" customHeight="false" outlineLevel="0" collapsed="false">
      <c r="A711" s="22" t="s">
        <v>86</v>
      </c>
      <c r="B711" s="22" t="s">
        <v>3</v>
      </c>
      <c r="C711" s="22" t="s">
        <v>86</v>
      </c>
      <c r="D711" s="22" t="n">
        <v>41700</v>
      </c>
      <c r="E711" s="22" t="s">
        <v>132</v>
      </c>
      <c r="F711" s="22" t="s">
        <v>5</v>
      </c>
      <c r="G711" s="22" t="s">
        <v>131</v>
      </c>
      <c r="H711" s="22" t="s">
        <v>131</v>
      </c>
      <c r="I711" s="22" t="n">
        <v>1.455</v>
      </c>
      <c r="J711" s="22" t="n">
        <v>1.462</v>
      </c>
      <c r="K711" s="22" t="n">
        <v>1.459</v>
      </c>
      <c r="L711" s="22" t="n">
        <v>1.42</v>
      </c>
      <c r="M711" s="22" t="n">
        <v>1.421</v>
      </c>
      <c r="N711" s="22" t="n">
        <v>1.431</v>
      </c>
      <c r="O711" s="22" t="n">
        <v>1.415</v>
      </c>
      <c r="P711" s="22" t="n">
        <v>1.377</v>
      </c>
      <c r="Q711" s="22" t="n">
        <v>1.375</v>
      </c>
      <c r="R711" s="22" t="n">
        <v>1.387</v>
      </c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customFormat="false" ht="15" hidden="false" customHeight="false" outlineLevel="0" collapsed="false">
      <c r="A712" s="22" t="s">
        <v>86</v>
      </c>
      <c r="B712" s="22" t="s">
        <v>3</v>
      </c>
      <c r="C712" s="22" t="s">
        <v>86</v>
      </c>
      <c r="D712" s="22" t="n">
        <v>41700</v>
      </c>
      <c r="E712" s="22" t="s">
        <v>134</v>
      </c>
      <c r="F712" s="22" t="s">
        <v>135</v>
      </c>
      <c r="G712" s="22" t="s">
        <v>131</v>
      </c>
      <c r="H712" s="22" t="s">
        <v>131</v>
      </c>
      <c r="I712" s="22" t="n">
        <v>-0.0367</v>
      </c>
      <c r="J712" s="22" t="n">
        <v>-0.0436</v>
      </c>
      <c r="K712" s="22" t="n">
        <v>-0.043</v>
      </c>
      <c r="L712" s="22" t="n">
        <v>-0.049</v>
      </c>
      <c r="M712" s="22" t="n">
        <v>-0.0362</v>
      </c>
      <c r="N712" s="22" t="n">
        <v>-0.035</v>
      </c>
      <c r="O712" s="22" t="n">
        <v>-0.0501</v>
      </c>
      <c r="P712" s="22" t="n">
        <v>-0.0518</v>
      </c>
      <c r="Q712" s="22" t="n">
        <v>-0.0538</v>
      </c>
      <c r="R712" s="22" t="n">
        <v>-0.0582</v>
      </c>
      <c r="S712" s="22" t="n">
        <v>-0.053</v>
      </c>
      <c r="T712" s="22" t="n">
        <v>-0.043</v>
      </c>
      <c r="U712" s="22" t="n">
        <v>-0.029</v>
      </c>
      <c r="V712" s="22" t="n">
        <v>-0.009</v>
      </c>
      <c r="W712" s="22" t="n">
        <v>0.016</v>
      </c>
      <c r="X712" s="22" t="n">
        <v>0.015</v>
      </c>
      <c r="Y712" s="22" t="n">
        <v>0.019</v>
      </c>
      <c r="Z712" s="22" t="n">
        <v>0.022</v>
      </c>
      <c r="AA712" s="22" t="n">
        <v>0.024</v>
      </c>
      <c r="AB712" s="22" t="n">
        <v>0.026</v>
      </c>
      <c r="AC712" s="22" t="n">
        <v>0.027</v>
      </c>
      <c r="AD712" s="22" t="n">
        <v>0.028</v>
      </c>
      <c r="AE712" s="22" t="n">
        <v>0.028</v>
      </c>
      <c r="AF712" s="22" t="n">
        <v>0.03</v>
      </c>
    </row>
    <row r="713" customFormat="false" ht="15" hidden="false" customHeight="false" outlineLevel="0" collapsed="false">
      <c r="A713" s="22" t="s">
        <v>86</v>
      </c>
      <c r="B713" s="22" t="s">
        <v>3</v>
      </c>
      <c r="C713" s="22" t="s">
        <v>86</v>
      </c>
      <c r="D713" s="22" t="n">
        <v>41700</v>
      </c>
      <c r="E713" s="22" t="s">
        <v>136</v>
      </c>
      <c r="F713" s="22" t="s">
        <v>137</v>
      </c>
      <c r="G713" s="22" t="s">
        <v>131</v>
      </c>
      <c r="H713" s="22" t="s">
        <v>131</v>
      </c>
      <c r="I713" s="22" t="n">
        <v>22</v>
      </c>
      <c r="J713" s="22" t="n">
        <v>16</v>
      </c>
      <c r="K713" s="22" t="n">
        <v>13</v>
      </c>
      <c r="L713" s="22" t="n">
        <v>15</v>
      </c>
      <c r="M713" s="22" t="n">
        <v>14</v>
      </c>
      <c r="N713" s="22" t="n">
        <v>16</v>
      </c>
      <c r="O713" s="22" t="n">
        <v>14</v>
      </c>
      <c r="P713" s="22" t="n">
        <v>12</v>
      </c>
      <c r="Q713" s="22" t="n">
        <v>9</v>
      </c>
      <c r="R713" s="22" t="n">
        <v>4</v>
      </c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customFormat="false" ht="15" hidden="false" customHeight="false" outlineLevel="0" collapsed="false">
      <c r="A714" s="22" t="s">
        <v>204</v>
      </c>
      <c r="B714" s="22" t="s">
        <v>3</v>
      </c>
      <c r="C714" s="22" t="s">
        <v>204</v>
      </c>
      <c r="D714" s="22" t="n">
        <v>41740</v>
      </c>
      <c r="E714" s="22" t="s">
        <v>129</v>
      </c>
      <c r="F714" s="22" t="s">
        <v>130</v>
      </c>
      <c r="G714" s="22" t="s">
        <v>131</v>
      </c>
      <c r="H714" s="22" t="s">
        <v>131</v>
      </c>
      <c r="I714" s="22" t="n">
        <v>2.93101912438059</v>
      </c>
      <c r="J714" s="22" t="n">
        <v>2.97375103109873</v>
      </c>
      <c r="K714" s="22" t="n">
        <v>3.00714160076243</v>
      </c>
      <c r="L714" s="22" t="n">
        <v>3.01652589408598</v>
      </c>
      <c r="M714" s="22" t="n">
        <v>3.03249637477577</v>
      </c>
      <c r="N714" s="22" t="n">
        <v>3.0354148254582</v>
      </c>
      <c r="O714" s="22" t="n">
        <v>3.06055951599322</v>
      </c>
      <c r="P714" s="22" t="n">
        <v>3.11341552619504</v>
      </c>
      <c r="Q714" s="22" t="n">
        <v>3.1333677586657</v>
      </c>
      <c r="R714" s="22" t="n">
        <v>3.1557347189848</v>
      </c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customFormat="false" ht="15" hidden="false" customHeight="false" outlineLevel="0" collapsed="false">
      <c r="A715" s="22" t="s">
        <v>204</v>
      </c>
      <c r="B715" s="22" t="s">
        <v>3</v>
      </c>
      <c r="C715" s="22" t="s">
        <v>204</v>
      </c>
      <c r="D715" s="22" t="n">
        <v>41740</v>
      </c>
      <c r="E715" s="22" t="s">
        <v>132</v>
      </c>
      <c r="F715" s="22" t="s">
        <v>6</v>
      </c>
      <c r="G715" s="22" t="s">
        <v>131</v>
      </c>
      <c r="H715" s="22" t="s">
        <v>131</v>
      </c>
      <c r="I715" s="22" t="n">
        <v>3.12</v>
      </c>
      <c r="J715" s="22" t="n">
        <v>3.155</v>
      </c>
      <c r="K715" s="22" t="n">
        <v>3.168</v>
      </c>
      <c r="L715" s="22" t="n">
        <v>3.136</v>
      </c>
      <c r="M715" s="22" t="n">
        <v>3.14</v>
      </c>
      <c r="N715" s="22" t="n">
        <v>3.178</v>
      </c>
      <c r="O715" s="22" t="n">
        <v>3.173</v>
      </c>
      <c r="P715" s="22" t="n">
        <v>3.122</v>
      </c>
      <c r="Q715" s="22" t="n">
        <v>3.148</v>
      </c>
      <c r="R715" s="22" t="n">
        <v>3.185</v>
      </c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</row>
    <row r="716" customFormat="false" ht="15" hidden="false" customHeight="false" outlineLevel="0" collapsed="false">
      <c r="A716" s="22" t="s">
        <v>204</v>
      </c>
      <c r="B716" s="22" t="s">
        <v>3</v>
      </c>
      <c r="C716" s="22" t="s">
        <v>204</v>
      </c>
      <c r="D716" s="22" t="n">
        <v>41740</v>
      </c>
      <c r="E716" s="22" t="s">
        <v>132</v>
      </c>
      <c r="F716" s="22" t="s">
        <v>133</v>
      </c>
      <c r="G716" s="22" t="s">
        <v>131</v>
      </c>
      <c r="H716" s="22" t="s">
        <v>131</v>
      </c>
      <c r="I716" s="22" t="n">
        <v>324208</v>
      </c>
      <c r="J716" s="22" t="n">
        <v>326115</v>
      </c>
      <c r="K716" s="22" t="n">
        <v>327322</v>
      </c>
      <c r="L716" s="22" t="n">
        <v>328376</v>
      </c>
      <c r="M716" s="22" t="n">
        <v>329859</v>
      </c>
      <c r="N716" s="22" t="n">
        <v>330368</v>
      </c>
      <c r="O716" s="22" t="n">
        <v>331891</v>
      </c>
      <c r="P716" s="22" t="n">
        <v>333612</v>
      </c>
      <c r="Q716" s="22" t="n">
        <v>334831</v>
      </c>
      <c r="R716" s="22" t="n">
        <v>337134</v>
      </c>
      <c r="S716" s="22" t="n">
        <v>338460</v>
      </c>
      <c r="T716" s="22" t="n">
        <v>340767</v>
      </c>
      <c r="U716" s="22" t="n">
        <v>342066</v>
      </c>
      <c r="V716" s="22" t="n">
        <v>342812</v>
      </c>
      <c r="W716" s="22" t="n">
        <v>343638</v>
      </c>
      <c r="X716" s="22" t="n">
        <v>344283</v>
      </c>
      <c r="Y716" s="22" t="n">
        <v>344837</v>
      </c>
      <c r="Z716" s="22" t="n">
        <v>345080</v>
      </c>
      <c r="AA716" s="22" t="n">
        <v>345696</v>
      </c>
      <c r="AB716" s="22" t="n">
        <v>346432</v>
      </c>
      <c r="AC716" s="22" t="n">
        <v>346921</v>
      </c>
      <c r="AD716" s="22" t="n">
        <v>347084</v>
      </c>
      <c r="AE716" s="22" t="n">
        <v>347084</v>
      </c>
      <c r="AF716" s="22" t="n">
        <v>347291</v>
      </c>
    </row>
    <row r="717" customFormat="false" ht="15" hidden="false" customHeight="false" outlineLevel="0" collapsed="false">
      <c r="A717" s="22" t="s">
        <v>204</v>
      </c>
      <c r="B717" s="22" t="s">
        <v>3</v>
      </c>
      <c r="C717" s="22" t="s">
        <v>204</v>
      </c>
      <c r="D717" s="22" t="n">
        <v>41740</v>
      </c>
      <c r="E717" s="22" t="s">
        <v>132</v>
      </c>
      <c r="F717" s="22" t="s">
        <v>5</v>
      </c>
      <c r="G717" s="22" t="s">
        <v>131</v>
      </c>
      <c r="H717" s="22" t="s">
        <v>131</v>
      </c>
      <c r="I717" s="22" t="n">
        <v>3.149</v>
      </c>
      <c r="J717" s="22" t="n">
        <v>3.18</v>
      </c>
      <c r="K717" s="22" t="n">
        <v>3.193</v>
      </c>
      <c r="L717" s="22" t="n">
        <v>3.169</v>
      </c>
      <c r="M717" s="22" t="n">
        <v>3.169</v>
      </c>
      <c r="N717" s="22" t="n">
        <v>3.204</v>
      </c>
      <c r="O717" s="22" t="n">
        <v>3.214</v>
      </c>
      <c r="P717" s="22" t="n">
        <v>3.172</v>
      </c>
      <c r="Q717" s="22" t="n">
        <v>3.2</v>
      </c>
      <c r="R717" s="22" t="n">
        <v>3.229</v>
      </c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customFormat="false" ht="15" hidden="false" customHeight="false" outlineLevel="0" collapsed="false">
      <c r="A718" s="22" t="s">
        <v>204</v>
      </c>
      <c r="B718" s="22" t="s">
        <v>3</v>
      </c>
      <c r="C718" s="22" t="s">
        <v>204</v>
      </c>
      <c r="D718" s="22" t="n">
        <v>41740</v>
      </c>
      <c r="E718" s="22" t="s">
        <v>134</v>
      </c>
      <c r="F718" s="22" t="s">
        <v>135</v>
      </c>
      <c r="G718" s="22" t="s">
        <v>131</v>
      </c>
      <c r="H718" s="22" t="s">
        <v>131</v>
      </c>
      <c r="I718" s="22" t="n">
        <v>-0.0016</v>
      </c>
      <c r="J718" s="22" t="n">
        <v>-0.0107</v>
      </c>
      <c r="K718" s="22" t="n">
        <v>-0.0169</v>
      </c>
      <c r="L718" s="22" t="n">
        <v>-0.0107</v>
      </c>
      <c r="M718" s="22" t="n">
        <v>0.0018</v>
      </c>
      <c r="N718" s="22" t="n">
        <v>-0.0045</v>
      </c>
      <c r="O718" s="22" t="n">
        <v>-0.0135</v>
      </c>
      <c r="P718" s="22" t="n">
        <v>-0.0176</v>
      </c>
      <c r="Q718" s="22" t="n">
        <v>-0.0151</v>
      </c>
      <c r="R718" s="22" t="n">
        <v>-0.0072</v>
      </c>
      <c r="S718" s="22" t="n">
        <v>-0.003</v>
      </c>
      <c r="T718" s="22" t="n">
        <v>0.004</v>
      </c>
      <c r="U718" s="22" t="n">
        <v>0.015</v>
      </c>
      <c r="V718" s="22" t="n">
        <v>0.029</v>
      </c>
      <c r="W718" s="22" t="n">
        <v>0.035</v>
      </c>
      <c r="X718" s="22" t="n">
        <v>0.028</v>
      </c>
      <c r="Y718" s="22" t="n">
        <v>0.027</v>
      </c>
      <c r="Z718" s="22" t="n">
        <v>0.026</v>
      </c>
      <c r="AA718" s="22" t="n">
        <v>0.023</v>
      </c>
      <c r="AB718" s="22" t="n">
        <v>0.025</v>
      </c>
      <c r="AC718" s="22" t="n">
        <v>0.024</v>
      </c>
      <c r="AD718" s="22" t="n">
        <v>0.024</v>
      </c>
      <c r="AE718" s="22" t="n">
        <v>0.024</v>
      </c>
      <c r="AF718" s="22" t="n">
        <v>0.025</v>
      </c>
    </row>
    <row r="719" customFormat="false" ht="15" hidden="false" customHeight="false" outlineLevel="0" collapsed="false">
      <c r="A719" s="22" t="s">
        <v>204</v>
      </c>
      <c r="B719" s="22" t="s">
        <v>3</v>
      </c>
      <c r="C719" s="22" t="s">
        <v>204</v>
      </c>
      <c r="D719" s="22" t="n">
        <v>41740</v>
      </c>
      <c r="E719" s="22" t="s">
        <v>136</v>
      </c>
      <c r="F719" s="22" t="s">
        <v>137</v>
      </c>
      <c r="G719" s="22" t="s">
        <v>131</v>
      </c>
      <c r="H719" s="22" t="s">
        <v>131</v>
      </c>
      <c r="I719" s="22" t="n">
        <v>27</v>
      </c>
      <c r="J719" s="22" t="n">
        <v>32</v>
      </c>
      <c r="K719" s="22" t="n">
        <v>27</v>
      </c>
      <c r="L719" s="22" t="n">
        <v>29</v>
      </c>
      <c r="M719" s="22" t="n">
        <v>30</v>
      </c>
      <c r="N719" s="22" t="n">
        <v>27</v>
      </c>
      <c r="O719" s="22" t="n">
        <v>30</v>
      </c>
      <c r="P719" s="22" t="n">
        <v>25</v>
      </c>
      <c r="Q719" s="22" t="n">
        <v>23</v>
      </c>
      <c r="R719" s="22" t="n">
        <v>19</v>
      </c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</row>
    <row r="720" customFormat="false" ht="15" hidden="false" customHeight="false" outlineLevel="0" collapsed="false">
      <c r="A720" s="22" t="s">
        <v>205</v>
      </c>
      <c r="B720" s="22" t="s">
        <v>3</v>
      </c>
      <c r="C720" s="22" t="s">
        <v>205</v>
      </c>
      <c r="D720" s="22" t="n">
        <v>41860</v>
      </c>
      <c r="E720" s="22" t="s">
        <v>129</v>
      </c>
      <c r="F720" s="22" t="s">
        <v>130</v>
      </c>
      <c r="G720" s="22" t="s">
        <v>131</v>
      </c>
      <c r="H720" s="22" t="s">
        <v>131</v>
      </c>
      <c r="I720" s="22" t="n">
        <v>3.79677515849434</v>
      </c>
      <c r="J720" s="22" t="n">
        <v>3.83545177615091</v>
      </c>
      <c r="K720" s="22" t="n">
        <v>3.88560328972154</v>
      </c>
      <c r="L720" s="22" t="n">
        <v>3.91114969148612</v>
      </c>
      <c r="M720" s="22" t="n">
        <v>3.94586253205959</v>
      </c>
      <c r="N720" s="22" t="n">
        <v>4.00533355769715</v>
      </c>
      <c r="O720" s="22" t="n">
        <v>4.05230650508697</v>
      </c>
      <c r="P720" s="22" t="n">
        <v>4.14424200858087</v>
      </c>
      <c r="Q720" s="22" t="n">
        <v>4.22577612675402</v>
      </c>
      <c r="R720" s="22" t="n">
        <v>4.329314849235</v>
      </c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customFormat="false" ht="15" hidden="false" customHeight="false" outlineLevel="0" collapsed="false">
      <c r="A721" s="22" t="s">
        <v>205</v>
      </c>
      <c r="B721" s="22" t="s">
        <v>3</v>
      </c>
      <c r="C721" s="22" t="s">
        <v>205</v>
      </c>
      <c r="D721" s="22" t="n">
        <v>41860</v>
      </c>
      <c r="E721" s="22" t="s">
        <v>132</v>
      </c>
      <c r="F721" s="22" t="s">
        <v>6</v>
      </c>
      <c r="G721" s="22" t="s">
        <v>131</v>
      </c>
      <c r="H721" s="22" t="s">
        <v>131</v>
      </c>
      <c r="I721" s="22" t="n">
        <v>4.033</v>
      </c>
      <c r="J721" s="22" t="n">
        <v>4.086</v>
      </c>
      <c r="K721" s="22" t="n">
        <v>4.151</v>
      </c>
      <c r="L721" s="22" t="n">
        <v>4.122</v>
      </c>
      <c r="M721" s="22" t="n">
        <v>4.182</v>
      </c>
      <c r="N721" s="22" t="n">
        <v>4.346</v>
      </c>
      <c r="O721" s="22" t="n">
        <v>4.453</v>
      </c>
      <c r="P721" s="22" t="n">
        <v>4.452</v>
      </c>
      <c r="Q721" s="22" t="n">
        <v>4.592</v>
      </c>
      <c r="R721" s="22" t="n">
        <v>4.826</v>
      </c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customFormat="false" ht="15" hidden="false" customHeight="false" outlineLevel="0" collapsed="false">
      <c r="A722" s="22" t="s">
        <v>205</v>
      </c>
      <c r="B722" s="22" t="s">
        <v>3</v>
      </c>
      <c r="C722" s="22" t="s">
        <v>205</v>
      </c>
      <c r="D722" s="22" t="n">
        <v>41860</v>
      </c>
      <c r="E722" s="22" t="s">
        <v>132</v>
      </c>
      <c r="F722" s="22" t="s">
        <v>133</v>
      </c>
      <c r="G722" s="22" t="s">
        <v>131</v>
      </c>
      <c r="H722" s="22" t="s">
        <v>131</v>
      </c>
      <c r="I722" s="22" t="n">
        <v>251765</v>
      </c>
      <c r="J722" s="22" t="n">
        <v>252687</v>
      </c>
      <c r="K722" s="22" t="n">
        <v>253139</v>
      </c>
      <c r="L722" s="22" t="n">
        <v>253574</v>
      </c>
      <c r="M722" s="22" t="n">
        <v>253632</v>
      </c>
      <c r="N722" s="22" t="n">
        <v>254091</v>
      </c>
      <c r="O722" s="22" t="n">
        <v>254582</v>
      </c>
      <c r="P722" s="22" t="n">
        <v>255013</v>
      </c>
      <c r="Q722" s="22" t="n">
        <v>255033</v>
      </c>
      <c r="R722" s="22" t="n">
        <v>255033</v>
      </c>
      <c r="S722" s="22" t="n">
        <v>255233</v>
      </c>
      <c r="T722" s="22" t="n">
        <v>255433</v>
      </c>
      <c r="U722" s="22" t="n">
        <v>255493</v>
      </c>
      <c r="V722" s="22" t="n">
        <v>255856</v>
      </c>
      <c r="W722" s="22" t="n">
        <v>256301</v>
      </c>
      <c r="X722" s="22" t="n">
        <v>257307</v>
      </c>
      <c r="Y722" s="22" t="n">
        <v>257847</v>
      </c>
      <c r="Z722" s="22" t="n">
        <v>258450</v>
      </c>
      <c r="AA722" s="22" t="n">
        <v>258606</v>
      </c>
      <c r="AB722" s="22" t="n">
        <v>258606</v>
      </c>
      <c r="AC722" s="22" t="n">
        <v>258736</v>
      </c>
      <c r="AD722" s="22" t="n">
        <v>259132</v>
      </c>
      <c r="AE722" s="22" t="n">
        <v>259288</v>
      </c>
      <c r="AF722" s="22" t="n">
        <v>259269</v>
      </c>
    </row>
    <row r="723" customFormat="false" ht="15" hidden="false" customHeight="false" outlineLevel="0" collapsed="false">
      <c r="A723" s="22" t="s">
        <v>205</v>
      </c>
      <c r="B723" s="22" t="s">
        <v>3</v>
      </c>
      <c r="C723" s="22" t="s">
        <v>205</v>
      </c>
      <c r="D723" s="22" t="n">
        <v>41860</v>
      </c>
      <c r="E723" s="22" t="s">
        <v>132</v>
      </c>
      <c r="F723" s="22" t="s">
        <v>5</v>
      </c>
      <c r="G723" s="22" t="s">
        <v>131</v>
      </c>
      <c r="H723" s="22" t="s">
        <v>131</v>
      </c>
      <c r="I723" s="22" t="n">
        <v>4.077</v>
      </c>
      <c r="J723" s="22" t="n">
        <v>4.13</v>
      </c>
      <c r="K723" s="22" t="n">
        <v>4.199</v>
      </c>
      <c r="L723" s="22" t="n">
        <v>4.172</v>
      </c>
      <c r="M723" s="22" t="n">
        <v>4.224</v>
      </c>
      <c r="N723" s="22" t="n">
        <v>4.388</v>
      </c>
      <c r="O723" s="22" t="n">
        <v>4.492</v>
      </c>
      <c r="P723" s="22" t="n">
        <v>4.493</v>
      </c>
      <c r="Q723" s="22" t="n">
        <v>4.627</v>
      </c>
      <c r="R723" s="22" t="n">
        <v>4.855</v>
      </c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</row>
    <row r="724" customFormat="false" ht="15" hidden="false" customHeight="false" outlineLevel="0" collapsed="false">
      <c r="A724" s="22" t="s">
        <v>205</v>
      </c>
      <c r="B724" s="22" t="s">
        <v>3</v>
      </c>
      <c r="C724" s="22" t="s">
        <v>205</v>
      </c>
      <c r="D724" s="22" t="n">
        <v>41860</v>
      </c>
      <c r="E724" s="22" t="s">
        <v>134</v>
      </c>
      <c r="F724" s="22" t="s">
        <v>135</v>
      </c>
      <c r="G724" s="22" t="s">
        <v>131</v>
      </c>
      <c r="H724" s="22" t="s">
        <v>131</v>
      </c>
      <c r="I724" s="22" t="n">
        <v>0.0084</v>
      </c>
      <c r="J724" s="22" t="n">
        <v>0.0147</v>
      </c>
      <c r="K724" s="22" t="n">
        <v>0.0202</v>
      </c>
      <c r="L724" s="22" t="n">
        <v>0.0214</v>
      </c>
      <c r="M724" s="22" t="n">
        <v>0.028</v>
      </c>
      <c r="N724" s="22" t="n">
        <v>0.0521</v>
      </c>
      <c r="O724" s="22" t="n">
        <v>0.0705</v>
      </c>
      <c r="P724" s="22" t="n">
        <v>0.0728</v>
      </c>
      <c r="Q724" s="22" t="n">
        <v>0.0888</v>
      </c>
      <c r="R724" s="22" t="n">
        <v>0.1061</v>
      </c>
      <c r="S724" s="22" t="n">
        <v>0.092</v>
      </c>
      <c r="T724" s="22" t="n">
        <v>0.061</v>
      </c>
      <c r="U724" s="22" t="n">
        <v>0.036</v>
      </c>
      <c r="V724" s="22" t="n">
        <v>0.038</v>
      </c>
      <c r="W724" s="22" t="n">
        <v>0.041</v>
      </c>
      <c r="X724" s="22" t="n">
        <v>0.042</v>
      </c>
      <c r="Y724" s="22" t="n">
        <v>0.042</v>
      </c>
      <c r="Z724" s="22" t="n">
        <v>0.04</v>
      </c>
      <c r="AA724" s="22" t="n">
        <v>0.043</v>
      </c>
      <c r="AB724" s="22" t="n">
        <v>0.044</v>
      </c>
      <c r="AC724" s="22" t="n">
        <v>0.044</v>
      </c>
      <c r="AD724" s="22" t="n">
        <v>0.042</v>
      </c>
      <c r="AE724" s="22" t="n">
        <v>0.044</v>
      </c>
      <c r="AF724" s="22" t="n">
        <v>0.044</v>
      </c>
    </row>
    <row r="725" customFormat="false" ht="15" hidden="false" customHeight="false" outlineLevel="0" collapsed="false">
      <c r="A725" s="22" t="s">
        <v>205</v>
      </c>
      <c r="B725" s="22" t="s">
        <v>3</v>
      </c>
      <c r="C725" s="22" t="s">
        <v>205</v>
      </c>
      <c r="D725" s="22" t="n">
        <v>41860</v>
      </c>
      <c r="E725" s="22" t="s">
        <v>136</v>
      </c>
      <c r="F725" s="22" t="s">
        <v>137</v>
      </c>
      <c r="G725" s="22" t="s">
        <v>131</v>
      </c>
      <c r="H725" s="22" t="s">
        <v>131</v>
      </c>
      <c r="I725" s="22" t="n">
        <v>3</v>
      </c>
      <c r="J725" s="22" t="n">
        <v>2</v>
      </c>
      <c r="K725" s="22" t="n">
        <v>0</v>
      </c>
      <c r="L725" s="22" t="n">
        <v>1</v>
      </c>
      <c r="M725" s="22" t="n">
        <v>3</v>
      </c>
      <c r="N725" s="22" t="n">
        <v>5</v>
      </c>
      <c r="O725" s="22" t="n">
        <v>8</v>
      </c>
      <c r="P725" s="22" t="n">
        <v>9</v>
      </c>
      <c r="Q725" s="22" t="n">
        <v>9</v>
      </c>
      <c r="R725" s="22" t="n">
        <v>8</v>
      </c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</row>
    <row r="726" customFormat="false" ht="15" hidden="false" customHeight="false" outlineLevel="0" collapsed="false">
      <c r="A726" s="22" t="s">
        <v>206</v>
      </c>
      <c r="B726" s="22" t="s">
        <v>3</v>
      </c>
      <c r="C726" s="22" t="s">
        <v>206</v>
      </c>
      <c r="D726" s="22" t="n">
        <v>41940</v>
      </c>
      <c r="E726" s="22" t="s">
        <v>129</v>
      </c>
      <c r="F726" s="22" t="s">
        <v>130</v>
      </c>
      <c r="G726" s="22" t="s">
        <v>131</v>
      </c>
      <c r="H726" s="22" t="s">
        <v>131</v>
      </c>
      <c r="I726" s="22" t="n">
        <v>3.29090068567511</v>
      </c>
      <c r="J726" s="22" t="n">
        <v>3.32990604259885</v>
      </c>
      <c r="K726" s="22" t="n">
        <v>3.37718795108873</v>
      </c>
      <c r="L726" s="22" t="n">
        <v>3.45040405953402</v>
      </c>
      <c r="M726" s="22" t="n">
        <v>3.4725460425826</v>
      </c>
      <c r="N726" s="22" t="n">
        <v>3.53365541841013</v>
      </c>
      <c r="O726" s="22" t="n">
        <v>3.61032348818624</v>
      </c>
      <c r="P726" s="22" t="n">
        <v>3.63731158114138</v>
      </c>
      <c r="Q726" s="22" t="n">
        <v>3.70680091475656</v>
      </c>
      <c r="R726" s="22" t="n">
        <v>3.76359354624955</v>
      </c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customFormat="false" ht="15" hidden="false" customHeight="false" outlineLevel="0" collapsed="false">
      <c r="A727" s="22" t="s">
        <v>206</v>
      </c>
      <c r="B727" s="22" t="s">
        <v>3</v>
      </c>
      <c r="C727" s="22" t="s">
        <v>206</v>
      </c>
      <c r="D727" s="22" t="n">
        <v>41940</v>
      </c>
      <c r="E727" s="22" t="s">
        <v>132</v>
      </c>
      <c r="F727" s="22" t="s">
        <v>6</v>
      </c>
      <c r="G727" s="22" t="s">
        <v>131</v>
      </c>
      <c r="H727" s="22" t="s">
        <v>131</v>
      </c>
      <c r="I727" s="22" t="n">
        <v>3.475</v>
      </c>
      <c r="J727" s="22" t="n">
        <v>3.574</v>
      </c>
      <c r="K727" s="22" t="n">
        <v>3.639</v>
      </c>
      <c r="L727" s="22" t="n">
        <v>3.576</v>
      </c>
      <c r="M727" s="22" t="n">
        <v>3.628</v>
      </c>
      <c r="N727" s="22" t="n">
        <v>3.737</v>
      </c>
      <c r="O727" s="22" t="n">
        <v>3.788</v>
      </c>
      <c r="P727" s="22" t="n">
        <v>3.743</v>
      </c>
      <c r="Q727" s="22" t="n">
        <v>3.825</v>
      </c>
      <c r="R727" s="22" t="n">
        <v>4.005</v>
      </c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customFormat="false" ht="15" hidden="false" customHeight="false" outlineLevel="0" collapsed="false">
      <c r="A728" s="22" t="s">
        <v>206</v>
      </c>
      <c r="B728" s="22" t="s">
        <v>3</v>
      </c>
      <c r="C728" s="22" t="s">
        <v>206</v>
      </c>
      <c r="D728" s="22" t="n">
        <v>41940</v>
      </c>
      <c r="E728" s="22" t="s">
        <v>132</v>
      </c>
      <c r="F728" s="22" t="s">
        <v>133</v>
      </c>
      <c r="G728" s="22" t="s">
        <v>131</v>
      </c>
      <c r="H728" s="22" t="s">
        <v>131</v>
      </c>
      <c r="I728" s="22" t="n">
        <v>183940</v>
      </c>
      <c r="J728" s="22" t="n">
        <v>184461</v>
      </c>
      <c r="K728" s="22" t="n">
        <v>185248</v>
      </c>
      <c r="L728" s="22" t="n">
        <v>186414</v>
      </c>
      <c r="M728" s="22" t="n">
        <v>188196</v>
      </c>
      <c r="N728" s="22" t="n">
        <v>189382</v>
      </c>
      <c r="O728" s="22" t="n">
        <v>190066</v>
      </c>
      <c r="P728" s="22" t="n">
        <v>190226</v>
      </c>
      <c r="Q728" s="22" t="n">
        <v>190290</v>
      </c>
      <c r="R728" s="22" t="n">
        <v>190290</v>
      </c>
      <c r="S728" s="22" t="n">
        <v>190290</v>
      </c>
      <c r="T728" s="22" t="n">
        <v>190360</v>
      </c>
      <c r="U728" s="22" t="n">
        <v>190888</v>
      </c>
      <c r="V728" s="22" t="n">
        <v>191784</v>
      </c>
      <c r="W728" s="22" t="n">
        <v>192179</v>
      </c>
      <c r="X728" s="22" t="n">
        <v>192924</v>
      </c>
      <c r="Y728" s="22" t="n">
        <v>193536</v>
      </c>
      <c r="Z728" s="22" t="n">
        <v>193811</v>
      </c>
      <c r="AA728" s="22" t="n">
        <v>194211</v>
      </c>
      <c r="AB728" s="22" t="n">
        <v>194906</v>
      </c>
      <c r="AC728" s="22" t="n">
        <v>195458</v>
      </c>
      <c r="AD728" s="22" t="n">
        <v>195693</v>
      </c>
      <c r="AE728" s="22" t="n">
        <v>196055</v>
      </c>
      <c r="AF728" s="22" t="n">
        <v>196707</v>
      </c>
    </row>
    <row r="729" customFormat="false" ht="15" hidden="false" customHeight="false" outlineLevel="0" collapsed="false">
      <c r="A729" s="22" t="s">
        <v>206</v>
      </c>
      <c r="B729" s="22" t="s">
        <v>3</v>
      </c>
      <c r="C729" s="22" t="s">
        <v>206</v>
      </c>
      <c r="D729" s="22" t="n">
        <v>41940</v>
      </c>
      <c r="E729" s="22" t="s">
        <v>132</v>
      </c>
      <c r="F729" s="22" t="s">
        <v>5</v>
      </c>
      <c r="G729" s="22" t="s">
        <v>131</v>
      </c>
      <c r="H729" s="22" t="s">
        <v>131</v>
      </c>
      <c r="I729" s="22" t="n">
        <v>3.518</v>
      </c>
      <c r="J729" s="22" t="n">
        <v>3.616</v>
      </c>
      <c r="K729" s="22" t="n">
        <v>3.684</v>
      </c>
      <c r="L729" s="22" t="n">
        <v>3.614</v>
      </c>
      <c r="M729" s="22" t="n">
        <v>3.665</v>
      </c>
      <c r="N729" s="22" t="n">
        <v>3.773</v>
      </c>
      <c r="O729" s="22" t="n">
        <v>3.831</v>
      </c>
      <c r="P729" s="22" t="n">
        <v>3.792</v>
      </c>
      <c r="Q729" s="22" t="n">
        <v>3.864</v>
      </c>
      <c r="R729" s="22" t="n">
        <v>4.029</v>
      </c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</row>
    <row r="730" customFormat="false" ht="15" hidden="false" customHeight="false" outlineLevel="0" collapsed="false">
      <c r="A730" s="22" t="s">
        <v>206</v>
      </c>
      <c r="B730" s="22" t="s">
        <v>3</v>
      </c>
      <c r="C730" s="22" t="s">
        <v>206</v>
      </c>
      <c r="D730" s="22" t="n">
        <v>41940</v>
      </c>
      <c r="E730" s="22" t="s">
        <v>134</v>
      </c>
      <c r="F730" s="22" t="s">
        <v>135</v>
      </c>
      <c r="G730" s="22" t="s">
        <v>131</v>
      </c>
      <c r="H730" s="22" t="s">
        <v>131</v>
      </c>
      <c r="I730" s="22" t="n">
        <v>-0.0023</v>
      </c>
      <c r="J730" s="22" t="n">
        <v>0.0078</v>
      </c>
      <c r="K730" s="22" t="n">
        <v>0.0223</v>
      </c>
      <c r="L730" s="22" t="n">
        <v>0.0301</v>
      </c>
      <c r="M730" s="22" t="n">
        <v>0.0345</v>
      </c>
      <c r="N730" s="22" t="n">
        <v>0.0379</v>
      </c>
      <c r="O730" s="22" t="n">
        <v>0.0323</v>
      </c>
      <c r="P730" s="22" t="n">
        <v>0.0399</v>
      </c>
      <c r="Q730" s="22" t="n">
        <v>0.047</v>
      </c>
      <c r="R730" s="22" t="n">
        <v>0.0608</v>
      </c>
      <c r="S730" s="22" t="n">
        <v>0.052</v>
      </c>
      <c r="T730" s="22" t="n">
        <v>0.039</v>
      </c>
      <c r="U730" s="22" t="n">
        <v>0.023</v>
      </c>
      <c r="V730" s="22" t="n">
        <v>0.023</v>
      </c>
      <c r="W730" s="22" t="n">
        <v>0.029</v>
      </c>
      <c r="X730" s="22" t="n">
        <v>0.029</v>
      </c>
      <c r="Y730" s="22" t="n">
        <v>0.028</v>
      </c>
      <c r="Z730" s="22" t="n">
        <v>0.023</v>
      </c>
      <c r="AA730" s="22" t="n">
        <v>0.027</v>
      </c>
      <c r="AB730" s="22" t="n">
        <v>0.026</v>
      </c>
      <c r="AC730" s="22" t="n">
        <v>0.026</v>
      </c>
      <c r="AD730" s="22" t="n">
        <v>0.023</v>
      </c>
      <c r="AE730" s="22" t="n">
        <v>0.026</v>
      </c>
      <c r="AF730" s="22" t="n">
        <v>0.033</v>
      </c>
    </row>
    <row r="731" customFormat="false" ht="15" hidden="false" customHeight="false" outlineLevel="0" collapsed="false">
      <c r="A731" s="22" t="s">
        <v>206</v>
      </c>
      <c r="B731" s="22" t="s">
        <v>3</v>
      </c>
      <c r="C731" s="22" t="s">
        <v>206</v>
      </c>
      <c r="D731" s="22" t="n">
        <v>41940</v>
      </c>
      <c r="E731" s="22" t="s">
        <v>136</v>
      </c>
      <c r="F731" s="22" t="s">
        <v>137</v>
      </c>
      <c r="G731" s="22" t="s">
        <v>131</v>
      </c>
      <c r="H731" s="22" t="s">
        <v>131</v>
      </c>
      <c r="I731" s="22" t="n">
        <v>1</v>
      </c>
      <c r="J731" s="22" t="n">
        <v>0</v>
      </c>
      <c r="K731" s="22" t="n">
        <v>0</v>
      </c>
      <c r="L731" s="22" t="n">
        <v>1</v>
      </c>
      <c r="M731" s="22" t="n">
        <v>1</v>
      </c>
      <c r="N731" s="22" t="n">
        <v>4</v>
      </c>
      <c r="O731" s="22" t="n">
        <v>7</v>
      </c>
      <c r="P731" s="22" t="n">
        <v>8</v>
      </c>
      <c r="Q731" s="22" t="n">
        <v>10</v>
      </c>
      <c r="R731" s="22" t="n">
        <v>8</v>
      </c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</row>
    <row r="732" customFormat="false" ht="15" hidden="false" customHeight="false" outlineLevel="0" collapsed="false">
      <c r="A732" s="22" t="s">
        <v>207</v>
      </c>
      <c r="B732" s="22" t="s">
        <v>3</v>
      </c>
      <c r="C732" s="22" t="s">
        <v>207</v>
      </c>
      <c r="D732" s="22" t="n">
        <v>42200</v>
      </c>
      <c r="E732" s="22" t="s">
        <v>129</v>
      </c>
      <c r="F732" s="22" t="s">
        <v>130</v>
      </c>
      <c r="G732" s="22" t="s">
        <v>131</v>
      </c>
      <c r="H732" s="22" t="s">
        <v>131</v>
      </c>
      <c r="I732" s="22" t="n">
        <v>2.94827480927145</v>
      </c>
      <c r="J732" s="22" t="n">
        <v>2.95384739039911</v>
      </c>
      <c r="K732" s="22" t="n">
        <v>2.97850538830611</v>
      </c>
      <c r="L732" s="22" t="n">
        <v>2.9102670708927</v>
      </c>
      <c r="M732" s="22" t="n">
        <v>2.9093807616529</v>
      </c>
      <c r="N732" s="22" t="n">
        <v>2.89250129154435</v>
      </c>
      <c r="O732" s="22" t="n">
        <v>2.87660149674242</v>
      </c>
      <c r="P732" s="22" t="n">
        <v>2.88932231211739</v>
      </c>
      <c r="Q732" s="22" t="n">
        <v>2.88603464852465</v>
      </c>
      <c r="R732" s="22" t="n">
        <v>2.8919440637581</v>
      </c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customFormat="false" ht="15" hidden="false" customHeight="false" outlineLevel="0" collapsed="false">
      <c r="A733" s="22" t="s">
        <v>207</v>
      </c>
      <c r="B733" s="22" t="s">
        <v>3</v>
      </c>
      <c r="C733" s="22" t="s">
        <v>207</v>
      </c>
      <c r="D733" s="22" t="n">
        <v>42200</v>
      </c>
      <c r="E733" s="22" t="s">
        <v>132</v>
      </c>
      <c r="F733" s="22" t="s">
        <v>6</v>
      </c>
      <c r="G733" s="22" t="s">
        <v>131</v>
      </c>
      <c r="H733" s="22" t="s">
        <v>131</v>
      </c>
      <c r="I733" s="22" t="n">
        <v>3.392</v>
      </c>
      <c r="J733" s="22" t="n">
        <v>3.431</v>
      </c>
      <c r="K733" s="22" t="n">
        <v>3.423</v>
      </c>
      <c r="L733" s="22" t="n">
        <v>3.397</v>
      </c>
      <c r="M733" s="22" t="n">
        <v>3.302</v>
      </c>
      <c r="N733" s="22" t="n">
        <v>3.301</v>
      </c>
      <c r="O733" s="22" t="n">
        <v>3.351</v>
      </c>
      <c r="P733" s="22" t="n">
        <v>3.328</v>
      </c>
      <c r="Q733" s="22" t="n">
        <v>3.331</v>
      </c>
      <c r="R733" s="22" t="n">
        <v>3.347</v>
      </c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customFormat="false" ht="15" hidden="false" customHeight="false" outlineLevel="0" collapsed="false">
      <c r="A734" s="22" t="s">
        <v>207</v>
      </c>
      <c r="B734" s="22" t="s">
        <v>3</v>
      </c>
      <c r="C734" s="22" t="s">
        <v>207</v>
      </c>
      <c r="D734" s="22" t="n">
        <v>42200</v>
      </c>
      <c r="E734" s="22" t="s">
        <v>132</v>
      </c>
      <c r="F734" s="22" t="s">
        <v>133</v>
      </c>
      <c r="G734" s="22" t="s">
        <v>131</v>
      </c>
      <c r="H734" s="22" t="s">
        <v>131</v>
      </c>
      <c r="I734" s="22" t="n">
        <v>29025</v>
      </c>
      <c r="J734" s="22" t="n">
        <v>29097</v>
      </c>
      <c r="K734" s="22" t="n">
        <v>29121</v>
      </c>
      <c r="L734" s="22" t="n">
        <v>29173</v>
      </c>
      <c r="M734" s="22" t="n">
        <v>29199</v>
      </c>
      <c r="N734" s="22" t="n">
        <v>29199</v>
      </c>
      <c r="O734" s="22" t="n">
        <v>29206</v>
      </c>
      <c r="P734" s="22" t="n">
        <v>29220</v>
      </c>
      <c r="Q734" s="22" t="n">
        <v>29294</v>
      </c>
      <c r="R734" s="22" t="n">
        <v>29408</v>
      </c>
      <c r="S734" s="22" t="n">
        <v>29556</v>
      </c>
      <c r="T734" s="22" t="n">
        <v>29643</v>
      </c>
      <c r="U734" s="22" t="n">
        <v>29892</v>
      </c>
      <c r="V734" s="22" t="n">
        <v>29949</v>
      </c>
      <c r="W734" s="22" t="n">
        <v>29949</v>
      </c>
      <c r="X734" s="22" t="n">
        <v>30042</v>
      </c>
      <c r="Y734" s="22" t="n">
        <v>30321</v>
      </c>
      <c r="Z734" s="22" t="n">
        <v>30371</v>
      </c>
      <c r="AA734" s="22" t="n">
        <v>30346</v>
      </c>
      <c r="AB734" s="22" t="n">
        <v>30381</v>
      </c>
      <c r="AC734" s="22" t="n">
        <v>30606</v>
      </c>
      <c r="AD734" s="22" t="n">
        <v>30582</v>
      </c>
      <c r="AE734" s="22" t="n">
        <v>30523</v>
      </c>
      <c r="AF734" s="22" t="n">
        <v>30549</v>
      </c>
    </row>
    <row r="735" customFormat="false" ht="15" hidden="false" customHeight="false" outlineLevel="0" collapsed="false">
      <c r="A735" s="22" t="s">
        <v>207</v>
      </c>
      <c r="B735" s="22" t="s">
        <v>3</v>
      </c>
      <c r="C735" s="22" t="s">
        <v>207</v>
      </c>
      <c r="D735" s="22" t="n">
        <v>42200</v>
      </c>
      <c r="E735" s="22" t="s">
        <v>132</v>
      </c>
      <c r="F735" s="22" t="s">
        <v>5</v>
      </c>
      <c r="G735" s="22" t="s">
        <v>131</v>
      </c>
      <c r="H735" s="22" t="s">
        <v>131</v>
      </c>
      <c r="I735" s="22" t="n">
        <v>3.401</v>
      </c>
      <c r="J735" s="22" t="n">
        <v>3.437</v>
      </c>
      <c r="K735" s="22" t="n">
        <v>3.432</v>
      </c>
      <c r="L735" s="22" t="n">
        <v>3.405</v>
      </c>
      <c r="M735" s="22" t="n">
        <v>3.322</v>
      </c>
      <c r="N735" s="22" t="n">
        <v>3.309</v>
      </c>
      <c r="O735" s="22" t="n">
        <v>3.358</v>
      </c>
      <c r="P735" s="22" t="n">
        <v>3.331</v>
      </c>
      <c r="Q735" s="22" t="n">
        <v>3.334</v>
      </c>
      <c r="R735" s="22" t="n">
        <v>3.349</v>
      </c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customFormat="false" ht="15" hidden="false" customHeight="false" outlineLevel="0" collapsed="false">
      <c r="A736" s="22" t="s">
        <v>207</v>
      </c>
      <c r="B736" s="22" t="s">
        <v>3</v>
      </c>
      <c r="C736" s="22" t="s">
        <v>207</v>
      </c>
      <c r="D736" s="22" t="n">
        <v>42200</v>
      </c>
      <c r="E736" s="22" t="s">
        <v>134</v>
      </c>
      <c r="F736" s="22" t="s">
        <v>135</v>
      </c>
      <c r="G736" s="22" t="s">
        <v>131</v>
      </c>
      <c r="H736" s="22" t="s">
        <v>131</v>
      </c>
      <c r="I736" s="22" t="n">
        <v>0.0145</v>
      </c>
      <c r="J736" s="22" t="n">
        <v>0.0235</v>
      </c>
      <c r="K736" s="22" t="n">
        <v>0.0055</v>
      </c>
      <c r="L736" s="22" t="n">
        <v>-0.0066</v>
      </c>
      <c r="M736" s="22" t="n">
        <v>-0.0184</v>
      </c>
      <c r="N736" s="22" t="n">
        <v>-0.0311</v>
      </c>
      <c r="O736" s="22" t="n">
        <v>-0.0124</v>
      </c>
      <c r="P736" s="22" t="n">
        <v>-0.0037</v>
      </c>
      <c r="Q736" s="22" t="n">
        <v>0.0159</v>
      </c>
      <c r="R736" s="22" t="n">
        <v>0.0226</v>
      </c>
      <c r="S736" s="22" t="n">
        <v>0.029</v>
      </c>
      <c r="T736" s="22" t="n">
        <v>0.033</v>
      </c>
      <c r="U736" s="22" t="n">
        <v>0.024</v>
      </c>
      <c r="V736" s="22" t="n">
        <v>0.024</v>
      </c>
      <c r="W736" s="22" t="n">
        <v>0.017</v>
      </c>
      <c r="X736" s="22" t="n">
        <v>0.021</v>
      </c>
      <c r="Y736" s="22" t="n">
        <v>0.02</v>
      </c>
      <c r="Z736" s="22" t="n">
        <v>0.02</v>
      </c>
      <c r="AA736" s="22" t="n">
        <v>0.017</v>
      </c>
      <c r="AB736" s="22" t="n">
        <v>0.022</v>
      </c>
      <c r="AC736" s="22" t="n">
        <v>0.023</v>
      </c>
      <c r="AD736" s="22" t="n">
        <v>0.023</v>
      </c>
      <c r="AE736" s="22" t="n">
        <v>0.019</v>
      </c>
      <c r="AF736" s="22" t="n">
        <v>0.022</v>
      </c>
    </row>
    <row r="737" customFormat="false" ht="15" hidden="false" customHeight="false" outlineLevel="0" collapsed="false">
      <c r="A737" s="22" t="s">
        <v>207</v>
      </c>
      <c r="B737" s="22" t="s">
        <v>3</v>
      </c>
      <c r="C737" s="22" t="s">
        <v>207</v>
      </c>
      <c r="D737" s="22" t="n">
        <v>42200</v>
      </c>
      <c r="E737" s="22" t="s">
        <v>136</v>
      </c>
      <c r="F737" s="22" t="s">
        <v>137</v>
      </c>
      <c r="G737" s="22" t="s">
        <v>131</v>
      </c>
      <c r="H737" s="22" t="s">
        <v>131</v>
      </c>
      <c r="I737" s="22" t="n">
        <v>1</v>
      </c>
      <c r="J737" s="22" t="n">
        <v>1</v>
      </c>
      <c r="K737" s="22" t="n">
        <v>2</v>
      </c>
      <c r="L737" s="22" t="n">
        <v>2</v>
      </c>
      <c r="M737" s="22" t="n">
        <v>3</v>
      </c>
      <c r="N737" s="22" t="n">
        <v>4</v>
      </c>
      <c r="O737" s="22" t="n">
        <v>3</v>
      </c>
      <c r="P737" s="22" t="n">
        <v>3</v>
      </c>
      <c r="Q737" s="22" t="n">
        <v>2</v>
      </c>
      <c r="R737" s="22" t="n">
        <v>1</v>
      </c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</row>
    <row r="738" customFormat="false" ht="15" hidden="false" customHeight="false" outlineLevel="0" collapsed="false">
      <c r="A738" s="22" t="s">
        <v>208</v>
      </c>
      <c r="B738" s="22" t="s">
        <v>3</v>
      </c>
      <c r="C738" s="22" t="s">
        <v>208</v>
      </c>
      <c r="D738" s="22" t="n">
        <v>42220</v>
      </c>
      <c r="E738" s="22" t="s">
        <v>129</v>
      </c>
      <c r="F738" s="22" t="s">
        <v>130</v>
      </c>
      <c r="G738" s="22" t="s">
        <v>131</v>
      </c>
      <c r="H738" s="22" t="s">
        <v>131</v>
      </c>
      <c r="I738" s="22" t="n">
        <v>2.75099748517911</v>
      </c>
      <c r="J738" s="22" t="n">
        <v>2.77096425314338</v>
      </c>
      <c r="K738" s="22" t="n">
        <v>2.79944813977724</v>
      </c>
      <c r="L738" s="22" t="n">
        <v>2.81738469797476</v>
      </c>
      <c r="M738" s="22" t="n">
        <v>2.81462447915084</v>
      </c>
      <c r="N738" s="22" t="n">
        <v>2.80683395444631</v>
      </c>
      <c r="O738" s="22" t="n">
        <v>2.81597404783767</v>
      </c>
      <c r="P738" s="22" t="n">
        <v>2.80932776645331</v>
      </c>
      <c r="Q738" s="22" t="n">
        <v>2.81083983897492</v>
      </c>
      <c r="R738" s="22" t="n">
        <v>2.84878376501392</v>
      </c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customFormat="false" ht="15" hidden="false" customHeight="false" outlineLevel="0" collapsed="false">
      <c r="A739" s="22" t="s">
        <v>208</v>
      </c>
      <c r="B739" s="22" t="s">
        <v>3</v>
      </c>
      <c r="C739" s="22" t="s">
        <v>208</v>
      </c>
      <c r="D739" s="22" t="n">
        <v>42220</v>
      </c>
      <c r="E739" s="22" t="s">
        <v>132</v>
      </c>
      <c r="F739" s="22" t="s">
        <v>6</v>
      </c>
      <c r="G739" s="22" t="s">
        <v>131</v>
      </c>
      <c r="H739" s="22" t="s">
        <v>131</v>
      </c>
      <c r="I739" s="22" t="n">
        <v>2.763</v>
      </c>
      <c r="J739" s="22" t="n">
        <v>2.781</v>
      </c>
      <c r="K739" s="22" t="n">
        <v>2.778</v>
      </c>
      <c r="L739" s="22" t="n">
        <v>2.777</v>
      </c>
      <c r="M739" s="22" t="n">
        <v>2.775</v>
      </c>
      <c r="N739" s="22" t="n">
        <v>2.807</v>
      </c>
      <c r="O739" s="22" t="n">
        <v>2.766</v>
      </c>
      <c r="P739" s="22" t="n">
        <v>2.729</v>
      </c>
      <c r="Q739" s="22" t="n">
        <v>2.773</v>
      </c>
      <c r="R739" s="22" t="n">
        <v>2.807</v>
      </c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customFormat="false" ht="15" hidden="false" customHeight="false" outlineLevel="0" collapsed="false">
      <c r="A740" s="22" t="s">
        <v>208</v>
      </c>
      <c r="B740" s="22" t="s">
        <v>3</v>
      </c>
      <c r="C740" s="22" t="s">
        <v>208</v>
      </c>
      <c r="D740" s="22" t="n">
        <v>42220</v>
      </c>
      <c r="E740" s="22" t="s">
        <v>132</v>
      </c>
      <c r="F740" s="22" t="s">
        <v>133</v>
      </c>
      <c r="G740" s="22" t="s">
        <v>131</v>
      </c>
      <c r="H740" s="22" t="s">
        <v>131</v>
      </c>
      <c r="I740" s="22" t="n">
        <v>26818</v>
      </c>
      <c r="J740" s="22" t="n">
        <v>26999</v>
      </c>
      <c r="K740" s="22" t="n">
        <v>27083</v>
      </c>
      <c r="L740" s="22" t="n">
        <v>27133</v>
      </c>
      <c r="M740" s="22" t="n">
        <v>27163</v>
      </c>
      <c r="N740" s="22" t="n">
        <v>27359</v>
      </c>
      <c r="O740" s="22" t="n">
        <v>27636</v>
      </c>
      <c r="P740" s="22" t="n">
        <v>27658</v>
      </c>
      <c r="Q740" s="22" t="n">
        <v>27684</v>
      </c>
      <c r="R740" s="22" t="n">
        <v>27762</v>
      </c>
      <c r="S740" s="22" t="n">
        <v>27869</v>
      </c>
      <c r="T740" s="22" t="n">
        <v>27947</v>
      </c>
      <c r="U740" s="22" t="n">
        <v>27977</v>
      </c>
      <c r="V740" s="22" t="n">
        <v>28009</v>
      </c>
      <c r="W740" s="22" t="n">
        <v>28009</v>
      </c>
      <c r="X740" s="22" t="n">
        <v>28261</v>
      </c>
      <c r="Y740" s="22" t="n">
        <v>28513</v>
      </c>
      <c r="Z740" s="22" t="n">
        <v>28681</v>
      </c>
      <c r="AA740" s="22" t="n">
        <v>28681</v>
      </c>
      <c r="AB740" s="22" t="n">
        <v>28681</v>
      </c>
      <c r="AC740" s="22" t="n">
        <v>28681</v>
      </c>
      <c r="AD740" s="22" t="n">
        <v>28808</v>
      </c>
      <c r="AE740" s="22" t="n">
        <v>28808</v>
      </c>
      <c r="AF740" s="22" t="n">
        <v>28811</v>
      </c>
    </row>
    <row r="741" customFormat="false" ht="15" hidden="false" customHeight="false" outlineLevel="0" collapsed="false">
      <c r="A741" s="22" t="s">
        <v>208</v>
      </c>
      <c r="B741" s="22" t="s">
        <v>3</v>
      </c>
      <c r="C741" s="22" t="s">
        <v>208</v>
      </c>
      <c r="D741" s="22" t="n">
        <v>42220</v>
      </c>
      <c r="E741" s="22" t="s">
        <v>132</v>
      </c>
      <c r="F741" s="22" t="s">
        <v>5</v>
      </c>
      <c r="G741" s="22" t="s">
        <v>131</v>
      </c>
      <c r="H741" s="22" t="s">
        <v>131</v>
      </c>
      <c r="I741" s="22" t="n">
        <v>2.773</v>
      </c>
      <c r="J741" s="22" t="n">
        <v>2.79</v>
      </c>
      <c r="K741" s="22" t="n">
        <v>2.801</v>
      </c>
      <c r="L741" s="22" t="n">
        <v>2.794</v>
      </c>
      <c r="M741" s="22" t="n">
        <v>2.798</v>
      </c>
      <c r="N741" s="22" t="n">
        <v>2.825</v>
      </c>
      <c r="O741" s="22" t="n">
        <v>2.793</v>
      </c>
      <c r="P741" s="22" t="n">
        <v>2.758</v>
      </c>
      <c r="Q741" s="22" t="n">
        <v>2.805</v>
      </c>
      <c r="R741" s="22" t="n">
        <v>2.843</v>
      </c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</row>
    <row r="742" customFormat="false" ht="15" hidden="false" customHeight="false" outlineLevel="0" collapsed="false">
      <c r="A742" s="22" t="s">
        <v>208</v>
      </c>
      <c r="B742" s="22" t="s">
        <v>3</v>
      </c>
      <c r="C742" s="22" t="s">
        <v>208</v>
      </c>
      <c r="D742" s="22" t="n">
        <v>42220</v>
      </c>
      <c r="E742" s="22" t="s">
        <v>134</v>
      </c>
      <c r="F742" s="22" t="s">
        <v>135</v>
      </c>
      <c r="G742" s="22" t="s">
        <v>131</v>
      </c>
      <c r="H742" s="22" t="s">
        <v>131</v>
      </c>
      <c r="I742" s="22" t="n">
        <v>0.0136</v>
      </c>
      <c r="J742" s="22" t="n">
        <v>0.0083</v>
      </c>
      <c r="K742" s="22" t="n">
        <v>-0.0004</v>
      </c>
      <c r="L742" s="22" t="n">
        <v>0.0011</v>
      </c>
      <c r="M742" s="22" t="n">
        <v>0.0015</v>
      </c>
      <c r="N742" s="22" t="n">
        <v>0.0011</v>
      </c>
      <c r="O742" s="22" t="n">
        <v>-0.0096</v>
      </c>
      <c r="P742" s="22" t="n">
        <v>-0.0214</v>
      </c>
      <c r="Q742" s="22" t="n">
        <v>-0.007</v>
      </c>
      <c r="R742" s="22" t="n">
        <v>-0.0043</v>
      </c>
      <c r="S742" s="22" t="n">
        <v>0</v>
      </c>
      <c r="T742" s="22" t="n">
        <v>0.003</v>
      </c>
      <c r="U742" s="22" t="n">
        <v>0.003</v>
      </c>
      <c r="V742" s="22" t="n">
        <v>0.006</v>
      </c>
      <c r="W742" s="22" t="n">
        <v>0.01</v>
      </c>
      <c r="X742" s="22" t="n">
        <v>0.011</v>
      </c>
      <c r="Y742" s="22" t="n">
        <v>0.006</v>
      </c>
      <c r="Z742" s="22" t="n">
        <v>0.007</v>
      </c>
      <c r="AA742" s="22" t="n">
        <v>0.012</v>
      </c>
      <c r="AB742" s="22" t="n">
        <v>0.012</v>
      </c>
      <c r="AC742" s="22" t="n">
        <v>0.007</v>
      </c>
      <c r="AD742" s="22" t="n">
        <v>0.006</v>
      </c>
      <c r="AE742" s="22" t="n">
        <v>0.012</v>
      </c>
      <c r="AF742" s="22" t="n">
        <v>0.013</v>
      </c>
    </row>
    <row r="743" customFormat="false" ht="15" hidden="false" customHeight="false" outlineLevel="0" collapsed="false">
      <c r="A743" s="22" t="s">
        <v>208</v>
      </c>
      <c r="B743" s="22" t="s">
        <v>3</v>
      </c>
      <c r="C743" s="22" t="s">
        <v>208</v>
      </c>
      <c r="D743" s="22" t="n">
        <v>42220</v>
      </c>
      <c r="E743" s="22" t="s">
        <v>136</v>
      </c>
      <c r="F743" s="22" t="s">
        <v>137</v>
      </c>
      <c r="G743" s="22" t="s">
        <v>131</v>
      </c>
      <c r="H743" s="22" t="s">
        <v>131</v>
      </c>
      <c r="I743" s="22" t="n">
        <v>4</v>
      </c>
      <c r="J743" s="22" t="n">
        <v>4</v>
      </c>
      <c r="K743" s="22" t="n">
        <v>3</v>
      </c>
      <c r="L743" s="22" t="n">
        <v>2</v>
      </c>
      <c r="M743" s="22" t="n">
        <v>1</v>
      </c>
      <c r="N743" s="22" t="n">
        <v>0</v>
      </c>
      <c r="O743" s="22" t="n">
        <v>1</v>
      </c>
      <c r="P743" s="22" t="n">
        <v>2</v>
      </c>
      <c r="Q743" s="22" t="n">
        <v>2</v>
      </c>
      <c r="R743" s="22" t="n">
        <v>2</v>
      </c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customFormat="false" ht="15" hidden="false" customHeight="false" outlineLevel="0" collapsed="false">
      <c r="A744" s="22" t="s">
        <v>37</v>
      </c>
      <c r="B744" s="22" t="s">
        <v>3</v>
      </c>
      <c r="C744" s="22" t="s">
        <v>37</v>
      </c>
      <c r="D744" s="22" t="n">
        <v>42340</v>
      </c>
      <c r="E744" s="22" t="s">
        <v>129</v>
      </c>
      <c r="F744" s="22" t="s">
        <v>130</v>
      </c>
      <c r="G744" s="22" t="s">
        <v>131</v>
      </c>
      <c r="H744" s="22" t="s">
        <v>131</v>
      </c>
      <c r="I744" s="22" t="n">
        <v>1.50113916309489</v>
      </c>
      <c r="J744" s="22" t="n">
        <v>1.51778990233642</v>
      </c>
      <c r="K744" s="22" t="n">
        <v>1.53523631934902</v>
      </c>
      <c r="L744" s="22" t="n">
        <v>1.54673341573027</v>
      </c>
      <c r="M744" s="22" t="n">
        <v>1.54318507726549</v>
      </c>
      <c r="N744" s="22" t="n">
        <v>1.52949547057362</v>
      </c>
      <c r="O744" s="22" t="n">
        <v>1.51701744931052</v>
      </c>
      <c r="P744" s="22" t="n">
        <v>1.51646070340934</v>
      </c>
      <c r="Q744" s="22" t="n">
        <v>1.52065113477507</v>
      </c>
      <c r="R744" s="22" t="n">
        <v>1.49825073340951</v>
      </c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</row>
    <row r="745" customFormat="false" ht="15" hidden="false" customHeight="false" outlineLevel="0" collapsed="false">
      <c r="A745" s="22" t="s">
        <v>37</v>
      </c>
      <c r="B745" s="22" t="s">
        <v>3</v>
      </c>
      <c r="C745" s="22" t="s">
        <v>37</v>
      </c>
      <c r="D745" s="22" t="n">
        <v>42340</v>
      </c>
      <c r="E745" s="22" t="s">
        <v>132</v>
      </c>
      <c r="F745" s="22" t="s">
        <v>6</v>
      </c>
      <c r="G745" s="22" t="s">
        <v>131</v>
      </c>
      <c r="H745" s="22" t="s">
        <v>131</v>
      </c>
      <c r="I745" s="22" t="n">
        <v>1.594</v>
      </c>
      <c r="J745" s="22" t="n">
        <v>1.618</v>
      </c>
      <c r="K745" s="22" t="n">
        <v>1.619</v>
      </c>
      <c r="L745" s="22" t="n">
        <v>1.596</v>
      </c>
      <c r="M745" s="22" t="n">
        <v>1.615</v>
      </c>
      <c r="N745" s="22" t="n">
        <v>1.634</v>
      </c>
      <c r="O745" s="22" t="n">
        <v>1.622</v>
      </c>
      <c r="P745" s="22" t="n">
        <v>1.56</v>
      </c>
      <c r="Q745" s="22" t="n">
        <v>1.551</v>
      </c>
      <c r="R745" s="22" t="n">
        <v>1.538</v>
      </c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</row>
    <row r="746" customFormat="false" ht="15" hidden="false" customHeight="false" outlineLevel="0" collapsed="false">
      <c r="A746" s="22" t="s">
        <v>37</v>
      </c>
      <c r="B746" s="22" t="s">
        <v>3</v>
      </c>
      <c r="C746" s="22" t="s">
        <v>37</v>
      </c>
      <c r="D746" s="22" t="n">
        <v>42340</v>
      </c>
      <c r="E746" s="22" t="s">
        <v>132</v>
      </c>
      <c r="F746" s="22" t="s">
        <v>133</v>
      </c>
      <c r="G746" s="22" t="s">
        <v>131</v>
      </c>
      <c r="H746" s="22" t="s">
        <v>131</v>
      </c>
      <c r="I746" s="22" t="n">
        <v>35179</v>
      </c>
      <c r="J746" s="22" t="n">
        <v>35654</v>
      </c>
      <c r="K746" s="22" t="n">
        <v>36363</v>
      </c>
      <c r="L746" s="22" t="n">
        <v>37014</v>
      </c>
      <c r="M746" s="22" t="n">
        <v>37343</v>
      </c>
      <c r="N746" s="22" t="n">
        <v>37854</v>
      </c>
      <c r="O746" s="22" t="n">
        <v>38652</v>
      </c>
      <c r="P746" s="22" t="n">
        <v>39576</v>
      </c>
      <c r="Q746" s="22" t="n">
        <v>40427</v>
      </c>
      <c r="R746" s="22" t="n">
        <v>40837</v>
      </c>
      <c r="S746" s="22" t="n">
        <v>41061</v>
      </c>
      <c r="T746" s="22" t="n">
        <v>41383</v>
      </c>
      <c r="U746" s="22" t="n">
        <v>41992</v>
      </c>
      <c r="V746" s="22" t="n">
        <v>42396</v>
      </c>
      <c r="W746" s="22" t="n">
        <v>42732</v>
      </c>
      <c r="X746" s="22" t="n">
        <v>42962</v>
      </c>
      <c r="Y746" s="22" t="n">
        <v>43514</v>
      </c>
      <c r="Z746" s="22" t="n">
        <v>43791</v>
      </c>
      <c r="AA746" s="22" t="n">
        <v>44241</v>
      </c>
      <c r="AB746" s="22" t="n">
        <v>44813</v>
      </c>
      <c r="AC746" s="22" t="n">
        <v>45442</v>
      </c>
      <c r="AD746" s="22" t="n">
        <v>45759</v>
      </c>
      <c r="AE746" s="22" t="n">
        <v>45992</v>
      </c>
      <c r="AF746" s="22" t="n">
        <v>46383</v>
      </c>
    </row>
    <row r="747" customFormat="false" ht="15" hidden="false" customHeight="false" outlineLevel="0" collapsed="false">
      <c r="A747" s="22" t="s">
        <v>37</v>
      </c>
      <c r="B747" s="22" t="s">
        <v>3</v>
      </c>
      <c r="C747" s="22" t="s">
        <v>37</v>
      </c>
      <c r="D747" s="22" t="n">
        <v>42340</v>
      </c>
      <c r="E747" s="22" t="s">
        <v>132</v>
      </c>
      <c r="F747" s="22" t="s">
        <v>5</v>
      </c>
      <c r="G747" s="22" t="s">
        <v>131</v>
      </c>
      <c r="H747" s="22" t="s">
        <v>131</v>
      </c>
      <c r="I747" s="22" t="n">
        <v>1.604</v>
      </c>
      <c r="J747" s="22" t="n">
        <v>1.626</v>
      </c>
      <c r="K747" s="22" t="n">
        <v>1.636</v>
      </c>
      <c r="L747" s="22" t="n">
        <v>1.614</v>
      </c>
      <c r="M747" s="22" t="n">
        <v>1.639</v>
      </c>
      <c r="N747" s="22" t="n">
        <v>1.661</v>
      </c>
      <c r="O747" s="22" t="n">
        <v>1.648</v>
      </c>
      <c r="P747" s="22" t="n">
        <v>1.604</v>
      </c>
      <c r="Q747" s="22" t="n">
        <v>1.606</v>
      </c>
      <c r="R747" s="22" t="n">
        <v>1.593</v>
      </c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customFormat="false" ht="15" hidden="false" customHeight="false" outlineLevel="0" collapsed="false">
      <c r="A748" s="22" t="s">
        <v>37</v>
      </c>
      <c r="B748" s="22" t="s">
        <v>3</v>
      </c>
      <c r="C748" s="22" t="s">
        <v>37</v>
      </c>
      <c r="D748" s="22" t="n">
        <v>42340</v>
      </c>
      <c r="E748" s="22" t="s">
        <v>134</v>
      </c>
      <c r="F748" s="22" t="s">
        <v>135</v>
      </c>
      <c r="G748" s="22" t="s">
        <v>131</v>
      </c>
      <c r="H748" s="22" t="s">
        <v>131</v>
      </c>
      <c r="I748" s="22" t="n">
        <v>0.0166</v>
      </c>
      <c r="J748" s="22" t="n">
        <v>0.0156</v>
      </c>
      <c r="K748" s="22" t="n">
        <v>0.0037</v>
      </c>
      <c r="L748" s="22" t="n">
        <v>0.0014</v>
      </c>
      <c r="M748" s="22" t="n">
        <v>-0.0011</v>
      </c>
      <c r="N748" s="22" t="n">
        <v>-0.0107</v>
      </c>
      <c r="O748" s="22" t="n">
        <v>-0.0167</v>
      </c>
      <c r="P748" s="22" t="n">
        <v>-0.0449</v>
      </c>
      <c r="Q748" s="22" t="n">
        <v>-0.0547</v>
      </c>
      <c r="R748" s="22" t="n">
        <v>-0.0571</v>
      </c>
      <c r="S748" s="22" t="n">
        <v>-0.051</v>
      </c>
      <c r="T748" s="22" t="n">
        <v>-0.036</v>
      </c>
      <c r="U748" s="22" t="n">
        <v>-0.021</v>
      </c>
      <c r="V748" s="22" t="n">
        <v>0.004</v>
      </c>
      <c r="W748" s="22" t="n">
        <v>0.023</v>
      </c>
      <c r="X748" s="22" t="n">
        <v>0.03</v>
      </c>
      <c r="Y748" s="22" t="n">
        <v>0.028</v>
      </c>
      <c r="Z748" s="22" t="n">
        <v>0.03</v>
      </c>
      <c r="AA748" s="22" t="n">
        <v>0.033</v>
      </c>
      <c r="AB748" s="22" t="n">
        <v>0.038</v>
      </c>
      <c r="AC748" s="22" t="n">
        <v>0.04</v>
      </c>
      <c r="AD748" s="22" t="n">
        <v>0.037</v>
      </c>
      <c r="AE748" s="22" t="n">
        <v>0.038</v>
      </c>
      <c r="AF748" s="22" t="n">
        <v>0.044</v>
      </c>
    </row>
    <row r="749" customFormat="false" ht="15" hidden="false" customHeight="false" outlineLevel="0" collapsed="false">
      <c r="A749" s="22" t="s">
        <v>37</v>
      </c>
      <c r="B749" s="22" t="s">
        <v>3</v>
      </c>
      <c r="C749" s="22" t="s">
        <v>37</v>
      </c>
      <c r="D749" s="22" t="n">
        <v>42340</v>
      </c>
      <c r="E749" s="22" t="s">
        <v>136</v>
      </c>
      <c r="F749" s="22" t="s">
        <v>137</v>
      </c>
      <c r="G749" s="22" t="s">
        <v>131</v>
      </c>
      <c r="H749" s="22" t="s">
        <v>131</v>
      </c>
      <c r="I749" s="22" t="n">
        <v>8</v>
      </c>
      <c r="J749" s="22" t="n">
        <v>9</v>
      </c>
      <c r="K749" s="22" t="n">
        <v>10</v>
      </c>
      <c r="L749" s="22" t="n">
        <v>9</v>
      </c>
      <c r="M749" s="22" t="n">
        <v>9</v>
      </c>
      <c r="N749" s="22" t="n">
        <v>6</v>
      </c>
      <c r="O749" s="22" t="n">
        <v>6</v>
      </c>
      <c r="P749" s="22" t="n">
        <v>6</v>
      </c>
      <c r="Q749" s="22" t="n">
        <v>4</v>
      </c>
      <c r="R749" s="22" t="n">
        <v>3</v>
      </c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customFormat="false" ht="15" hidden="false" customHeight="false" outlineLevel="0" collapsed="false">
      <c r="A750" s="22" t="s">
        <v>209</v>
      </c>
      <c r="B750" s="22" t="s">
        <v>3</v>
      </c>
      <c r="C750" s="22" t="s">
        <v>209</v>
      </c>
      <c r="D750" s="22" t="n">
        <v>42644</v>
      </c>
      <c r="E750" s="22" t="s">
        <v>129</v>
      </c>
      <c r="F750" s="22" t="s">
        <v>130</v>
      </c>
      <c r="G750" s="22" t="s">
        <v>131</v>
      </c>
      <c r="H750" s="22" t="s">
        <v>131</v>
      </c>
      <c r="I750" s="22" t="n">
        <v>2.57324865596496</v>
      </c>
      <c r="J750" s="22" t="n">
        <v>2.59814470185022</v>
      </c>
      <c r="K750" s="22" t="n">
        <v>2.64382242835143</v>
      </c>
      <c r="L750" s="22" t="n">
        <v>2.69126738111058</v>
      </c>
      <c r="M750" s="22" t="n">
        <v>2.69558318129498</v>
      </c>
      <c r="N750" s="22" t="n">
        <v>2.73568995129782</v>
      </c>
      <c r="O750" s="22" t="n">
        <v>2.75163496484398</v>
      </c>
      <c r="P750" s="22" t="n">
        <v>2.75280080745093</v>
      </c>
      <c r="Q750" s="22" t="n">
        <v>2.78279590322358</v>
      </c>
      <c r="R750" s="22" t="n">
        <v>2.78182867044836</v>
      </c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customFormat="false" ht="15" hidden="false" customHeight="false" outlineLevel="0" collapsed="false">
      <c r="A751" s="22" t="s">
        <v>209</v>
      </c>
      <c r="B751" s="22" t="s">
        <v>3</v>
      </c>
      <c r="C751" s="22" t="s">
        <v>209</v>
      </c>
      <c r="D751" s="22" t="n">
        <v>42644</v>
      </c>
      <c r="E751" s="22" t="s">
        <v>132</v>
      </c>
      <c r="F751" s="22" t="s">
        <v>6</v>
      </c>
      <c r="G751" s="22" t="s">
        <v>131</v>
      </c>
      <c r="H751" s="22" t="s">
        <v>131</v>
      </c>
      <c r="I751" s="22" t="n">
        <v>2.662</v>
      </c>
      <c r="J751" s="22" t="n">
        <v>2.704</v>
      </c>
      <c r="K751" s="22" t="n">
        <v>2.73</v>
      </c>
      <c r="L751" s="22" t="n">
        <v>2.703</v>
      </c>
      <c r="M751" s="22" t="n">
        <v>2.723</v>
      </c>
      <c r="N751" s="22" t="n">
        <v>2.786</v>
      </c>
      <c r="O751" s="22" t="n">
        <v>2.798</v>
      </c>
      <c r="P751" s="22" t="n">
        <v>2.738</v>
      </c>
      <c r="Q751" s="22" t="n">
        <v>2.748</v>
      </c>
      <c r="R751" s="22" t="n">
        <v>2.797</v>
      </c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customFormat="false" ht="15" hidden="false" customHeight="false" outlineLevel="0" collapsed="false">
      <c r="A752" s="22" t="s">
        <v>209</v>
      </c>
      <c r="B752" s="22" t="s">
        <v>3</v>
      </c>
      <c r="C752" s="22" t="s">
        <v>209</v>
      </c>
      <c r="D752" s="22" t="n">
        <v>42644</v>
      </c>
      <c r="E752" s="22" t="s">
        <v>132</v>
      </c>
      <c r="F752" s="22" t="s">
        <v>133</v>
      </c>
      <c r="G752" s="22" t="s">
        <v>131</v>
      </c>
      <c r="H752" s="22" t="s">
        <v>131</v>
      </c>
      <c r="I752" s="22" t="n">
        <v>373580</v>
      </c>
      <c r="J752" s="22" t="n">
        <v>376648</v>
      </c>
      <c r="K752" s="22" t="n">
        <v>379872</v>
      </c>
      <c r="L752" s="22" t="n">
        <v>382870</v>
      </c>
      <c r="M752" s="22" t="n">
        <v>386227</v>
      </c>
      <c r="N752" s="22" t="n">
        <v>388833</v>
      </c>
      <c r="O752" s="22" t="n">
        <v>389908</v>
      </c>
      <c r="P752" s="22" t="n">
        <v>390577</v>
      </c>
      <c r="Q752" s="22" t="n">
        <v>391049</v>
      </c>
      <c r="R752" s="22" t="n">
        <v>391922</v>
      </c>
      <c r="S752" s="22" t="n">
        <v>393954</v>
      </c>
      <c r="T752" s="22" t="n">
        <v>396714</v>
      </c>
      <c r="U752" s="22" t="n">
        <v>397934</v>
      </c>
      <c r="V752" s="22" t="n">
        <v>398152</v>
      </c>
      <c r="W752" s="22" t="n">
        <v>398928</v>
      </c>
      <c r="X752" s="22" t="n">
        <v>401646</v>
      </c>
      <c r="Y752" s="22" t="n">
        <v>402880</v>
      </c>
      <c r="Z752" s="22" t="n">
        <v>403162</v>
      </c>
      <c r="AA752" s="22" t="n">
        <v>404776</v>
      </c>
      <c r="AB752" s="22" t="n">
        <v>407446</v>
      </c>
      <c r="AC752" s="22" t="n">
        <v>408315</v>
      </c>
      <c r="AD752" s="22" t="n">
        <v>408608</v>
      </c>
      <c r="AE752" s="22" t="n">
        <v>410149</v>
      </c>
      <c r="AF752" s="22" t="n">
        <v>412688</v>
      </c>
    </row>
    <row r="753" customFormat="false" ht="15" hidden="false" customHeight="false" outlineLevel="0" collapsed="false">
      <c r="A753" s="22" t="s">
        <v>209</v>
      </c>
      <c r="B753" s="22" t="s">
        <v>3</v>
      </c>
      <c r="C753" s="22" t="s">
        <v>209</v>
      </c>
      <c r="D753" s="22" t="n">
        <v>42644</v>
      </c>
      <c r="E753" s="22" t="s">
        <v>132</v>
      </c>
      <c r="F753" s="22" t="s">
        <v>5</v>
      </c>
      <c r="G753" s="22" t="s">
        <v>131</v>
      </c>
      <c r="H753" s="22" t="s">
        <v>131</v>
      </c>
      <c r="I753" s="22" t="n">
        <v>2.699</v>
      </c>
      <c r="J753" s="22" t="n">
        <v>2.743</v>
      </c>
      <c r="K753" s="22" t="n">
        <v>2.77</v>
      </c>
      <c r="L753" s="22" t="n">
        <v>2.742</v>
      </c>
      <c r="M753" s="22" t="n">
        <v>2.76</v>
      </c>
      <c r="N753" s="22" t="n">
        <v>2.824</v>
      </c>
      <c r="O753" s="22" t="n">
        <v>2.834</v>
      </c>
      <c r="P753" s="22" t="n">
        <v>2.783</v>
      </c>
      <c r="Q753" s="22" t="n">
        <v>2.802</v>
      </c>
      <c r="R753" s="22" t="n">
        <v>2.848</v>
      </c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customFormat="false" ht="15" hidden="false" customHeight="false" outlineLevel="0" collapsed="false">
      <c r="A754" s="22" t="s">
        <v>209</v>
      </c>
      <c r="B754" s="22" t="s">
        <v>3</v>
      </c>
      <c r="C754" s="22" t="s">
        <v>209</v>
      </c>
      <c r="D754" s="22" t="n">
        <v>42644</v>
      </c>
      <c r="E754" s="22" t="s">
        <v>134</v>
      </c>
      <c r="F754" s="22" t="s">
        <v>135</v>
      </c>
      <c r="G754" s="22" t="s">
        <v>131</v>
      </c>
      <c r="H754" s="22" t="s">
        <v>131</v>
      </c>
      <c r="I754" s="22" t="n">
        <v>0.0049</v>
      </c>
      <c r="J754" s="22" t="n">
        <v>0.0124</v>
      </c>
      <c r="K754" s="22" t="n">
        <v>0.0125</v>
      </c>
      <c r="L754" s="22" t="n">
        <v>0.0185</v>
      </c>
      <c r="M754" s="22" t="n">
        <v>0.0205</v>
      </c>
      <c r="N754" s="22" t="n">
        <v>0.0186</v>
      </c>
      <c r="O754" s="22" t="n">
        <v>0.0102</v>
      </c>
      <c r="P754" s="22" t="n">
        <v>-0.0007</v>
      </c>
      <c r="Q754" s="22" t="n">
        <v>-0.0064</v>
      </c>
      <c r="R754" s="22" t="n">
        <v>-0.0046</v>
      </c>
      <c r="S754" s="22" t="n">
        <v>-0.003</v>
      </c>
      <c r="T754" s="22" t="n">
        <v>0.001</v>
      </c>
      <c r="U754" s="22" t="n">
        <v>0.007</v>
      </c>
      <c r="V754" s="22" t="n">
        <v>0.014</v>
      </c>
      <c r="W754" s="22" t="n">
        <v>0.023</v>
      </c>
      <c r="X754" s="22" t="n">
        <v>0.034</v>
      </c>
      <c r="Y754" s="22" t="n">
        <v>0.036</v>
      </c>
      <c r="Z754" s="22" t="n">
        <v>0.032</v>
      </c>
      <c r="AA754" s="22" t="n">
        <v>0.03</v>
      </c>
      <c r="AB754" s="22" t="n">
        <v>0.029</v>
      </c>
      <c r="AC754" s="22" t="n">
        <v>0.029</v>
      </c>
      <c r="AD754" s="22" t="n">
        <v>0.028</v>
      </c>
      <c r="AE754" s="22" t="n">
        <v>0.029</v>
      </c>
      <c r="AF754" s="22" t="n">
        <v>0.028</v>
      </c>
    </row>
    <row r="755" customFormat="false" ht="15" hidden="false" customHeight="false" outlineLevel="0" collapsed="false">
      <c r="A755" s="22" t="s">
        <v>209</v>
      </c>
      <c r="B755" s="22" t="s">
        <v>3</v>
      </c>
      <c r="C755" s="22" t="s">
        <v>209</v>
      </c>
      <c r="D755" s="22" t="n">
        <v>42644</v>
      </c>
      <c r="E755" s="22" t="s">
        <v>136</v>
      </c>
      <c r="F755" s="22" t="s">
        <v>137</v>
      </c>
      <c r="G755" s="22" t="s">
        <v>131</v>
      </c>
      <c r="H755" s="22" t="s">
        <v>131</v>
      </c>
      <c r="I755" s="22" t="n">
        <v>15</v>
      </c>
      <c r="J755" s="22" t="n">
        <v>14</v>
      </c>
      <c r="K755" s="22" t="n">
        <v>21</v>
      </c>
      <c r="L755" s="22" t="n">
        <v>22</v>
      </c>
      <c r="M755" s="22" t="n">
        <v>26</v>
      </c>
      <c r="N755" s="22" t="n">
        <v>31</v>
      </c>
      <c r="O755" s="22" t="n">
        <v>34</v>
      </c>
      <c r="P755" s="22" t="n">
        <v>33</v>
      </c>
      <c r="Q755" s="22" t="n">
        <v>35</v>
      </c>
      <c r="R755" s="22" t="n">
        <v>30</v>
      </c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customFormat="false" ht="15" hidden="false" customHeight="false" outlineLevel="0" collapsed="false">
      <c r="A756" s="22" t="s">
        <v>210</v>
      </c>
      <c r="B756" s="22" t="s">
        <v>3</v>
      </c>
      <c r="C756" s="22" t="s">
        <v>210</v>
      </c>
      <c r="D756" s="22" t="n">
        <v>243340</v>
      </c>
      <c r="E756" s="22" t="s">
        <v>129</v>
      </c>
      <c r="F756" s="22" t="s">
        <v>130</v>
      </c>
      <c r="G756" s="22" t="s">
        <v>131</v>
      </c>
      <c r="H756" s="22" t="s">
        <v>131</v>
      </c>
      <c r="I756" s="22" t="n">
        <v>1.07865675048185</v>
      </c>
      <c r="J756" s="22" t="n">
        <v>1.08130663487464</v>
      </c>
      <c r="K756" s="22" t="n">
        <v>1.09333968437608</v>
      </c>
      <c r="L756" s="22" t="n">
        <v>1.11058540989641</v>
      </c>
      <c r="M756" s="22" t="n">
        <v>1.11854643561587</v>
      </c>
      <c r="N756" s="22" t="n">
        <v>1.14000904109167</v>
      </c>
      <c r="O756" s="22" t="n">
        <v>1.19161428309585</v>
      </c>
      <c r="P756" s="22" t="n">
        <v>1.23247025697384</v>
      </c>
      <c r="Q756" s="22" t="n">
        <v>1.2392406727463</v>
      </c>
      <c r="R756" s="22" t="n">
        <v>1.25328511758302</v>
      </c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customFormat="false" ht="15" hidden="false" customHeight="false" outlineLevel="0" collapsed="false">
      <c r="A757" s="22" t="s">
        <v>210</v>
      </c>
      <c r="B757" s="22" t="s">
        <v>3</v>
      </c>
      <c r="C757" s="22" t="s">
        <v>210</v>
      </c>
      <c r="D757" s="22" t="n">
        <v>243340</v>
      </c>
      <c r="E757" s="22" t="s">
        <v>132</v>
      </c>
      <c r="F757" s="22" t="s">
        <v>6</v>
      </c>
      <c r="G757" s="22" t="s">
        <v>131</v>
      </c>
      <c r="H757" s="22" t="s">
        <v>131</v>
      </c>
      <c r="I757" s="22" t="n">
        <v>1.107</v>
      </c>
      <c r="J757" s="22" t="n">
        <v>1.124</v>
      </c>
      <c r="K757" s="22" t="n">
        <v>1.159</v>
      </c>
      <c r="L757" s="22" t="n">
        <v>1.156</v>
      </c>
      <c r="M757" s="22" t="n">
        <v>1.155</v>
      </c>
      <c r="N757" s="22" t="n">
        <v>1.196</v>
      </c>
      <c r="O757" s="22" t="n">
        <v>1.212</v>
      </c>
      <c r="P757" s="22" t="n">
        <v>1.203</v>
      </c>
      <c r="Q757" s="22" t="n">
        <v>1.214</v>
      </c>
      <c r="R757" s="22" t="n">
        <v>1.252</v>
      </c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customFormat="false" ht="15" hidden="false" customHeight="false" outlineLevel="0" collapsed="false">
      <c r="A758" s="22" t="s">
        <v>210</v>
      </c>
      <c r="B758" s="22" t="s">
        <v>3</v>
      </c>
      <c r="C758" s="22" t="s">
        <v>210</v>
      </c>
      <c r="D758" s="22" t="n">
        <v>243340</v>
      </c>
      <c r="E758" s="22" t="s">
        <v>132</v>
      </c>
      <c r="F758" s="22" t="s">
        <v>133</v>
      </c>
      <c r="G758" s="22" t="s">
        <v>131</v>
      </c>
      <c r="H758" s="22" t="s">
        <v>131</v>
      </c>
      <c r="I758" s="22" t="n">
        <v>26218</v>
      </c>
      <c r="J758" s="22" t="n">
        <v>26218</v>
      </c>
      <c r="K758" s="22" t="n">
        <v>26218</v>
      </c>
      <c r="L758" s="22" t="n">
        <v>26218</v>
      </c>
      <c r="M758" s="22" t="n">
        <v>26218</v>
      </c>
      <c r="N758" s="22" t="n">
        <v>26218</v>
      </c>
      <c r="O758" s="22" t="n">
        <v>26218</v>
      </c>
      <c r="P758" s="22" t="n">
        <v>26218</v>
      </c>
      <c r="Q758" s="22" t="n">
        <v>26218</v>
      </c>
      <c r="R758" s="22" t="n">
        <v>26218</v>
      </c>
      <c r="S758" s="22" t="n">
        <v>26306</v>
      </c>
      <c r="T758" s="22" t="n">
        <v>26306</v>
      </c>
      <c r="U758" s="22" t="n">
        <v>26306</v>
      </c>
      <c r="V758" s="22" t="n">
        <v>26306</v>
      </c>
      <c r="W758" s="22" t="n">
        <v>26532</v>
      </c>
      <c r="X758" s="22" t="n">
        <v>26808</v>
      </c>
      <c r="Y758" s="22" t="n">
        <v>26878</v>
      </c>
      <c r="Z758" s="22" t="n">
        <v>26779</v>
      </c>
      <c r="AA758" s="22" t="n">
        <v>26979</v>
      </c>
      <c r="AB758" s="22" t="n">
        <v>27187</v>
      </c>
      <c r="AC758" s="22" t="n">
        <v>27218</v>
      </c>
      <c r="AD758" s="22" t="n">
        <v>27072</v>
      </c>
      <c r="AE758" s="22" t="n">
        <v>27229</v>
      </c>
      <c r="AF758" s="22" t="n">
        <v>27398</v>
      </c>
    </row>
    <row r="759" customFormat="false" ht="15" hidden="false" customHeight="false" outlineLevel="0" collapsed="false">
      <c r="A759" s="22" t="s">
        <v>210</v>
      </c>
      <c r="B759" s="22" t="s">
        <v>3</v>
      </c>
      <c r="C759" s="22" t="s">
        <v>210</v>
      </c>
      <c r="D759" s="22" t="n">
        <v>243340</v>
      </c>
      <c r="E759" s="22" t="s">
        <v>132</v>
      </c>
      <c r="F759" s="22" t="s">
        <v>5</v>
      </c>
      <c r="G759" s="22" t="s">
        <v>131</v>
      </c>
      <c r="H759" s="22" t="s">
        <v>131</v>
      </c>
      <c r="I759" s="22" t="n">
        <v>1.109</v>
      </c>
      <c r="J759" s="22" t="n">
        <v>1.127</v>
      </c>
      <c r="K759" s="22" t="n">
        <v>1.163</v>
      </c>
      <c r="L759" s="22" t="n">
        <v>1.16</v>
      </c>
      <c r="M759" s="22" t="n">
        <v>1.159</v>
      </c>
      <c r="N759" s="22" t="n">
        <v>1.199</v>
      </c>
      <c r="O759" s="22" t="n">
        <v>1.219</v>
      </c>
      <c r="P759" s="22" t="n">
        <v>1.21</v>
      </c>
      <c r="Q759" s="22" t="n">
        <v>1.219</v>
      </c>
      <c r="R759" s="22" t="n">
        <v>1.257</v>
      </c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</row>
    <row r="760" customFormat="false" ht="15" hidden="false" customHeight="false" outlineLevel="0" collapsed="false">
      <c r="A760" s="22" t="s">
        <v>210</v>
      </c>
      <c r="B760" s="22" t="s">
        <v>3</v>
      </c>
      <c r="C760" s="22" t="s">
        <v>210</v>
      </c>
      <c r="D760" s="22" t="n">
        <v>243340</v>
      </c>
      <c r="E760" s="22" t="s">
        <v>134</v>
      </c>
      <c r="F760" s="22" t="s">
        <v>135</v>
      </c>
      <c r="G760" s="22" t="s">
        <v>131</v>
      </c>
      <c r="H760" s="22" t="s">
        <v>131</v>
      </c>
      <c r="I760" s="22" t="n">
        <v>0.0096</v>
      </c>
      <c r="J760" s="22" t="n">
        <v>-0.0004</v>
      </c>
      <c r="K760" s="22" t="n">
        <v>0.019</v>
      </c>
      <c r="L760" s="22" t="n">
        <v>0.0359</v>
      </c>
      <c r="M760" s="22" t="n">
        <v>0.0385</v>
      </c>
      <c r="N760" s="22" t="n">
        <v>0.0501</v>
      </c>
      <c r="O760" s="22" t="n">
        <v>0.0338</v>
      </c>
      <c r="P760" s="22" t="n">
        <v>0.0267</v>
      </c>
      <c r="Q760" s="22" t="n">
        <v>0.0368</v>
      </c>
      <c r="R760" s="22" t="n">
        <v>0.0352</v>
      </c>
      <c r="S760" s="22" t="n">
        <v>0.037</v>
      </c>
      <c r="T760" s="22" t="n">
        <v>0.037</v>
      </c>
      <c r="U760" s="22" t="n">
        <v>0.034</v>
      </c>
      <c r="V760" s="22" t="n">
        <v>0.027</v>
      </c>
      <c r="W760" s="22" t="n">
        <v>0.028</v>
      </c>
      <c r="X760" s="22" t="n">
        <v>0.03</v>
      </c>
      <c r="Y760" s="22" t="n">
        <v>0.03</v>
      </c>
      <c r="Z760" s="22" t="n">
        <v>0.025</v>
      </c>
      <c r="AA760" s="22" t="n">
        <v>0.025</v>
      </c>
      <c r="AB760" s="22" t="n">
        <v>0.029</v>
      </c>
      <c r="AC760" s="22" t="n">
        <v>0.029</v>
      </c>
      <c r="AD760" s="22" t="n">
        <v>0.025</v>
      </c>
      <c r="AE760" s="22" t="n">
        <v>0.025</v>
      </c>
      <c r="AF760" s="22" t="n">
        <v>0.029</v>
      </c>
    </row>
    <row r="761" customFormat="false" ht="15" hidden="false" customHeight="false" outlineLevel="0" collapsed="false">
      <c r="A761" s="22" t="s">
        <v>210</v>
      </c>
      <c r="B761" s="22" t="s">
        <v>3</v>
      </c>
      <c r="C761" s="22" t="s">
        <v>210</v>
      </c>
      <c r="D761" s="22" t="n">
        <v>243340</v>
      </c>
      <c r="E761" s="22" t="s">
        <v>136</v>
      </c>
      <c r="F761" s="22" t="s">
        <v>137</v>
      </c>
      <c r="G761" s="22" t="s">
        <v>131</v>
      </c>
      <c r="H761" s="22" t="s">
        <v>131</v>
      </c>
      <c r="I761" s="22" t="n">
        <v>0</v>
      </c>
      <c r="J761" s="22" t="n">
        <v>0</v>
      </c>
      <c r="K761" s="22" t="n">
        <v>1</v>
      </c>
      <c r="L761" s="22" t="n">
        <v>1</v>
      </c>
      <c r="M761" s="22" t="n">
        <v>1</v>
      </c>
      <c r="N761" s="22" t="n">
        <v>1</v>
      </c>
      <c r="O761" s="22" t="n">
        <v>0</v>
      </c>
      <c r="P761" s="22" t="n">
        <v>0</v>
      </c>
      <c r="Q761" s="22" t="n">
        <v>0</v>
      </c>
      <c r="R761" s="22" t="n">
        <v>0</v>
      </c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customFormat="false" ht="15" hidden="false" customHeight="false" outlineLevel="0" collapsed="false">
      <c r="A762" s="22" t="s">
        <v>23</v>
      </c>
      <c r="B762" s="22" t="s">
        <v>3</v>
      </c>
      <c r="C762" s="22" t="s">
        <v>23</v>
      </c>
      <c r="D762" s="22" t="n">
        <v>43620</v>
      </c>
      <c r="E762" s="22" t="s">
        <v>129</v>
      </c>
      <c r="F762" s="22" t="s">
        <v>130</v>
      </c>
      <c r="G762" s="22" t="s">
        <v>131</v>
      </c>
      <c r="H762" s="22" t="s">
        <v>131</v>
      </c>
      <c r="I762" s="22" t="n">
        <v>1.10306295322737</v>
      </c>
      <c r="J762" s="22" t="n">
        <v>1.10840669922915</v>
      </c>
      <c r="K762" s="22" t="n">
        <v>1.10206558752211</v>
      </c>
      <c r="L762" s="22" t="n">
        <v>1.11260451537933</v>
      </c>
      <c r="M762" s="22" t="n">
        <v>1.11068791186424</v>
      </c>
      <c r="N762" s="22" t="n">
        <v>1.10978344333337</v>
      </c>
      <c r="O762" s="22" t="n">
        <v>1.11057593624416</v>
      </c>
      <c r="P762" s="22" t="n">
        <v>1.10926286847199</v>
      </c>
      <c r="Q762" s="22" t="n">
        <v>1.11785872054936</v>
      </c>
      <c r="R762" s="22" t="n">
        <v>1.11925917682504</v>
      </c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customFormat="false" ht="15" hidden="false" customHeight="false" outlineLevel="0" collapsed="false">
      <c r="A763" s="22" t="s">
        <v>23</v>
      </c>
      <c r="B763" s="22" t="s">
        <v>3</v>
      </c>
      <c r="C763" s="22" t="s">
        <v>23</v>
      </c>
      <c r="D763" s="22" t="n">
        <v>43620</v>
      </c>
      <c r="E763" s="22" t="s">
        <v>132</v>
      </c>
      <c r="F763" s="22" t="s">
        <v>6</v>
      </c>
      <c r="G763" s="22" t="s">
        <v>131</v>
      </c>
      <c r="H763" s="22" t="s">
        <v>131</v>
      </c>
      <c r="I763" s="22" t="n">
        <v>1.171</v>
      </c>
      <c r="J763" s="22" t="n">
        <v>1.186</v>
      </c>
      <c r="K763" s="22" t="n">
        <v>1.192</v>
      </c>
      <c r="L763" s="22" t="n">
        <v>1.194</v>
      </c>
      <c r="M763" s="22" t="n">
        <v>1.198</v>
      </c>
      <c r="N763" s="22" t="n">
        <v>1.208</v>
      </c>
      <c r="O763" s="22" t="n">
        <v>1.217</v>
      </c>
      <c r="P763" s="22" t="n">
        <v>1.208</v>
      </c>
      <c r="Q763" s="22" t="n">
        <v>1.249</v>
      </c>
      <c r="R763" s="22" t="n">
        <v>1.284</v>
      </c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customFormat="false" ht="15" hidden="false" customHeight="false" outlineLevel="0" collapsed="false">
      <c r="A764" s="22" t="s">
        <v>23</v>
      </c>
      <c r="B764" s="22" t="s">
        <v>3</v>
      </c>
      <c r="C764" s="22" t="s">
        <v>23</v>
      </c>
      <c r="D764" s="22" t="n">
        <v>43620</v>
      </c>
      <c r="E764" s="22" t="s">
        <v>132</v>
      </c>
      <c r="F764" s="22" t="s">
        <v>133</v>
      </c>
      <c r="G764" s="22" t="s">
        <v>131</v>
      </c>
      <c r="H764" s="22" t="s">
        <v>131</v>
      </c>
      <c r="I764" s="22" t="n">
        <v>28030</v>
      </c>
      <c r="J764" s="22" t="n">
        <v>28676</v>
      </c>
      <c r="K764" s="22" t="n">
        <v>29414</v>
      </c>
      <c r="L764" s="22" t="n">
        <v>30072</v>
      </c>
      <c r="M764" s="22" t="n">
        <v>30571</v>
      </c>
      <c r="N764" s="22" t="n">
        <v>31195</v>
      </c>
      <c r="O764" s="22" t="n">
        <v>31539</v>
      </c>
      <c r="P764" s="22" t="n">
        <v>32017</v>
      </c>
      <c r="Q764" s="22" t="n">
        <v>32341</v>
      </c>
      <c r="R764" s="22" t="n">
        <v>32668</v>
      </c>
      <c r="S764" s="22" t="n">
        <v>32839</v>
      </c>
      <c r="T764" s="22" t="n">
        <v>32882</v>
      </c>
      <c r="U764" s="22" t="n">
        <v>32882</v>
      </c>
      <c r="V764" s="22" t="n">
        <v>32882</v>
      </c>
      <c r="W764" s="22" t="n">
        <v>33501</v>
      </c>
      <c r="X764" s="22" t="n">
        <v>33380</v>
      </c>
      <c r="Y764" s="22" t="n">
        <v>33457</v>
      </c>
      <c r="Z764" s="22" t="n">
        <v>33520</v>
      </c>
      <c r="AA764" s="22" t="n">
        <v>34151</v>
      </c>
      <c r="AB764" s="22" t="n">
        <v>34056</v>
      </c>
      <c r="AC764" s="22" t="n">
        <v>34162</v>
      </c>
      <c r="AD764" s="22" t="n">
        <v>34256</v>
      </c>
      <c r="AE764" s="22" t="n">
        <v>34911</v>
      </c>
      <c r="AF764" s="22" t="n">
        <v>34834</v>
      </c>
    </row>
    <row r="765" customFormat="false" ht="15" hidden="false" customHeight="false" outlineLevel="0" collapsed="false">
      <c r="A765" s="22" t="s">
        <v>23</v>
      </c>
      <c r="B765" s="22" t="s">
        <v>3</v>
      </c>
      <c r="C765" s="22" t="s">
        <v>23</v>
      </c>
      <c r="D765" s="22" t="n">
        <v>43620</v>
      </c>
      <c r="E765" s="22" t="s">
        <v>132</v>
      </c>
      <c r="F765" s="22" t="s">
        <v>5</v>
      </c>
      <c r="G765" s="22" t="s">
        <v>131</v>
      </c>
      <c r="H765" s="22" t="s">
        <v>131</v>
      </c>
      <c r="I765" s="22" t="n">
        <v>1.181</v>
      </c>
      <c r="J765" s="22" t="n">
        <v>1.196</v>
      </c>
      <c r="K765" s="22" t="n">
        <v>1.204</v>
      </c>
      <c r="L765" s="22" t="n">
        <v>1.213</v>
      </c>
      <c r="M765" s="22" t="n">
        <v>1.217</v>
      </c>
      <c r="N765" s="22" t="n">
        <v>1.232</v>
      </c>
      <c r="O765" s="22" t="n">
        <v>1.238</v>
      </c>
      <c r="P765" s="22" t="n">
        <v>1.237</v>
      </c>
      <c r="Q765" s="22" t="n">
        <v>1.268</v>
      </c>
      <c r="R765" s="22" t="n">
        <v>1.303</v>
      </c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</row>
    <row r="766" customFormat="false" ht="15" hidden="false" customHeight="false" outlineLevel="0" collapsed="false">
      <c r="A766" s="22" t="s">
        <v>23</v>
      </c>
      <c r="B766" s="22" t="s">
        <v>3</v>
      </c>
      <c r="C766" s="22" t="s">
        <v>23</v>
      </c>
      <c r="D766" s="22" t="n">
        <v>43620</v>
      </c>
      <c r="E766" s="22" t="s">
        <v>134</v>
      </c>
      <c r="F766" s="22" t="s">
        <v>135</v>
      </c>
      <c r="G766" s="22" t="s">
        <v>131</v>
      </c>
      <c r="H766" s="22" t="s">
        <v>131</v>
      </c>
      <c r="I766" s="22" t="n">
        <v>-0.0197</v>
      </c>
      <c r="J766" s="22" t="n">
        <v>-0.0205</v>
      </c>
      <c r="K766" s="22" t="n">
        <v>-0.0128</v>
      </c>
      <c r="L766" s="22" t="n">
        <v>0.0006</v>
      </c>
      <c r="M766" s="22" t="n">
        <v>-0.0008</v>
      </c>
      <c r="N766" s="22" t="n">
        <v>-0.0176</v>
      </c>
      <c r="O766" s="22" t="n">
        <v>-0.0101</v>
      </c>
      <c r="P766" s="22" t="n">
        <v>-0.0279</v>
      </c>
      <c r="Q766" s="22" t="n">
        <v>0.0018</v>
      </c>
      <c r="R766" s="22" t="n">
        <v>0.0298</v>
      </c>
      <c r="S766" s="22" t="n">
        <v>0.029</v>
      </c>
      <c r="T766" s="22" t="n">
        <v>0.031</v>
      </c>
      <c r="U766" s="22" t="n">
        <v>0.027</v>
      </c>
      <c r="V766" s="22" t="n">
        <v>0.028</v>
      </c>
      <c r="W766" s="22" t="n">
        <v>0.03</v>
      </c>
      <c r="X766" s="22" t="n">
        <v>0.029</v>
      </c>
      <c r="Y766" s="22" t="n">
        <v>0.023</v>
      </c>
      <c r="Z766" s="22" t="n">
        <v>0.022</v>
      </c>
      <c r="AA766" s="22" t="n">
        <v>0.025</v>
      </c>
      <c r="AB766" s="22" t="n">
        <v>0.026</v>
      </c>
      <c r="AC766" s="22" t="n">
        <v>0.02</v>
      </c>
      <c r="AD766" s="22" t="n">
        <v>0.021</v>
      </c>
      <c r="AE766" s="22" t="n">
        <v>0.025</v>
      </c>
      <c r="AF766" s="22" t="n">
        <v>0.025</v>
      </c>
    </row>
    <row r="767" customFormat="false" ht="15" hidden="false" customHeight="false" outlineLevel="0" collapsed="false">
      <c r="A767" s="22" t="s">
        <v>23</v>
      </c>
      <c r="B767" s="22" t="s">
        <v>3</v>
      </c>
      <c r="C767" s="22" t="s">
        <v>23</v>
      </c>
      <c r="D767" s="22" t="n">
        <v>43620</v>
      </c>
      <c r="E767" s="22" t="s">
        <v>136</v>
      </c>
      <c r="F767" s="22" t="s">
        <v>137</v>
      </c>
      <c r="G767" s="22" t="s">
        <v>131</v>
      </c>
      <c r="H767" s="22" t="s">
        <v>131</v>
      </c>
      <c r="I767" s="22" t="n">
        <v>10</v>
      </c>
      <c r="J767" s="22" t="n">
        <v>10</v>
      </c>
      <c r="K767" s="22" t="n">
        <v>11</v>
      </c>
      <c r="L767" s="22" t="n">
        <v>10</v>
      </c>
      <c r="M767" s="22" t="n">
        <v>10</v>
      </c>
      <c r="N767" s="22" t="n">
        <v>8</v>
      </c>
      <c r="O767" s="22" t="n">
        <v>6</v>
      </c>
      <c r="P767" s="22" t="n">
        <v>5</v>
      </c>
      <c r="Q767" s="22" t="n">
        <v>3</v>
      </c>
      <c r="R767" s="22" t="n">
        <v>1</v>
      </c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customFormat="false" ht="15" hidden="false" customHeight="false" outlineLevel="0" collapsed="false">
      <c r="A768" s="22" t="s">
        <v>61</v>
      </c>
      <c r="B768" s="22" t="s">
        <v>3</v>
      </c>
      <c r="C768" s="22" t="s">
        <v>61</v>
      </c>
      <c r="D768" s="22" t="n">
        <v>44060</v>
      </c>
      <c r="E768" s="22" t="s">
        <v>129</v>
      </c>
      <c r="F768" s="22" t="s">
        <v>130</v>
      </c>
      <c r="G768" s="22" t="s">
        <v>131</v>
      </c>
      <c r="H768" s="22" t="s">
        <v>131</v>
      </c>
      <c r="I768" s="22" t="n">
        <v>1.5739764076059</v>
      </c>
      <c r="J768" s="22" t="n">
        <v>1.57750414820847</v>
      </c>
      <c r="K768" s="22" t="n">
        <v>1.57284207450607</v>
      </c>
      <c r="L768" s="22" t="n">
        <v>1.59517847135622</v>
      </c>
      <c r="M768" s="22" t="n">
        <v>1.59380572586721</v>
      </c>
      <c r="N768" s="22" t="n">
        <v>1.61296423867946</v>
      </c>
      <c r="O768" s="22" t="n">
        <v>1.61792990486185</v>
      </c>
      <c r="P768" s="22" t="n">
        <v>1.62882406452809</v>
      </c>
      <c r="Q768" s="22" t="n">
        <v>1.6251467643641</v>
      </c>
      <c r="R768" s="22" t="n">
        <v>1.63322688103979</v>
      </c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customFormat="false" ht="15" hidden="false" customHeight="false" outlineLevel="0" collapsed="false">
      <c r="A769" s="22" t="s">
        <v>61</v>
      </c>
      <c r="B769" s="22" t="s">
        <v>3</v>
      </c>
      <c r="C769" s="22" t="s">
        <v>61</v>
      </c>
      <c r="D769" s="22" t="n">
        <v>44060</v>
      </c>
      <c r="E769" s="22" t="s">
        <v>132</v>
      </c>
      <c r="F769" s="22" t="s">
        <v>6</v>
      </c>
      <c r="G769" s="22" t="s">
        <v>131</v>
      </c>
      <c r="H769" s="22" t="s">
        <v>131</v>
      </c>
      <c r="I769" s="22" t="n">
        <v>1.529</v>
      </c>
      <c r="J769" s="22" t="n">
        <v>1.548</v>
      </c>
      <c r="K769" s="22" t="n">
        <v>1.556</v>
      </c>
      <c r="L769" s="22" t="n">
        <v>1.516</v>
      </c>
      <c r="M769" s="22" t="n">
        <v>1.52</v>
      </c>
      <c r="N769" s="22" t="n">
        <v>1.555</v>
      </c>
      <c r="O769" s="22" t="n">
        <v>1.553</v>
      </c>
      <c r="P769" s="22" t="n">
        <v>1.537</v>
      </c>
      <c r="Q769" s="22" t="n">
        <v>1.554</v>
      </c>
      <c r="R769" s="22" t="n">
        <v>1.562</v>
      </c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</row>
    <row r="770" customFormat="false" ht="15" hidden="false" customHeight="false" outlineLevel="0" collapsed="false">
      <c r="A770" s="22" t="s">
        <v>61</v>
      </c>
      <c r="B770" s="22" t="s">
        <v>3</v>
      </c>
      <c r="C770" s="22" t="s">
        <v>61</v>
      </c>
      <c r="D770" s="22" t="n">
        <v>44060</v>
      </c>
      <c r="E770" s="22" t="s">
        <v>132</v>
      </c>
      <c r="F770" s="22" t="s">
        <v>133</v>
      </c>
      <c r="G770" s="22" t="s">
        <v>131</v>
      </c>
      <c r="H770" s="22" t="s">
        <v>131</v>
      </c>
      <c r="I770" s="22" t="n">
        <v>44183</v>
      </c>
      <c r="J770" s="22" t="n">
        <v>44432</v>
      </c>
      <c r="K770" s="22" t="n">
        <v>45027</v>
      </c>
      <c r="L770" s="22" t="n">
        <v>45358</v>
      </c>
      <c r="M770" s="22" t="n">
        <v>45763</v>
      </c>
      <c r="N770" s="22" t="n">
        <v>45940</v>
      </c>
      <c r="O770" s="22" t="n">
        <v>46038</v>
      </c>
      <c r="P770" s="22" t="n">
        <v>46152</v>
      </c>
      <c r="Q770" s="22" t="n">
        <v>46400</v>
      </c>
      <c r="R770" s="22" t="n">
        <v>46579</v>
      </c>
      <c r="S770" s="22" t="n">
        <v>46645</v>
      </c>
      <c r="T770" s="22" t="n">
        <v>46714</v>
      </c>
      <c r="U770" s="22" t="n">
        <v>46799</v>
      </c>
      <c r="V770" s="22" t="n">
        <v>46847</v>
      </c>
      <c r="W770" s="22" t="n">
        <v>47160</v>
      </c>
      <c r="X770" s="22" t="n">
        <v>47251</v>
      </c>
      <c r="Y770" s="22" t="n">
        <v>47364</v>
      </c>
      <c r="Z770" s="22" t="n">
        <v>47437</v>
      </c>
      <c r="AA770" s="22" t="n">
        <v>47774</v>
      </c>
      <c r="AB770" s="22" t="n">
        <v>47879</v>
      </c>
      <c r="AC770" s="22" t="n">
        <v>48002</v>
      </c>
      <c r="AD770" s="22" t="n">
        <v>48084</v>
      </c>
      <c r="AE770" s="22" t="n">
        <v>48424</v>
      </c>
      <c r="AF770" s="22" t="n">
        <v>48543</v>
      </c>
    </row>
    <row r="771" customFormat="false" ht="15" hidden="false" customHeight="false" outlineLevel="0" collapsed="false">
      <c r="A771" s="22" t="s">
        <v>61</v>
      </c>
      <c r="B771" s="22" t="s">
        <v>3</v>
      </c>
      <c r="C771" s="22" t="s">
        <v>61</v>
      </c>
      <c r="D771" s="22" t="n">
        <v>44060</v>
      </c>
      <c r="E771" s="22" t="s">
        <v>132</v>
      </c>
      <c r="F771" s="22" t="s">
        <v>5</v>
      </c>
      <c r="G771" s="22" t="s">
        <v>131</v>
      </c>
      <c r="H771" s="22" t="s">
        <v>131</v>
      </c>
      <c r="I771" s="22" t="n">
        <v>1.549</v>
      </c>
      <c r="J771" s="22" t="n">
        <v>1.575</v>
      </c>
      <c r="K771" s="22" t="n">
        <v>1.578</v>
      </c>
      <c r="L771" s="22" t="n">
        <v>1.54</v>
      </c>
      <c r="M771" s="22" t="n">
        <v>1.544</v>
      </c>
      <c r="N771" s="22" t="n">
        <v>1.574</v>
      </c>
      <c r="O771" s="22" t="n">
        <v>1.584</v>
      </c>
      <c r="P771" s="22" t="n">
        <v>1.562</v>
      </c>
      <c r="Q771" s="22" t="n">
        <v>1.58</v>
      </c>
      <c r="R771" s="22" t="n">
        <v>1.592</v>
      </c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</row>
    <row r="772" customFormat="false" ht="15" hidden="false" customHeight="false" outlineLevel="0" collapsed="false">
      <c r="A772" s="22" t="s">
        <v>61</v>
      </c>
      <c r="B772" s="22" t="s">
        <v>3</v>
      </c>
      <c r="C772" s="22" t="s">
        <v>61</v>
      </c>
      <c r="D772" s="22" t="n">
        <v>44060</v>
      </c>
      <c r="E772" s="22" t="s">
        <v>134</v>
      </c>
      <c r="F772" s="22" t="s">
        <v>135</v>
      </c>
      <c r="G772" s="22" t="s">
        <v>131</v>
      </c>
      <c r="H772" s="22" t="s">
        <v>131</v>
      </c>
      <c r="I772" s="22" t="n">
        <v>-0.0061</v>
      </c>
      <c r="J772" s="22" t="n">
        <v>-0.0028</v>
      </c>
      <c r="K772" s="22" t="n">
        <v>-0.0042</v>
      </c>
      <c r="L772" s="22" t="n">
        <v>-0.0064</v>
      </c>
      <c r="M772" s="22" t="n">
        <v>-0.0059</v>
      </c>
      <c r="N772" s="22" t="n">
        <v>0.0019</v>
      </c>
      <c r="O772" s="22" t="n">
        <v>-0.0103</v>
      </c>
      <c r="P772" s="22" t="n">
        <v>0.0069</v>
      </c>
      <c r="Q772" s="22" t="n">
        <v>0.0097</v>
      </c>
      <c r="R772" s="22" t="n">
        <v>-0.0034</v>
      </c>
      <c r="S772" s="22" t="n">
        <v>0.005</v>
      </c>
      <c r="T772" s="22" t="n">
        <v>0.016</v>
      </c>
      <c r="U772" s="22" t="n">
        <v>0.026</v>
      </c>
      <c r="V772" s="22" t="n">
        <v>0.026</v>
      </c>
      <c r="W772" s="22" t="n">
        <v>0.03</v>
      </c>
      <c r="X772" s="22" t="n">
        <v>0.03</v>
      </c>
      <c r="Y772" s="22" t="n">
        <v>0.025</v>
      </c>
      <c r="Z772" s="22" t="n">
        <v>0.026</v>
      </c>
      <c r="AA772" s="22" t="n">
        <v>0.029</v>
      </c>
      <c r="AB772" s="22" t="n">
        <v>0.031</v>
      </c>
      <c r="AC772" s="22" t="n">
        <v>0.026</v>
      </c>
      <c r="AD772" s="22" t="n">
        <v>0.026</v>
      </c>
      <c r="AE772" s="22" t="n">
        <v>0.026</v>
      </c>
      <c r="AF772" s="22" t="n">
        <v>0.031</v>
      </c>
    </row>
    <row r="773" customFormat="false" ht="15" hidden="false" customHeight="false" outlineLevel="0" collapsed="false">
      <c r="A773" s="22" t="s">
        <v>61</v>
      </c>
      <c r="B773" s="22" t="s">
        <v>3</v>
      </c>
      <c r="C773" s="22" t="s">
        <v>61</v>
      </c>
      <c r="D773" s="22" t="n">
        <v>44060</v>
      </c>
      <c r="E773" s="22" t="s">
        <v>136</v>
      </c>
      <c r="F773" s="22" t="s">
        <v>137</v>
      </c>
      <c r="G773" s="22" t="s">
        <v>131</v>
      </c>
      <c r="H773" s="22" t="s">
        <v>131</v>
      </c>
      <c r="I773" s="22" t="n">
        <v>6</v>
      </c>
      <c r="J773" s="22" t="n">
        <v>5</v>
      </c>
      <c r="K773" s="22" t="n">
        <v>3</v>
      </c>
      <c r="L773" s="22" t="n">
        <v>3</v>
      </c>
      <c r="M773" s="22" t="n">
        <v>3</v>
      </c>
      <c r="N773" s="22" t="n">
        <v>4</v>
      </c>
      <c r="O773" s="22" t="n">
        <v>3</v>
      </c>
      <c r="P773" s="22" t="n">
        <v>2</v>
      </c>
      <c r="Q773" s="22" t="n">
        <v>3</v>
      </c>
      <c r="R773" s="22" t="n">
        <v>1</v>
      </c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</row>
    <row r="774" customFormat="false" ht="15" hidden="false" customHeight="false" outlineLevel="0" collapsed="false">
      <c r="A774" s="22" t="s">
        <v>211</v>
      </c>
      <c r="B774" s="22" t="s">
        <v>3</v>
      </c>
      <c r="C774" s="22" t="s">
        <v>211</v>
      </c>
      <c r="D774" s="22" t="n">
        <v>344140</v>
      </c>
      <c r="E774" s="22" t="s">
        <v>129</v>
      </c>
      <c r="F774" s="22" t="s">
        <v>130</v>
      </c>
      <c r="G774" s="22" t="s">
        <v>131</v>
      </c>
      <c r="H774" s="22" t="s">
        <v>131</v>
      </c>
      <c r="I774" s="22" t="n">
        <v>2.01114310494926</v>
      </c>
      <c r="J774" s="22" t="n">
        <v>2.02573070021786</v>
      </c>
      <c r="K774" s="22" t="n">
        <v>2.00135042124646</v>
      </c>
      <c r="L774" s="22" t="n">
        <v>2.01037310681643</v>
      </c>
      <c r="M774" s="22" t="n">
        <v>2.02747614905164</v>
      </c>
      <c r="N774" s="22" t="n">
        <v>2.05258951075668</v>
      </c>
      <c r="O774" s="22" t="n">
        <v>2.08487986989521</v>
      </c>
      <c r="P774" s="22" t="n">
        <v>2.07735778990759</v>
      </c>
      <c r="Q774" s="22" t="n">
        <v>2.09108086829209</v>
      </c>
      <c r="R774" s="22" t="n">
        <v>2.11572725734086</v>
      </c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customFormat="false" ht="15" hidden="false" customHeight="false" outlineLevel="0" collapsed="false">
      <c r="A775" s="22" t="s">
        <v>211</v>
      </c>
      <c r="B775" s="22" t="s">
        <v>3</v>
      </c>
      <c r="C775" s="22" t="s">
        <v>211</v>
      </c>
      <c r="D775" s="22" t="n">
        <v>344140</v>
      </c>
      <c r="E775" s="22" t="s">
        <v>132</v>
      </c>
      <c r="F775" s="22" t="s">
        <v>6</v>
      </c>
      <c r="G775" s="22" t="s">
        <v>131</v>
      </c>
      <c r="H775" s="22" t="s">
        <v>131</v>
      </c>
      <c r="I775" s="22" t="n">
        <v>2.199</v>
      </c>
      <c r="J775" s="22" t="n">
        <v>2.212</v>
      </c>
      <c r="K775" s="22" t="n">
        <v>2.23</v>
      </c>
      <c r="L775" s="22" t="n">
        <v>2.244</v>
      </c>
      <c r="M775" s="22" t="n">
        <v>2.256</v>
      </c>
      <c r="N775" s="22" t="n">
        <v>2.317</v>
      </c>
      <c r="O775" s="22" t="n">
        <v>2.358</v>
      </c>
      <c r="P775" s="22" t="n">
        <v>2.378</v>
      </c>
      <c r="Q775" s="22" t="n">
        <v>2.448</v>
      </c>
      <c r="R775" s="22" t="n">
        <v>2.473</v>
      </c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</row>
    <row r="776" customFormat="false" ht="15" hidden="false" customHeight="false" outlineLevel="0" collapsed="false">
      <c r="A776" s="22" t="s">
        <v>211</v>
      </c>
      <c r="B776" s="22" t="s">
        <v>3</v>
      </c>
      <c r="C776" s="22" t="s">
        <v>211</v>
      </c>
      <c r="D776" s="22" t="n">
        <v>344140</v>
      </c>
      <c r="E776" s="22" t="s">
        <v>132</v>
      </c>
      <c r="F776" s="22" t="s">
        <v>133</v>
      </c>
      <c r="G776" s="22" t="s">
        <v>131</v>
      </c>
      <c r="H776" s="22" t="s">
        <v>131</v>
      </c>
      <c r="I776" s="22" t="n">
        <v>46546</v>
      </c>
      <c r="J776" s="22" t="n">
        <v>46256</v>
      </c>
      <c r="K776" s="22" t="n">
        <v>46256</v>
      </c>
      <c r="L776" s="22" t="n">
        <v>46256</v>
      </c>
      <c r="M776" s="22" t="n">
        <v>46256</v>
      </c>
      <c r="N776" s="22" t="n">
        <v>46256</v>
      </c>
      <c r="O776" s="22" t="n">
        <v>46256</v>
      </c>
      <c r="P776" s="22" t="n">
        <v>46256</v>
      </c>
      <c r="Q776" s="22" t="n">
        <v>46256</v>
      </c>
      <c r="R776" s="22" t="n">
        <v>46256</v>
      </c>
      <c r="S776" s="22" t="n">
        <v>46256</v>
      </c>
      <c r="T776" s="22" t="n">
        <v>46256</v>
      </c>
      <c r="U776" s="22" t="n">
        <v>46256</v>
      </c>
      <c r="V776" s="22" t="n">
        <v>46256</v>
      </c>
      <c r="W776" s="22" t="n">
        <v>46324</v>
      </c>
      <c r="X776" s="22" t="n">
        <v>46358</v>
      </c>
      <c r="Y776" s="22" t="n">
        <v>46358</v>
      </c>
      <c r="Z776" s="22" t="n">
        <v>46358</v>
      </c>
      <c r="AA776" s="22" t="n">
        <v>46358</v>
      </c>
      <c r="AB776" s="22" t="n">
        <v>46360</v>
      </c>
      <c r="AC776" s="22" t="n">
        <v>46360</v>
      </c>
      <c r="AD776" s="22" t="n">
        <v>46360</v>
      </c>
      <c r="AE776" s="22" t="n">
        <v>46359</v>
      </c>
      <c r="AF776" s="22" t="n">
        <v>46360</v>
      </c>
    </row>
    <row r="777" customFormat="false" ht="15" hidden="false" customHeight="false" outlineLevel="0" collapsed="false">
      <c r="A777" s="22" t="s">
        <v>211</v>
      </c>
      <c r="B777" s="22" t="s">
        <v>3</v>
      </c>
      <c r="C777" s="22" t="s">
        <v>211</v>
      </c>
      <c r="D777" s="22" t="n">
        <v>344140</v>
      </c>
      <c r="E777" s="22" t="s">
        <v>132</v>
      </c>
      <c r="F777" s="22" t="s">
        <v>5</v>
      </c>
      <c r="G777" s="22" t="s">
        <v>131</v>
      </c>
      <c r="H777" s="22" t="s">
        <v>131</v>
      </c>
      <c r="I777" s="22" t="n">
        <v>2.206</v>
      </c>
      <c r="J777" s="22" t="n">
        <v>2.223</v>
      </c>
      <c r="K777" s="22" t="n">
        <v>2.237</v>
      </c>
      <c r="L777" s="22" t="n">
        <v>2.252</v>
      </c>
      <c r="M777" s="22" t="n">
        <v>2.267</v>
      </c>
      <c r="N777" s="22" t="n">
        <v>2.328</v>
      </c>
      <c r="O777" s="22" t="n">
        <v>2.371</v>
      </c>
      <c r="P777" s="22" t="n">
        <v>2.396</v>
      </c>
      <c r="Q777" s="22" t="n">
        <v>2.463</v>
      </c>
      <c r="R777" s="22" t="n">
        <v>2.484</v>
      </c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customFormat="false" ht="15" hidden="false" customHeight="false" outlineLevel="0" collapsed="false">
      <c r="A778" s="22" t="s">
        <v>211</v>
      </c>
      <c r="B778" s="22" t="s">
        <v>3</v>
      </c>
      <c r="C778" s="22" t="s">
        <v>211</v>
      </c>
      <c r="D778" s="22" t="n">
        <v>344140</v>
      </c>
      <c r="E778" s="22" t="s">
        <v>134</v>
      </c>
      <c r="F778" s="22" t="s">
        <v>135</v>
      </c>
      <c r="G778" s="22" t="s">
        <v>131</v>
      </c>
      <c r="H778" s="22" t="s">
        <v>131</v>
      </c>
      <c r="I778" s="22" t="n">
        <v>0.0711</v>
      </c>
      <c r="J778" s="22" t="n">
        <v>0.0474</v>
      </c>
      <c r="K778" s="22" t="n">
        <v>0.0226</v>
      </c>
      <c r="L778" s="22" t="n">
        <v>0.03</v>
      </c>
      <c r="M778" s="22" t="n">
        <v>0.0273</v>
      </c>
      <c r="N778" s="22" t="n">
        <v>0.0332</v>
      </c>
      <c r="O778" s="22" t="n">
        <v>0.0136</v>
      </c>
      <c r="P778" s="22" t="n">
        <v>0.0152</v>
      </c>
      <c r="Q778" s="22" t="n">
        <v>0.0214</v>
      </c>
      <c r="R778" s="22" t="n">
        <v>0.0189</v>
      </c>
      <c r="S778" s="22" t="n">
        <v>0.018</v>
      </c>
      <c r="T778" s="22" t="n">
        <v>0.024</v>
      </c>
      <c r="U778" s="22" t="n">
        <v>0.035</v>
      </c>
      <c r="V778" s="22" t="n">
        <v>0.032</v>
      </c>
      <c r="W778" s="22" t="n">
        <v>0.034</v>
      </c>
      <c r="X778" s="22" t="n">
        <v>0.031</v>
      </c>
      <c r="Y778" s="22" t="n">
        <v>0.03</v>
      </c>
      <c r="Z778" s="22" t="n">
        <v>0.028</v>
      </c>
      <c r="AA778" s="22" t="n">
        <v>0.03</v>
      </c>
      <c r="AB778" s="22" t="n">
        <v>0.026</v>
      </c>
      <c r="AC778" s="22" t="n">
        <v>0.024</v>
      </c>
      <c r="AD778" s="22" t="n">
        <v>0.025</v>
      </c>
      <c r="AE778" s="22" t="n">
        <v>0.027</v>
      </c>
      <c r="AF778" s="22" t="n">
        <v>0.025</v>
      </c>
    </row>
    <row r="779" customFormat="false" ht="15" hidden="false" customHeight="false" outlineLevel="0" collapsed="false">
      <c r="A779" s="22" t="s">
        <v>211</v>
      </c>
      <c r="B779" s="22" t="s">
        <v>3</v>
      </c>
      <c r="C779" s="22" t="s">
        <v>211</v>
      </c>
      <c r="D779" s="22" t="n">
        <v>344140</v>
      </c>
      <c r="E779" s="22" t="s">
        <v>136</v>
      </c>
      <c r="F779" s="22" t="s">
        <v>137</v>
      </c>
      <c r="G779" s="22" t="s">
        <v>131</v>
      </c>
      <c r="H779" s="22" t="s">
        <v>131</v>
      </c>
      <c r="I779" s="22" t="n">
        <v>0</v>
      </c>
      <c r="J779" s="22" t="n">
        <v>0</v>
      </c>
      <c r="K779" s="22" t="n">
        <v>0</v>
      </c>
      <c r="L779" s="22" t="n">
        <v>0</v>
      </c>
      <c r="M779" s="22" t="n">
        <v>0</v>
      </c>
      <c r="N779" s="22" t="n">
        <v>0</v>
      </c>
      <c r="O779" s="22" t="n">
        <v>0</v>
      </c>
      <c r="P779" s="22" t="n">
        <v>0</v>
      </c>
      <c r="Q779" s="22" t="n">
        <v>1</v>
      </c>
      <c r="R779" s="22" t="n">
        <v>1</v>
      </c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customFormat="false" ht="15" hidden="false" customHeight="false" outlineLevel="0" collapsed="false">
      <c r="A780" s="22" t="s">
        <v>212</v>
      </c>
      <c r="B780" s="22" t="s">
        <v>3</v>
      </c>
      <c r="C780" s="22" t="s">
        <v>212</v>
      </c>
      <c r="D780" s="22" t="n">
        <v>44180</v>
      </c>
      <c r="E780" s="22" t="s">
        <v>129</v>
      </c>
      <c r="F780" s="22" t="s">
        <v>130</v>
      </c>
      <c r="G780" s="22" t="s">
        <v>131</v>
      </c>
      <c r="H780" s="22" t="s">
        <v>131</v>
      </c>
      <c r="I780" s="22" t="n">
        <v>0.971253702044181</v>
      </c>
      <c r="J780" s="22" t="n">
        <v>0.980187730874861</v>
      </c>
      <c r="K780" s="22" t="n">
        <v>0.997199917199481</v>
      </c>
      <c r="L780" s="22" t="n">
        <v>1.00846033965296</v>
      </c>
      <c r="M780" s="22" t="n">
        <v>1.02667654457921</v>
      </c>
      <c r="N780" s="22" t="n">
        <v>1.03518040989193</v>
      </c>
      <c r="O780" s="22" t="n">
        <v>1.04949906870659</v>
      </c>
      <c r="P780" s="22" t="n">
        <v>1.06223152309167</v>
      </c>
      <c r="Q780" s="22" t="n">
        <v>1.03865580362035</v>
      </c>
      <c r="R780" s="22" t="n">
        <v>1.14454030444368</v>
      </c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customFormat="false" ht="15" hidden="false" customHeight="false" outlineLevel="0" collapsed="false">
      <c r="A781" s="22" t="s">
        <v>212</v>
      </c>
      <c r="B781" s="22" t="s">
        <v>3</v>
      </c>
      <c r="C781" s="22" t="s">
        <v>212</v>
      </c>
      <c r="D781" s="22" t="n">
        <v>44180</v>
      </c>
      <c r="E781" s="22" t="s">
        <v>132</v>
      </c>
      <c r="F781" s="22" t="s">
        <v>6</v>
      </c>
      <c r="G781" s="22" t="s">
        <v>131</v>
      </c>
      <c r="H781" s="22" t="s">
        <v>131</v>
      </c>
      <c r="I781" s="22" t="n">
        <v>1.109</v>
      </c>
      <c r="J781" s="22" t="n">
        <v>1.125</v>
      </c>
      <c r="K781" s="22" t="n">
        <v>1.134</v>
      </c>
      <c r="L781" s="22" t="n">
        <v>1.13</v>
      </c>
      <c r="M781" s="22" t="n">
        <v>1.179</v>
      </c>
      <c r="N781" s="22" t="n">
        <v>1.222</v>
      </c>
      <c r="O781" s="22" t="n">
        <v>1.202</v>
      </c>
      <c r="P781" s="22" t="n">
        <v>1.188</v>
      </c>
      <c r="Q781" s="22" t="n">
        <v>1.206</v>
      </c>
      <c r="R781" s="22" t="n">
        <v>1.216</v>
      </c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customFormat="false" ht="15" hidden="false" customHeight="false" outlineLevel="0" collapsed="false">
      <c r="A782" s="22" t="s">
        <v>212</v>
      </c>
      <c r="B782" s="22" t="s">
        <v>3</v>
      </c>
      <c r="C782" s="22" t="s">
        <v>212</v>
      </c>
      <c r="D782" s="22" t="n">
        <v>44180</v>
      </c>
      <c r="E782" s="22" t="s">
        <v>132</v>
      </c>
      <c r="F782" s="22" t="s">
        <v>133</v>
      </c>
      <c r="G782" s="22" t="s">
        <v>131</v>
      </c>
      <c r="H782" s="22" t="s">
        <v>131</v>
      </c>
      <c r="I782" s="22" t="n">
        <v>25083</v>
      </c>
      <c r="J782" s="22" t="n">
        <v>25370</v>
      </c>
      <c r="K782" s="22" t="n">
        <v>25518</v>
      </c>
      <c r="L782" s="22" t="n">
        <v>25601</v>
      </c>
      <c r="M782" s="22" t="n">
        <v>25634</v>
      </c>
      <c r="N782" s="22" t="n">
        <v>25667</v>
      </c>
      <c r="O782" s="22" t="n">
        <v>25727</v>
      </c>
      <c r="P782" s="22" t="n">
        <v>25783</v>
      </c>
      <c r="Q782" s="22" t="n">
        <v>25880</v>
      </c>
      <c r="R782" s="22" t="n">
        <v>26014</v>
      </c>
      <c r="S782" s="22" t="n">
        <v>26216</v>
      </c>
      <c r="T782" s="22" t="n">
        <v>26386</v>
      </c>
      <c r="U782" s="22" t="n">
        <v>26535</v>
      </c>
      <c r="V782" s="22" t="n">
        <v>26634</v>
      </c>
      <c r="W782" s="22" t="n">
        <v>26637</v>
      </c>
      <c r="X782" s="22" t="n">
        <v>26634</v>
      </c>
      <c r="Y782" s="22" t="n">
        <v>26634</v>
      </c>
      <c r="Z782" s="22" t="n">
        <v>26731</v>
      </c>
      <c r="AA782" s="22" t="n">
        <v>26740</v>
      </c>
      <c r="AB782" s="22" t="n">
        <v>26745</v>
      </c>
      <c r="AC782" s="22" t="n">
        <v>26754</v>
      </c>
      <c r="AD782" s="22" t="n">
        <v>26859</v>
      </c>
      <c r="AE782" s="22" t="n">
        <v>26872</v>
      </c>
      <c r="AF782" s="22" t="n">
        <v>26881</v>
      </c>
    </row>
    <row r="783" customFormat="false" ht="15" hidden="false" customHeight="false" outlineLevel="0" collapsed="false">
      <c r="A783" s="22" t="s">
        <v>212</v>
      </c>
      <c r="B783" s="22" t="s">
        <v>3</v>
      </c>
      <c r="C783" s="22" t="s">
        <v>212</v>
      </c>
      <c r="D783" s="22" t="n">
        <v>44180</v>
      </c>
      <c r="E783" s="22" t="s">
        <v>132</v>
      </c>
      <c r="F783" s="22" t="s">
        <v>5</v>
      </c>
      <c r="G783" s="22" t="s">
        <v>131</v>
      </c>
      <c r="H783" s="22" t="s">
        <v>131</v>
      </c>
      <c r="I783" s="22" t="n">
        <v>1.11</v>
      </c>
      <c r="J783" s="22" t="n">
        <v>1.128</v>
      </c>
      <c r="K783" s="22" t="n">
        <v>1.138</v>
      </c>
      <c r="L783" s="22" t="n">
        <v>1.132</v>
      </c>
      <c r="M783" s="22" t="n">
        <v>1.182</v>
      </c>
      <c r="N783" s="22" t="n">
        <v>1.224</v>
      </c>
      <c r="O783" s="22" t="n">
        <v>1.204</v>
      </c>
      <c r="P783" s="22" t="n">
        <v>1.191</v>
      </c>
      <c r="Q783" s="22" t="n">
        <v>1.207</v>
      </c>
      <c r="R783" s="22" t="n">
        <v>1.218</v>
      </c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</row>
    <row r="784" customFormat="false" ht="15" hidden="false" customHeight="false" outlineLevel="0" collapsed="false">
      <c r="A784" s="22" t="s">
        <v>212</v>
      </c>
      <c r="B784" s="22" t="s">
        <v>3</v>
      </c>
      <c r="C784" s="22" t="s">
        <v>212</v>
      </c>
      <c r="D784" s="22" t="n">
        <v>44180</v>
      </c>
      <c r="E784" s="22" t="s">
        <v>134</v>
      </c>
      <c r="F784" s="22" t="s">
        <v>135</v>
      </c>
      <c r="G784" s="22" t="s">
        <v>131</v>
      </c>
      <c r="H784" s="22" t="s">
        <v>131</v>
      </c>
      <c r="I784" s="22" t="n">
        <v>0.0255</v>
      </c>
      <c r="J784" s="22" t="n">
        <v>0.0076</v>
      </c>
      <c r="K784" s="22" t="n">
        <v>0.0156</v>
      </c>
      <c r="L784" s="22" t="n">
        <v>0.0242</v>
      </c>
      <c r="M784" s="22" t="n">
        <v>0.0368</v>
      </c>
      <c r="N784" s="22" t="n">
        <v>0.0497</v>
      </c>
      <c r="O784" s="22" t="n">
        <v>0.0293</v>
      </c>
      <c r="P784" s="22" t="n">
        <v>0.0316</v>
      </c>
      <c r="Q784" s="22" t="n">
        <v>0.0199</v>
      </c>
      <c r="R784" s="22" t="n">
        <v>0.0013</v>
      </c>
      <c r="S784" s="22" t="n">
        <v>0.002</v>
      </c>
      <c r="T784" s="22" t="n">
        <v>0.014</v>
      </c>
      <c r="U784" s="22" t="n">
        <v>0.022</v>
      </c>
      <c r="V784" s="22" t="n">
        <v>0.034</v>
      </c>
      <c r="W784" s="22" t="n">
        <v>0.04</v>
      </c>
      <c r="X784" s="22" t="n">
        <v>0.041</v>
      </c>
      <c r="Y784" s="22" t="n">
        <v>0.035</v>
      </c>
      <c r="Z784" s="22" t="n">
        <v>0.036</v>
      </c>
      <c r="AA784" s="22" t="n">
        <v>0.035</v>
      </c>
      <c r="AB784" s="22" t="n">
        <v>0.04</v>
      </c>
      <c r="AC784" s="22" t="n">
        <v>0.035</v>
      </c>
      <c r="AD784" s="22" t="n">
        <v>0.033</v>
      </c>
      <c r="AE784" s="22" t="n">
        <v>0.034</v>
      </c>
      <c r="AF784" s="22" t="n">
        <v>0.04</v>
      </c>
    </row>
    <row r="785" customFormat="false" ht="15" hidden="false" customHeight="false" outlineLevel="0" collapsed="false">
      <c r="A785" s="22" t="s">
        <v>212</v>
      </c>
      <c r="B785" s="22" t="s">
        <v>3</v>
      </c>
      <c r="C785" s="22" t="s">
        <v>212</v>
      </c>
      <c r="D785" s="22" t="n">
        <v>44180</v>
      </c>
      <c r="E785" s="22" t="s">
        <v>136</v>
      </c>
      <c r="F785" s="22" t="s">
        <v>137</v>
      </c>
      <c r="G785" s="22" t="s">
        <v>131</v>
      </c>
      <c r="H785" s="22" t="s">
        <v>131</v>
      </c>
      <c r="I785" s="22" t="n">
        <v>2</v>
      </c>
      <c r="J785" s="22" t="n">
        <v>4</v>
      </c>
      <c r="K785" s="22" t="n">
        <v>4</v>
      </c>
      <c r="L785" s="22" t="n">
        <v>6</v>
      </c>
      <c r="M785" s="22" t="n">
        <v>6</v>
      </c>
      <c r="N785" s="22" t="n">
        <v>6</v>
      </c>
      <c r="O785" s="22" t="n">
        <v>5</v>
      </c>
      <c r="P785" s="22" t="n">
        <v>4</v>
      </c>
      <c r="Q785" s="22" t="n">
        <v>3</v>
      </c>
      <c r="R785" s="22" t="n">
        <v>1</v>
      </c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</row>
    <row r="786" customFormat="false" ht="15" hidden="false" customHeight="false" outlineLevel="0" collapsed="false">
      <c r="A786" s="22" t="s">
        <v>46</v>
      </c>
      <c r="B786" s="22" t="s">
        <v>3</v>
      </c>
      <c r="C786" s="22" t="s">
        <v>46</v>
      </c>
      <c r="D786" s="22" t="n">
        <v>41180</v>
      </c>
      <c r="E786" s="22" t="s">
        <v>129</v>
      </c>
      <c r="F786" s="22" t="s">
        <v>130</v>
      </c>
      <c r="G786" s="22" t="s">
        <v>131</v>
      </c>
      <c r="H786" s="22" t="s">
        <v>131</v>
      </c>
      <c r="I786" s="22" t="n">
        <v>1.44823332406712</v>
      </c>
      <c r="J786" s="22" t="n">
        <v>1.46773857905171</v>
      </c>
      <c r="K786" s="22" t="n">
        <v>1.4858784696593</v>
      </c>
      <c r="L786" s="22" t="n">
        <v>1.50629308731233</v>
      </c>
      <c r="M786" s="22" t="n">
        <v>1.51032157491723</v>
      </c>
      <c r="N786" s="22" t="n">
        <v>1.51772441750806</v>
      </c>
      <c r="O786" s="22" t="n">
        <v>1.52567386414128</v>
      </c>
      <c r="P786" s="22" t="n">
        <v>1.52132422623059</v>
      </c>
      <c r="Q786" s="22" t="n">
        <v>1.54738154722905</v>
      </c>
      <c r="R786" s="22" t="n">
        <v>1.55595083043019</v>
      </c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customFormat="false" ht="15" hidden="false" customHeight="false" outlineLevel="0" collapsed="false">
      <c r="A787" s="22" t="s">
        <v>46</v>
      </c>
      <c r="B787" s="22" t="s">
        <v>3</v>
      </c>
      <c r="C787" s="22" t="s">
        <v>46</v>
      </c>
      <c r="D787" s="22" t="n">
        <v>41180</v>
      </c>
      <c r="E787" s="22" t="s">
        <v>132</v>
      </c>
      <c r="F787" s="22" t="s">
        <v>6</v>
      </c>
      <c r="G787" s="22" t="s">
        <v>131</v>
      </c>
      <c r="H787" s="22" t="s">
        <v>131</v>
      </c>
      <c r="I787" s="22" t="n">
        <v>1.443</v>
      </c>
      <c r="J787" s="22" t="n">
        <v>1.458</v>
      </c>
      <c r="K787" s="22" t="n">
        <v>1.489</v>
      </c>
      <c r="L787" s="22" t="n">
        <v>1.475</v>
      </c>
      <c r="M787" s="22" t="n">
        <v>1.482</v>
      </c>
      <c r="N787" s="22" t="n">
        <v>1.512</v>
      </c>
      <c r="O787" s="22" t="n">
        <v>1.54</v>
      </c>
      <c r="P787" s="22" t="n">
        <v>1.521</v>
      </c>
      <c r="Q787" s="22" t="n">
        <v>1.53</v>
      </c>
      <c r="R787" s="22" t="n">
        <v>1.559</v>
      </c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customFormat="false" ht="15" hidden="false" customHeight="false" outlineLevel="0" collapsed="false">
      <c r="A788" s="22" t="s">
        <v>46</v>
      </c>
      <c r="B788" s="22" t="s">
        <v>3</v>
      </c>
      <c r="C788" s="22" t="s">
        <v>46</v>
      </c>
      <c r="D788" s="22" t="n">
        <v>41180</v>
      </c>
      <c r="E788" s="22" t="s">
        <v>132</v>
      </c>
      <c r="F788" s="22" t="s">
        <v>133</v>
      </c>
      <c r="G788" s="22" t="s">
        <v>131</v>
      </c>
      <c r="H788" s="22" t="s">
        <v>131</v>
      </c>
      <c r="I788" s="22" t="n">
        <v>170878</v>
      </c>
      <c r="J788" s="22" t="n">
        <v>171450</v>
      </c>
      <c r="K788" s="22" t="n">
        <v>171988</v>
      </c>
      <c r="L788" s="22" t="n">
        <v>172717</v>
      </c>
      <c r="M788" s="22" t="n">
        <v>173332</v>
      </c>
      <c r="N788" s="22" t="n">
        <v>173819</v>
      </c>
      <c r="O788" s="22" t="n">
        <v>174205</v>
      </c>
      <c r="P788" s="22" t="n">
        <v>174572</v>
      </c>
      <c r="Q788" s="22" t="n">
        <v>174892</v>
      </c>
      <c r="R788" s="22" t="n">
        <v>175257</v>
      </c>
      <c r="S788" s="22" t="n">
        <v>175490</v>
      </c>
      <c r="T788" s="22" t="n">
        <v>176092</v>
      </c>
      <c r="U788" s="22" t="n">
        <v>176487</v>
      </c>
      <c r="V788" s="22" t="n">
        <v>176750</v>
      </c>
      <c r="W788" s="22" t="n">
        <v>177220</v>
      </c>
      <c r="X788" s="22" t="n">
        <v>177489</v>
      </c>
      <c r="Y788" s="22" t="n">
        <v>177606</v>
      </c>
      <c r="Z788" s="22" t="n">
        <v>177694</v>
      </c>
      <c r="AA788" s="22" t="n">
        <v>177947</v>
      </c>
      <c r="AB788" s="22" t="n">
        <v>178229</v>
      </c>
      <c r="AC788" s="22" t="n">
        <v>178360</v>
      </c>
      <c r="AD788" s="22" t="n">
        <v>178458</v>
      </c>
      <c r="AE788" s="22" t="n">
        <v>178713</v>
      </c>
      <c r="AF788" s="22" t="n">
        <v>178991</v>
      </c>
    </row>
    <row r="789" customFormat="false" ht="15" hidden="false" customHeight="false" outlineLevel="0" collapsed="false">
      <c r="A789" s="22" t="s">
        <v>46</v>
      </c>
      <c r="B789" s="22" t="s">
        <v>3</v>
      </c>
      <c r="C789" s="22" t="s">
        <v>46</v>
      </c>
      <c r="D789" s="22" t="n">
        <v>41180</v>
      </c>
      <c r="E789" s="22" t="s">
        <v>132</v>
      </c>
      <c r="F789" s="22" t="s">
        <v>5</v>
      </c>
      <c r="G789" s="22" t="s">
        <v>131</v>
      </c>
      <c r="H789" s="22" t="s">
        <v>131</v>
      </c>
      <c r="I789" s="22" t="n">
        <v>1.453</v>
      </c>
      <c r="J789" s="22" t="n">
        <v>1.471</v>
      </c>
      <c r="K789" s="22" t="n">
        <v>1.498</v>
      </c>
      <c r="L789" s="22" t="n">
        <v>1.487</v>
      </c>
      <c r="M789" s="22" t="n">
        <v>1.494</v>
      </c>
      <c r="N789" s="22" t="n">
        <v>1.522</v>
      </c>
      <c r="O789" s="22" t="n">
        <v>1.552</v>
      </c>
      <c r="P789" s="22" t="n">
        <v>1.535</v>
      </c>
      <c r="Q789" s="22" t="n">
        <v>1.543</v>
      </c>
      <c r="R789" s="22" t="n">
        <v>1.573</v>
      </c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customFormat="false" ht="15" hidden="false" customHeight="false" outlineLevel="0" collapsed="false">
      <c r="A790" s="22" t="s">
        <v>46</v>
      </c>
      <c r="B790" s="22" t="s">
        <v>3</v>
      </c>
      <c r="C790" s="22" t="s">
        <v>46</v>
      </c>
      <c r="D790" s="22" t="n">
        <v>41180</v>
      </c>
      <c r="E790" s="22" t="s">
        <v>134</v>
      </c>
      <c r="F790" s="22" t="s">
        <v>135</v>
      </c>
      <c r="G790" s="22" t="s">
        <v>131</v>
      </c>
      <c r="H790" s="22" t="s">
        <v>131</v>
      </c>
      <c r="I790" s="22" t="n">
        <v>0.0196</v>
      </c>
      <c r="J790" s="22" t="n">
        <v>0.0158</v>
      </c>
      <c r="K790" s="22" t="n">
        <v>0.0182</v>
      </c>
      <c r="L790" s="22" t="n">
        <v>0.01</v>
      </c>
      <c r="M790" s="22" t="n">
        <v>0.0172</v>
      </c>
      <c r="N790" s="22" t="n">
        <v>0.0235</v>
      </c>
      <c r="O790" s="22" t="n">
        <v>0.0158</v>
      </c>
      <c r="P790" s="22" t="n">
        <v>0.0228</v>
      </c>
      <c r="Q790" s="22" t="n">
        <v>0.0237</v>
      </c>
      <c r="R790" s="22" t="n">
        <v>0.0207</v>
      </c>
      <c r="S790" s="22" t="n">
        <v>0.021</v>
      </c>
      <c r="T790" s="22" t="n">
        <v>0.022</v>
      </c>
      <c r="U790" s="22" t="n">
        <v>0.023</v>
      </c>
      <c r="V790" s="22" t="n">
        <v>0.023</v>
      </c>
      <c r="W790" s="22" t="n">
        <v>0.025</v>
      </c>
      <c r="X790" s="22" t="n">
        <v>0.025</v>
      </c>
      <c r="Y790" s="22" t="n">
        <v>0.024</v>
      </c>
      <c r="Z790" s="22" t="n">
        <v>0.023</v>
      </c>
      <c r="AA790" s="22" t="n">
        <v>0.023</v>
      </c>
      <c r="AB790" s="22" t="n">
        <v>0.023</v>
      </c>
      <c r="AC790" s="22" t="n">
        <v>0.025</v>
      </c>
      <c r="AD790" s="22" t="n">
        <v>0.025</v>
      </c>
      <c r="AE790" s="22" t="n">
        <v>0.026</v>
      </c>
      <c r="AF790" s="22" t="n">
        <v>0.027</v>
      </c>
    </row>
    <row r="791" customFormat="false" ht="15" hidden="false" customHeight="false" outlineLevel="0" collapsed="false">
      <c r="A791" s="22" t="s">
        <v>46</v>
      </c>
      <c r="B791" s="22" t="s">
        <v>3</v>
      </c>
      <c r="C791" s="22" t="s">
        <v>46</v>
      </c>
      <c r="D791" s="22" t="n">
        <v>41180</v>
      </c>
      <c r="E791" s="22" t="s">
        <v>136</v>
      </c>
      <c r="F791" s="22" t="s">
        <v>137</v>
      </c>
      <c r="G791" s="22" t="s">
        <v>131</v>
      </c>
      <c r="H791" s="22" t="s">
        <v>131</v>
      </c>
      <c r="I791" s="22" t="n">
        <v>3</v>
      </c>
      <c r="J791" s="22" t="n">
        <v>4</v>
      </c>
      <c r="K791" s="22" t="n">
        <v>4</v>
      </c>
      <c r="L791" s="22" t="n">
        <v>7</v>
      </c>
      <c r="M791" s="22" t="n">
        <v>8</v>
      </c>
      <c r="N791" s="22" t="n">
        <v>4</v>
      </c>
      <c r="O791" s="22" t="n">
        <v>9</v>
      </c>
      <c r="P791" s="22" t="n">
        <v>8</v>
      </c>
      <c r="Q791" s="22" t="n">
        <v>9</v>
      </c>
      <c r="R791" s="22" t="n">
        <v>10</v>
      </c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customFormat="false" ht="15" hidden="false" customHeight="false" outlineLevel="0" collapsed="false">
      <c r="A792" s="22" t="s">
        <v>213</v>
      </c>
      <c r="B792" s="22" t="s">
        <v>3</v>
      </c>
      <c r="C792" s="22" t="s">
        <v>213</v>
      </c>
      <c r="D792" s="22" t="n">
        <v>44700</v>
      </c>
      <c r="E792" s="22" t="s">
        <v>129</v>
      </c>
      <c r="F792" s="22" t="s">
        <v>130</v>
      </c>
      <c r="G792" s="22" t="s">
        <v>131</v>
      </c>
      <c r="H792" s="22" t="s">
        <v>131</v>
      </c>
      <c r="I792" s="22" t="n">
        <v>2.03691751662087</v>
      </c>
      <c r="J792" s="22" t="n">
        <v>2.06260538061386</v>
      </c>
      <c r="K792" s="22" t="n">
        <v>2.04515872011474</v>
      </c>
      <c r="L792" s="22" t="n">
        <v>2.05438832828743</v>
      </c>
      <c r="M792" s="22" t="n">
        <v>2.08395579998393</v>
      </c>
      <c r="N792" s="22" t="n">
        <v>2.10082208245054</v>
      </c>
      <c r="O792" s="22" t="n">
        <v>2.10828043939583</v>
      </c>
      <c r="P792" s="22" t="n">
        <v>2.10199146985494</v>
      </c>
      <c r="Q792" s="22" t="n">
        <v>2.11039512018739</v>
      </c>
      <c r="R792" s="22" t="n">
        <v>2.0608633779958</v>
      </c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customFormat="false" ht="15" hidden="false" customHeight="false" outlineLevel="0" collapsed="false">
      <c r="A793" s="22" t="s">
        <v>213</v>
      </c>
      <c r="B793" s="22" t="s">
        <v>3</v>
      </c>
      <c r="C793" s="22" t="s">
        <v>213</v>
      </c>
      <c r="D793" s="22" t="n">
        <v>44700</v>
      </c>
      <c r="E793" s="22" t="s">
        <v>132</v>
      </c>
      <c r="F793" s="22" t="s">
        <v>6</v>
      </c>
      <c r="G793" s="22" t="s">
        <v>131</v>
      </c>
      <c r="H793" s="22" t="s">
        <v>131</v>
      </c>
      <c r="I793" s="22" t="n">
        <v>2.196</v>
      </c>
      <c r="J793" s="22" t="n">
        <v>2.232</v>
      </c>
      <c r="K793" s="22" t="n">
        <v>2.231</v>
      </c>
      <c r="L793" s="22" t="n">
        <v>2.196</v>
      </c>
      <c r="M793" s="22" t="n">
        <v>2.212</v>
      </c>
      <c r="N793" s="22" t="n">
        <v>2.291</v>
      </c>
      <c r="O793" s="22" t="n">
        <v>2.342</v>
      </c>
      <c r="P793" s="22" t="n">
        <v>2.315</v>
      </c>
      <c r="Q793" s="22" t="n">
        <v>2.323</v>
      </c>
      <c r="R793" s="22" t="n">
        <v>2.342</v>
      </c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customFormat="false" ht="15" hidden="false" customHeight="false" outlineLevel="0" collapsed="false">
      <c r="A794" s="22" t="s">
        <v>213</v>
      </c>
      <c r="B794" s="22" t="s">
        <v>3</v>
      </c>
      <c r="C794" s="22" t="s">
        <v>213</v>
      </c>
      <c r="D794" s="22" t="n">
        <v>44700</v>
      </c>
      <c r="E794" s="22" t="s">
        <v>132</v>
      </c>
      <c r="F794" s="22" t="s">
        <v>133</v>
      </c>
      <c r="G794" s="22" t="s">
        <v>131</v>
      </c>
      <c r="H794" s="22" t="s">
        <v>131</v>
      </c>
      <c r="I794" s="22" t="n">
        <v>31710</v>
      </c>
      <c r="J794" s="22" t="n">
        <v>31865</v>
      </c>
      <c r="K794" s="22" t="n">
        <v>31909</v>
      </c>
      <c r="L794" s="22" t="n">
        <v>31909</v>
      </c>
      <c r="M794" s="22" t="n">
        <v>31909</v>
      </c>
      <c r="N794" s="22" t="n">
        <v>32011</v>
      </c>
      <c r="O794" s="22" t="n">
        <v>32129</v>
      </c>
      <c r="P794" s="22" t="n">
        <v>32177</v>
      </c>
      <c r="Q794" s="22" t="n">
        <v>32361</v>
      </c>
      <c r="R794" s="22" t="n">
        <v>32412</v>
      </c>
      <c r="S794" s="22" t="n">
        <v>32412</v>
      </c>
      <c r="T794" s="22" t="n">
        <v>32412</v>
      </c>
      <c r="U794" s="22" t="n">
        <v>32412</v>
      </c>
      <c r="V794" s="22" t="n">
        <v>32412</v>
      </c>
      <c r="W794" s="22" t="n">
        <v>32412</v>
      </c>
      <c r="X794" s="22" t="n">
        <v>32461</v>
      </c>
      <c r="Y794" s="22" t="n">
        <v>32472</v>
      </c>
      <c r="Z794" s="22" t="n">
        <v>32475</v>
      </c>
      <c r="AA794" s="22" t="n">
        <v>32476</v>
      </c>
      <c r="AB794" s="22" t="n">
        <v>32525</v>
      </c>
      <c r="AC794" s="22" t="n">
        <v>32534</v>
      </c>
      <c r="AD794" s="22" t="n">
        <v>32536</v>
      </c>
      <c r="AE794" s="22" t="n">
        <v>32534</v>
      </c>
      <c r="AF794" s="22" t="n">
        <v>32579</v>
      </c>
    </row>
    <row r="795" customFormat="false" ht="15" hidden="false" customHeight="false" outlineLevel="0" collapsed="false">
      <c r="A795" s="22" t="s">
        <v>213</v>
      </c>
      <c r="B795" s="22" t="s">
        <v>3</v>
      </c>
      <c r="C795" s="22" t="s">
        <v>213</v>
      </c>
      <c r="D795" s="22" t="n">
        <v>44700</v>
      </c>
      <c r="E795" s="22" t="s">
        <v>132</v>
      </c>
      <c r="F795" s="22" t="s">
        <v>5</v>
      </c>
      <c r="G795" s="22" t="s">
        <v>131</v>
      </c>
      <c r="H795" s="22" t="s">
        <v>131</v>
      </c>
      <c r="I795" s="22" t="n">
        <v>2.199</v>
      </c>
      <c r="J795" s="22" t="n">
        <v>2.242</v>
      </c>
      <c r="K795" s="22" t="n">
        <v>2.238</v>
      </c>
      <c r="L795" s="22" t="n">
        <v>2.21</v>
      </c>
      <c r="M795" s="22" t="n">
        <v>2.223</v>
      </c>
      <c r="N795" s="22" t="n">
        <v>2.306</v>
      </c>
      <c r="O795" s="22" t="n">
        <v>2.349</v>
      </c>
      <c r="P795" s="22" t="n">
        <v>2.325</v>
      </c>
      <c r="Q795" s="22" t="n">
        <v>2.332</v>
      </c>
      <c r="R795" s="22" t="n">
        <v>2.354</v>
      </c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customFormat="false" ht="15" hidden="false" customHeight="false" outlineLevel="0" collapsed="false">
      <c r="A796" s="22" t="s">
        <v>213</v>
      </c>
      <c r="B796" s="22" t="s">
        <v>3</v>
      </c>
      <c r="C796" s="22" t="s">
        <v>213</v>
      </c>
      <c r="D796" s="22" t="n">
        <v>44700</v>
      </c>
      <c r="E796" s="22" t="s">
        <v>134</v>
      </c>
      <c r="F796" s="22" t="s">
        <v>135</v>
      </c>
      <c r="G796" s="22" t="s">
        <v>131</v>
      </c>
      <c r="H796" s="22" t="s">
        <v>131</v>
      </c>
      <c r="I796" s="22" t="n">
        <v>0.0122</v>
      </c>
      <c r="J796" s="22" t="n">
        <v>0.0253</v>
      </c>
      <c r="K796" s="22" t="n">
        <v>0.0121</v>
      </c>
      <c r="L796" s="22" t="n">
        <v>0.0039</v>
      </c>
      <c r="M796" s="22" t="n">
        <v>-0.0019</v>
      </c>
      <c r="N796" s="22" t="n">
        <v>-0.0006</v>
      </c>
      <c r="O796" s="22" t="n">
        <v>-0.0052</v>
      </c>
      <c r="P796" s="22" t="n">
        <v>0.0051</v>
      </c>
      <c r="Q796" s="22" t="n">
        <v>0.004</v>
      </c>
      <c r="R796" s="22" t="n">
        <v>-0.0078</v>
      </c>
      <c r="S796" s="22" t="n">
        <v>-0.002</v>
      </c>
      <c r="T796" s="22" t="n">
        <v>0.007</v>
      </c>
      <c r="U796" s="22" t="n">
        <v>0.013</v>
      </c>
      <c r="V796" s="22" t="n">
        <v>0.012</v>
      </c>
      <c r="W796" s="22" t="n">
        <v>0.017</v>
      </c>
      <c r="X796" s="22" t="n">
        <v>0.021</v>
      </c>
      <c r="Y796" s="22" t="n">
        <v>0.019</v>
      </c>
      <c r="Z796" s="22" t="n">
        <v>0.022</v>
      </c>
      <c r="AA796" s="22" t="n">
        <v>0.025</v>
      </c>
      <c r="AB796" s="22" t="n">
        <v>0.031</v>
      </c>
      <c r="AC796" s="22" t="n">
        <v>0.03</v>
      </c>
      <c r="AD796" s="22" t="n">
        <v>0.029</v>
      </c>
      <c r="AE796" s="22" t="n">
        <v>0.03</v>
      </c>
      <c r="AF796" s="22" t="n">
        <v>0.032</v>
      </c>
    </row>
    <row r="797" customFormat="false" ht="15" hidden="false" customHeight="false" outlineLevel="0" collapsed="false">
      <c r="A797" s="22" t="s">
        <v>213</v>
      </c>
      <c r="B797" s="22" t="s">
        <v>3</v>
      </c>
      <c r="C797" s="22" t="s">
        <v>213</v>
      </c>
      <c r="D797" s="22" t="n">
        <v>44700</v>
      </c>
      <c r="E797" s="22" t="s">
        <v>136</v>
      </c>
      <c r="F797" s="22" t="s">
        <v>137</v>
      </c>
      <c r="G797" s="22" t="s">
        <v>131</v>
      </c>
      <c r="H797" s="22" t="s">
        <v>131</v>
      </c>
      <c r="I797" s="22" t="n">
        <v>1</v>
      </c>
      <c r="J797" s="22" t="n">
        <v>1</v>
      </c>
      <c r="K797" s="22" t="n">
        <v>2</v>
      </c>
      <c r="L797" s="22" t="n">
        <v>1</v>
      </c>
      <c r="M797" s="22" t="n">
        <v>1</v>
      </c>
      <c r="N797" s="22" t="n">
        <v>1</v>
      </c>
      <c r="O797" s="22" t="n">
        <v>0</v>
      </c>
      <c r="P797" s="22" t="n">
        <v>0</v>
      </c>
      <c r="Q797" s="22" t="n">
        <v>0</v>
      </c>
      <c r="R797" s="22" t="n">
        <v>0</v>
      </c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customFormat="false" ht="15" hidden="false" customHeight="false" outlineLevel="0" collapsed="false">
      <c r="A798" s="22" t="s">
        <v>214</v>
      </c>
      <c r="B798" s="22" t="s">
        <v>3</v>
      </c>
      <c r="C798" s="22" t="s">
        <v>214</v>
      </c>
      <c r="D798" s="22" t="n">
        <v>45060</v>
      </c>
      <c r="E798" s="22" t="s">
        <v>129</v>
      </c>
      <c r="F798" s="22" t="s">
        <v>130</v>
      </c>
      <c r="G798" s="22" t="s">
        <v>131</v>
      </c>
      <c r="H798" s="22" t="s">
        <v>131</v>
      </c>
      <c r="I798" s="22" t="n">
        <v>1.30515749602026</v>
      </c>
      <c r="J798" s="22" t="n">
        <v>1.32630120147825</v>
      </c>
      <c r="K798" s="22" t="n">
        <v>1.32895444805914</v>
      </c>
      <c r="L798" s="22" t="n">
        <v>1.37847859800035</v>
      </c>
      <c r="M798" s="22" t="n">
        <v>1.38517201698851</v>
      </c>
      <c r="N798" s="22" t="n">
        <v>1.40010485022855</v>
      </c>
      <c r="O798" s="22" t="n">
        <v>1.40360825805642</v>
      </c>
      <c r="P798" s="22" t="n">
        <v>1.41744825910763</v>
      </c>
      <c r="Q798" s="22" t="n">
        <v>1.33818469826246</v>
      </c>
      <c r="R798" s="22" t="n">
        <v>1.34949031082843</v>
      </c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customFormat="false" ht="15" hidden="false" customHeight="false" outlineLevel="0" collapsed="false">
      <c r="A799" s="22" t="s">
        <v>214</v>
      </c>
      <c r="B799" s="22" t="s">
        <v>3</v>
      </c>
      <c r="C799" s="22" t="s">
        <v>214</v>
      </c>
      <c r="D799" s="22" t="n">
        <v>45060</v>
      </c>
      <c r="E799" s="22" t="s">
        <v>132</v>
      </c>
      <c r="F799" s="22" t="s">
        <v>6</v>
      </c>
      <c r="G799" s="22" t="s">
        <v>131</v>
      </c>
      <c r="H799" s="22" t="s">
        <v>131</v>
      </c>
      <c r="I799" s="22" t="n">
        <v>1.45</v>
      </c>
      <c r="J799" s="22" t="n">
        <v>1.484</v>
      </c>
      <c r="K799" s="22" t="n">
        <v>1.499</v>
      </c>
      <c r="L799" s="22" t="n">
        <v>1.513</v>
      </c>
      <c r="M799" s="22" t="n">
        <v>1.528</v>
      </c>
      <c r="N799" s="22" t="n">
        <v>1.571</v>
      </c>
      <c r="O799" s="22" t="n">
        <v>1.597</v>
      </c>
      <c r="P799" s="22" t="n">
        <v>1.599</v>
      </c>
      <c r="Q799" s="22" t="n">
        <v>1.591</v>
      </c>
      <c r="R799" s="22" t="n">
        <v>1.608</v>
      </c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</row>
    <row r="800" customFormat="false" ht="15" hidden="false" customHeight="false" outlineLevel="0" collapsed="false">
      <c r="A800" s="22" t="s">
        <v>214</v>
      </c>
      <c r="B800" s="22" t="s">
        <v>3</v>
      </c>
      <c r="C800" s="22" t="s">
        <v>214</v>
      </c>
      <c r="D800" s="22" t="n">
        <v>45060</v>
      </c>
      <c r="E800" s="22" t="s">
        <v>132</v>
      </c>
      <c r="F800" s="22" t="s">
        <v>133</v>
      </c>
      <c r="G800" s="22" t="s">
        <v>131</v>
      </c>
      <c r="H800" s="22" t="s">
        <v>131</v>
      </c>
      <c r="I800" s="22" t="n">
        <v>42850</v>
      </c>
      <c r="J800" s="22" t="n">
        <v>42906</v>
      </c>
      <c r="K800" s="22" t="n">
        <v>43008</v>
      </c>
      <c r="L800" s="22" t="n">
        <v>43098</v>
      </c>
      <c r="M800" s="22" t="n">
        <v>43182</v>
      </c>
      <c r="N800" s="22" t="n">
        <v>43206</v>
      </c>
      <c r="O800" s="22" t="n">
        <v>43278</v>
      </c>
      <c r="P800" s="22" t="n">
        <v>43278</v>
      </c>
      <c r="Q800" s="22" t="n">
        <v>43306</v>
      </c>
      <c r="R800" s="22" t="n">
        <v>43306</v>
      </c>
      <c r="S800" s="22" t="n">
        <v>43306</v>
      </c>
      <c r="T800" s="22" t="n">
        <v>43364</v>
      </c>
      <c r="U800" s="22" t="n">
        <v>43393</v>
      </c>
      <c r="V800" s="22" t="n">
        <v>43393</v>
      </c>
      <c r="W800" s="22" t="n">
        <v>43393</v>
      </c>
      <c r="X800" s="22" t="n">
        <v>43393</v>
      </c>
      <c r="Y800" s="22" t="n">
        <v>43393</v>
      </c>
      <c r="Z800" s="22" t="n">
        <v>43393</v>
      </c>
      <c r="AA800" s="22" t="n">
        <v>43393</v>
      </c>
      <c r="AB800" s="22" t="n">
        <v>43393</v>
      </c>
      <c r="AC800" s="22" t="n">
        <v>43393</v>
      </c>
      <c r="AD800" s="22" t="n">
        <v>43393</v>
      </c>
      <c r="AE800" s="22" t="n">
        <v>43393</v>
      </c>
      <c r="AF800" s="22" t="n">
        <v>43393</v>
      </c>
    </row>
    <row r="801" customFormat="false" ht="15" hidden="false" customHeight="false" outlineLevel="0" collapsed="false">
      <c r="A801" s="22" t="s">
        <v>214</v>
      </c>
      <c r="B801" s="22" t="s">
        <v>3</v>
      </c>
      <c r="C801" s="22" t="s">
        <v>214</v>
      </c>
      <c r="D801" s="22" t="n">
        <v>45060</v>
      </c>
      <c r="E801" s="22" t="s">
        <v>132</v>
      </c>
      <c r="F801" s="22" t="s">
        <v>5</v>
      </c>
      <c r="G801" s="22" t="s">
        <v>131</v>
      </c>
      <c r="H801" s="22" t="s">
        <v>131</v>
      </c>
      <c r="I801" s="22" t="n">
        <v>1.453</v>
      </c>
      <c r="J801" s="22" t="n">
        <v>1.486</v>
      </c>
      <c r="K801" s="22" t="n">
        <v>1.5</v>
      </c>
      <c r="L801" s="22" t="n">
        <v>1.514</v>
      </c>
      <c r="M801" s="22" t="n">
        <v>1.537</v>
      </c>
      <c r="N801" s="22" t="n">
        <v>1.582</v>
      </c>
      <c r="O801" s="22" t="n">
        <v>1.607</v>
      </c>
      <c r="P801" s="22" t="n">
        <v>1.606</v>
      </c>
      <c r="Q801" s="22" t="n">
        <v>1.597</v>
      </c>
      <c r="R801" s="22" t="n">
        <v>1.618</v>
      </c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</row>
    <row r="802" customFormat="false" ht="15" hidden="false" customHeight="false" outlineLevel="0" collapsed="false">
      <c r="A802" s="22" t="s">
        <v>214</v>
      </c>
      <c r="B802" s="22" t="s">
        <v>3</v>
      </c>
      <c r="C802" s="22" t="s">
        <v>214</v>
      </c>
      <c r="D802" s="22" t="n">
        <v>45060</v>
      </c>
      <c r="E802" s="22" t="s">
        <v>134</v>
      </c>
      <c r="F802" s="22" t="s">
        <v>135</v>
      </c>
      <c r="G802" s="22" t="s">
        <v>131</v>
      </c>
      <c r="H802" s="22" t="s">
        <v>131</v>
      </c>
      <c r="I802" s="22" t="n">
        <v>0.0666</v>
      </c>
      <c r="J802" s="22" t="n">
        <v>0.0741</v>
      </c>
      <c r="K802" s="22" t="n">
        <v>0.0569</v>
      </c>
      <c r="L802" s="22" t="n">
        <v>0.0522</v>
      </c>
      <c r="M802" s="22" t="n">
        <v>0.0537</v>
      </c>
      <c r="N802" s="22" t="n">
        <v>0.0493</v>
      </c>
      <c r="O802" s="22" t="n">
        <v>0.049</v>
      </c>
      <c r="P802" s="22" t="n">
        <v>0.0393</v>
      </c>
      <c r="Q802" s="22" t="n">
        <v>0.0252</v>
      </c>
      <c r="R802" s="22" t="n">
        <v>0.0106</v>
      </c>
      <c r="S802" s="22" t="n">
        <v>0.011</v>
      </c>
      <c r="T802" s="22" t="n">
        <v>0.017</v>
      </c>
      <c r="U802" s="22" t="n">
        <v>0.03</v>
      </c>
      <c r="V802" s="22" t="n">
        <v>0.036</v>
      </c>
      <c r="W802" s="22" t="n">
        <v>0.037</v>
      </c>
      <c r="X802" s="22" t="n">
        <v>0.037</v>
      </c>
      <c r="Y802" s="22" t="n">
        <v>0.036</v>
      </c>
      <c r="Z802" s="22" t="n">
        <v>0.03</v>
      </c>
      <c r="AA802" s="22" t="n">
        <v>0.029</v>
      </c>
      <c r="AB802" s="22" t="n">
        <v>0.03</v>
      </c>
      <c r="AC802" s="22" t="n">
        <v>0.031</v>
      </c>
      <c r="AD802" s="22" t="n">
        <v>0.03</v>
      </c>
      <c r="AE802" s="22" t="n">
        <v>0.025</v>
      </c>
      <c r="AF802" s="22" t="n">
        <v>0.024</v>
      </c>
    </row>
    <row r="803" customFormat="false" ht="15" hidden="false" customHeight="false" outlineLevel="0" collapsed="false">
      <c r="A803" s="22" t="s">
        <v>214</v>
      </c>
      <c r="B803" s="22" t="s">
        <v>3</v>
      </c>
      <c r="C803" s="22" t="s">
        <v>214</v>
      </c>
      <c r="D803" s="22" t="n">
        <v>45060</v>
      </c>
      <c r="E803" s="22" t="s">
        <v>136</v>
      </c>
      <c r="F803" s="22" t="s">
        <v>137</v>
      </c>
      <c r="G803" s="22" t="s">
        <v>131</v>
      </c>
      <c r="H803" s="22" t="s">
        <v>131</v>
      </c>
      <c r="I803" s="22" t="n">
        <v>3</v>
      </c>
      <c r="J803" s="22" t="n">
        <v>2</v>
      </c>
      <c r="K803" s="22" t="n">
        <v>0</v>
      </c>
      <c r="L803" s="22" t="n">
        <v>0</v>
      </c>
      <c r="M803" s="22" t="n">
        <v>0</v>
      </c>
      <c r="N803" s="22" t="n">
        <v>1</v>
      </c>
      <c r="O803" s="22" t="n">
        <v>1</v>
      </c>
      <c r="P803" s="22" t="n">
        <v>2</v>
      </c>
      <c r="Q803" s="22" t="n">
        <v>2</v>
      </c>
      <c r="R803" s="22" t="n">
        <v>1</v>
      </c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</row>
    <row r="804" customFormat="false" ht="15" hidden="false" customHeight="false" outlineLevel="0" collapsed="false">
      <c r="A804" s="22" t="s">
        <v>215</v>
      </c>
      <c r="B804" s="22" t="s">
        <v>3</v>
      </c>
      <c r="C804" s="22" t="s">
        <v>215</v>
      </c>
      <c r="D804" s="22" t="n">
        <v>45104</v>
      </c>
      <c r="E804" s="22" t="s">
        <v>129</v>
      </c>
      <c r="F804" s="22" t="s">
        <v>130</v>
      </c>
      <c r="G804" s="22" t="s">
        <v>131</v>
      </c>
      <c r="H804" s="22" t="s">
        <v>131</v>
      </c>
      <c r="I804" s="22" t="n">
        <v>1.99122439761314</v>
      </c>
      <c r="J804" s="22" t="n">
        <v>2.00214676281213</v>
      </c>
      <c r="K804" s="22" t="n">
        <v>2.0338415689721</v>
      </c>
      <c r="L804" s="22" t="n">
        <v>2.01305464069617</v>
      </c>
      <c r="M804" s="22" t="n">
        <v>2.01074032016046</v>
      </c>
      <c r="N804" s="22" t="n">
        <v>2.02383693928685</v>
      </c>
      <c r="O804" s="22" t="n">
        <v>2.02858435991998</v>
      </c>
      <c r="P804" s="22" t="n">
        <v>2.04488623322916</v>
      </c>
      <c r="Q804" s="22" t="n">
        <v>2.02732210350139</v>
      </c>
      <c r="R804" s="22" t="n">
        <v>2.03126870906197</v>
      </c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customFormat="false" ht="15" hidden="false" customHeight="false" outlineLevel="0" collapsed="false">
      <c r="A805" s="22" t="s">
        <v>215</v>
      </c>
      <c r="B805" s="22" t="s">
        <v>3</v>
      </c>
      <c r="C805" s="22" t="s">
        <v>215</v>
      </c>
      <c r="D805" s="22" t="n">
        <v>45104</v>
      </c>
      <c r="E805" s="22" t="s">
        <v>132</v>
      </c>
      <c r="F805" s="22" t="s">
        <v>6</v>
      </c>
      <c r="G805" s="22" t="s">
        <v>131</v>
      </c>
      <c r="H805" s="22" t="s">
        <v>131</v>
      </c>
      <c r="I805" s="22" t="n">
        <v>2.014</v>
      </c>
      <c r="J805" s="22" t="n">
        <v>2.062</v>
      </c>
      <c r="K805" s="22" t="n">
        <v>2.075</v>
      </c>
      <c r="L805" s="22" t="n">
        <v>2.052</v>
      </c>
      <c r="M805" s="22" t="n">
        <v>2.068</v>
      </c>
      <c r="N805" s="22" t="n">
        <v>2.11</v>
      </c>
      <c r="O805" s="22" t="n">
        <v>2.127</v>
      </c>
      <c r="P805" s="22" t="n">
        <v>2.1</v>
      </c>
      <c r="Q805" s="22" t="n">
        <v>2.115</v>
      </c>
      <c r="R805" s="22" t="n">
        <v>2.131</v>
      </c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customFormat="false" ht="15" hidden="false" customHeight="false" outlineLevel="0" collapsed="false">
      <c r="A806" s="22" t="s">
        <v>215</v>
      </c>
      <c r="B806" s="22" t="s">
        <v>3</v>
      </c>
      <c r="C806" s="22" t="s">
        <v>215</v>
      </c>
      <c r="D806" s="22" t="n">
        <v>45104</v>
      </c>
      <c r="E806" s="22" t="s">
        <v>132</v>
      </c>
      <c r="F806" s="22" t="s">
        <v>133</v>
      </c>
      <c r="G806" s="22" t="s">
        <v>131</v>
      </c>
      <c r="H806" s="22" t="s">
        <v>131</v>
      </c>
      <c r="I806" s="22" t="n">
        <v>64101</v>
      </c>
      <c r="J806" s="22" t="n">
        <v>64781</v>
      </c>
      <c r="K806" s="22" t="n">
        <v>65566</v>
      </c>
      <c r="L806" s="22" t="n">
        <v>66043</v>
      </c>
      <c r="M806" s="22" t="n">
        <v>66274</v>
      </c>
      <c r="N806" s="22" t="n">
        <v>66607</v>
      </c>
      <c r="O806" s="22" t="n">
        <v>67001</v>
      </c>
      <c r="P806" s="22" t="n">
        <v>67293</v>
      </c>
      <c r="Q806" s="22" t="n">
        <v>67564</v>
      </c>
      <c r="R806" s="22" t="n">
        <v>67698</v>
      </c>
      <c r="S806" s="22" t="n">
        <v>67858</v>
      </c>
      <c r="T806" s="22" t="n">
        <v>67906</v>
      </c>
      <c r="U806" s="22" t="n">
        <v>68022</v>
      </c>
      <c r="V806" s="22" t="n">
        <v>68333</v>
      </c>
      <c r="W806" s="22" t="n">
        <v>68664</v>
      </c>
      <c r="X806" s="22" t="n">
        <v>68764</v>
      </c>
      <c r="Y806" s="22" t="n">
        <v>68808</v>
      </c>
      <c r="Z806" s="22" t="n">
        <v>68829</v>
      </c>
      <c r="AA806" s="22" t="n">
        <v>68894</v>
      </c>
      <c r="AB806" s="22" t="n">
        <v>68916</v>
      </c>
      <c r="AC806" s="22" t="n">
        <v>68916</v>
      </c>
      <c r="AD806" s="22" t="n">
        <v>68916</v>
      </c>
      <c r="AE806" s="22" t="n">
        <v>68916</v>
      </c>
      <c r="AF806" s="22" t="n">
        <v>68931</v>
      </c>
    </row>
    <row r="807" customFormat="false" ht="15" hidden="false" customHeight="false" outlineLevel="0" collapsed="false">
      <c r="A807" s="22" t="s">
        <v>215</v>
      </c>
      <c r="B807" s="22" t="s">
        <v>3</v>
      </c>
      <c r="C807" s="22" t="s">
        <v>215</v>
      </c>
      <c r="D807" s="22" t="n">
        <v>45104</v>
      </c>
      <c r="E807" s="22" t="s">
        <v>132</v>
      </c>
      <c r="F807" s="22" t="s">
        <v>5</v>
      </c>
      <c r="G807" s="22" t="s">
        <v>131</v>
      </c>
      <c r="H807" s="22" t="s">
        <v>131</v>
      </c>
      <c r="I807" s="22" t="n">
        <v>2.029</v>
      </c>
      <c r="J807" s="22" t="n">
        <v>2.077</v>
      </c>
      <c r="K807" s="22" t="n">
        <v>2.092</v>
      </c>
      <c r="L807" s="22" t="n">
        <v>2.074</v>
      </c>
      <c r="M807" s="22" t="n">
        <v>2.084</v>
      </c>
      <c r="N807" s="22" t="n">
        <v>2.127</v>
      </c>
      <c r="O807" s="22" t="n">
        <v>2.143</v>
      </c>
      <c r="P807" s="22" t="n">
        <v>2.119</v>
      </c>
      <c r="Q807" s="22" t="n">
        <v>2.15</v>
      </c>
      <c r="R807" s="22" t="n">
        <v>2.172</v>
      </c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</row>
    <row r="808" customFormat="false" ht="15" hidden="false" customHeight="false" outlineLevel="0" collapsed="false">
      <c r="A808" s="22" t="s">
        <v>215</v>
      </c>
      <c r="B808" s="22" t="s">
        <v>3</v>
      </c>
      <c r="C808" s="22" t="s">
        <v>215</v>
      </c>
      <c r="D808" s="22" t="n">
        <v>45104</v>
      </c>
      <c r="E808" s="22" t="s">
        <v>134</v>
      </c>
      <c r="F808" s="22" t="s">
        <v>135</v>
      </c>
      <c r="G808" s="22" t="s">
        <v>131</v>
      </c>
      <c r="H808" s="22" t="s">
        <v>131</v>
      </c>
      <c r="I808" s="22" t="n">
        <v>0.0021</v>
      </c>
      <c r="J808" s="22" t="n">
        <v>0.0199</v>
      </c>
      <c r="K808" s="22" t="n">
        <v>0.022</v>
      </c>
      <c r="L808" s="22" t="n">
        <v>0.0098</v>
      </c>
      <c r="M808" s="22" t="n">
        <v>0.0164</v>
      </c>
      <c r="N808" s="22" t="n">
        <v>0.0148</v>
      </c>
      <c r="O808" s="22" t="n">
        <v>0.0127</v>
      </c>
      <c r="P808" s="22" t="n">
        <v>0.0136</v>
      </c>
      <c r="Q808" s="22" t="n">
        <v>0.009</v>
      </c>
      <c r="R808" s="22" t="n">
        <v>-0.0005</v>
      </c>
      <c r="S808" s="22" t="n">
        <v>0</v>
      </c>
      <c r="T808" s="22" t="n">
        <v>0.013</v>
      </c>
      <c r="U808" s="22" t="n">
        <v>0.014</v>
      </c>
      <c r="V808" s="22" t="n">
        <v>0.014</v>
      </c>
      <c r="W808" s="22" t="n">
        <v>0.013</v>
      </c>
      <c r="X808" s="22" t="n">
        <v>0.015</v>
      </c>
      <c r="Y808" s="22" t="n">
        <v>0.015</v>
      </c>
      <c r="Z808" s="22" t="n">
        <v>0.015</v>
      </c>
      <c r="AA808" s="22" t="n">
        <v>0.016</v>
      </c>
      <c r="AB808" s="22" t="n">
        <v>0.017</v>
      </c>
      <c r="AC808" s="22" t="n">
        <v>0.017</v>
      </c>
      <c r="AD808" s="22" t="n">
        <v>0.018</v>
      </c>
      <c r="AE808" s="22" t="n">
        <v>0.019</v>
      </c>
      <c r="AF808" s="22" t="n">
        <v>0.02</v>
      </c>
    </row>
    <row r="809" customFormat="false" ht="15" hidden="false" customHeight="false" outlineLevel="0" collapsed="false">
      <c r="A809" s="22" t="s">
        <v>215</v>
      </c>
      <c r="B809" s="22" t="s">
        <v>3</v>
      </c>
      <c r="C809" s="22" t="s">
        <v>215</v>
      </c>
      <c r="D809" s="22" t="n">
        <v>45104</v>
      </c>
      <c r="E809" s="22" t="s">
        <v>136</v>
      </c>
      <c r="F809" s="22" t="s">
        <v>137</v>
      </c>
      <c r="G809" s="22" t="s">
        <v>131</v>
      </c>
      <c r="H809" s="22" t="s">
        <v>131</v>
      </c>
      <c r="I809" s="22" t="n">
        <v>10</v>
      </c>
      <c r="J809" s="22" t="n">
        <v>8</v>
      </c>
      <c r="K809" s="22" t="n">
        <v>5</v>
      </c>
      <c r="L809" s="22" t="n">
        <v>4</v>
      </c>
      <c r="M809" s="22" t="n">
        <v>5</v>
      </c>
      <c r="N809" s="22" t="n">
        <v>4</v>
      </c>
      <c r="O809" s="22" t="n">
        <v>5</v>
      </c>
      <c r="P809" s="22" t="n">
        <v>5</v>
      </c>
      <c r="Q809" s="22" t="n">
        <v>4</v>
      </c>
      <c r="R809" s="22" t="n">
        <v>8</v>
      </c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</row>
    <row r="810" customFormat="false" ht="15" hidden="false" customHeight="false" outlineLevel="0" collapsed="false">
      <c r="A810" s="22" t="s">
        <v>70</v>
      </c>
      <c r="B810" s="22" t="s">
        <v>3</v>
      </c>
      <c r="C810" s="22" t="s">
        <v>70</v>
      </c>
      <c r="D810" s="22" t="n">
        <v>45220</v>
      </c>
      <c r="E810" s="22" t="s">
        <v>129</v>
      </c>
      <c r="F810" s="22" t="s">
        <v>130</v>
      </c>
      <c r="G810" s="22" t="s">
        <v>131</v>
      </c>
      <c r="H810" s="22" t="s">
        <v>131</v>
      </c>
      <c r="I810" s="22" t="n">
        <v>1.37972745543369</v>
      </c>
      <c r="J810" s="22" t="n">
        <v>1.38605044495566</v>
      </c>
      <c r="K810" s="22" t="n">
        <v>1.40211471718977</v>
      </c>
      <c r="L810" s="22" t="n">
        <v>1.3550955503176</v>
      </c>
      <c r="M810" s="22" t="n">
        <v>1.36263688135247</v>
      </c>
      <c r="N810" s="22" t="n">
        <v>1.37154567741129</v>
      </c>
      <c r="O810" s="22" t="n">
        <v>1.3563580881924</v>
      </c>
      <c r="P810" s="22" t="n">
        <v>1.40887238816189</v>
      </c>
      <c r="Q810" s="22" t="n">
        <v>1.42203241527779</v>
      </c>
      <c r="R810" s="22" t="n">
        <v>1.39998118153695</v>
      </c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</row>
    <row r="811" customFormat="false" ht="15" hidden="false" customHeight="false" outlineLevel="0" collapsed="false">
      <c r="A811" s="22" t="s">
        <v>70</v>
      </c>
      <c r="B811" s="22" t="s">
        <v>3</v>
      </c>
      <c r="C811" s="22" t="s">
        <v>70</v>
      </c>
      <c r="D811" s="22" t="n">
        <v>45220</v>
      </c>
      <c r="E811" s="22" t="s">
        <v>132</v>
      </c>
      <c r="F811" s="22" t="s">
        <v>6</v>
      </c>
      <c r="G811" s="22" t="s">
        <v>131</v>
      </c>
      <c r="H811" s="22" t="s">
        <v>131</v>
      </c>
      <c r="I811" s="22" t="n">
        <v>1.315</v>
      </c>
      <c r="J811" s="22" t="n">
        <v>1.314</v>
      </c>
      <c r="K811" s="22" t="n">
        <v>1.325</v>
      </c>
      <c r="L811" s="22" t="n">
        <v>1.339</v>
      </c>
      <c r="M811" s="22" t="n">
        <v>1.342</v>
      </c>
      <c r="N811" s="22" t="n">
        <v>1.353</v>
      </c>
      <c r="O811" s="22" t="n">
        <v>1.373</v>
      </c>
      <c r="P811" s="22" t="n">
        <v>1.365</v>
      </c>
      <c r="Q811" s="22" t="n">
        <v>1.363</v>
      </c>
      <c r="R811" s="22" t="n">
        <v>1.358</v>
      </c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</row>
    <row r="812" customFormat="false" ht="15" hidden="false" customHeight="false" outlineLevel="0" collapsed="false">
      <c r="A812" s="22" t="s">
        <v>70</v>
      </c>
      <c r="B812" s="22" t="s">
        <v>3</v>
      </c>
      <c r="C812" s="22" t="s">
        <v>70</v>
      </c>
      <c r="D812" s="22" t="n">
        <v>45220</v>
      </c>
      <c r="E812" s="22" t="s">
        <v>132</v>
      </c>
      <c r="F812" s="22" t="s">
        <v>133</v>
      </c>
      <c r="G812" s="22" t="s">
        <v>131</v>
      </c>
      <c r="H812" s="22" t="s">
        <v>131</v>
      </c>
      <c r="I812" s="22" t="n">
        <v>31357</v>
      </c>
      <c r="J812" s="22" t="n">
        <v>31625</v>
      </c>
      <c r="K812" s="22" t="n">
        <v>31833</v>
      </c>
      <c r="L812" s="22" t="n">
        <v>31833</v>
      </c>
      <c r="M812" s="22" t="n">
        <v>32083</v>
      </c>
      <c r="N812" s="22" t="n">
        <v>32083</v>
      </c>
      <c r="O812" s="22" t="n">
        <v>32083</v>
      </c>
      <c r="P812" s="22" t="n">
        <v>32123</v>
      </c>
      <c r="Q812" s="22" t="n">
        <v>31924</v>
      </c>
      <c r="R812" s="22" t="n">
        <v>32032</v>
      </c>
      <c r="S812" s="22" t="n">
        <v>32206</v>
      </c>
      <c r="T812" s="22" t="n">
        <v>32380</v>
      </c>
      <c r="U812" s="22" t="n">
        <v>32585</v>
      </c>
      <c r="V812" s="22" t="n">
        <v>32792</v>
      </c>
      <c r="W812" s="22" t="n">
        <v>32982</v>
      </c>
      <c r="X812" s="22" t="n">
        <v>33105</v>
      </c>
      <c r="Y812" s="22" t="n">
        <v>33188</v>
      </c>
      <c r="Z812" s="22" t="n">
        <v>33188</v>
      </c>
      <c r="AA812" s="22" t="n">
        <v>33343</v>
      </c>
      <c r="AB812" s="22" t="n">
        <v>33471</v>
      </c>
      <c r="AC812" s="22" t="n">
        <v>33561</v>
      </c>
      <c r="AD812" s="22" t="n">
        <v>33564</v>
      </c>
      <c r="AE812" s="22" t="n">
        <v>33717</v>
      </c>
      <c r="AF812" s="22" t="n">
        <v>33837</v>
      </c>
    </row>
    <row r="813" customFormat="false" ht="15" hidden="false" customHeight="false" outlineLevel="0" collapsed="false">
      <c r="A813" s="22" t="s">
        <v>70</v>
      </c>
      <c r="B813" s="22" t="s">
        <v>3</v>
      </c>
      <c r="C813" s="22" t="s">
        <v>70</v>
      </c>
      <c r="D813" s="22" t="n">
        <v>45220</v>
      </c>
      <c r="E813" s="22" t="s">
        <v>132</v>
      </c>
      <c r="F813" s="22" t="s">
        <v>5</v>
      </c>
      <c r="G813" s="22" t="s">
        <v>131</v>
      </c>
      <c r="H813" s="22" t="s">
        <v>131</v>
      </c>
      <c r="I813" s="22" t="n">
        <v>1.327</v>
      </c>
      <c r="J813" s="22" t="n">
        <v>1.326</v>
      </c>
      <c r="K813" s="22" t="n">
        <v>1.34</v>
      </c>
      <c r="L813" s="22" t="n">
        <v>1.343</v>
      </c>
      <c r="M813" s="22" t="n">
        <v>1.352</v>
      </c>
      <c r="N813" s="22" t="n">
        <v>1.362</v>
      </c>
      <c r="O813" s="22" t="n">
        <v>1.386</v>
      </c>
      <c r="P813" s="22" t="n">
        <v>1.379</v>
      </c>
      <c r="Q813" s="22" t="n">
        <v>1.383</v>
      </c>
      <c r="R813" s="22" t="n">
        <v>1.376</v>
      </c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customFormat="false" ht="15" hidden="false" customHeight="false" outlineLevel="0" collapsed="false">
      <c r="A814" s="22" t="s">
        <v>70</v>
      </c>
      <c r="B814" s="22" t="s">
        <v>3</v>
      </c>
      <c r="C814" s="22" t="s">
        <v>70</v>
      </c>
      <c r="D814" s="22" t="n">
        <v>45220</v>
      </c>
      <c r="E814" s="22" t="s">
        <v>134</v>
      </c>
      <c r="F814" s="22" t="s">
        <v>135</v>
      </c>
      <c r="G814" s="22" t="s">
        <v>131</v>
      </c>
      <c r="H814" s="22" t="s">
        <v>131</v>
      </c>
      <c r="I814" s="22" t="n">
        <v>0.0071</v>
      </c>
      <c r="J814" s="22" t="n">
        <v>0.0042</v>
      </c>
      <c r="K814" s="22" t="n">
        <v>0.0159</v>
      </c>
      <c r="L814" s="22" t="n">
        <v>0.0336</v>
      </c>
      <c r="M814" s="22" t="n">
        <v>0.0326</v>
      </c>
      <c r="N814" s="22" t="n">
        <v>0.0278</v>
      </c>
      <c r="O814" s="22" t="n">
        <v>0.0091</v>
      </c>
      <c r="P814" s="22" t="n">
        <v>0.0004</v>
      </c>
      <c r="Q814" s="22" t="n">
        <v>-0.0017</v>
      </c>
      <c r="R814" s="22" t="n">
        <v>-0.0119</v>
      </c>
      <c r="S814" s="22" t="n">
        <v>-0.007</v>
      </c>
      <c r="T814" s="22" t="n">
        <v>0.003</v>
      </c>
      <c r="U814" s="22" t="n">
        <v>0.014</v>
      </c>
      <c r="V814" s="22" t="n">
        <v>0.014</v>
      </c>
      <c r="W814" s="22" t="n">
        <v>0.016</v>
      </c>
      <c r="X814" s="22" t="n">
        <v>0.017</v>
      </c>
      <c r="Y814" s="22" t="n">
        <v>0.016</v>
      </c>
      <c r="Z814" s="22" t="n">
        <v>0.016</v>
      </c>
      <c r="AA814" s="22" t="n">
        <v>0.017</v>
      </c>
      <c r="AB814" s="22" t="n">
        <v>0.017</v>
      </c>
      <c r="AC814" s="22" t="n">
        <v>0.017</v>
      </c>
      <c r="AD814" s="22" t="n">
        <v>0.017</v>
      </c>
      <c r="AE814" s="22" t="n">
        <v>0.017</v>
      </c>
      <c r="AF814" s="22" t="n">
        <v>0.017</v>
      </c>
    </row>
    <row r="815" customFormat="false" ht="15" hidden="false" customHeight="false" outlineLevel="0" collapsed="false">
      <c r="A815" s="22" t="s">
        <v>70</v>
      </c>
      <c r="B815" s="22" t="s">
        <v>3</v>
      </c>
      <c r="C815" s="22" t="s">
        <v>70</v>
      </c>
      <c r="D815" s="22" t="n">
        <v>45220</v>
      </c>
      <c r="E815" s="22" t="s">
        <v>136</v>
      </c>
      <c r="F815" s="22" t="s">
        <v>137</v>
      </c>
      <c r="G815" s="22" t="s">
        <v>131</v>
      </c>
      <c r="H815" s="22" t="s">
        <v>131</v>
      </c>
      <c r="I815" s="22" t="n">
        <v>1</v>
      </c>
      <c r="J815" s="22" t="n">
        <v>1</v>
      </c>
      <c r="K815" s="22" t="n">
        <v>1</v>
      </c>
      <c r="L815" s="22" t="n">
        <v>1</v>
      </c>
      <c r="M815" s="22" t="n">
        <v>2</v>
      </c>
      <c r="N815" s="22" t="n">
        <v>3</v>
      </c>
      <c r="O815" s="22" t="n">
        <v>5</v>
      </c>
      <c r="P815" s="22" t="n">
        <v>5</v>
      </c>
      <c r="Q815" s="22" t="n">
        <v>4</v>
      </c>
      <c r="R815" s="22" t="n">
        <v>3</v>
      </c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customFormat="false" ht="15" hidden="false" customHeight="false" outlineLevel="0" collapsed="false">
      <c r="A816" s="22" t="s">
        <v>77</v>
      </c>
      <c r="B816" s="22" t="s">
        <v>3</v>
      </c>
      <c r="C816" s="22" t="s">
        <v>77</v>
      </c>
      <c r="D816" s="22" t="n">
        <v>45300</v>
      </c>
      <c r="E816" s="22" t="s">
        <v>129</v>
      </c>
      <c r="F816" s="22" t="s">
        <v>130</v>
      </c>
      <c r="G816" s="22" t="s">
        <v>131</v>
      </c>
      <c r="H816" s="22" t="s">
        <v>131</v>
      </c>
      <c r="I816" s="22" t="n">
        <v>1.95638055443878</v>
      </c>
      <c r="J816" s="22" t="n">
        <v>1.97011369307418</v>
      </c>
      <c r="K816" s="22" t="n">
        <v>1.98503854303617</v>
      </c>
      <c r="L816" s="22" t="n">
        <v>1.98581615671029</v>
      </c>
      <c r="M816" s="22" t="n">
        <v>1.99904202313361</v>
      </c>
      <c r="N816" s="22" t="n">
        <v>2.01031492580064</v>
      </c>
      <c r="O816" s="22" t="n">
        <v>2.02669607249979</v>
      </c>
      <c r="P816" s="22" t="n">
        <v>2.01189447375734</v>
      </c>
      <c r="Q816" s="22" t="n">
        <v>1.99654491060012</v>
      </c>
      <c r="R816" s="22" t="n">
        <v>1.99393638589742</v>
      </c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</row>
    <row r="817" customFormat="false" ht="15" hidden="false" customHeight="false" outlineLevel="0" collapsed="false">
      <c r="A817" s="22" t="s">
        <v>77</v>
      </c>
      <c r="B817" s="22" t="s">
        <v>3</v>
      </c>
      <c r="C817" s="22" t="s">
        <v>77</v>
      </c>
      <c r="D817" s="22" t="n">
        <v>45300</v>
      </c>
      <c r="E817" s="22" t="s">
        <v>132</v>
      </c>
      <c r="F817" s="22" t="s">
        <v>6</v>
      </c>
      <c r="G817" s="22" t="s">
        <v>131</v>
      </c>
      <c r="H817" s="22" t="s">
        <v>131</v>
      </c>
      <c r="I817" s="22" t="n">
        <v>1.933</v>
      </c>
      <c r="J817" s="22" t="n">
        <v>1.942</v>
      </c>
      <c r="K817" s="22" t="n">
        <v>1.929</v>
      </c>
      <c r="L817" s="22" t="n">
        <v>1.941</v>
      </c>
      <c r="M817" s="22" t="n">
        <v>1.963</v>
      </c>
      <c r="N817" s="22" t="n">
        <v>1.953</v>
      </c>
      <c r="O817" s="22" t="n">
        <v>1.925</v>
      </c>
      <c r="P817" s="22" t="n">
        <v>1.875</v>
      </c>
      <c r="Q817" s="22" t="n">
        <v>1.876</v>
      </c>
      <c r="R817" s="22" t="n">
        <v>1.874</v>
      </c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</row>
    <row r="818" customFormat="false" ht="15" hidden="false" customHeight="false" outlineLevel="0" collapsed="false">
      <c r="A818" s="22" t="s">
        <v>77</v>
      </c>
      <c r="B818" s="22" t="s">
        <v>3</v>
      </c>
      <c r="C818" s="22" t="s">
        <v>77</v>
      </c>
      <c r="D818" s="22" t="n">
        <v>45300</v>
      </c>
      <c r="E818" s="22" t="s">
        <v>132</v>
      </c>
      <c r="F818" s="22" t="s">
        <v>133</v>
      </c>
      <c r="G818" s="22" t="s">
        <v>131</v>
      </c>
      <c r="H818" s="22" t="s">
        <v>131</v>
      </c>
      <c r="I818" s="22" t="n">
        <v>282771</v>
      </c>
      <c r="J818" s="22" t="n">
        <v>285900</v>
      </c>
      <c r="K818" s="22" t="n">
        <v>289564</v>
      </c>
      <c r="L818" s="22" t="n">
        <v>292998</v>
      </c>
      <c r="M818" s="22" t="n">
        <v>295356</v>
      </c>
      <c r="N818" s="22" t="n">
        <v>297194</v>
      </c>
      <c r="O818" s="22" t="n">
        <v>299124</v>
      </c>
      <c r="P818" s="22" t="n">
        <v>301287</v>
      </c>
      <c r="Q818" s="22" t="n">
        <v>302612</v>
      </c>
      <c r="R818" s="22" t="n">
        <v>304438</v>
      </c>
      <c r="S818" s="22" t="n">
        <v>305828</v>
      </c>
      <c r="T818" s="22" t="n">
        <v>307317</v>
      </c>
      <c r="U818" s="22" t="n">
        <v>308266</v>
      </c>
      <c r="V818" s="22" t="n">
        <v>309822</v>
      </c>
      <c r="W818" s="22" t="n">
        <v>311885</v>
      </c>
      <c r="X818" s="22" t="n">
        <v>313893</v>
      </c>
      <c r="Y818" s="22" t="n">
        <v>315737</v>
      </c>
      <c r="Z818" s="22" t="n">
        <v>317788</v>
      </c>
      <c r="AA818" s="22" t="n">
        <v>319198</v>
      </c>
      <c r="AB818" s="22" t="n">
        <v>320690</v>
      </c>
      <c r="AC818" s="22" t="n">
        <v>322451</v>
      </c>
      <c r="AD818" s="22" t="n">
        <v>324558</v>
      </c>
      <c r="AE818" s="22" t="n">
        <v>325975</v>
      </c>
      <c r="AF818" s="22" t="n">
        <v>327526</v>
      </c>
    </row>
    <row r="819" customFormat="false" ht="15" hidden="false" customHeight="false" outlineLevel="0" collapsed="false">
      <c r="A819" s="22" t="s">
        <v>77</v>
      </c>
      <c r="B819" s="22" t="s">
        <v>3</v>
      </c>
      <c r="C819" s="22" t="s">
        <v>77</v>
      </c>
      <c r="D819" s="22" t="n">
        <v>45300</v>
      </c>
      <c r="E819" s="22" t="s">
        <v>132</v>
      </c>
      <c r="F819" s="22" t="s">
        <v>5</v>
      </c>
      <c r="G819" s="22" t="s">
        <v>131</v>
      </c>
      <c r="H819" s="22" t="s">
        <v>131</v>
      </c>
      <c r="I819" s="22" t="n">
        <v>1.956</v>
      </c>
      <c r="J819" s="22" t="n">
        <v>1.969</v>
      </c>
      <c r="K819" s="22" t="n">
        <v>1.963</v>
      </c>
      <c r="L819" s="22" t="n">
        <v>1.963</v>
      </c>
      <c r="M819" s="22" t="n">
        <v>1.985</v>
      </c>
      <c r="N819" s="22" t="n">
        <v>1.978</v>
      </c>
      <c r="O819" s="22" t="n">
        <v>1.96</v>
      </c>
      <c r="P819" s="22" t="n">
        <v>1.922</v>
      </c>
      <c r="Q819" s="22" t="n">
        <v>1.927</v>
      </c>
      <c r="R819" s="22" t="n">
        <v>1.931</v>
      </c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customFormat="false" ht="15" hidden="false" customHeight="false" outlineLevel="0" collapsed="false">
      <c r="A820" s="22" t="s">
        <v>77</v>
      </c>
      <c r="B820" s="22" t="s">
        <v>3</v>
      </c>
      <c r="C820" s="22" t="s">
        <v>77</v>
      </c>
      <c r="D820" s="22" t="n">
        <v>45300</v>
      </c>
      <c r="E820" s="22" t="s">
        <v>134</v>
      </c>
      <c r="F820" s="22" t="s">
        <v>135</v>
      </c>
      <c r="G820" s="22" t="s">
        <v>131</v>
      </c>
      <c r="H820" s="22" t="s">
        <v>131</v>
      </c>
      <c r="I820" s="22" t="n">
        <v>-0.023</v>
      </c>
      <c r="J820" s="22" t="n">
        <v>-0.0277</v>
      </c>
      <c r="K820" s="22" t="n">
        <v>-0.0324</v>
      </c>
      <c r="L820" s="22" t="n">
        <v>-0.0053</v>
      </c>
      <c r="M820" s="22" t="n">
        <v>0.0139</v>
      </c>
      <c r="N820" s="22" t="n">
        <v>0.0077</v>
      </c>
      <c r="O820" s="22" t="n">
        <v>-0.005</v>
      </c>
      <c r="P820" s="22" t="n">
        <v>-0.0405</v>
      </c>
      <c r="Q820" s="22" t="n">
        <v>-0.0515</v>
      </c>
      <c r="R820" s="22" t="n">
        <v>-0.0463</v>
      </c>
      <c r="S820" s="22" t="n">
        <v>-0.039</v>
      </c>
      <c r="T820" s="22" t="n">
        <v>-0.028</v>
      </c>
      <c r="U820" s="22" t="n">
        <v>-0.015</v>
      </c>
      <c r="V820" s="22" t="n">
        <v>0.008</v>
      </c>
      <c r="W820" s="22" t="n">
        <v>0.028</v>
      </c>
      <c r="X820" s="22" t="n">
        <v>0.035</v>
      </c>
      <c r="Y820" s="22" t="n">
        <v>0.033</v>
      </c>
      <c r="Z820" s="22" t="n">
        <v>0.034</v>
      </c>
      <c r="AA820" s="22" t="n">
        <v>0.038</v>
      </c>
      <c r="AB820" s="22" t="n">
        <v>0.041</v>
      </c>
      <c r="AC820" s="22" t="n">
        <v>0.04</v>
      </c>
      <c r="AD820" s="22" t="n">
        <v>0.035</v>
      </c>
      <c r="AE820" s="22" t="n">
        <v>0.036</v>
      </c>
      <c r="AF820" s="22" t="n">
        <v>0.038</v>
      </c>
    </row>
    <row r="821" customFormat="false" ht="15" hidden="false" customHeight="false" outlineLevel="0" collapsed="false">
      <c r="A821" s="22" t="s">
        <v>77</v>
      </c>
      <c r="B821" s="22" t="s">
        <v>3</v>
      </c>
      <c r="C821" s="22" t="s">
        <v>77</v>
      </c>
      <c r="D821" s="22" t="n">
        <v>45300</v>
      </c>
      <c r="E821" s="22" t="s">
        <v>136</v>
      </c>
      <c r="F821" s="22" t="s">
        <v>137</v>
      </c>
      <c r="G821" s="22" t="s">
        <v>131</v>
      </c>
      <c r="H821" s="22" t="s">
        <v>131</v>
      </c>
      <c r="I821" s="22" t="n">
        <v>27</v>
      </c>
      <c r="J821" s="22" t="n">
        <v>28</v>
      </c>
      <c r="K821" s="22" t="n">
        <v>25</v>
      </c>
      <c r="L821" s="22" t="n">
        <v>25</v>
      </c>
      <c r="M821" s="22" t="n">
        <v>24</v>
      </c>
      <c r="N821" s="22" t="n">
        <v>21</v>
      </c>
      <c r="O821" s="22" t="n">
        <v>22</v>
      </c>
      <c r="P821" s="22" t="n">
        <v>21</v>
      </c>
      <c r="Q821" s="22" t="n">
        <v>20</v>
      </c>
      <c r="R821" s="22" t="n">
        <v>20</v>
      </c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customFormat="false" ht="15" hidden="false" customHeight="false" outlineLevel="0" collapsed="false">
      <c r="A822" s="22" t="s">
        <v>216</v>
      </c>
      <c r="B822" s="22" t="s">
        <v>3</v>
      </c>
      <c r="C822" s="22" t="s">
        <v>216</v>
      </c>
      <c r="D822" s="22" t="n">
        <v>45780</v>
      </c>
      <c r="E822" s="22" t="s">
        <v>129</v>
      </c>
      <c r="F822" s="22" t="s">
        <v>130</v>
      </c>
      <c r="G822" s="22" t="s">
        <v>131</v>
      </c>
      <c r="H822" s="22" t="s">
        <v>131</v>
      </c>
      <c r="I822" s="22" t="n">
        <v>1.17789795527138</v>
      </c>
      <c r="J822" s="22" t="n">
        <v>1.18412398216108</v>
      </c>
      <c r="K822" s="22" t="n">
        <v>1.19759369530752</v>
      </c>
      <c r="L822" s="22" t="n">
        <v>1.19783618755627</v>
      </c>
      <c r="M822" s="22" t="n">
        <v>1.19379761109022</v>
      </c>
      <c r="N822" s="22" t="n">
        <v>1.2011210858703</v>
      </c>
      <c r="O822" s="22" t="n">
        <v>1.21148493600523</v>
      </c>
      <c r="P822" s="22" t="n">
        <v>1.21756996239008</v>
      </c>
      <c r="Q822" s="22" t="n">
        <v>1.22279737212248</v>
      </c>
      <c r="R822" s="22" t="n">
        <v>1.23106002167752</v>
      </c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customFormat="false" ht="15" hidden="false" customHeight="false" outlineLevel="0" collapsed="false">
      <c r="A823" s="22" t="s">
        <v>216</v>
      </c>
      <c r="B823" s="22" t="s">
        <v>3</v>
      </c>
      <c r="C823" s="22" t="s">
        <v>216</v>
      </c>
      <c r="D823" s="22" t="n">
        <v>45780</v>
      </c>
      <c r="E823" s="22" t="s">
        <v>132</v>
      </c>
      <c r="F823" s="22" t="s">
        <v>6</v>
      </c>
      <c r="G823" s="22" t="s">
        <v>131</v>
      </c>
      <c r="H823" s="22" t="s">
        <v>131</v>
      </c>
      <c r="I823" s="22" t="n">
        <v>1.199</v>
      </c>
      <c r="J823" s="22" t="n">
        <v>1.226</v>
      </c>
      <c r="K823" s="22" t="n">
        <v>1.222</v>
      </c>
      <c r="L823" s="22" t="n">
        <v>1.217</v>
      </c>
      <c r="M823" s="22" t="n">
        <v>1.225</v>
      </c>
      <c r="N823" s="22" t="n">
        <v>1.252</v>
      </c>
      <c r="O823" s="22" t="n">
        <v>1.256</v>
      </c>
      <c r="P823" s="22" t="n">
        <v>1.232</v>
      </c>
      <c r="Q823" s="22" t="n">
        <v>1.254</v>
      </c>
      <c r="R823" s="22" t="n">
        <v>1.298</v>
      </c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customFormat="false" ht="15" hidden="false" customHeight="false" outlineLevel="0" collapsed="false">
      <c r="A824" s="22" t="s">
        <v>216</v>
      </c>
      <c r="B824" s="22" t="s">
        <v>3</v>
      </c>
      <c r="C824" s="22" t="s">
        <v>216</v>
      </c>
      <c r="D824" s="22" t="n">
        <v>45780</v>
      </c>
      <c r="E824" s="22" t="s">
        <v>132</v>
      </c>
      <c r="F824" s="22" t="s">
        <v>133</v>
      </c>
      <c r="G824" s="22" t="s">
        <v>131</v>
      </c>
      <c r="H824" s="22" t="s">
        <v>131</v>
      </c>
      <c r="I824" s="22" t="n">
        <v>45524</v>
      </c>
      <c r="J824" s="22" t="n">
        <v>45580</v>
      </c>
      <c r="K824" s="22" t="n">
        <v>45599</v>
      </c>
      <c r="L824" s="22" t="n">
        <v>45599</v>
      </c>
      <c r="M824" s="22" t="n">
        <v>45710</v>
      </c>
      <c r="N824" s="22" t="n">
        <v>45823</v>
      </c>
      <c r="O824" s="22" t="n">
        <v>45861</v>
      </c>
      <c r="P824" s="22" t="n">
        <v>45861</v>
      </c>
      <c r="Q824" s="22" t="n">
        <v>45861</v>
      </c>
      <c r="R824" s="22" t="n">
        <v>45861</v>
      </c>
      <c r="S824" s="22" t="n">
        <v>45861</v>
      </c>
      <c r="T824" s="22" t="n">
        <v>45861</v>
      </c>
      <c r="U824" s="22" t="n">
        <v>45861</v>
      </c>
      <c r="V824" s="22" t="n">
        <v>45861</v>
      </c>
      <c r="W824" s="22" t="n">
        <v>46081</v>
      </c>
      <c r="X824" s="22" t="n">
        <v>46074</v>
      </c>
      <c r="Y824" s="22" t="n">
        <v>46057</v>
      </c>
      <c r="Z824" s="22" t="n">
        <v>46051</v>
      </c>
      <c r="AA824" s="22" t="n">
        <v>46283</v>
      </c>
      <c r="AB824" s="22" t="n">
        <v>46280</v>
      </c>
      <c r="AC824" s="22" t="n">
        <v>46258</v>
      </c>
      <c r="AD824" s="22" t="n">
        <v>46250</v>
      </c>
      <c r="AE824" s="22" t="n">
        <v>46482</v>
      </c>
      <c r="AF824" s="22" t="n">
        <v>46482</v>
      </c>
    </row>
    <row r="825" customFormat="false" ht="15" hidden="false" customHeight="false" outlineLevel="0" collapsed="false">
      <c r="A825" s="22" t="s">
        <v>216</v>
      </c>
      <c r="B825" s="22" t="s">
        <v>3</v>
      </c>
      <c r="C825" s="22" t="s">
        <v>216</v>
      </c>
      <c r="D825" s="22" t="n">
        <v>45780</v>
      </c>
      <c r="E825" s="22" t="s">
        <v>132</v>
      </c>
      <c r="F825" s="22" t="s">
        <v>5</v>
      </c>
      <c r="G825" s="22" t="s">
        <v>131</v>
      </c>
      <c r="H825" s="22" t="s">
        <v>131</v>
      </c>
      <c r="I825" s="22" t="n">
        <v>1.207</v>
      </c>
      <c r="J825" s="22" t="n">
        <v>1.231</v>
      </c>
      <c r="K825" s="22" t="n">
        <v>1.232</v>
      </c>
      <c r="L825" s="22" t="n">
        <v>1.228</v>
      </c>
      <c r="M825" s="22" t="n">
        <v>1.235</v>
      </c>
      <c r="N825" s="22" t="n">
        <v>1.257</v>
      </c>
      <c r="O825" s="22" t="n">
        <v>1.262</v>
      </c>
      <c r="P825" s="22" t="n">
        <v>1.239</v>
      </c>
      <c r="Q825" s="22" t="n">
        <v>1.263</v>
      </c>
      <c r="R825" s="22" t="n">
        <v>1.301</v>
      </c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customFormat="false" ht="15" hidden="false" customHeight="false" outlineLevel="0" collapsed="false">
      <c r="A826" s="22" t="s">
        <v>216</v>
      </c>
      <c r="B826" s="22" t="s">
        <v>3</v>
      </c>
      <c r="C826" s="22" t="s">
        <v>216</v>
      </c>
      <c r="D826" s="22" t="n">
        <v>45780</v>
      </c>
      <c r="E826" s="22" t="s">
        <v>134</v>
      </c>
      <c r="F826" s="22" t="s">
        <v>135</v>
      </c>
      <c r="G826" s="22" t="s">
        <v>131</v>
      </c>
      <c r="H826" s="22" t="s">
        <v>131</v>
      </c>
      <c r="I826" s="22" t="n">
        <v>0.022</v>
      </c>
      <c r="J826" s="22" t="n">
        <v>0.0305</v>
      </c>
      <c r="K826" s="22" t="n">
        <v>0.0115</v>
      </c>
      <c r="L826" s="22" t="n">
        <v>0.0126</v>
      </c>
      <c r="M826" s="22" t="n">
        <v>0.0226</v>
      </c>
      <c r="N826" s="22" t="n">
        <v>0.0106</v>
      </c>
      <c r="O826" s="22" t="n">
        <v>0.0073</v>
      </c>
      <c r="P826" s="22" t="n">
        <v>0.0086</v>
      </c>
      <c r="Q826" s="22" t="n">
        <v>0.015</v>
      </c>
      <c r="R826" s="22" t="n">
        <v>0.0271</v>
      </c>
      <c r="S826" s="22" t="n">
        <v>0.029</v>
      </c>
      <c r="T826" s="22" t="n">
        <v>0.026</v>
      </c>
      <c r="U826" s="22" t="n">
        <v>0.02</v>
      </c>
      <c r="V826" s="22" t="n">
        <v>0.024</v>
      </c>
      <c r="W826" s="22" t="n">
        <v>0.025</v>
      </c>
      <c r="X826" s="22" t="n">
        <v>0.029</v>
      </c>
      <c r="Y826" s="22" t="n">
        <v>0.024</v>
      </c>
      <c r="Z826" s="22" t="n">
        <v>0.02</v>
      </c>
      <c r="AA826" s="22" t="n">
        <v>0.026</v>
      </c>
      <c r="AB826" s="22" t="n">
        <v>0.024</v>
      </c>
      <c r="AC826" s="22" t="n">
        <v>0.021</v>
      </c>
      <c r="AD826" s="22" t="n">
        <v>0.021</v>
      </c>
      <c r="AE826" s="22" t="n">
        <v>0.025</v>
      </c>
      <c r="AF826" s="22" t="n">
        <v>0.027</v>
      </c>
    </row>
    <row r="827" customFormat="false" ht="15" hidden="false" customHeight="false" outlineLevel="0" collapsed="false">
      <c r="A827" s="22" t="s">
        <v>216</v>
      </c>
      <c r="B827" s="22" t="s">
        <v>3</v>
      </c>
      <c r="C827" s="22" t="s">
        <v>216</v>
      </c>
      <c r="D827" s="22" t="n">
        <v>45780</v>
      </c>
      <c r="E827" s="22" t="s">
        <v>136</v>
      </c>
      <c r="F827" s="22" t="s">
        <v>137</v>
      </c>
      <c r="G827" s="22" t="s">
        <v>131</v>
      </c>
      <c r="H827" s="22" t="s">
        <v>131</v>
      </c>
      <c r="I827" s="22" t="n">
        <v>2</v>
      </c>
      <c r="J827" s="22" t="n">
        <v>1</v>
      </c>
      <c r="K827" s="22" t="n">
        <v>1</v>
      </c>
      <c r="L827" s="22" t="n">
        <v>0</v>
      </c>
      <c r="M827" s="22" t="n">
        <v>0</v>
      </c>
      <c r="N827" s="22" t="n">
        <v>0</v>
      </c>
      <c r="O827" s="22" t="n">
        <v>2</v>
      </c>
      <c r="P827" s="22" t="n">
        <v>2</v>
      </c>
      <c r="Q827" s="22" t="n">
        <v>2</v>
      </c>
      <c r="R827" s="22" t="n">
        <v>2</v>
      </c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customFormat="false" ht="15" hidden="false" customHeight="false" outlineLevel="0" collapsed="false">
      <c r="A828" s="22" t="s">
        <v>217</v>
      </c>
      <c r="B828" s="22" t="s">
        <v>3</v>
      </c>
      <c r="C828" s="22" t="s">
        <v>217</v>
      </c>
      <c r="D828" s="22" t="n">
        <v>45940</v>
      </c>
      <c r="E828" s="22" t="s">
        <v>129</v>
      </c>
      <c r="F828" s="22" t="s">
        <v>130</v>
      </c>
      <c r="G828" s="22" t="s">
        <v>131</v>
      </c>
      <c r="H828" s="22" t="s">
        <v>131</v>
      </c>
      <c r="I828" s="22" t="n">
        <v>2.16600667628462</v>
      </c>
      <c r="J828" s="22" t="n">
        <v>2.18928436002851</v>
      </c>
      <c r="K828" s="22" t="n">
        <v>2.20393735469615</v>
      </c>
      <c r="L828" s="22" t="n">
        <v>2.21446881531804</v>
      </c>
      <c r="M828" s="22" t="n">
        <v>2.09633391809961</v>
      </c>
      <c r="N828" s="22" t="n">
        <v>2.10681869467968</v>
      </c>
      <c r="O828" s="22" t="n">
        <v>2.12545613682024</v>
      </c>
      <c r="P828" s="22" t="n">
        <v>2.00630556115249</v>
      </c>
      <c r="Q828" s="22" t="n">
        <v>2.01782210432959</v>
      </c>
      <c r="R828" s="22" t="n">
        <v>2.0302037440358</v>
      </c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customFormat="false" ht="15" hidden="false" customHeight="false" outlineLevel="0" collapsed="false">
      <c r="A829" s="22" t="s">
        <v>217</v>
      </c>
      <c r="B829" s="22" t="s">
        <v>3</v>
      </c>
      <c r="C829" s="22" t="s">
        <v>217</v>
      </c>
      <c r="D829" s="22" t="n">
        <v>45940</v>
      </c>
      <c r="E829" s="22" t="s">
        <v>132</v>
      </c>
      <c r="F829" s="22" t="s">
        <v>6</v>
      </c>
      <c r="G829" s="22" t="s">
        <v>131</v>
      </c>
      <c r="H829" s="22" t="s">
        <v>131</v>
      </c>
      <c r="I829" s="22" t="n">
        <v>2.337</v>
      </c>
      <c r="J829" s="22" t="n">
        <v>2.351</v>
      </c>
      <c r="K829" s="22" t="n">
        <v>2.35</v>
      </c>
      <c r="L829" s="22" t="n">
        <v>2.345</v>
      </c>
      <c r="M829" s="22" t="n">
        <v>2.379</v>
      </c>
      <c r="N829" s="22" t="n">
        <v>2.445</v>
      </c>
      <c r="O829" s="22" t="n">
        <v>2.445</v>
      </c>
      <c r="P829" s="22" t="n">
        <v>2.435</v>
      </c>
      <c r="Q829" s="22" t="n">
        <v>2.425</v>
      </c>
      <c r="R829" s="22" t="n">
        <v>2.501</v>
      </c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customFormat="false" ht="15" hidden="false" customHeight="false" outlineLevel="0" collapsed="false">
      <c r="A830" s="22" t="s">
        <v>217</v>
      </c>
      <c r="B830" s="22" t="s">
        <v>3</v>
      </c>
      <c r="C830" s="22" t="s">
        <v>217</v>
      </c>
      <c r="D830" s="22" t="n">
        <v>45940</v>
      </c>
      <c r="E830" s="22" t="s">
        <v>132</v>
      </c>
      <c r="F830" s="22" t="s">
        <v>133</v>
      </c>
      <c r="G830" s="22" t="s">
        <v>131</v>
      </c>
      <c r="H830" s="22" t="s">
        <v>131</v>
      </c>
      <c r="I830" s="22" t="n">
        <v>28971</v>
      </c>
      <c r="J830" s="22" t="n">
        <v>29301</v>
      </c>
      <c r="K830" s="22" t="n">
        <v>29496</v>
      </c>
      <c r="L830" s="22" t="n">
        <v>29623</v>
      </c>
      <c r="M830" s="22" t="n">
        <v>29953</v>
      </c>
      <c r="N830" s="22" t="n">
        <v>30397</v>
      </c>
      <c r="O830" s="22" t="n">
        <v>30975</v>
      </c>
      <c r="P830" s="22" t="n">
        <v>31351</v>
      </c>
      <c r="Q830" s="22" t="n">
        <v>31818</v>
      </c>
      <c r="R830" s="22" t="n">
        <v>31926</v>
      </c>
      <c r="S830" s="22" t="n">
        <v>31966</v>
      </c>
      <c r="T830" s="22" t="n">
        <v>32012</v>
      </c>
      <c r="U830" s="22" t="n">
        <v>32158</v>
      </c>
      <c r="V830" s="22" t="n">
        <v>32382</v>
      </c>
      <c r="W830" s="22" t="n">
        <v>32774</v>
      </c>
      <c r="X830" s="22" t="n">
        <v>33370</v>
      </c>
      <c r="Y830" s="22" t="n">
        <v>33806</v>
      </c>
      <c r="Z830" s="22" t="n">
        <v>33473</v>
      </c>
      <c r="AA830" s="22" t="n">
        <v>33754</v>
      </c>
      <c r="AB830" s="22" t="n">
        <v>34426</v>
      </c>
      <c r="AC830" s="22" t="n">
        <v>34722</v>
      </c>
      <c r="AD830" s="22" t="n">
        <v>34159</v>
      </c>
      <c r="AE830" s="22" t="n">
        <v>34105</v>
      </c>
      <c r="AF830" s="22" t="n">
        <v>34602</v>
      </c>
    </row>
    <row r="831" customFormat="false" ht="15" hidden="false" customHeight="false" outlineLevel="0" collapsed="false">
      <c r="A831" s="22" t="s">
        <v>217</v>
      </c>
      <c r="B831" s="22" t="s">
        <v>3</v>
      </c>
      <c r="C831" s="22" t="s">
        <v>217</v>
      </c>
      <c r="D831" s="22" t="n">
        <v>45940</v>
      </c>
      <c r="E831" s="22" t="s">
        <v>132</v>
      </c>
      <c r="F831" s="22" t="s">
        <v>5</v>
      </c>
      <c r="G831" s="22" t="s">
        <v>131</v>
      </c>
      <c r="H831" s="22" t="s">
        <v>131</v>
      </c>
      <c r="I831" s="22" t="n">
        <v>2.348</v>
      </c>
      <c r="J831" s="22" t="n">
        <v>2.365</v>
      </c>
      <c r="K831" s="22" t="n">
        <v>2.355</v>
      </c>
      <c r="L831" s="22" t="n">
        <v>2.358</v>
      </c>
      <c r="M831" s="22" t="n">
        <v>2.395</v>
      </c>
      <c r="N831" s="22" t="n">
        <v>2.473</v>
      </c>
      <c r="O831" s="22" t="n">
        <v>2.475</v>
      </c>
      <c r="P831" s="22" t="n">
        <v>2.467</v>
      </c>
      <c r="Q831" s="22" t="n">
        <v>2.467</v>
      </c>
      <c r="R831" s="22" t="n">
        <v>2.535</v>
      </c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</row>
    <row r="832" customFormat="false" ht="15" hidden="false" customHeight="false" outlineLevel="0" collapsed="false">
      <c r="A832" s="22" t="s">
        <v>217</v>
      </c>
      <c r="B832" s="22" t="s">
        <v>3</v>
      </c>
      <c r="C832" s="22" t="s">
        <v>217</v>
      </c>
      <c r="D832" s="22" t="n">
        <v>45940</v>
      </c>
      <c r="E832" s="22" t="s">
        <v>134</v>
      </c>
      <c r="F832" s="22" t="s">
        <v>135</v>
      </c>
      <c r="G832" s="22" t="s">
        <v>131</v>
      </c>
      <c r="H832" s="22" t="s">
        <v>131</v>
      </c>
      <c r="I832" s="22" t="n">
        <v>0.0227</v>
      </c>
      <c r="J832" s="22" t="n">
        <v>0.0201</v>
      </c>
      <c r="K832" s="22" t="n">
        <v>0.004</v>
      </c>
      <c r="L832" s="22" t="n">
        <v>-0.0082</v>
      </c>
      <c r="M832" s="22" t="n">
        <v>0.0107</v>
      </c>
      <c r="N832" s="22" t="n">
        <v>0.0113</v>
      </c>
      <c r="O832" s="22" t="n">
        <v>0.0019</v>
      </c>
      <c r="P832" s="22" t="n">
        <v>-0.0042</v>
      </c>
      <c r="Q832" s="22" t="n">
        <v>-0.0201</v>
      </c>
      <c r="R832" s="22" t="n">
        <v>-0.0004</v>
      </c>
      <c r="S832" s="22" t="n">
        <v>0.006</v>
      </c>
      <c r="T832" s="22" t="n">
        <v>0.015</v>
      </c>
      <c r="U832" s="22" t="n">
        <v>0.015</v>
      </c>
      <c r="V832" s="22" t="n">
        <v>0.009</v>
      </c>
      <c r="W832" s="22" t="n">
        <v>0.014</v>
      </c>
      <c r="X832" s="22" t="n">
        <v>0.013</v>
      </c>
      <c r="Y832" s="22" t="n">
        <v>0.013</v>
      </c>
      <c r="Z832" s="22" t="n">
        <v>0.009</v>
      </c>
      <c r="AA832" s="22" t="n">
        <v>0.014</v>
      </c>
      <c r="AB832" s="22" t="n">
        <v>0.013</v>
      </c>
      <c r="AC832" s="22" t="n">
        <v>0.014</v>
      </c>
      <c r="AD832" s="22" t="n">
        <v>0.011</v>
      </c>
      <c r="AE832" s="22" t="n">
        <v>0.012</v>
      </c>
      <c r="AF832" s="22" t="n">
        <v>0.016</v>
      </c>
    </row>
    <row r="833" customFormat="false" ht="15" hidden="false" customHeight="false" outlineLevel="0" collapsed="false">
      <c r="A833" s="22" t="s">
        <v>217</v>
      </c>
      <c r="B833" s="22" t="s">
        <v>3</v>
      </c>
      <c r="C833" s="22" t="s">
        <v>217</v>
      </c>
      <c r="D833" s="22" t="n">
        <v>45940</v>
      </c>
      <c r="E833" s="22" t="s">
        <v>136</v>
      </c>
      <c r="F833" s="22" t="s">
        <v>137</v>
      </c>
      <c r="G833" s="22" t="s">
        <v>131</v>
      </c>
      <c r="H833" s="22" t="s">
        <v>131</v>
      </c>
      <c r="I833" s="22" t="n">
        <v>2</v>
      </c>
      <c r="J833" s="22" t="n">
        <v>3</v>
      </c>
      <c r="K833" s="22" t="n">
        <v>4</v>
      </c>
      <c r="L833" s="22" t="n">
        <v>4</v>
      </c>
      <c r="M833" s="22" t="n">
        <v>3</v>
      </c>
      <c r="N833" s="22" t="n">
        <v>5</v>
      </c>
      <c r="O833" s="22" t="n">
        <v>5</v>
      </c>
      <c r="P833" s="22" t="n">
        <v>5</v>
      </c>
      <c r="Q833" s="22" t="n">
        <v>5</v>
      </c>
      <c r="R833" s="22" t="n">
        <v>2</v>
      </c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customFormat="false" ht="15" hidden="false" customHeight="false" outlineLevel="0" collapsed="false">
      <c r="A834" s="22" t="s">
        <v>55</v>
      </c>
      <c r="B834" s="22" t="s">
        <v>3</v>
      </c>
      <c r="C834" s="22" t="s">
        <v>55</v>
      </c>
      <c r="D834" s="22" t="n">
        <v>46060</v>
      </c>
      <c r="E834" s="22" t="s">
        <v>129</v>
      </c>
      <c r="F834" s="22" t="s">
        <v>130</v>
      </c>
      <c r="G834" s="22" t="s">
        <v>131</v>
      </c>
      <c r="H834" s="22" t="s">
        <v>131</v>
      </c>
      <c r="I834" s="22" t="n">
        <v>1.49585163827735</v>
      </c>
      <c r="J834" s="22" t="n">
        <v>1.49948695592773</v>
      </c>
      <c r="K834" s="22" t="n">
        <v>1.50692160583233</v>
      </c>
      <c r="L834" s="22" t="n">
        <v>1.50855344736305</v>
      </c>
      <c r="M834" s="22" t="n">
        <v>1.50211619504461</v>
      </c>
      <c r="N834" s="22" t="n">
        <v>1.49132233457315</v>
      </c>
      <c r="O834" s="22" t="n">
        <v>1.48680108950247</v>
      </c>
      <c r="P834" s="22" t="n">
        <v>1.48206373753897</v>
      </c>
      <c r="Q834" s="22" t="n">
        <v>1.47789822991026</v>
      </c>
      <c r="R834" s="22" t="n">
        <v>1.47139286153313</v>
      </c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customFormat="false" ht="15" hidden="false" customHeight="false" outlineLevel="0" collapsed="false">
      <c r="A835" s="22" t="s">
        <v>55</v>
      </c>
      <c r="B835" s="22" t="s">
        <v>3</v>
      </c>
      <c r="C835" s="22" t="s">
        <v>55</v>
      </c>
      <c r="D835" s="22" t="n">
        <v>46060</v>
      </c>
      <c r="E835" s="22" t="s">
        <v>132</v>
      </c>
      <c r="F835" s="22" t="s">
        <v>6</v>
      </c>
      <c r="G835" s="22" t="s">
        <v>131</v>
      </c>
      <c r="H835" s="22" t="s">
        <v>131</v>
      </c>
      <c r="I835" s="22" t="n">
        <v>1.547</v>
      </c>
      <c r="J835" s="22" t="n">
        <v>1.549</v>
      </c>
      <c r="K835" s="22" t="n">
        <v>1.543</v>
      </c>
      <c r="L835" s="22" t="n">
        <v>1.53</v>
      </c>
      <c r="M835" s="22" t="n">
        <v>1.509</v>
      </c>
      <c r="N835" s="22" t="n">
        <v>1.499</v>
      </c>
      <c r="O835" s="22" t="n">
        <v>1.491</v>
      </c>
      <c r="P835" s="22" t="n">
        <v>1.452</v>
      </c>
      <c r="Q835" s="22" t="n">
        <v>1.445</v>
      </c>
      <c r="R835" s="22" t="n">
        <v>1.474</v>
      </c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customFormat="false" ht="15" hidden="false" customHeight="false" outlineLevel="0" collapsed="false">
      <c r="A836" s="22" t="s">
        <v>55</v>
      </c>
      <c r="B836" s="22" t="s">
        <v>3</v>
      </c>
      <c r="C836" s="22" t="s">
        <v>55</v>
      </c>
      <c r="D836" s="22" t="n">
        <v>46060</v>
      </c>
      <c r="E836" s="22" t="s">
        <v>132</v>
      </c>
      <c r="F836" s="22" t="s">
        <v>133</v>
      </c>
      <c r="G836" s="22" t="s">
        <v>131</v>
      </c>
      <c r="H836" s="22" t="s">
        <v>131</v>
      </c>
      <c r="I836" s="22" t="n">
        <v>84918</v>
      </c>
      <c r="J836" s="22" t="n">
        <v>85354</v>
      </c>
      <c r="K836" s="22" t="n">
        <v>86025</v>
      </c>
      <c r="L836" s="22" t="n">
        <v>86880</v>
      </c>
      <c r="M836" s="22" t="n">
        <v>87335</v>
      </c>
      <c r="N836" s="22" t="n">
        <v>87621</v>
      </c>
      <c r="O836" s="22" t="n">
        <v>87870</v>
      </c>
      <c r="P836" s="22" t="n">
        <v>88105</v>
      </c>
      <c r="Q836" s="22" t="n">
        <v>88219</v>
      </c>
      <c r="R836" s="22" t="n">
        <v>88347</v>
      </c>
      <c r="S836" s="22" t="n">
        <v>88604</v>
      </c>
      <c r="T836" s="22" t="n">
        <v>88756</v>
      </c>
      <c r="U836" s="22" t="n">
        <v>88879</v>
      </c>
      <c r="V836" s="22" t="n">
        <v>89215</v>
      </c>
      <c r="W836" s="22" t="n">
        <v>89406</v>
      </c>
      <c r="X836" s="22" t="n">
        <v>89514</v>
      </c>
      <c r="Y836" s="22" t="n">
        <v>89666</v>
      </c>
      <c r="Z836" s="22" t="n">
        <v>90051</v>
      </c>
      <c r="AA836" s="22" t="n">
        <v>90268</v>
      </c>
      <c r="AB836" s="22" t="n">
        <v>90376</v>
      </c>
      <c r="AC836" s="22" t="n">
        <v>90513</v>
      </c>
      <c r="AD836" s="22" t="n">
        <v>90872</v>
      </c>
      <c r="AE836" s="22" t="n">
        <v>91052</v>
      </c>
      <c r="AF836" s="22" t="n">
        <v>91117</v>
      </c>
    </row>
    <row r="837" customFormat="false" ht="15" hidden="false" customHeight="false" outlineLevel="0" collapsed="false">
      <c r="A837" s="22" t="s">
        <v>55</v>
      </c>
      <c r="B837" s="22" t="s">
        <v>3</v>
      </c>
      <c r="C837" s="22" t="s">
        <v>55</v>
      </c>
      <c r="D837" s="22" t="n">
        <v>46060</v>
      </c>
      <c r="E837" s="22" t="s">
        <v>132</v>
      </c>
      <c r="F837" s="22" t="s">
        <v>5</v>
      </c>
      <c r="G837" s="22" t="s">
        <v>131</v>
      </c>
      <c r="H837" s="22" t="s">
        <v>131</v>
      </c>
      <c r="I837" s="22" t="n">
        <v>1.558</v>
      </c>
      <c r="J837" s="22" t="n">
        <v>1.561</v>
      </c>
      <c r="K837" s="22" t="n">
        <v>1.568</v>
      </c>
      <c r="L837" s="22" t="n">
        <v>1.551</v>
      </c>
      <c r="M837" s="22" t="n">
        <v>1.529</v>
      </c>
      <c r="N837" s="22" t="n">
        <v>1.524</v>
      </c>
      <c r="O837" s="22" t="n">
        <v>1.513</v>
      </c>
      <c r="P837" s="22" t="n">
        <v>1.486</v>
      </c>
      <c r="Q837" s="22" t="n">
        <v>1.479</v>
      </c>
      <c r="R837" s="22" t="n">
        <v>1.506</v>
      </c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</row>
    <row r="838" customFormat="false" ht="15" hidden="false" customHeight="false" outlineLevel="0" collapsed="false">
      <c r="A838" s="22" t="s">
        <v>55</v>
      </c>
      <c r="B838" s="22" t="s">
        <v>3</v>
      </c>
      <c r="C838" s="22" t="s">
        <v>55</v>
      </c>
      <c r="D838" s="22" t="n">
        <v>46060</v>
      </c>
      <c r="E838" s="22" t="s">
        <v>134</v>
      </c>
      <c r="F838" s="22" t="s">
        <v>135</v>
      </c>
      <c r="G838" s="22" t="s">
        <v>131</v>
      </c>
      <c r="H838" s="22" t="s">
        <v>131</v>
      </c>
      <c r="I838" s="22" t="n">
        <v>0.0001</v>
      </c>
      <c r="J838" s="22" t="n">
        <v>-0.0086</v>
      </c>
      <c r="K838" s="22" t="n">
        <v>-0.0289</v>
      </c>
      <c r="L838" s="22" t="n">
        <v>-0.0319</v>
      </c>
      <c r="M838" s="22" t="n">
        <v>-0.0328</v>
      </c>
      <c r="N838" s="22" t="n">
        <v>-0.0381</v>
      </c>
      <c r="O838" s="22" t="n">
        <v>-0.0409</v>
      </c>
      <c r="P838" s="22" t="n">
        <v>-0.0532</v>
      </c>
      <c r="Q838" s="22" t="n">
        <v>-0.0446</v>
      </c>
      <c r="R838" s="22" t="n">
        <v>-0.0278</v>
      </c>
      <c r="S838" s="22" t="n">
        <v>-0.019</v>
      </c>
      <c r="T838" s="22" t="n">
        <v>-0.008</v>
      </c>
      <c r="U838" s="22" t="n">
        <v>0.005</v>
      </c>
      <c r="V838" s="22" t="n">
        <v>0.029</v>
      </c>
      <c r="W838" s="22" t="n">
        <v>0.043</v>
      </c>
      <c r="X838" s="22" t="n">
        <v>0.044</v>
      </c>
      <c r="Y838" s="22" t="n">
        <v>0.043</v>
      </c>
      <c r="Z838" s="22" t="n">
        <v>0.039</v>
      </c>
      <c r="AA838" s="22" t="n">
        <v>0.043</v>
      </c>
      <c r="AB838" s="22" t="n">
        <v>0.044</v>
      </c>
      <c r="AC838" s="22" t="n">
        <v>0.046</v>
      </c>
      <c r="AD838" s="22" t="n">
        <v>0.039</v>
      </c>
      <c r="AE838" s="22" t="n">
        <v>0.04</v>
      </c>
      <c r="AF838" s="22" t="n">
        <v>0.043</v>
      </c>
    </row>
    <row r="839" customFormat="false" ht="15" hidden="false" customHeight="false" outlineLevel="0" collapsed="false">
      <c r="A839" s="22" t="s">
        <v>55</v>
      </c>
      <c r="B839" s="22" t="s">
        <v>3</v>
      </c>
      <c r="C839" s="22" t="s">
        <v>55</v>
      </c>
      <c r="D839" s="22" t="n">
        <v>46060</v>
      </c>
      <c r="E839" s="22" t="s">
        <v>136</v>
      </c>
      <c r="F839" s="22" t="s">
        <v>137</v>
      </c>
      <c r="G839" s="22" t="s">
        <v>131</v>
      </c>
      <c r="H839" s="22" t="s">
        <v>131</v>
      </c>
      <c r="I839" s="22" t="n">
        <v>4</v>
      </c>
      <c r="J839" s="22" t="n">
        <v>3</v>
      </c>
      <c r="K839" s="22" t="n">
        <v>1</v>
      </c>
      <c r="L839" s="22" t="n">
        <v>1</v>
      </c>
      <c r="M839" s="22" t="n">
        <v>2</v>
      </c>
      <c r="N839" s="22" t="n">
        <v>2</v>
      </c>
      <c r="O839" s="22" t="n">
        <v>2</v>
      </c>
      <c r="P839" s="22" t="n">
        <v>5</v>
      </c>
      <c r="Q839" s="22" t="n">
        <v>4</v>
      </c>
      <c r="R839" s="22" t="n">
        <v>3</v>
      </c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customFormat="false" ht="15" hidden="false" customHeight="false" outlineLevel="0" collapsed="false">
      <c r="A840" s="22" t="s">
        <v>74</v>
      </c>
      <c r="B840" s="22" t="s">
        <v>3</v>
      </c>
      <c r="C840" s="22" t="s">
        <v>74</v>
      </c>
      <c r="D840" s="22" t="n">
        <v>46140</v>
      </c>
      <c r="E840" s="22" t="s">
        <v>129</v>
      </c>
      <c r="F840" s="22" t="s">
        <v>130</v>
      </c>
      <c r="G840" s="22" t="s">
        <v>131</v>
      </c>
      <c r="H840" s="22" t="s">
        <v>131</v>
      </c>
      <c r="I840" s="22" t="n">
        <v>1.15100490019188</v>
      </c>
      <c r="J840" s="22" t="n">
        <v>1.16033333971935</v>
      </c>
      <c r="K840" s="22" t="n">
        <v>1.19157077360483</v>
      </c>
      <c r="L840" s="22" t="n">
        <v>1.2341616026053</v>
      </c>
      <c r="M840" s="22" t="n">
        <v>1.22817944866742</v>
      </c>
      <c r="N840" s="22" t="n">
        <v>1.22239131548431</v>
      </c>
      <c r="O840" s="22" t="n">
        <v>1.24441878710275</v>
      </c>
      <c r="P840" s="22" t="n">
        <v>1.24002234337291</v>
      </c>
      <c r="Q840" s="22" t="n">
        <v>1.25141046681073</v>
      </c>
      <c r="R840" s="22" t="n">
        <v>1.30107974412754</v>
      </c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customFormat="false" ht="15" hidden="false" customHeight="false" outlineLevel="0" collapsed="false">
      <c r="A841" s="22" t="s">
        <v>74</v>
      </c>
      <c r="B841" s="22" t="s">
        <v>3</v>
      </c>
      <c r="C841" s="22" t="s">
        <v>74</v>
      </c>
      <c r="D841" s="22" t="n">
        <v>46140</v>
      </c>
      <c r="E841" s="22" t="s">
        <v>132</v>
      </c>
      <c r="F841" s="22" t="s">
        <v>6</v>
      </c>
      <c r="G841" s="22" t="s">
        <v>131</v>
      </c>
      <c r="H841" s="22" t="s">
        <v>131</v>
      </c>
      <c r="I841" s="22" t="n">
        <v>1.168</v>
      </c>
      <c r="J841" s="22" t="n">
        <v>1.181</v>
      </c>
      <c r="K841" s="22" t="n">
        <v>1.193</v>
      </c>
      <c r="L841" s="22" t="n">
        <v>1.197</v>
      </c>
      <c r="M841" s="22" t="n">
        <v>1.202</v>
      </c>
      <c r="N841" s="22" t="n">
        <v>1.211</v>
      </c>
      <c r="O841" s="22" t="n">
        <v>1.22</v>
      </c>
      <c r="P841" s="22" t="n">
        <v>1.218</v>
      </c>
      <c r="Q841" s="22" t="n">
        <v>1.224</v>
      </c>
      <c r="R841" s="22" t="n">
        <v>1.235</v>
      </c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customFormat="false" ht="15" hidden="false" customHeight="false" outlineLevel="0" collapsed="false">
      <c r="A842" s="22" t="s">
        <v>74</v>
      </c>
      <c r="B842" s="22" t="s">
        <v>3</v>
      </c>
      <c r="C842" s="22" t="s">
        <v>74</v>
      </c>
      <c r="D842" s="22" t="n">
        <v>46140</v>
      </c>
      <c r="E842" s="22" t="s">
        <v>132</v>
      </c>
      <c r="F842" s="22" t="s">
        <v>133</v>
      </c>
      <c r="G842" s="22" t="s">
        <v>131</v>
      </c>
      <c r="H842" s="22" t="s">
        <v>131</v>
      </c>
      <c r="I842" s="22" t="n">
        <v>71341</v>
      </c>
      <c r="J842" s="22" t="n">
        <v>71645</v>
      </c>
      <c r="K842" s="22" t="n">
        <v>72103</v>
      </c>
      <c r="L842" s="22" t="n">
        <v>72569</v>
      </c>
      <c r="M842" s="22" t="n">
        <v>72896</v>
      </c>
      <c r="N842" s="22" t="n">
        <v>73256</v>
      </c>
      <c r="O842" s="22" t="n">
        <v>73645</v>
      </c>
      <c r="P842" s="22" t="n">
        <v>73918</v>
      </c>
      <c r="Q842" s="22" t="n">
        <v>74236</v>
      </c>
      <c r="R842" s="22" t="n">
        <v>74316</v>
      </c>
      <c r="S842" s="22" t="n">
        <v>74316</v>
      </c>
      <c r="T842" s="22" t="n">
        <v>74316</v>
      </c>
      <c r="U842" s="22" t="n">
        <v>74316</v>
      </c>
      <c r="V842" s="22" t="n">
        <v>74316</v>
      </c>
      <c r="W842" s="22" t="n">
        <v>74647</v>
      </c>
      <c r="X842" s="22" t="n">
        <v>74598</v>
      </c>
      <c r="Y842" s="22" t="n">
        <v>74620</v>
      </c>
      <c r="Z842" s="22" t="n">
        <v>74642</v>
      </c>
      <c r="AA842" s="22" t="n">
        <v>74992</v>
      </c>
      <c r="AB842" s="22" t="n">
        <v>74910</v>
      </c>
      <c r="AC842" s="22" t="n">
        <v>74904</v>
      </c>
      <c r="AD842" s="22" t="n">
        <v>74912</v>
      </c>
      <c r="AE842" s="22" t="n">
        <v>75257</v>
      </c>
      <c r="AF842" s="22" t="n">
        <v>75179</v>
      </c>
    </row>
    <row r="843" customFormat="false" ht="15" hidden="false" customHeight="false" outlineLevel="0" collapsed="false">
      <c r="A843" s="22" t="s">
        <v>74</v>
      </c>
      <c r="B843" s="22" t="s">
        <v>3</v>
      </c>
      <c r="C843" s="22" t="s">
        <v>74</v>
      </c>
      <c r="D843" s="22" t="n">
        <v>46140</v>
      </c>
      <c r="E843" s="22" t="s">
        <v>132</v>
      </c>
      <c r="F843" s="22" t="s">
        <v>5</v>
      </c>
      <c r="G843" s="22" t="s">
        <v>131</v>
      </c>
      <c r="H843" s="22" t="s">
        <v>131</v>
      </c>
      <c r="I843" s="22" t="n">
        <v>1.173</v>
      </c>
      <c r="J843" s="22" t="n">
        <v>1.188</v>
      </c>
      <c r="K843" s="22" t="n">
        <v>1.201</v>
      </c>
      <c r="L843" s="22" t="n">
        <v>1.203</v>
      </c>
      <c r="M843" s="22" t="n">
        <v>1.206</v>
      </c>
      <c r="N843" s="22" t="n">
        <v>1.215</v>
      </c>
      <c r="O843" s="22" t="n">
        <v>1.227</v>
      </c>
      <c r="P843" s="22" t="n">
        <v>1.225</v>
      </c>
      <c r="Q843" s="22" t="n">
        <v>1.233</v>
      </c>
      <c r="R843" s="22" t="n">
        <v>1.241</v>
      </c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customFormat="false" ht="15" hidden="false" customHeight="false" outlineLevel="0" collapsed="false">
      <c r="A844" s="22" t="s">
        <v>74</v>
      </c>
      <c r="B844" s="22" t="s">
        <v>3</v>
      </c>
      <c r="C844" s="22" t="s">
        <v>74</v>
      </c>
      <c r="D844" s="22" t="n">
        <v>46140</v>
      </c>
      <c r="E844" s="22" t="s">
        <v>134</v>
      </c>
      <c r="F844" s="22" t="s">
        <v>135</v>
      </c>
      <c r="G844" s="22" t="s">
        <v>131</v>
      </c>
      <c r="H844" s="22" t="s">
        <v>131</v>
      </c>
      <c r="I844" s="22" t="n">
        <v>0.0487</v>
      </c>
      <c r="J844" s="22" t="n">
        <v>0.0454</v>
      </c>
      <c r="K844" s="22" t="n">
        <v>0.0335</v>
      </c>
      <c r="L844" s="22" t="n">
        <v>0.0317</v>
      </c>
      <c r="M844" s="22" t="n">
        <v>0.0268</v>
      </c>
      <c r="N844" s="22" t="n">
        <v>0.0225</v>
      </c>
      <c r="O844" s="22" t="n">
        <v>0.0146</v>
      </c>
      <c r="P844" s="22" t="n">
        <v>0.0074</v>
      </c>
      <c r="Q844" s="22" t="n">
        <v>0.0071</v>
      </c>
      <c r="R844" s="22" t="n">
        <v>0.0081</v>
      </c>
      <c r="S844" s="22" t="n">
        <v>0.012</v>
      </c>
      <c r="T844" s="22" t="n">
        <v>0.018</v>
      </c>
      <c r="U844" s="22" t="n">
        <v>0.029</v>
      </c>
      <c r="V844" s="22" t="n">
        <v>0.029</v>
      </c>
      <c r="W844" s="22" t="n">
        <v>0.027</v>
      </c>
      <c r="X844" s="22" t="n">
        <v>0.026</v>
      </c>
      <c r="Y844" s="22" t="n">
        <v>0.024</v>
      </c>
      <c r="Z844" s="22" t="n">
        <v>0.023</v>
      </c>
      <c r="AA844" s="22" t="n">
        <v>0.022</v>
      </c>
      <c r="AB844" s="22" t="n">
        <v>0.02</v>
      </c>
      <c r="AC844" s="22" t="n">
        <v>0.02</v>
      </c>
      <c r="AD844" s="22" t="n">
        <v>0.019</v>
      </c>
      <c r="AE844" s="22" t="n">
        <v>0.019</v>
      </c>
      <c r="AF844" s="22" t="n">
        <v>0.02</v>
      </c>
    </row>
    <row r="845" customFormat="false" ht="15" hidden="false" customHeight="false" outlineLevel="0" collapsed="false">
      <c r="A845" s="22" t="s">
        <v>74</v>
      </c>
      <c r="B845" s="22" t="s">
        <v>3</v>
      </c>
      <c r="C845" s="22" t="s">
        <v>74</v>
      </c>
      <c r="D845" s="22" t="n">
        <v>46140</v>
      </c>
      <c r="E845" s="22" t="s">
        <v>136</v>
      </c>
      <c r="F845" s="22" t="s">
        <v>137</v>
      </c>
      <c r="G845" s="22" t="s">
        <v>131</v>
      </c>
      <c r="H845" s="22" t="s">
        <v>131</v>
      </c>
      <c r="I845" s="22" t="n">
        <v>6</v>
      </c>
      <c r="J845" s="22" t="n">
        <v>5</v>
      </c>
      <c r="K845" s="22" t="n">
        <v>3</v>
      </c>
      <c r="L845" s="22" t="n">
        <v>0</v>
      </c>
      <c r="M845" s="22" t="n">
        <v>0</v>
      </c>
      <c r="N845" s="22" t="n">
        <v>0</v>
      </c>
      <c r="O845" s="22" t="n">
        <v>0</v>
      </c>
      <c r="P845" s="22" t="n">
        <v>0</v>
      </c>
      <c r="Q845" s="22" t="n">
        <v>0</v>
      </c>
      <c r="R845" s="22" t="n">
        <v>0</v>
      </c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</row>
    <row r="846" customFormat="false" ht="15" hidden="false" customHeight="false" outlineLevel="0" collapsed="false">
      <c r="A846" s="22" t="s">
        <v>218</v>
      </c>
      <c r="B846" s="22" t="s">
        <v>3</v>
      </c>
      <c r="C846" s="22" t="s">
        <v>218</v>
      </c>
      <c r="D846" s="22" t="n">
        <v>46520</v>
      </c>
      <c r="E846" s="22" t="s">
        <v>129</v>
      </c>
      <c r="F846" s="22" t="s">
        <v>130</v>
      </c>
      <c r="G846" s="22" t="s">
        <v>131</v>
      </c>
      <c r="H846" s="22" t="s">
        <v>131</v>
      </c>
      <c r="I846" s="22" t="n">
        <v>1.84348631619444</v>
      </c>
      <c r="J846" s="22" t="n">
        <v>1.90536285868907</v>
      </c>
      <c r="K846" s="22" t="n">
        <v>2.21458141920102</v>
      </c>
      <c r="L846" s="22" t="n">
        <v>2.23402514615751</v>
      </c>
      <c r="M846" s="22" t="n">
        <v>2.23180776395153</v>
      </c>
      <c r="N846" s="22" t="n">
        <v>2.50966813815961</v>
      </c>
      <c r="O846" s="22" t="n">
        <v>2.53172788464892</v>
      </c>
      <c r="P846" s="22" t="n">
        <v>2.56306651659066</v>
      </c>
      <c r="Q846" s="22" t="n">
        <v>2.57692723125159</v>
      </c>
      <c r="R846" s="22" t="n">
        <v>2.59052412609358</v>
      </c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</row>
    <row r="847" customFormat="false" ht="15" hidden="false" customHeight="false" outlineLevel="0" collapsed="false">
      <c r="A847" s="22" t="s">
        <v>218</v>
      </c>
      <c r="B847" s="22" t="s">
        <v>3</v>
      </c>
      <c r="C847" s="22" t="s">
        <v>218</v>
      </c>
      <c r="D847" s="22" t="n">
        <v>46520</v>
      </c>
      <c r="E847" s="22" t="s">
        <v>132</v>
      </c>
      <c r="F847" s="22" t="s">
        <v>6</v>
      </c>
      <c r="G847" s="22" t="s">
        <v>131</v>
      </c>
      <c r="H847" s="22" t="s">
        <v>131</v>
      </c>
      <c r="I847" s="22" t="n">
        <v>2.861</v>
      </c>
      <c r="J847" s="22" t="n">
        <v>2.944</v>
      </c>
      <c r="K847" s="22" t="n">
        <v>2.968</v>
      </c>
      <c r="L847" s="22" t="n">
        <v>2.933</v>
      </c>
      <c r="M847" s="22" t="n">
        <v>2.88</v>
      </c>
      <c r="N847" s="22" t="n">
        <v>2.941</v>
      </c>
      <c r="O847" s="22" t="n">
        <v>2.996</v>
      </c>
      <c r="P847" s="22" t="n">
        <v>3.034</v>
      </c>
      <c r="Q847" s="22" t="n">
        <v>3.087</v>
      </c>
      <c r="R847" s="22" t="n">
        <v>3.151</v>
      </c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customFormat="false" ht="15" hidden="false" customHeight="false" outlineLevel="0" collapsed="false">
      <c r="A848" s="22" t="s">
        <v>218</v>
      </c>
      <c r="B848" s="22" t="s">
        <v>3</v>
      </c>
      <c r="C848" s="22" t="s">
        <v>218</v>
      </c>
      <c r="D848" s="22" t="n">
        <v>46520</v>
      </c>
      <c r="E848" s="22" t="s">
        <v>132</v>
      </c>
      <c r="F848" s="22" t="s">
        <v>133</v>
      </c>
      <c r="G848" s="22" t="s">
        <v>131</v>
      </c>
      <c r="H848" s="22" t="s">
        <v>131</v>
      </c>
      <c r="I848" s="22" t="n">
        <v>82688</v>
      </c>
      <c r="J848" s="22" t="n">
        <v>82688</v>
      </c>
      <c r="K848" s="22" t="n">
        <v>82688</v>
      </c>
      <c r="L848" s="22" t="n">
        <v>82688</v>
      </c>
      <c r="M848" s="22" t="n">
        <v>82688</v>
      </c>
      <c r="N848" s="22" t="n">
        <v>82688</v>
      </c>
      <c r="O848" s="22" t="n">
        <v>82688</v>
      </c>
      <c r="P848" s="22" t="n">
        <v>82688</v>
      </c>
      <c r="Q848" s="22" t="n">
        <v>82688</v>
      </c>
      <c r="R848" s="22" t="n">
        <v>82688</v>
      </c>
      <c r="S848" s="22" t="n">
        <v>82688</v>
      </c>
      <c r="T848" s="22" t="n">
        <v>82688</v>
      </c>
      <c r="U848" s="22" t="n">
        <v>82688</v>
      </c>
      <c r="V848" s="22" t="n">
        <v>82688</v>
      </c>
      <c r="W848" s="22" t="n">
        <v>82998</v>
      </c>
      <c r="X848" s="22" t="n">
        <v>82948</v>
      </c>
      <c r="Y848" s="22" t="n">
        <v>82886</v>
      </c>
      <c r="Z848" s="22" t="n">
        <v>82888</v>
      </c>
      <c r="AA848" s="22" t="n">
        <v>83190</v>
      </c>
      <c r="AB848" s="22" t="n">
        <v>83129</v>
      </c>
      <c r="AC848" s="22" t="n">
        <v>83062</v>
      </c>
      <c r="AD848" s="22" t="n">
        <v>83077</v>
      </c>
      <c r="AE848" s="22" t="n">
        <v>83401</v>
      </c>
      <c r="AF848" s="22" t="n">
        <v>83363</v>
      </c>
    </row>
    <row r="849" customFormat="false" ht="15" hidden="false" customHeight="false" outlineLevel="0" collapsed="false">
      <c r="A849" s="22" t="s">
        <v>218</v>
      </c>
      <c r="B849" s="22" t="s">
        <v>3</v>
      </c>
      <c r="C849" s="22" t="s">
        <v>218</v>
      </c>
      <c r="D849" s="22" t="n">
        <v>46520</v>
      </c>
      <c r="E849" s="22" t="s">
        <v>132</v>
      </c>
      <c r="F849" s="22" t="s">
        <v>5</v>
      </c>
      <c r="G849" s="22" t="s">
        <v>131</v>
      </c>
      <c r="H849" s="22" t="s">
        <v>131</v>
      </c>
      <c r="I849" s="22" t="n">
        <v>2.874</v>
      </c>
      <c r="J849" s="22" t="n">
        <v>2.956</v>
      </c>
      <c r="K849" s="22" t="n">
        <v>2.979</v>
      </c>
      <c r="L849" s="22" t="n">
        <v>2.949</v>
      </c>
      <c r="M849" s="22" t="n">
        <v>2.893</v>
      </c>
      <c r="N849" s="22" t="n">
        <v>2.948</v>
      </c>
      <c r="O849" s="22" t="n">
        <v>3.003</v>
      </c>
      <c r="P849" s="22" t="n">
        <v>3.04</v>
      </c>
      <c r="Q849" s="22" t="n">
        <v>3.094</v>
      </c>
      <c r="R849" s="22" t="n">
        <v>3.158</v>
      </c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</row>
    <row r="850" customFormat="false" ht="15" hidden="false" customHeight="false" outlineLevel="0" collapsed="false">
      <c r="A850" s="22" t="s">
        <v>218</v>
      </c>
      <c r="B850" s="22" t="s">
        <v>3</v>
      </c>
      <c r="C850" s="22" t="s">
        <v>218</v>
      </c>
      <c r="D850" s="22" t="n">
        <v>46520</v>
      </c>
      <c r="E850" s="22" t="s">
        <v>134</v>
      </c>
      <c r="F850" s="22" t="s">
        <v>135</v>
      </c>
      <c r="G850" s="22" t="s">
        <v>131</v>
      </c>
      <c r="H850" s="22" t="s">
        <v>131</v>
      </c>
      <c r="I850" s="22" t="n">
        <v>0.0351</v>
      </c>
      <c r="J850" s="22" t="n">
        <v>0.0426</v>
      </c>
      <c r="K850" s="22" t="n">
        <v>0.0565</v>
      </c>
      <c r="L850" s="22" t="n">
        <v>0.0389</v>
      </c>
      <c r="M850" s="22" t="n">
        <v>0.0043</v>
      </c>
      <c r="N850" s="22" t="n">
        <v>-0.0029</v>
      </c>
      <c r="O850" s="22" t="n">
        <v>0.0068</v>
      </c>
      <c r="P850" s="22" t="n">
        <v>0.0329</v>
      </c>
      <c r="Q850" s="22" t="n">
        <v>0.0712</v>
      </c>
      <c r="R850" s="22" t="n">
        <v>0.0712</v>
      </c>
      <c r="S850" s="22" t="n">
        <v>0.064</v>
      </c>
      <c r="T850" s="22" t="n">
        <v>0.045</v>
      </c>
      <c r="U850" s="22" t="n">
        <v>0.019</v>
      </c>
      <c r="V850" s="22" t="n">
        <v>0.016</v>
      </c>
      <c r="W850" s="22" t="n">
        <v>0.021</v>
      </c>
      <c r="X850" s="22" t="n">
        <v>0.03</v>
      </c>
      <c r="Y850" s="22" t="n">
        <v>0.032</v>
      </c>
      <c r="Z850" s="22" t="n">
        <v>0.027</v>
      </c>
      <c r="AA850" s="22" t="n">
        <v>0.027</v>
      </c>
      <c r="AB850" s="22" t="n">
        <v>0.03</v>
      </c>
      <c r="AC850" s="22" t="n">
        <v>0.03</v>
      </c>
      <c r="AD850" s="22" t="n">
        <v>0.026</v>
      </c>
      <c r="AE850" s="22" t="n">
        <v>0.024</v>
      </c>
      <c r="AF850" s="22" t="n">
        <v>0.025</v>
      </c>
    </row>
    <row r="851" customFormat="false" ht="15" hidden="false" customHeight="false" outlineLevel="0" collapsed="false">
      <c r="A851" s="22" t="s">
        <v>218</v>
      </c>
      <c r="B851" s="22" t="s">
        <v>3</v>
      </c>
      <c r="C851" s="22" t="s">
        <v>218</v>
      </c>
      <c r="D851" s="22" t="n">
        <v>46520</v>
      </c>
      <c r="E851" s="22" t="s">
        <v>136</v>
      </c>
      <c r="F851" s="22" t="s">
        <v>137</v>
      </c>
      <c r="G851" s="22" t="s">
        <v>131</v>
      </c>
      <c r="H851" s="22" t="s">
        <v>131</v>
      </c>
      <c r="I851" s="22" t="n">
        <v>0</v>
      </c>
      <c r="J851" s="22" t="n">
        <v>0</v>
      </c>
      <c r="K851" s="22" t="n">
        <v>0</v>
      </c>
      <c r="L851" s="22" t="n">
        <v>0</v>
      </c>
      <c r="M851" s="22" t="n">
        <v>0</v>
      </c>
      <c r="N851" s="22" t="n">
        <v>0</v>
      </c>
      <c r="O851" s="22" t="n">
        <v>0</v>
      </c>
      <c r="P851" s="22" t="n">
        <v>0</v>
      </c>
      <c r="Q851" s="22" t="n">
        <v>0</v>
      </c>
      <c r="R851" s="22" t="n">
        <v>0</v>
      </c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</row>
    <row r="852" customFormat="false" ht="15" hidden="false" customHeight="false" outlineLevel="0" collapsed="false">
      <c r="A852" s="22" t="s">
        <v>219</v>
      </c>
      <c r="B852" s="22" t="s">
        <v>3</v>
      </c>
      <c r="C852" s="22" t="s">
        <v>219</v>
      </c>
      <c r="D852" s="22" t="n">
        <v>246700</v>
      </c>
      <c r="E852" s="22" t="s">
        <v>129</v>
      </c>
      <c r="F852" s="22" t="s">
        <v>130</v>
      </c>
      <c r="G852" s="22" t="s">
        <v>131</v>
      </c>
      <c r="H852" s="22" t="s">
        <v>131</v>
      </c>
      <c r="I852" s="22" t="n">
        <v>2.36906189828759</v>
      </c>
      <c r="J852" s="22" t="n">
        <v>2.37874484539828</v>
      </c>
      <c r="K852" s="22" t="n">
        <v>2.41698225795391</v>
      </c>
      <c r="L852" s="22" t="n">
        <v>2.40944154742784</v>
      </c>
      <c r="M852" s="22" t="n">
        <v>2.42023614799593</v>
      </c>
      <c r="N852" s="22" t="n">
        <v>2.42493426378482</v>
      </c>
      <c r="O852" s="22" t="n">
        <v>2.43860277541012</v>
      </c>
      <c r="P852" s="22" t="n">
        <v>2.43663340970439</v>
      </c>
      <c r="Q852" s="22" t="n">
        <v>2.44074239454284</v>
      </c>
      <c r="R852" s="22" t="n">
        <v>2.42485023325677</v>
      </c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</row>
    <row r="853" customFormat="false" ht="15" hidden="false" customHeight="false" outlineLevel="0" collapsed="false">
      <c r="A853" s="22" t="s">
        <v>219</v>
      </c>
      <c r="B853" s="22" t="s">
        <v>3</v>
      </c>
      <c r="C853" s="22" t="s">
        <v>219</v>
      </c>
      <c r="D853" s="22" t="n">
        <v>246700</v>
      </c>
      <c r="E853" s="22" t="s">
        <v>132</v>
      </c>
      <c r="F853" s="22" t="s">
        <v>6</v>
      </c>
      <c r="G853" s="22" t="s">
        <v>131</v>
      </c>
      <c r="H853" s="22" t="s">
        <v>131</v>
      </c>
      <c r="I853" s="22" t="n">
        <v>2.558</v>
      </c>
      <c r="J853" s="22" t="n">
        <v>2.603</v>
      </c>
      <c r="K853" s="22" t="n">
        <v>2.624</v>
      </c>
      <c r="L853" s="22" t="n">
        <v>2.586</v>
      </c>
      <c r="M853" s="22" t="n">
        <v>2.593</v>
      </c>
      <c r="N853" s="22" t="n">
        <v>2.633</v>
      </c>
      <c r="O853" s="22" t="n">
        <v>2.616</v>
      </c>
      <c r="P853" s="22" t="n">
        <v>2.534</v>
      </c>
      <c r="Q853" s="22" t="n">
        <v>2.547</v>
      </c>
      <c r="R853" s="22" t="n">
        <v>2.606</v>
      </c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customFormat="false" ht="15" hidden="false" customHeight="false" outlineLevel="0" collapsed="false">
      <c r="A854" s="22" t="s">
        <v>219</v>
      </c>
      <c r="B854" s="22" t="s">
        <v>3</v>
      </c>
      <c r="C854" s="22" t="s">
        <v>219</v>
      </c>
      <c r="D854" s="22" t="n">
        <v>246700</v>
      </c>
      <c r="E854" s="22" t="s">
        <v>132</v>
      </c>
      <c r="F854" s="22" t="s">
        <v>133</v>
      </c>
      <c r="G854" s="22" t="s">
        <v>131</v>
      </c>
      <c r="H854" s="22" t="s">
        <v>131</v>
      </c>
      <c r="I854" s="22" t="n">
        <v>29548</v>
      </c>
      <c r="J854" s="22" t="n">
        <v>29620</v>
      </c>
      <c r="K854" s="22" t="n">
        <v>29670</v>
      </c>
      <c r="L854" s="22" t="n">
        <v>29670</v>
      </c>
      <c r="M854" s="22" t="n">
        <v>29913</v>
      </c>
      <c r="N854" s="22" t="n">
        <v>29977</v>
      </c>
      <c r="O854" s="22" t="n">
        <v>30021</v>
      </c>
      <c r="P854" s="22" t="n">
        <v>30057</v>
      </c>
      <c r="Q854" s="22" t="n">
        <v>30057</v>
      </c>
      <c r="R854" s="22" t="n">
        <v>30057</v>
      </c>
      <c r="S854" s="22" t="n">
        <v>30125</v>
      </c>
      <c r="T854" s="22" t="n">
        <v>30263</v>
      </c>
      <c r="U854" s="22" t="n">
        <v>30263</v>
      </c>
      <c r="V854" s="22" t="n">
        <v>30263</v>
      </c>
      <c r="W854" s="22" t="n">
        <v>30485</v>
      </c>
      <c r="X854" s="22" t="n">
        <v>30596</v>
      </c>
      <c r="Y854" s="22" t="n">
        <v>30553</v>
      </c>
      <c r="Z854" s="22" t="n">
        <v>30518</v>
      </c>
      <c r="AA854" s="22" t="n">
        <v>30734</v>
      </c>
      <c r="AB854" s="22" t="n">
        <v>30843</v>
      </c>
      <c r="AC854" s="22" t="n">
        <v>30797</v>
      </c>
      <c r="AD854" s="22" t="n">
        <v>30760</v>
      </c>
      <c r="AE854" s="22" t="n">
        <v>30980</v>
      </c>
      <c r="AF854" s="22" t="n">
        <v>31093</v>
      </c>
    </row>
    <row r="855" customFormat="false" ht="15" hidden="false" customHeight="false" outlineLevel="0" collapsed="false">
      <c r="A855" s="22" t="s">
        <v>219</v>
      </c>
      <c r="B855" s="22" t="s">
        <v>3</v>
      </c>
      <c r="C855" s="22" t="s">
        <v>219</v>
      </c>
      <c r="D855" s="22" t="n">
        <v>246700</v>
      </c>
      <c r="E855" s="22" t="s">
        <v>132</v>
      </c>
      <c r="F855" s="22" t="s">
        <v>5</v>
      </c>
      <c r="G855" s="22" t="s">
        <v>131</v>
      </c>
      <c r="H855" s="22" t="s">
        <v>131</v>
      </c>
      <c r="I855" s="22" t="n">
        <v>2.57</v>
      </c>
      <c r="J855" s="22" t="n">
        <v>2.623</v>
      </c>
      <c r="K855" s="22" t="n">
        <v>2.647</v>
      </c>
      <c r="L855" s="22" t="n">
        <v>2.609</v>
      </c>
      <c r="M855" s="22" t="n">
        <v>2.615</v>
      </c>
      <c r="N855" s="22" t="n">
        <v>2.656</v>
      </c>
      <c r="O855" s="22" t="n">
        <v>2.634</v>
      </c>
      <c r="P855" s="22" t="n">
        <v>2.575</v>
      </c>
      <c r="Q855" s="22" t="n">
        <v>2.585</v>
      </c>
      <c r="R855" s="22" t="n">
        <v>2.63</v>
      </c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customFormat="false" ht="15" hidden="false" customHeight="false" outlineLevel="0" collapsed="false">
      <c r="A856" s="22" t="s">
        <v>219</v>
      </c>
      <c r="B856" s="22" t="s">
        <v>3</v>
      </c>
      <c r="C856" s="22" t="s">
        <v>219</v>
      </c>
      <c r="D856" s="22" t="n">
        <v>246700</v>
      </c>
      <c r="E856" s="22" t="s">
        <v>134</v>
      </c>
      <c r="F856" s="22" t="s">
        <v>135</v>
      </c>
      <c r="G856" s="22" t="s">
        <v>131</v>
      </c>
      <c r="H856" s="22" t="s">
        <v>131</v>
      </c>
      <c r="I856" s="22" t="n">
        <v>0.0077</v>
      </c>
      <c r="J856" s="22" t="n">
        <v>0.0086</v>
      </c>
      <c r="K856" s="22" t="n">
        <v>0.0089</v>
      </c>
      <c r="L856" s="22" t="n">
        <v>0.0182</v>
      </c>
      <c r="M856" s="22" t="n">
        <v>0.0079</v>
      </c>
      <c r="N856" s="22" t="n">
        <v>0.0016</v>
      </c>
      <c r="O856" s="22" t="n">
        <v>-0.0147</v>
      </c>
      <c r="P856" s="22" t="n">
        <v>-0.0271</v>
      </c>
      <c r="Q856" s="22" t="n">
        <v>-0.0262</v>
      </c>
      <c r="R856" s="22" t="n">
        <v>-0.0137</v>
      </c>
      <c r="S856" s="22" t="n">
        <v>0.003</v>
      </c>
      <c r="T856" s="22" t="n">
        <v>0.009</v>
      </c>
      <c r="U856" s="22" t="n">
        <v>0.011</v>
      </c>
      <c r="V856" s="22" t="n">
        <v>0.014</v>
      </c>
      <c r="W856" s="22" t="n">
        <v>0.013</v>
      </c>
      <c r="X856" s="22" t="n">
        <v>0.018</v>
      </c>
      <c r="Y856" s="22" t="n">
        <v>0.016</v>
      </c>
      <c r="Z856" s="22" t="n">
        <v>0.017</v>
      </c>
      <c r="AA856" s="22" t="n">
        <v>0.018</v>
      </c>
      <c r="AB856" s="22" t="n">
        <v>0.023</v>
      </c>
      <c r="AC856" s="22" t="n">
        <v>0.021</v>
      </c>
      <c r="AD856" s="22" t="n">
        <v>0.019</v>
      </c>
      <c r="AE856" s="22" t="n">
        <v>0.018</v>
      </c>
      <c r="AF856" s="22" t="n">
        <v>0.024</v>
      </c>
    </row>
    <row r="857" customFormat="false" ht="15" hidden="false" customHeight="false" outlineLevel="0" collapsed="false">
      <c r="A857" s="22" t="s">
        <v>219</v>
      </c>
      <c r="B857" s="22" t="s">
        <v>3</v>
      </c>
      <c r="C857" s="22" t="s">
        <v>219</v>
      </c>
      <c r="D857" s="22" t="n">
        <v>246700</v>
      </c>
      <c r="E857" s="22" t="s">
        <v>136</v>
      </c>
      <c r="F857" s="22" t="s">
        <v>137</v>
      </c>
      <c r="G857" s="22" t="s">
        <v>131</v>
      </c>
      <c r="H857" s="22" t="s">
        <v>131</v>
      </c>
      <c r="I857" s="22" t="n">
        <v>1</v>
      </c>
      <c r="J857" s="22" t="n">
        <v>1</v>
      </c>
      <c r="K857" s="22" t="n">
        <v>2</v>
      </c>
      <c r="L857" s="22" t="n">
        <v>2</v>
      </c>
      <c r="M857" s="22" t="n">
        <v>2</v>
      </c>
      <c r="N857" s="22" t="n">
        <v>2</v>
      </c>
      <c r="O857" s="22" t="n">
        <v>0</v>
      </c>
      <c r="P857" s="22" t="n">
        <v>0</v>
      </c>
      <c r="Q857" s="22" t="n">
        <v>0</v>
      </c>
      <c r="R857" s="22" t="n">
        <v>0</v>
      </c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customFormat="false" ht="15" hidden="false" customHeight="false" outlineLevel="0" collapsed="false">
      <c r="A858" s="22" t="s">
        <v>32</v>
      </c>
      <c r="B858" s="22" t="s">
        <v>3</v>
      </c>
      <c r="C858" s="22" t="s">
        <v>32</v>
      </c>
      <c r="D858" s="22" t="n">
        <v>47260</v>
      </c>
      <c r="E858" s="22" t="s">
        <v>129</v>
      </c>
      <c r="F858" s="22" t="s">
        <v>130</v>
      </c>
      <c r="G858" s="22" t="s">
        <v>131</v>
      </c>
      <c r="H858" s="22" t="s">
        <v>131</v>
      </c>
      <c r="I858" s="22" t="n">
        <v>1.51425660047586</v>
      </c>
      <c r="J858" s="22" t="n">
        <v>1.51630155571239</v>
      </c>
      <c r="K858" s="22" t="n">
        <v>1.55042959055467</v>
      </c>
      <c r="L858" s="22" t="n">
        <v>1.56818620369471</v>
      </c>
      <c r="M858" s="22" t="n">
        <v>1.57839408721154</v>
      </c>
      <c r="N858" s="22" t="n">
        <v>1.60542908102543</v>
      </c>
      <c r="O858" s="22" t="n">
        <v>1.6317684400787</v>
      </c>
      <c r="P858" s="22" t="n">
        <v>1.63856584335583</v>
      </c>
      <c r="Q858" s="22" t="n">
        <v>1.65646007187036</v>
      </c>
      <c r="R858" s="22" t="n">
        <v>1.6742534436739</v>
      </c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customFormat="false" ht="15" hidden="false" customHeight="false" outlineLevel="0" collapsed="false">
      <c r="A859" s="22" t="s">
        <v>32</v>
      </c>
      <c r="B859" s="22" t="s">
        <v>3</v>
      </c>
      <c r="C859" s="22" t="s">
        <v>32</v>
      </c>
      <c r="D859" s="22" t="n">
        <v>47260</v>
      </c>
      <c r="E859" s="22" t="s">
        <v>132</v>
      </c>
      <c r="F859" s="22" t="s">
        <v>6</v>
      </c>
      <c r="G859" s="22" t="s">
        <v>131</v>
      </c>
      <c r="H859" s="22" t="s">
        <v>131</v>
      </c>
      <c r="I859" s="22" t="n">
        <v>1.569</v>
      </c>
      <c r="J859" s="22" t="n">
        <v>1.599</v>
      </c>
      <c r="K859" s="22" t="n">
        <v>1.621</v>
      </c>
      <c r="L859" s="22" t="n">
        <v>1.608</v>
      </c>
      <c r="M859" s="22" t="n">
        <v>1.617</v>
      </c>
      <c r="N859" s="22" t="n">
        <v>1.649</v>
      </c>
      <c r="O859" s="22" t="n">
        <v>1.667</v>
      </c>
      <c r="P859" s="22" t="n">
        <v>1.677</v>
      </c>
      <c r="Q859" s="22" t="n">
        <v>1.71</v>
      </c>
      <c r="R859" s="22" t="n">
        <v>1.746</v>
      </c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customFormat="false" ht="15" hidden="false" customHeight="false" outlineLevel="0" collapsed="false">
      <c r="A860" s="22" t="s">
        <v>32</v>
      </c>
      <c r="B860" s="22" t="s">
        <v>3</v>
      </c>
      <c r="C860" s="22" t="s">
        <v>32</v>
      </c>
      <c r="D860" s="22" t="n">
        <v>47260</v>
      </c>
      <c r="E860" s="22" t="s">
        <v>132</v>
      </c>
      <c r="F860" s="22" t="s">
        <v>133</v>
      </c>
      <c r="G860" s="22" t="s">
        <v>131</v>
      </c>
      <c r="H860" s="22" t="s">
        <v>131</v>
      </c>
      <c r="I860" s="22" t="n">
        <v>143869</v>
      </c>
      <c r="J860" s="22" t="n">
        <v>144500</v>
      </c>
      <c r="K860" s="22" t="n">
        <v>145108</v>
      </c>
      <c r="L860" s="22" t="n">
        <v>145770</v>
      </c>
      <c r="M860" s="22" t="n">
        <v>146267</v>
      </c>
      <c r="N860" s="22" t="n">
        <v>146298</v>
      </c>
      <c r="O860" s="22" t="n">
        <v>146388</v>
      </c>
      <c r="P860" s="22" t="n">
        <v>146888</v>
      </c>
      <c r="Q860" s="22" t="n">
        <v>147079</v>
      </c>
      <c r="R860" s="22" t="n">
        <v>147252</v>
      </c>
      <c r="S860" s="22" t="n">
        <v>147431</v>
      </c>
      <c r="T860" s="22" t="n">
        <v>147580</v>
      </c>
      <c r="U860" s="22" t="n">
        <v>147597</v>
      </c>
      <c r="V860" s="22" t="n">
        <v>147648</v>
      </c>
      <c r="W860" s="22" t="n">
        <v>147986</v>
      </c>
      <c r="X860" s="22" t="n">
        <v>148148</v>
      </c>
      <c r="Y860" s="22" t="n">
        <v>148160</v>
      </c>
      <c r="Z860" s="22" t="n">
        <v>148203</v>
      </c>
      <c r="AA860" s="22" t="n">
        <v>148525</v>
      </c>
      <c r="AB860" s="22" t="n">
        <v>148668</v>
      </c>
      <c r="AC860" s="22" t="n">
        <v>148654</v>
      </c>
      <c r="AD860" s="22" t="n">
        <v>148667</v>
      </c>
      <c r="AE860" s="22" t="n">
        <v>148965</v>
      </c>
      <c r="AF860" s="22" t="n">
        <v>149088</v>
      </c>
    </row>
    <row r="861" customFormat="false" ht="15" hidden="false" customHeight="false" outlineLevel="0" collapsed="false">
      <c r="A861" s="22" t="s">
        <v>32</v>
      </c>
      <c r="B861" s="22" t="s">
        <v>3</v>
      </c>
      <c r="C861" s="22" t="s">
        <v>32</v>
      </c>
      <c r="D861" s="22" t="n">
        <v>47260</v>
      </c>
      <c r="E861" s="22" t="s">
        <v>132</v>
      </c>
      <c r="F861" s="22" t="s">
        <v>5</v>
      </c>
      <c r="G861" s="22" t="s">
        <v>131</v>
      </c>
      <c r="H861" s="22" t="s">
        <v>131</v>
      </c>
      <c r="I861" s="22" t="n">
        <v>1.575</v>
      </c>
      <c r="J861" s="22" t="n">
        <v>1.604</v>
      </c>
      <c r="K861" s="22" t="n">
        <v>1.627</v>
      </c>
      <c r="L861" s="22" t="n">
        <v>1.614</v>
      </c>
      <c r="M861" s="22" t="n">
        <v>1.624</v>
      </c>
      <c r="N861" s="22" t="n">
        <v>1.654</v>
      </c>
      <c r="O861" s="22" t="n">
        <v>1.673</v>
      </c>
      <c r="P861" s="22" t="n">
        <v>1.683</v>
      </c>
      <c r="Q861" s="22" t="n">
        <v>1.715</v>
      </c>
      <c r="R861" s="22" t="n">
        <v>1.752</v>
      </c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</row>
    <row r="862" customFormat="false" ht="15" hidden="false" customHeight="false" outlineLevel="0" collapsed="false">
      <c r="A862" s="22" t="s">
        <v>32</v>
      </c>
      <c r="B862" s="22" t="s">
        <v>3</v>
      </c>
      <c r="C862" s="22" t="s">
        <v>32</v>
      </c>
      <c r="D862" s="22" t="n">
        <v>47260</v>
      </c>
      <c r="E862" s="22" t="s">
        <v>134</v>
      </c>
      <c r="F862" s="22" t="s">
        <v>135</v>
      </c>
      <c r="G862" s="22" t="s">
        <v>131</v>
      </c>
      <c r="H862" s="22" t="s">
        <v>131</v>
      </c>
      <c r="I862" s="22" t="n">
        <v>0.0297</v>
      </c>
      <c r="J862" s="22" t="n">
        <v>0.0257</v>
      </c>
      <c r="K862" s="22" t="n">
        <v>0.0279</v>
      </c>
      <c r="L862" s="22" t="n">
        <v>0.0241</v>
      </c>
      <c r="M862" s="22" t="n">
        <v>0.0275</v>
      </c>
      <c r="N862" s="22" t="n">
        <v>0.0253</v>
      </c>
      <c r="O862" s="22" t="n">
        <v>0.0201</v>
      </c>
      <c r="P862" s="22" t="n">
        <v>0.0313</v>
      </c>
      <c r="Q862" s="22" t="n">
        <v>0.0407</v>
      </c>
      <c r="R862" s="22" t="n">
        <v>0.0494</v>
      </c>
      <c r="S862" s="22" t="n">
        <v>0.049</v>
      </c>
      <c r="T862" s="22" t="n">
        <v>0.043</v>
      </c>
      <c r="U862" s="22" t="n">
        <v>0.03</v>
      </c>
      <c r="V862" s="22" t="n">
        <v>0.023</v>
      </c>
      <c r="W862" s="22" t="n">
        <v>0.027</v>
      </c>
      <c r="X862" s="22" t="n">
        <v>0.026</v>
      </c>
      <c r="Y862" s="22" t="n">
        <v>0.025</v>
      </c>
      <c r="Z862" s="22" t="n">
        <v>0.021</v>
      </c>
      <c r="AA862" s="22" t="n">
        <v>0.024</v>
      </c>
      <c r="AB862" s="22" t="n">
        <v>0.025</v>
      </c>
      <c r="AC862" s="22" t="n">
        <v>0.024</v>
      </c>
      <c r="AD862" s="22" t="n">
        <v>0.019</v>
      </c>
      <c r="AE862" s="22" t="n">
        <v>0.019</v>
      </c>
      <c r="AF862" s="22" t="n">
        <v>0.023</v>
      </c>
    </row>
    <row r="863" customFormat="false" ht="15" hidden="false" customHeight="false" outlineLevel="0" collapsed="false">
      <c r="A863" s="22" t="s">
        <v>32</v>
      </c>
      <c r="B863" s="22" t="s">
        <v>3</v>
      </c>
      <c r="C863" s="22" t="s">
        <v>32</v>
      </c>
      <c r="D863" s="22" t="n">
        <v>47260</v>
      </c>
      <c r="E863" s="22" t="s">
        <v>136</v>
      </c>
      <c r="F863" s="22" t="s">
        <v>137</v>
      </c>
      <c r="G863" s="22" t="s">
        <v>131</v>
      </c>
      <c r="H863" s="22" t="s">
        <v>131</v>
      </c>
      <c r="I863" s="22" t="n">
        <v>5</v>
      </c>
      <c r="J863" s="22" t="n">
        <v>7</v>
      </c>
      <c r="K863" s="22" t="n">
        <v>6</v>
      </c>
      <c r="L863" s="22" t="n">
        <v>4</v>
      </c>
      <c r="M863" s="22" t="n">
        <v>4</v>
      </c>
      <c r="N863" s="22" t="n">
        <v>3</v>
      </c>
      <c r="O863" s="22" t="n">
        <v>1</v>
      </c>
      <c r="P863" s="22" t="n">
        <v>1</v>
      </c>
      <c r="Q863" s="22" t="n">
        <v>2</v>
      </c>
      <c r="R863" s="22" t="n">
        <v>3</v>
      </c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</row>
    <row r="864" customFormat="false" ht="15" hidden="false" customHeight="false" outlineLevel="0" collapsed="false">
      <c r="A864" s="22" t="s">
        <v>67</v>
      </c>
      <c r="B864" s="22" t="s">
        <v>3</v>
      </c>
      <c r="C864" s="22" t="s">
        <v>67</v>
      </c>
      <c r="D864" s="22" t="n">
        <v>47900</v>
      </c>
      <c r="E864" s="22" t="s">
        <v>129</v>
      </c>
      <c r="F864" s="22" t="s">
        <v>130</v>
      </c>
      <c r="G864" s="22" t="s">
        <v>131</v>
      </c>
      <c r="H864" s="22" t="s">
        <v>131</v>
      </c>
      <c r="I864" s="22" t="n">
        <v>2.36607264827329</v>
      </c>
      <c r="J864" s="22" t="n">
        <v>2.40873059200504</v>
      </c>
      <c r="K864" s="22" t="n">
        <v>2.44276817067488</v>
      </c>
      <c r="L864" s="22" t="n">
        <v>2.49455701266409</v>
      </c>
      <c r="M864" s="22" t="n">
        <v>2.50893354310729</v>
      </c>
      <c r="N864" s="22" t="n">
        <v>2.539787089084</v>
      </c>
      <c r="O864" s="22" t="n">
        <v>2.56534973304025</v>
      </c>
      <c r="P864" s="22" t="n">
        <v>2.5961849561835</v>
      </c>
      <c r="Q864" s="22" t="n">
        <v>2.59629204643737</v>
      </c>
      <c r="R864" s="22" t="n">
        <v>2.60369078145546</v>
      </c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customFormat="false" ht="15" hidden="false" customHeight="false" outlineLevel="0" collapsed="false">
      <c r="A865" s="22" t="s">
        <v>67</v>
      </c>
      <c r="B865" s="22" t="s">
        <v>3</v>
      </c>
      <c r="C865" s="22" t="s">
        <v>67</v>
      </c>
      <c r="D865" s="22" t="n">
        <v>47900</v>
      </c>
      <c r="E865" s="22" t="s">
        <v>132</v>
      </c>
      <c r="F865" s="22" t="s">
        <v>6</v>
      </c>
      <c r="G865" s="22" t="s">
        <v>131</v>
      </c>
      <c r="H865" s="22" t="s">
        <v>131</v>
      </c>
      <c r="I865" s="22" t="n">
        <v>2.405</v>
      </c>
      <c r="J865" s="22" t="n">
        <v>2.453</v>
      </c>
      <c r="K865" s="22" t="n">
        <v>2.495</v>
      </c>
      <c r="L865" s="22" t="n">
        <v>2.483</v>
      </c>
      <c r="M865" s="22" t="n">
        <v>2.501</v>
      </c>
      <c r="N865" s="22" t="n">
        <v>2.556</v>
      </c>
      <c r="O865" s="22" t="n">
        <v>2.543</v>
      </c>
      <c r="P865" s="22" t="n">
        <v>2.501</v>
      </c>
      <c r="Q865" s="22" t="n">
        <v>2.51</v>
      </c>
      <c r="R865" s="22" t="n">
        <v>2.531</v>
      </c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</row>
    <row r="866" customFormat="false" ht="15" hidden="false" customHeight="false" outlineLevel="0" collapsed="false">
      <c r="A866" s="22" t="s">
        <v>67</v>
      </c>
      <c r="B866" s="22" t="s">
        <v>3</v>
      </c>
      <c r="C866" s="22" t="s">
        <v>67</v>
      </c>
      <c r="D866" s="22" t="n">
        <v>47900</v>
      </c>
      <c r="E866" s="22" t="s">
        <v>132</v>
      </c>
      <c r="F866" s="22" t="s">
        <v>133</v>
      </c>
      <c r="G866" s="22" t="s">
        <v>131</v>
      </c>
      <c r="H866" s="22" t="s">
        <v>131</v>
      </c>
      <c r="I866" s="22" t="n">
        <v>683071</v>
      </c>
      <c r="J866" s="22" t="n">
        <v>686662</v>
      </c>
      <c r="K866" s="22" t="n">
        <v>690369</v>
      </c>
      <c r="L866" s="22" t="n">
        <v>694525</v>
      </c>
      <c r="M866" s="22" t="n">
        <v>698499</v>
      </c>
      <c r="N866" s="22" t="n">
        <v>701212</v>
      </c>
      <c r="O866" s="22" t="n">
        <v>702702</v>
      </c>
      <c r="P866" s="22" t="n">
        <v>704435</v>
      </c>
      <c r="Q866" s="22" t="n">
        <v>706348</v>
      </c>
      <c r="R866" s="22" t="n">
        <v>707981</v>
      </c>
      <c r="S866" s="22" t="n">
        <v>709057</v>
      </c>
      <c r="T866" s="22" t="n">
        <v>710040</v>
      </c>
      <c r="U866" s="22" t="n">
        <v>710925</v>
      </c>
      <c r="V866" s="22" t="n">
        <v>713070</v>
      </c>
      <c r="W866" s="22" t="n">
        <v>715395</v>
      </c>
      <c r="X866" s="22" t="n">
        <v>717279</v>
      </c>
      <c r="Y866" s="22" t="n">
        <v>719477</v>
      </c>
      <c r="Z866" s="22" t="n">
        <v>722166</v>
      </c>
      <c r="AA866" s="22" t="n">
        <v>723188</v>
      </c>
      <c r="AB866" s="22" t="n">
        <v>724658</v>
      </c>
      <c r="AC866" s="22" t="n">
        <v>726865</v>
      </c>
      <c r="AD866" s="22" t="n">
        <v>729529</v>
      </c>
      <c r="AE866" s="22" t="n">
        <v>730499</v>
      </c>
      <c r="AF866" s="22" t="n">
        <v>731917</v>
      </c>
    </row>
    <row r="867" customFormat="false" ht="15" hidden="false" customHeight="false" outlineLevel="0" collapsed="false">
      <c r="A867" s="22" t="s">
        <v>67</v>
      </c>
      <c r="B867" s="22" t="s">
        <v>3</v>
      </c>
      <c r="C867" s="22" t="s">
        <v>67</v>
      </c>
      <c r="D867" s="22" t="n">
        <v>47900</v>
      </c>
      <c r="E867" s="22" t="s">
        <v>132</v>
      </c>
      <c r="F867" s="22" t="s">
        <v>5</v>
      </c>
      <c r="G867" s="22" t="s">
        <v>131</v>
      </c>
      <c r="H867" s="22" t="s">
        <v>131</v>
      </c>
      <c r="I867" s="22" t="n">
        <v>2.43</v>
      </c>
      <c r="J867" s="22" t="n">
        <v>2.476</v>
      </c>
      <c r="K867" s="22" t="n">
        <v>2.522</v>
      </c>
      <c r="L867" s="22" t="n">
        <v>2.511</v>
      </c>
      <c r="M867" s="22" t="n">
        <v>2.527</v>
      </c>
      <c r="N867" s="22" t="n">
        <v>2.582</v>
      </c>
      <c r="O867" s="22" t="n">
        <v>2.573</v>
      </c>
      <c r="P867" s="22" t="n">
        <v>2.538</v>
      </c>
      <c r="Q867" s="22" t="n">
        <v>2.551</v>
      </c>
      <c r="R867" s="22" t="n">
        <v>2.576</v>
      </c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</row>
    <row r="868" customFormat="false" ht="15" hidden="false" customHeight="false" outlineLevel="0" collapsed="false">
      <c r="A868" s="22" t="s">
        <v>67</v>
      </c>
      <c r="B868" s="22" t="s">
        <v>3</v>
      </c>
      <c r="C868" s="22" t="s">
        <v>67</v>
      </c>
      <c r="D868" s="22" t="n">
        <v>47900</v>
      </c>
      <c r="E868" s="22" t="s">
        <v>134</v>
      </c>
      <c r="F868" s="22" t="s">
        <v>135</v>
      </c>
      <c r="G868" s="22" t="s">
        <v>131</v>
      </c>
      <c r="H868" s="22" t="s">
        <v>131</v>
      </c>
      <c r="I868" s="22" t="n">
        <v>0.0313</v>
      </c>
      <c r="J868" s="22" t="n">
        <v>0.0328</v>
      </c>
      <c r="K868" s="22" t="n">
        <v>0.035</v>
      </c>
      <c r="L868" s="22" t="n">
        <v>0.0331</v>
      </c>
      <c r="M868" s="22" t="n">
        <v>0.0329</v>
      </c>
      <c r="N868" s="22" t="n">
        <v>0.0256</v>
      </c>
      <c r="O868" s="22" t="n">
        <v>0.0028</v>
      </c>
      <c r="P868" s="22" t="n">
        <v>-0.0122</v>
      </c>
      <c r="Q868" s="22" t="n">
        <v>-0.0165</v>
      </c>
      <c r="R868" s="22" t="n">
        <v>-0.0201</v>
      </c>
      <c r="S868" s="22" t="n">
        <v>-0.016</v>
      </c>
      <c r="T868" s="22" t="n">
        <v>-0.009</v>
      </c>
      <c r="U868" s="22" t="n">
        <v>-0.001</v>
      </c>
      <c r="V868" s="22" t="n">
        <v>0.011</v>
      </c>
      <c r="W868" s="22" t="n">
        <v>0.02</v>
      </c>
      <c r="X868" s="22" t="n">
        <v>0.024</v>
      </c>
      <c r="Y868" s="22" t="n">
        <v>0.027</v>
      </c>
      <c r="Z868" s="22" t="n">
        <v>0.026</v>
      </c>
      <c r="AA868" s="22" t="n">
        <v>0.028</v>
      </c>
      <c r="AB868" s="22" t="n">
        <v>0.028</v>
      </c>
      <c r="AC868" s="22" t="n">
        <v>0.026</v>
      </c>
      <c r="AD868" s="22" t="n">
        <v>0.025</v>
      </c>
      <c r="AE868" s="22" t="n">
        <v>0.028</v>
      </c>
      <c r="AF868" s="22" t="n">
        <v>0.028</v>
      </c>
    </row>
    <row r="869" customFormat="false" ht="15" hidden="false" customHeight="false" outlineLevel="0" collapsed="false">
      <c r="A869" s="22" t="s">
        <v>67</v>
      </c>
      <c r="B869" s="22" t="s">
        <v>3</v>
      </c>
      <c r="C869" s="22" t="s">
        <v>67</v>
      </c>
      <c r="D869" s="22" t="n">
        <v>47900</v>
      </c>
      <c r="E869" s="22" t="s">
        <v>136</v>
      </c>
      <c r="F869" s="22" t="s">
        <v>137</v>
      </c>
      <c r="G869" s="22" t="s">
        <v>131</v>
      </c>
      <c r="H869" s="22" t="s">
        <v>131</v>
      </c>
      <c r="I869" s="22" t="n">
        <v>25</v>
      </c>
      <c r="J869" s="22" t="n">
        <v>23</v>
      </c>
      <c r="K869" s="22" t="n">
        <v>15</v>
      </c>
      <c r="L869" s="22" t="n">
        <v>14</v>
      </c>
      <c r="M869" s="22" t="n">
        <v>14</v>
      </c>
      <c r="N869" s="22" t="n">
        <v>19</v>
      </c>
      <c r="O869" s="22" t="n">
        <v>26</v>
      </c>
      <c r="P869" s="22" t="n">
        <v>25</v>
      </c>
      <c r="Q869" s="22" t="n">
        <v>24</v>
      </c>
      <c r="R869" s="22" t="n">
        <v>24</v>
      </c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</row>
    <row r="870" customFormat="false" ht="15" hidden="false" customHeight="false" outlineLevel="0" collapsed="false">
      <c r="A870" s="22" t="s">
        <v>43</v>
      </c>
      <c r="B870" s="22" t="s">
        <v>3</v>
      </c>
      <c r="C870" s="22" t="s">
        <v>43</v>
      </c>
      <c r="D870" s="22" t="n">
        <v>48424</v>
      </c>
      <c r="E870" s="22" t="s">
        <v>129</v>
      </c>
      <c r="F870" s="22" t="s">
        <v>130</v>
      </c>
      <c r="G870" s="22" t="s">
        <v>131</v>
      </c>
      <c r="H870" s="22" t="s">
        <v>131</v>
      </c>
      <c r="I870" s="22" t="n">
        <v>2.30171366248116</v>
      </c>
      <c r="J870" s="22" t="n">
        <v>2.30331356253357</v>
      </c>
      <c r="K870" s="22" t="n">
        <v>2.31503433844938</v>
      </c>
      <c r="L870" s="22" t="n">
        <v>2.31522710892007</v>
      </c>
      <c r="M870" s="22" t="n">
        <v>2.329369181078</v>
      </c>
      <c r="N870" s="22" t="n">
        <v>2.34157450916762</v>
      </c>
      <c r="O870" s="22" t="n">
        <v>2.37667638337911</v>
      </c>
      <c r="P870" s="22" t="n">
        <v>2.40976330686536</v>
      </c>
      <c r="Q870" s="22" t="n">
        <v>2.42254579859685</v>
      </c>
      <c r="R870" s="22" t="n">
        <v>2.43196458652125</v>
      </c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</row>
    <row r="871" customFormat="false" ht="15" hidden="false" customHeight="false" outlineLevel="0" collapsed="false">
      <c r="A871" s="22" t="s">
        <v>43</v>
      </c>
      <c r="B871" s="22" t="s">
        <v>3</v>
      </c>
      <c r="C871" s="22" t="s">
        <v>43</v>
      </c>
      <c r="D871" s="22" t="n">
        <v>48424</v>
      </c>
      <c r="E871" s="22" t="s">
        <v>132</v>
      </c>
      <c r="F871" s="22" t="s">
        <v>6</v>
      </c>
      <c r="G871" s="22" t="s">
        <v>131</v>
      </c>
      <c r="H871" s="22" t="s">
        <v>131</v>
      </c>
      <c r="I871" s="22" t="n">
        <v>2.348</v>
      </c>
      <c r="J871" s="22" t="n">
        <v>2.359</v>
      </c>
      <c r="K871" s="22" t="n">
        <v>2.346</v>
      </c>
      <c r="L871" s="22" t="n">
        <v>2.357</v>
      </c>
      <c r="M871" s="22" t="n">
        <v>2.375</v>
      </c>
      <c r="N871" s="22" t="n">
        <v>2.389</v>
      </c>
      <c r="O871" s="22" t="n">
        <v>2.389</v>
      </c>
      <c r="P871" s="22" t="n">
        <v>2.406</v>
      </c>
      <c r="Q871" s="22" t="n">
        <v>2.435</v>
      </c>
      <c r="R871" s="22" t="n">
        <v>2.449</v>
      </c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</row>
    <row r="872" customFormat="false" ht="15" hidden="false" customHeight="false" outlineLevel="0" collapsed="false">
      <c r="A872" s="22" t="s">
        <v>43</v>
      </c>
      <c r="B872" s="22" t="s">
        <v>3</v>
      </c>
      <c r="C872" s="22" t="s">
        <v>43</v>
      </c>
      <c r="D872" s="22" t="n">
        <v>48424</v>
      </c>
      <c r="E872" s="22" t="s">
        <v>132</v>
      </c>
      <c r="F872" s="22" t="s">
        <v>133</v>
      </c>
      <c r="G872" s="22" t="s">
        <v>131</v>
      </c>
      <c r="H872" s="22" t="s">
        <v>131</v>
      </c>
      <c r="I872" s="22" t="n">
        <v>127521</v>
      </c>
      <c r="J872" s="22" t="n">
        <v>128834</v>
      </c>
      <c r="K872" s="22" t="n">
        <v>129482</v>
      </c>
      <c r="L872" s="22" t="n">
        <v>130646</v>
      </c>
      <c r="M872" s="22" t="n">
        <v>130971</v>
      </c>
      <c r="N872" s="22" t="n">
        <v>131265</v>
      </c>
      <c r="O872" s="22" t="n">
        <v>131620</v>
      </c>
      <c r="P872" s="22" t="n">
        <v>131932</v>
      </c>
      <c r="Q872" s="22" t="n">
        <v>132217</v>
      </c>
      <c r="R872" s="22" t="n">
        <v>132415</v>
      </c>
      <c r="S872" s="22" t="n">
        <v>133228</v>
      </c>
      <c r="T872" s="22" t="n">
        <v>134473</v>
      </c>
      <c r="U872" s="22" t="n">
        <v>134948</v>
      </c>
      <c r="V872" s="22" t="n">
        <v>135605</v>
      </c>
      <c r="W872" s="22" t="n">
        <v>136069</v>
      </c>
      <c r="X872" s="22" t="n">
        <v>137185</v>
      </c>
      <c r="Y872" s="22" t="n">
        <v>137601</v>
      </c>
      <c r="Z872" s="22" t="n">
        <v>138169</v>
      </c>
      <c r="AA872" s="22" t="n">
        <v>138648</v>
      </c>
      <c r="AB872" s="22" t="n">
        <v>139724</v>
      </c>
      <c r="AC872" s="22" t="n">
        <v>140141</v>
      </c>
      <c r="AD872" s="22" t="n">
        <v>140732</v>
      </c>
      <c r="AE872" s="22" t="n">
        <v>141254</v>
      </c>
      <c r="AF872" s="22" t="n">
        <v>142376</v>
      </c>
    </row>
    <row r="873" customFormat="false" ht="15" hidden="false" customHeight="false" outlineLevel="0" collapsed="false">
      <c r="A873" s="22" t="s">
        <v>43</v>
      </c>
      <c r="B873" s="22" t="s">
        <v>3</v>
      </c>
      <c r="C873" s="22" t="s">
        <v>43</v>
      </c>
      <c r="D873" s="22" t="n">
        <v>48424</v>
      </c>
      <c r="E873" s="22" t="s">
        <v>132</v>
      </c>
      <c r="F873" s="22" t="s">
        <v>5</v>
      </c>
      <c r="G873" s="22" t="s">
        <v>131</v>
      </c>
      <c r="H873" s="22" t="s">
        <v>131</v>
      </c>
      <c r="I873" s="22" t="n">
        <v>2.358</v>
      </c>
      <c r="J873" s="22" t="n">
        <v>2.375</v>
      </c>
      <c r="K873" s="22" t="n">
        <v>2.367</v>
      </c>
      <c r="L873" s="22" t="n">
        <v>2.373</v>
      </c>
      <c r="M873" s="22" t="n">
        <v>2.389</v>
      </c>
      <c r="N873" s="22" t="n">
        <v>2.401</v>
      </c>
      <c r="O873" s="22" t="n">
        <v>2.401</v>
      </c>
      <c r="P873" s="22" t="n">
        <v>2.418</v>
      </c>
      <c r="Q873" s="22" t="n">
        <v>2.451</v>
      </c>
      <c r="R873" s="22" t="n">
        <v>2.461</v>
      </c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</row>
    <row r="874" customFormat="false" ht="15" hidden="false" customHeight="false" outlineLevel="0" collapsed="false">
      <c r="A874" s="22" t="s">
        <v>43</v>
      </c>
      <c r="B874" s="22" t="s">
        <v>3</v>
      </c>
      <c r="C874" s="22" t="s">
        <v>43</v>
      </c>
      <c r="D874" s="22" t="n">
        <v>48424</v>
      </c>
      <c r="E874" s="22" t="s">
        <v>134</v>
      </c>
      <c r="F874" s="22" t="s">
        <v>135</v>
      </c>
      <c r="G874" s="22" t="s">
        <v>131</v>
      </c>
      <c r="H874" s="22" t="s">
        <v>131</v>
      </c>
      <c r="I874" s="22" t="n">
        <v>-0.0055</v>
      </c>
      <c r="J874" s="22" t="n">
        <v>-0.0024</v>
      </c>
      <c r="K874" s="22" t="n">
        <v>-0.007</v>
      </c>
      <c r="L874" s="22" t="n">
        <v>-0.0077</v>
      </c>
      <c r="M874" s="22" t="n">
        <v>-0.0125</v>
      </c>
      <c r="N874" s="22" t="n">
        <v>-0.0118</v>
      </c>
      <c r="O874" s="22" t="n">
        <v>-0.0064</v>
      </c>
      <c r="P874" s="22" t="n">
        <v>-0.0028</v>
      </c>
      <c r="Q874" s="22" t="n">
        <v>0.0114</v>
      </c>
      <c r="R874" s="22" t="n">
        <v>0.017</v>
      </c>
      <c r="S874" s="22" t="n">
        <v>0.021</v>
      </c>
      <c r="T874" s="22" t="n">
        <v>0.027</v>
      </c>
      <c r="U874" s="22" t="n">
        <v>0.025</v>
      </c>
      <c r="V874" s="22" t="n">
        <v>0.027</v>
      </c>
      <c r="W874" s="22" t="n">
        <v>0.031</v>
      </c>
      <c r="X874" s="22" t="n">
        <v>0.029</v>
      </c>
      <c r="Y874" s="22" t="n">
        <v>0.031</v>
      </c>
      <c r="Z874" s="22" t="n">
        <v>0.031</v>
      </c>
      <c r="AA874" s="22" t="n">
        <v>0.035</v>
      </c>
      <c r="AB874" s="22" t="n">
        <v>0.034</v>
      </c>
      <c r="AC874" s="22" t="n">
        <v>0.036</v>
      </c>
      <c r="AD874" s="22" t="n">
        <v>0.036</v>
      </c>
      <c r="AE874" s="22" t="n">
        <v>0.04</v>
      </c>
      <c r="AF874" s="22" t="n">
        <v>0.039</v>
      </c>
    </row>
    <row r="875" customFormat="false" ht="15" hidden="false" customHeight="false" outlineLevel="0" collapsed="false">
      <c r="A875" s="22" t="s">
        <v>43</v>
      </c>
      <c r="B875" s="22" t="s">
        <v>3</v>
      </c>
      <c r="C875" s="22" t="s">
        <v>43</v>
      </c>
      <c r="D875" s="22" t="n">
        <v>48424</v>
      </c>
      <c r="E875" s="22" t="s">
        <v>136</v>
      </c>
      <c r="F875" s="22" t="s">
        <v>137</v>
      </c>
      <c r="G875" s="22" t="s">
        <v>131</v>
      </c>
      <c r="H875" s="22" t="s">
        <v>131</v>
      </c>
      <c r="I875" s="22" t="n">
        <v>5</v>
      </c>
      <c r="J875" s="22" t="n">
        <v>6</v>
      </c>
      <c r="K875" s="22" t="n">
        <v>6</v>
      </c>
      <c r="L875" s="22" t="n">
        <v>7</v>
      </c>
      <c r="M875" s="22" t="n">
        <v>6</v>
      </c>
      <c r="N875" s="22" t="n">
        <v>8</v>
      </c>
      <c r="O875" s="22" t="n">
        <v>10</v>
      </c>
      <c r="P875" s="22" t="n">
        <v>10</v>
      </c>
      <c r="Q875" s="22" t="n">
        <v>10</v>
      </c>
      <c r="R875" s="22" t="n">
        <v>10</v>
      </c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</row>
    <row r="876" customFormat="false" ht="15" hidden="false" customHeight="false" outlineLevel="0" collapsed="false">
      <c r="A876" s="22" t="s">
        <v>26</v>
      </c>
      <c r="B876" s="22" t="s">
        <v>3</v>
      </c>
      <c r="C876" s="22" t="s">
        <v>26</v>
      </c>
      <c r="D876" s="22" t="n">
        <v>48620</v>
      </c>
      <c r="E876" s="22" t="s">
        <v>129</v>
      </c>
      <c r="F876" s="22" t="s">
        <v>130</v>
      </c>
      <c r="G876" s="22" t="s">
        <v>131</v>
      </c>
      <c r="H876" s="22" t="s">
        <v>131</v>
      </c>
      <c r="I876" s="22" t="n">
        <v>0.903543174605144</v>
      </c>
      <c r="J876" s="22" t="n">
        <v>0.917911050681969</v>
      </c>
      <c r="K876" s="22" t="n">
        <v>0.941636887838284</v>
      </c>
      <c r="L876" s="22" t="n">
        <v>0.947110284854927</v>
      </c>
      <c r="M876" s="22" t="n">
        <v>0.952506956858281</v>
      </c>
      <c r="N876" s="22" t="n">
        <v>0.960139065586286</v>
      </c>
      <c r="O876" s="22" t="n">
        <v>0.968302321588489</v>
      </c>
      <c r="P876" s="22" t="n">
        <v>1.02226675667678</v>
      </c>
      <c r="Q876" s="22" t="n">
        <v>1.0502722457524</v>
      </c>
      <c r="R876" s="22" t="n">
        <v>1.07233950025415</v>
      </c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</row>
    <row r="877" customFormat="false" ht="15" hidden="false" customHeight="false" outlineLevel="0" collapsed="false">
      <c r="A877" s="22" t="s">
        <v>26</v>
      </c>
      <c r="B877" s="22" t="s">
        <v>3</v>
      </c>
      <c r="C877" s="22" t="s">
        <v>26</v>
      </c>
      <c r="D877" s="22" t="n">
        <v>48620</v>
      </c>
      <c r="E877" s="22" t="s">
        <v>132</v>
      </c>
      <c r="F877" s="22" t="s">
        <v>6</v>
      </c>
      <c r="G877" s="22" t="s">
        <v>131</v>
      </c>
      <c r="H877" s="22" t="s">
        <v>131</v>
      </c>
      <c r="I877" s="22" t="n">
        <v>1.062</v>
      </c>
      <c r="J877" s="22" t="n">
        <v>1.079</v>
      </c>
      <c r="K877" s="22" t="n">
        <v>1.085</v>
      </c>
      <c r="L877" s="22" t="n">
        <v>1.067</v>
      </c>
      <c r="M877" s="22" t="n">
        <v>1.09</v>
      </c>
      <c r="N877" s="22" t="n">
        <v>1.129</v>
      </c>
      <c r="O877" s="22" t="n">
        <v>1.152</v>
      </c>
      <c r="P877" s="22" t="n">
        <v>1.145</v>
      </c>
      <c r="Q877" s="22" t="n">
        <v>1.159</v>
      </c>
      <c r="R877" s="22" t="n">
        <v>1.173</v>
      </c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</row>
    <row r="878" customFormat="false" ht="15" hidden="false" customHeight="false" outlineLevel="0" collapsed="false">
      <c r="A878" s="22" t="s">
        <v>26</v>
      </c>
      <c r="B878" s="22" t="s">
        <v>3</v>
      </c>
      <c r="C878" s="22" t="s">
        <v>26</v>
      </c>
      <c r="D878" s="22" t="n">
        <v>48620</v>
      </c>
      <c r="E878" s="22" t="s">
        <v>132</v>
      </c>
      <c r="F878" s="22" t="s">
        <v>133</v>
      </c>
      <c r="G878" s="22" t="s">
        <v>131</v>
      </c>
      <c r="H878" s="22" t="s">
        <v>131</v>
      </c>
      <c r="I878" s="22" t="n">
        <v>38320</v>
      </c>
      <c r="J878" s="22" t="n">
        <v>38497</v>
      </c>
      <c r="K878" s="22" t="n">
        <v>38673</v>
      </c>
      <c r="L878" s="22" t="n">
        <v>38760</v>
      </c>
      <c r="M878" s="22" t="n">
        <v>38840</v>
      </c>
      <c r="N878" s="22" t="n">
        <v>38964</v>
      </c>
      <c r="O878" s="22" t="n">
        <v>39204</v>
      </c>
      <c r="P878" s="22" t="n">
        <v>39462</v>
      </c>
      <c r="Q878" s="22" t="n">
        <v>39591</v>
      </c>
      <c r="R878" s="22" t="n">
        <v>39615</v>
      </c>
      <c r="S878" s="22" t="n">
        <v>39761</v>
      </c>
      <c r="T878" s="22" t="n">
        <v>39918</v>
      </c>
      <c r="U878" s="22" t="n">
        <v>39938</v>
      </c>
      <c r="V878" s="22" t="n">
        <v>39938</v>
      </c>
      <c r="W878" s="22" t="n">
        <v>40147</v>
      </c>
      <c r="X878" s="22" t="n">
        <v>40431</v>
      </c>
      <c r="Y878" s="22" t="n">
        <v>40578</v>
      </c>
      <c r="Z878" s="22" t="n">
        <v>40464</v>
      </c>
      <c r="AA878" s="22" t="n">
        <v>40739</v>
      </c>
      <c r="AB878" s="22" t="n">
        <v>41017</v>
      </c>
      <c r="AC878" s="22" t="n">
        <v>41110</v>
      </c>
      <c r="AD878" s="22" t="n">
        <v>40969</v>
      </c>
      <c r="AE878" s="22" t="n">
        <v>41233</v>
      </c>
      <c r="AF878" s="22" t="n">
        <v>41502</v>
      </c>
    </row>
    <row r="879" customFormat="false" ht="15" hidden="false" customHeight="false" outlineLevel="0" collapsed="false">
      <c r="A879" s="22" t="s">
        <v>26</v>
      </c>
      <c r="B879" s="22" t="s">
        <v>3</v>
      </c>
      <c r="C879" s="22" t="s">
        <v>26</v>
      </c>
      <c r="D879" s="22" t="n">
        <v>48620</v>
      </c>
      <c r="E879" s="22" t="s">
        <v>132</v>
      </c>
      <c r="F879" s="22" t="s">
        <v>5</v>
      </c>
      <c r="G879" s="22" t="s">
        <v>131</v>
      </c>
      <c r="H879" s="22" t="s">
        <v>131</v>
      </c>
      <c r="I879" s="22" t="n">
        <v>1.066</v>
      </c>
      <c r="J879" s="22" t="n">
        <v>1.085</v>
      </c>
      <c r="K879" s="22" t="n">
        <v>1.093</v>
      </c>
      <c r="L879" s="22" t="n">
        <v>1.075</v>
      </c>
      <c r="M879" s="22" t="n">
        <v>1.1</v>
      </c>
      <c r="N879" s="22" t="n">
        <v>1.133</v>
      </c>
      <c r="O879" s="22" t="n">
        <v>1.155</v>
      </c>
      <c r="P879" s="22" t="n">
        <v>1.15</v>
      </c>
      <c r="Q879" s="22" t="n">
        <v>1.163</v>
      </c>
      <c r="R879" s="22" t="n">
        <v>1.176</v>
      </c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</row>
    <row r="880" customFormat="false" ht="15" hidden="false" customHeight="false" outlineLevel="0" collapsed="false">
      <c r="A880" s="22" t="s">
        <v>26</v>
      </c>
      <c r="B880" s="22" t="s">
        <v>3</v>
      </c>
      <c r="C880" s="22" t="s">
        <v>26</v>
      </c>
      <c r="D880" s="22" t="n">
        <v>48620</v>
      </c>
      <c r="E880" s="22" t="s">
        <v>134</v>
      </c>
      <c r="F880" s="22" t="s">
        <v>135</v>
      </c>
      <c r="G880" s="22" t="s">
        <v>131</v>
      </c>
      <c r="H880" s="22" t="s">
        <v>131</v>
      </c>
      <c r="I880" s="22" t="n">
        <v>0.0415</v>
      </c>
      <c r="J880" s="22" t="n">
        <v>0.0443</v>
      </c>
      <c r="K880" s="22" t="n">
        <v>0.0323</v>
      </c>
      <c r="L880" s="22" t="n">
        <v>0.0135</v>
      </c>
      <c r="M880" s="22" t="n">
        <v>0.0008</v>
      </c>
      <c r="N880" s="22" t="n">
        <v>0.0067</v>
      </c>
      <c r="O880" s="22" t="n">
        <v>0.0195</v>
      </c>
      <c r="P880" s="22" t="n">
        <v>0.037</v>
      </c>
      <c r="Q880" s="22" t="n">
        <v>0.046</v>
      </c>
      <c r="R880" s="22" t="n">
        <v>0.0349</v>
      </c>
      <c r="S880" s="22" t="n">
        <v>0.033</v>
      </c>
      <c r="T880" s="22" t="n">
        <v>0.037</v>
      </c>
      <c r="U880" s="22" t="n">
        <v>0.032</v>
      </c>
      <c r="V880" s="22" t="n">
        <v>0.025</v>
      </c>
      <c r="W880" s="22" t="n">
        <v>0.022</v>
      </c>
      <c r="X880" s="22" t="n">
        <v>0.027</v>
      </c>
      <c r="Y880" s="22" t="n">
        <v>0.026</v>
      </c>
      <c r="Z880" s="22" t="n">
        <v>0.026</v>
      </c>
      <c r="AA880" s="22" t="n">
        <v>0.023</v>
      </c>
      <c r="AB880" s="22" t="n">
        <v>0.027</v>
      </c>
      <c r="AC880" s="22" t="n">
        <v>0.027</v>
      </c>
      <c r="AD880" s="22" t="n">
        <v>0.026</v>
      </c>
      <c r="AE880" s="22" t="n">
        <v>0.025</v>
      </c>
      <c r="AF880" s="22" t="n">
        <v>0.026</v>
      </c>
    </row>
    <row r="881" customFormat="false" ht="15" hidden="false" customHeight="false" outlineLevel="0" collapsed="false">
      <c r="A881" s="22" t="s">
        <v>26</v>
      </c>
      <c r="B881" s="22" t="s">
        <v>3</v>
      </c>
      <c r="C881" s="22" t="s">
        <v>26</v>
      </c>
      <c r="D881" s="22" t="n">
        <v>48620</v>
      </c>
      <c r="E881" s="22" t="s">
        <v>136</v>
      </c>
      <c r="F881" s="22" t="s">
        <v>137</v>
      </c>
      <c r="G881" s="22" t="s">
        <v>131</v>
      </c>
      <c r="H881" s="22" t="s">
        <v>131</v>
      </c>
      <c r="I881" s="22" t="n">
        <v>2</v>
      </c>
      <c r="J881" s="22" t="n">
        <v>1</v>
      </c>
      <c r="K881" s="22" t="n">
        <v>3</v>
      </c>
      <c r="L881" s="22" t="n">
        <v>3</v>
      </c>
      <c r="M881" s="22" t="n">
        <v>6</v>
      </c>
      <c r="N881" s="22" t="n">
        <v>7</v>
      </c>
      <c r="O881" s="22" t="n">
        <v>7</v>
      </c>
      <c r="P881" s="22" t="n">
        <v>7</v>
      </c>
      <c r="Q881" s="22" t="n">
        <v>4</v>
      </c>
      <c r="R881" s="22" t="n">
        <v>2</v>
      </c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</row>
    <row r="882" customFormat="false" ht="15" hidden="false" customHeight="false" outlineLevel="0" collapsed="false">
      <c r="A882" s="22" t="s">
        <v>35</v>
      </c>
      <c r="B882" s="22" t="s">
        <v>3</v>
      </c>
      <c r="C882" s="22" t="s">
        <v>35</v>
      </c>
      <c r="D882" s="22" t="n">
        <v>48900</v>
      </c>
      <c r="E882" s="22" t="s">
        <v>129</v>
      </c>
      <c r="F882" s="22" t="s">
        <v>130</v>
      </c>
      <c r="G882" s="22" t="s">
        <v>131</v>
      </c>
      <c r="H882" s="22" t="s">
        <v>131</v>
      </c>
      <c r="I882" s="22" t="n">
        <v>1.51762157451476</v>
      </c>
      <c r="J882" s="22" t="n">
        <v>1.51271356647797</v>
      </c>
      <c r="K882" s="22" t="n">
        <v>1.5078336982507</v>
      </c>
      <c r="L882" s="22" t="n">
        <v>1.52920330928435</v>
      </c>
      <c r="M882" s="22" t="n">
        <v>1.51984102565237</v>
      </c>
      <c r="N882" s="22" t="n">
        <v>1.51538224626978</v>
      </c>
      <c r="O882" s="22" t="n">
        <v>1.51904722669787</v>
      </c>
      <c r="P882" s="22" t="n">
        <v>1.53052934447676</v>
      </c>
      <c r="Q882" s="22" t="n">
        <v>1.5123010604275</v>
      </c>
      <c r="R882" s="22" t="n">
        <v>1.51487926825002</v>
      </c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</row>
    <row r="883" customFormat="false" ht="15" hidden="false" customHeight="false" outlineLevel="0" collapsed="false">
      <c r="A883" s="22" t="s">
        <v>35</v>
      </c>
      <c r="B883" s="22" t="s">
        <v>3</v>
      </c>
      <c r="C883" s="22" t="s">
        <v>35</v>
      </c>
      <c r="D883" s="22" t="n">
        <v>48900</v>
      </c>
      <c r="E883" s="22" t="s">
        <v>132</v>
      </c>
      <c r="F883" s="22" t="s">
        <v>6</v>
      </c>
      <c r="G883" s="22" t="s">
        <v>131</v>
      </c>
      <c r="H883" s="22" t="s">
        <v>131</v>
      </c>
      <c r="I883" s="22" t="n">
        <v>1.532</v>
      </c>
      <c r="J883" s="22" t="n">
        <v>1.549</v>
      </c>
      <c r="K883" s="22" t="n">
        <v>1.566</v>
      </c>
      <c r="L883" s="22" t="n">
        <v>1.536</v>
      </c>
      <c r="M883" s="22" t="n">
        <v>1.529</v>
      </c>
      <c r="N883" s="22" t="n">
        <v>1.547</v>
      </c>
      <c r="O883" s="22" t="n">
        <v>1.524</v>
      </c>
      <c r="P883" s="22" t="n">
        <v>1.492</v>
      </c>
      <c r="Q883" s="22" t="n">
        <v>1.516</v>
      </c>
      <c r="R883" s="22" t="n">
        <v>1.559</v>
      </c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customFormat="false" ht="15" hidden="false" customHeight="false" outlineLevel="0" collapsed="false">
      <c r="A884" s="22" t="s">
        <v>35</v>
      </c>
      <c r="B884" s="22" t="s">
        <v>3</v>
      </c>
      <c r="C884" s="22" t="s">
        <v>35</v>
      </c>
      <c r="D884" s="22" t="n">
        <v>48900</v>
      </c>
      <c r="E884" s="22" t="s">
        <v>132</v>
      </c>
      <c r="F884" s="22" t="s">
        <v>133</v>
      </c>
      <c r="G884" s="22" t="s">
        <v>131</v>
      </c>
      <c r="H884" s="22" t="s">
        <v>131</v>
      </c>
      <c r="I884" s="22" t="n">
        <v>35128</v>
      </c>
      <c r="J884" s="22" t="n">
        <v>36020</v>
      </c>
      <c r="K884" s="22" t="n">
        <v>37514</v>
      </c>
      <c r="L884" s="22" t="n">
        <v>39518</v>
      </c>
      <c r="M884" s="22" t="n">
        <v>40460</v>
      </c>
      <c r="N884" s="22" t="n">
        <v>40831</v>
      </c>
      <c r="O884" s="22" t="n">
        <v>41238</v>
      </c>
      <c r="P884" s="22" t="n">
        <v>41388</v>
      </c>
      <c r="Q884" s="22" t="n">
        <v>41620</v>
      </c>
      <c r="R884" s="22" t="n">
        <v>41949</v>
      </c>
      <c r="S884" s="22" t="n">
        <v>42233</v>
      </c>
      <c r="T884" s="22" t="n">
        <v>42763</v>
      </c>
      <c r="U884" s="22" t="n">
        <v>43735</v>
      </c>
      <c r="V884" s="22" t="n">
        <v>44227</v>
      </c>
      <c r="W884" s="22" t="n">
        <v>44393</v>
      </c>
      <c r="X884" s="22" t="n">
        <v>44515</v>
      </c>
      <c r="Y884" s="22" t="n">
        <v>44631</v>
      </c>
      <c r="Z884" s="22" t="n">
        <v>45175</v>
      </c>
      <c r="AA884" s="22" t="n">
        <v>45344</v>
      </c>
      <c r="AB884" s="22" t="n">
        <v>45480</v>
      </c>
      <c r="AC884" s="22" t="n">
        <v>45572</v>
      </c>
      <c r="AD884" s="22" t="n">
        <v>46064</v>
      </c>
      <c r="AE884" s="22" t="n">
        <v>46171</v>
      </c>
      <c r="AF884" s="22" t="n">
        <v>46270</v>
      </c>
    </row>
    <row r="885" customFormat="false" ht="15" hidden="false" customHeight="false" outlineLevel="0" collapsed="false">
      <c r="A885" s="22" t="s">
        <v>35</v>
      </c>
      <c r="B885" s="22" t="s">
        <v>3</v>
      </c>
      <c r="C885" s="22" t="s">
        <v>35</v>
      </c>
      <c r="D885" s="22" t="n">
        <v>48900</v>
      </c>
      <c r="E885" s="22" t="s">
        <v>132</v>
      </c>
      <c r="F885" s="22" t="s">
        <v>5</v>
      </c>
      <c r="G885" s="22" t="s">
        <v>131</v>
      </c>
      <c r="H885" s="22" t="s">
        <v>131</v>
      </c>
      <c r="I885" s="22" t="n">
        <v>1.553</v>
      </c>
      <c r="J885" s="22" t="n">
        <v>1.575</v>
      </c>
      <c r="K885" s="22" t="n">
        <v>1.583</v>
      </c>
      <c r="L885" s="22" t="n">
        <v>1.56</v>
      </c>
      <c r="M885" s="22" t="n">
        <v>1.558</v>
      </c>
      <c r="N885" s="22" t="n">
        <v>1.571</v>
      </c>
      <c r="O885" s="22" t="n">
        <v>1.564</v>
      </c>
      <c r="P885" s="22" t="n">
        <v>1.535</v>
      </c>
      <c r="Q885" s="22" t="n">
        <v>1.557</v>
      </c>
      <c r="R885" s="22" t="n">
        <v>1.596</v>
      </c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</row>
    <row r="886" customFormat="false" ht="15" hidden="false" customHeight="false" outlineLevel="0" collapsed="false">
      <c r="A886" s="22" t="s">
        <v>35</v>
      </c>
      <c r="B886" s="22" t="s">
        <v>3</v>
      </c>
      <c r="C886" s="22" t="s">
        <v>35</v>
      </c>
      <c r="D886" s="22" t="n">
        <v>48900</v>
      </c>
      <c r="E886" s="22" t="s">
        <v>134</v>
      </c>
      <c r="F886" s="22" t="s">
        <v>135</v>
      </c>
      <c r="G886" s="22" t="s">
        <v>131</v>
      </c>
      <c r="H886" s="22" t="s">
        <v>131</v>
      </c>
      <c r="I886" s="22" t="n">
        <v>-0.0442</v>
      </c>
      <c r="J886" s="22" t="n">
        <v>-0.0417</v>
      </c>
      <c r="K886" s="22" t="n">
        <v>-0.0233</v>
      </c>
      <c r="L886" s="22" t="n">
        <v>-0.0238</v>
      </c>
      <c r="M886" s="22" t="n">
        <v>-0.0127</v>
      </c>
      <c r="N886" s="22" t="n">
        <v>-0.0098</v>
      </c>
      <c r="O886" s="22" t="n">
        <v>-0.0297</v>
      </c>
      <c r="P886" s="22" t="n">
        <v>-0.0293</v>
      </c>
      <c r="Q886" s="22" t="n">
        <v>-0.009</v>
      </c>
      <c r="R886" s="22" t="n">
        <v>0.0034</v>
      </c>
      <c r="S886" s="22" t="n">
        <v>0.01</v>
      </c>
      <c r="T886" s="22" t="n">
        <v>0.024</v>
      </c>
      <c r="U886" s="22" t="n">
        <v>0.02</v>
      </c>
      <c r="V886" s="22" t="n">
        <v>0.021</v>
      </c>
      <c r="W886" s="22" t="n">
        <v>0.017</v>
      </c>
      <c r="X886" s="22" t="n">
        <v>0.028</v>
      </c>
      <c r="Y886" s="22" t="n">
        <v>0.028</v>
      </c>
      <c r="Z886" s="22" t="n">
        <v>0.028</v>
      </c>
      <c r="AA886" s="22" t="n">
        <v>0.038</v>
      </c>
      <c r="AB886" s="22" t="n">
        <v>0.039</v>
      </c>
      <c r="AC886" s="22" t="n">
        <v>0.034</v>
      </c>
      <c r="AD886" s="22" t="n">
        <v>0.031</v>
      </c>
      <c r="AE886" s="22" t="n">
        <v>0.038</v>
      </c>
      <c r="AF886" s="22" t="n">
        <v>0.039</v>
      </c>
    </row>
    <row r="887" customFormat="false" ht="15" hidden="false" customHeight="false" outlineLevel="0" collapsed="false">
      <c r="A887" s="22" t="s">
        <v>35</v>
      </c>
      <c r="B887" s="22" t="s">
        <v>3</v>
      </c>
      <c r="C887" s="22" t="s">
        <v>35</v>
      </c>
      <c r="D887" s="22" t="n">
        <v>48900</v>
      </c>
      <c r="E887" s="22" t="s">
        <v>136</v>
      </c>
      <c r="F887" s="22" t="s">
        <v>137</v>
      </c>
      <c r="G887" s="22" t="s">
        <v>131</v>
      </c>
      <c r="H887" s="22" t="s">
        <v>131</v>
      </c>
      <c r="I887" s="22" t="n">
        <v>9</v>
      </c>
      <c r="J887" s="22" t="n">
        <v>8</v>
      </c>
      <c r="K887" s="22" t="n">
        <v>7</v>
      </c>
      <c r="L887" s="22" t="n">
        <v>7</v>
      </c>
      <c r="M887" s="22" t="n">
        <v>10</v>
      </c>
      <c r="N887" s="22" t="n">
        <v>10</v>
      </c>
      <c r="O887" s="22" t="n">
        <v>9</v>
      </c>
      <c r="P887" s="22" t="n">
        <v>6</v>
      </c>
      <c r="Q887" s="22" t="n">
        <v>5</v>
      </c>
      <c r="R887" s="22" t="n">
        <v>3</v>
      </c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</row>
    <row r="888" customFormat="false" ht="15" hidden="false" customHeight="false" outlineLevel="0" collapsed="false">
      <c r="A888" s="22" t="s">
        <v>220</v>
      </c>
      <c r="B888" s="22" t="s">
        <v>3</v>
      </c>
      <c r="C888" s="22" t="s">
        <v>220</v>
      </c>
      <c r="D888" s="22" t="n">
        <v>249340</v>
      </c>
      <c r="E888" s="22" t="s">
        <v>129</v>
      </c>
      <c r="F888" s="22" t="s">
        <v>130</v>
      </c>
      <c r="G888" s="22" t="s">
        <v>131</v>
      </c>
      <c r="H888" s="22" t="s">
        <v>131</v>
      </c>
      <c r="I888" s="22" t="n">
        <v>2.21872348670467</v>
      </c>
      <c r="J888" s="22" t="n">
        <v>2.23900458512369</v>
      </c>
      <c r="K888" s="22" t="n">
        <v>2.23886187906447</v>
      </c>
      <c r="L888" s="22" t="n">
        <v>2.21600856503183</v>
      </c>
      <c r="M888" s="22" t="n">
        <v>2.25146002484625</v>
      </c>
      <c r="N888" s="22" t="n">
        <v>2.2755616799857</v>
      </c>
      <c r="O888" s="22" t="n">
        <v>2.26079709039324</v>
      </c>
      <c r="P888" s="22" t="n">
        <v>2.27299962772625</v>
      </c>
      <c r="Q888" s="22" t="n">
        <v>2.27361750336412</v>
      </c>
      <c r="R888" s="22" t="n">
        <v>2.30891036339197</v>
      </c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</row>
    <row r="889" customFormat="false" ht="15" hidden="false" customHeight="false" outlineLevel="0" collapsed="false">
      <c r="A889" s="22" t="s">
        <v>220</v>
      </c>
      <c r="B889" s="22" t="s">
        <v>3</v>
      </c>
      <c r="C889" s="22" t="s">
        <v>220</v>
      </c>
      <c r="D889" s="22" t="n">
        <v>249340</v>
      </c>
      <c r="E889" s="22" t="s">
        <v>132</v>
      </c>
      <c r="F889" s="22" t="s">
        <v>6</v>
      </c>
      <c r="G889" s="22" t="s">
        <v>131</v>
      </c>
      <c r="H889" s="22" t="s">
        <v>131</v>
      </c>
      <c r="I889" s="22" t="n">
        <v>2.353</v>
      </c>
      <c r="J889" s="22" t="n">
        <v>2.414</v>
      </c>
      <c r="K889" s="22" t="n">
        <v>2.421</v>
      </c>
      <c r="L889" s="22" t="n">
        <v>2.417</v>
      </c>
      <c r="M889" s="22" t="n">
        <v>2.434</v>
      </c>
      <c r="N889" s="22" t="n">
        <v>2.489</v>
      </c>
      <c r="O889" s="22" t="n">
        <v>2.51</v>
      </c>
      <c r="P889" s="22" t="n">
        <v>2.475</v>
      </c>
      <c r="Q889" s="22" t="n">
        <v>2.457</v>
      </c>
      <c r="R889" s="22" t="n">
        <v>2.49</v>
      </c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</row>
    <row r="890" customFormat="false" ht="15" hidden="false" customHeight="false" outlineLevel="0" collapsed="false">
      <c r="A890" s="22" t="s">
        <v>220</v>
      </c>
      <c r="B890" s="22" t="s">
        <v>3</v>
      </c>
      <c r="C890" s="22" t="s">
        <v>220</v>
      </c>
      <c r="D890" s="22" t="n">
        <v>249340</v>
      </c>
      <c r="E890" s="22" t="s">
        <v>132</v>
      </c>
      <c r="F890" s="22" t="s">
        <v>133</v>
      </c>
      <c r="G890" s="22" t="s">
        <v>131</v>
      </c>
      <c r="H890" s="22" t="s">
        <v>131</v>
      </c>
      <c r="I890" s="22" t="n">
        <v>52691</v>
      </c>
      <c r="J890" s="22" t="n">
        <v>52944</v>
      </c>
      <c r="K890" s="22" t="n">
        <v>53153</v>
      </c>
      <c r="L890" s="22" t="n">
        <v>53457</v>
      </c>
      <c r="M890" s="22" t="n">
        <v>53457</v>
      </c>
      <c r="N890" s="22" t="n">
        <v>53467</v>
      </c>
      <c r="O890" s="22" t="n">
        <v>53498</v>
      </c>
      <c r="P890" s="22" t="n">
        <v>53509</v>
      </c>
      <c r="Q890" s="22" t="n">
        <v>53740</v>
      </c>
      <c r="R890" s="22" t="n">
        <v>54080</v>
      </c>
      <c r="S890" s="22" t="n">
        <v>54249</v>
      </c>
      <c r="T890" s="22" t="n">
        <v>54628</v>
      </c>
      <c r="U890" s="22" t="n">
        <v>54959</v>
      </c>
      <c r="V890" s="22" t="n">
        <v>55216</v>
      </c>
      <c r="W890" s="22" t="n">
        <v>55342</v>
      </c>
      <c r="X890" s="22" t="n">
        <v>55571</v>
      </c>
      <c r="Y890" s="22" t="n">
        <v>55591</v>
      </c>
      <c r="Z890" s="22" t="n">
        <v>55651</v>
      </c>
      <c r="AA890" s="22" t="n">
        <v>55714</v>
      </c>
      <c r="AB890" s="22" t="n">
        <v>55756</v>
      </c>
      <c r="AC890" s="22" t="n">
        <v>55756</v>
      </c>
      <c r="AD890" s="22" t="n">
        <v>55761</v>
      </c>
      <c r="AE890" s="22" t="n">
        <v>55826</v>
      </c>
      <c r="AF890" s="22" t="n">
        <v>55871</v>
      </c>
    </row>
    <row r="891" customFormat="false" ht="15" hidden="false" customHeight="false" outlineLevel="0" collapsed="false">
      <c r="A891" s="22" t="s">
        <v>220</v>
      </c>
      <c r="B891" s="22" t="s">
        <v>3</v>
      </c>
      <c r="C891" s="22" t="s">
        <v>220</v>
      </c>
      <c r="D891" s="22" t="n">
        <v>249340</v>
      </c>
      <c r="E891" s="22" t="s">
        <v>132</v>
      </c>
      <c r="F891" s="22" t="s">
        <v>5</v>
      </c>
      <c r="G891" s="22" t="s">
        <v>131</v>
      </c>
      <c r="H891" s="22" t="s">
        <v>131</v>
      </c>
      <c r="I891" s="22" t="n">
        <v>2.359</v>
      </c>
      <c r="J891" s="22" t="n">
        <v>2.419</v>
      </c>
      <c r="K891" s="22" t="n">
        <v>2.431</v>
      </c>
      <c r="L891" s="22" t="n">
        <v>2.425</v>
      </c>
      <c r="M891" s="22" t="n">
        <v>2.444</v>
      </c>
      <c r="N891" s="22" t="n">
        <v>2.505</v>
      </c>
      <c r="O891" s="22" t="n">
        <v>2.528</v>
      </c>
      <c r="P891" s="22" t="n">
        <v>2.497</v>
      </c>
      <c r="Q891" s="22" t="n">
        <v>2.483</v>
      </c>
      <c r="R891" s="22" t="n">
        <v>2.532</v>
      </c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</row>
    <row r="892" customFormat="false" ht="15" hidden="false" customHeight="false" outlineLevel="0" collapsed="false">
      <c r="A892" s="22" t="s">
        <v>220</v>
      </c>
      <c r="B892" s="22" t="s">
        <v>3</v>
      </c>
      <c r="C892" s="22" t="s">
        <v>220</v>
      </c>
      <c r="D892" s="22" t="n">
        <v>249340</v>
      </c>
      <c r="E892" s="22" t="s">
        <v>134</v>
      </c>
      <c r="F892" s="22" t="s">
        <v>135</v>
      </c>
      <c r="G892" s="22" t="s">
        <v>131</v>
      </c>
      <c r="H892" s="22" t="s">
        <v>131</v>
      </c>
      <c r="I892" s="22" t="n">
        <v>0.0393</v>
      </c>
      <c r="J892" s="22" t="n">
        <v>0.0333</v>
      </c>
      <c r="K892" s="22" t="n">
        <v>0.0438</v>
      </c>
      <c r="L892" s="22" t="n">
        <v>0.0409</v>
      </c>
      <c r="M892" s="22" t="n">
        <v>0.0333</v>
      </c>
      <c r="N892" s="22" t="n">
        <v>0.026</v>
      </c>
      <c r="O892" s="22" t="n">
        <v>0.0203</v>
      </c>
      <c r="P892" s="22" t="n">
        <v>0.0145</v>
      </c>
      <c r="Q892" s="22" t="n">
        <v>0.0017</v>
      </c>
      <c r="R892" s="22" t="n">
        <v>-0.0061</v>
      </c>
      <c r="S892" s="22" t="n">
        <v>-0.003</v>
      </c>
      <c r="T892" s="22" t="n">
        <v>0.008</v>
      </c>
      <c r="U892" s="22" t="n">
        <v>0.017</v>
      </c>
      <c r="V892" s="22" t="n">
        <v>0.01</v>
      </c>
      <c r="W892" s="22" t="n">
        <v>0.013</v>
      </c>
      <c r="X892" s="22" t="n">
        <v>0.014</v>
      </c>
      <c r="Y892" s="22" t="n">
        <v>0.015</v>
      </c>
      <c r="Z892" s="22" t="n">
        <v>0.012</v>
      </c>
      <c r="AA892" s="22" t="n">
        <v>0.012</v>
      </c>
      <c r="AB892" s="22" t="n">
        <v>0.009</v>
      </c>
      <c r="AC892" s="22" t="n">
        <v>0.007</v>
      </c>
      <c r="AD892" s="22" t="n">
        <v>0.005</v>
      </c>
      <c r="AE892" s="22" t="n">
        <v>0.004</v>
      </c>
      <c r="AF892" s="22" t="n">
        <v>0.007</v>
      </c>
    </row>
    <row r="893" customFormat="false" ht="15" hidden="false" customHeight="false" outlineLevel="0" collapsed="false">
      <c r="A893" s="22" t="s">
        <v>220</v>
      </c>
      <c r="B893" s="22" t="s">
        <v>3</v>
      </c>
      <c r="C893" s="22" t="s">
        <v>220</v>
      </c>
      <c r="D893" s="22" t="n">
        <v>249340</v>
      </c>
      <c r="E893" s="22" t="s">
        <v>136</v>
      </c>
      <c r="F893" s="22" t="s">
        <v>137</v>
      </c>
      <c r="G893" s="22" t="s">
        <v>131</v>
      </c>
      <c r="H893" s="22" t="s">
        <v>131</v>
      </c>
      <c r="I893" s="22" t="n">
        <v>2</v>
      </c>
      <c r="J893" s="22" t="n">
        <v>3</v>
      </c>
      <c r="K893" s="22" t="n">
        <v>5</v>
      </c>
      <c r="L893" s="22" t="n">
        <v>4</v>
      </c>
      <c r="M893" s="22" t="n">
        <v>5</v>
      </c>
      <c r="N893" s="22" t="n">
        <v>6</v>
      </c>
      <c r="O893" s="22" t="n">
        <v>8</v>
      </c>
      <c r="P893" s="22" t="n">
        <v>7</v>
      </c>
      <c r="Q893" s="22" t="n">
        <v>8</v>
      </c>
      <c r="R893" s="22" t="n">
        <v>6</v>
      </c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</row>
    <row r="894" customFormat="false" ht="15" hidden="false" customHeight="false" outlineLevel="0" collapsed="false">
      <c r="A894" s="22" t="s">
        <v>221</v>
      </c>
      <c r="B894" s="22" t="s">
        <v>3</v>
      </c>
      <c r="C894" s="22" t="s">
        <v>221</v>
      </c>
      <c r="D894" s="22" t="n">
        <v>249660</v>
      </c>
      <c r="E894" s="22" t="s">
        <v>129</v>
      </c>
      <c r="F894" s="22" t="s">
        <v>130</v>
      </c>
      <c r="G894" s="22" t="s">
        <v>131</v>
      </c>
      <c r="H894" s="22" t="s">
        <v>131</v>
      </c>
      <c r="I894" s="22" t="n">
        <v>1.10520257795318</v>
      </c>
      <c r="J894" s="22" t="n">
        <v>1.11437540372343</v>
      </c>
      <c r="K894" s="22" t="n">
        <v>1.12207293232634</v>
      </c>
      <c r="L894" s="22" t="n">
        <v>1.13709414473115</v>
      </c>
      <c r="M894" s="22" t="n">
        <v>1.14339194361874</v>
      </c>
      <c r="N894" s="22" t="n">
        <v>1.15024881069643</v>
      </c>
      <c r="O894" s="22" t="n">
        <v>1.1223832570396</v>
      </c>
      <c r="P894" s="22" t="n">
        <v>1.12480819081898</v>
      </c>
      <c r="Q894" s="22" t="n">
        <v>1.17539803277964</v>
      </c>
      <c r="R894" s="22" t="n">
        <v>1.18864001651922</v>
      </c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</row>
    <row r="895" customFormat="false" ht="15" hidden="false" customHeight="false" outlineLevel="0" collapsed="false">
      <c r="A895" s="22" t="s">
        <v>221</v>
      </c>
      <c r="B895" s="22" t="s">
        <v>3</v>
      </c>
      <c r="C895" s="22" t="s">
        <v>221</v>
      </c>
      <c r="D895" s="22" t="n">
        <v>249660</v>
      </c>
      <c r="E895" s="22" t="s">
        <v>132</v>
      </c>
      <c r="F895" s="22" t="s">
        <v>6</v>
      </c>
      <c r="G895" s="22" t="s">
        <v>131</v>
      </c>
      <c r="H895" s="22" t="s">
        <v>131</v>
      </c>
      <c r="I895" s="22" t="n">
        <v>1.036</v>
      </c>
      <c r="J895" s="22" t="n">
        <v>1.056</v>
      </c>
      <c r="K895" s="22" t="n">
        <v>1.068</v>
      </c>
      <c r="L895" s="22" t="n">
        <v>1.073</v>
      </c>
      <c r="M895" s="22" t="n">
        <v>1.077</v>
      </c>
      <c r="N895" s="22" t="n">
        <v>1.087</v>
      </c>
      <c r="O895" s="22" t="n">
        <v>1.078</v>
      </c>
      <c r="P895" s="22" t="n">
        <v>1.089</v>
      </c>
      <c r="Q895" s="22" t="n">
        <v>1.104</v>
      </c>
      <c r="R895" s="22" t="n">
        <v>1.122</v>
      </c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</row>
    <row r="896" customFormat="false" ht="15" hidden="false" customHeight="false" outlineLevel="0" collapsed="false">
      <c r="A896" s="22" t="s">
        <v>221</v>
      </c>
      <c r="B896" s="22" t="s">
        <v>3</v>
      </c>
      <c r="C896" s="22" t="s">
        <v>221</v>
      </c>
      <c r="D896" s="22" t="n">
        <v>249660</v>
      </c>
      <c r="E896" s="22" t="s">
        <v>132</v>
      </c>
      <c r="F896" s="22" t="s">
        <v>133</v>
      </c>
      <c r="G896" s="22" t="s">
        <v>131</v>
      </c>
      <c r="H896" s="22" t="s">
        <v>131</v>
      </c>
      <c r="I896" s="22" t="n">
        <v>25413</v>
      </c>
      <c r="J896" s="22" t="n">
        <v>25413</v>
      </c>
      <c r="K896" s="22" t="n">
        <v>25413</v>
      </c>
      <c r="L896" s="22" t="n">
        <v>25413</v>
      </c>
      <c r="M896" s="22" t="n">
        <v>25413</v>
      </c>
      <c r="N896" s="22" t="n">
        <v>25413</v>
      </c>
      <c r="O896" s="22" t="n">
        <v>25413</v>
      </c>
      <c r="P896" s="22" t="n">
        <v>25413</v>
      </c>
      <c r="Q896" s="22" t="n">
        <v>25413</v>
      </c>
      <c r="R896" s="22" t="n">
        <v>25413</v>
      </c>
      <c r="S896" s="22" t="n">
        <v>25413</v>
      </c>
      <c r="T896" s="22" t="n">
        <v>25413</v>
      </c>
      <c r="U896" s="22" t="n">
        <v>25413</v>
      </c>
      <c r="V896" s="22" t="n">
        <v>25413</v>
      </c>
      <c r="W896" s="22" t="n">
        <v>25413</v>
      </c>
      <c r="X896" s="22" t="n">
        <v>25418</v>
      </c>
      <c r="Y896" s="22" t="n">
        <v>25419</v>
      </c>
      <c r="Z896" s="22" t="n">
        <v>25419</v>
      </c>
      <c r="AA896" s="22" t="n">
        <v>25419</v>
      </c>
      <c r="AB896" s="22" t="n">
        <v>25423</v>
      </c>
      <c r="AC896" s="22" t="n">
        <v>25424</v>
      </c>
      <c r="AD896" s="22" t="n">
        <v>25424</v>
      </c>
      <c r="AE896" s="22" t="n">
        <v>25423</v>
      </c>
      <c r="AF896" s="22" t="n">
        <v>25428</v>
      </c>
    </row>
    <row r="897" customFormat="false" ht="15" hidden="false" customHeight="false" outlineLevel="0" collapsed="false">
      <c r="A897" s="22" t="s">
        <v>221</v>
      </c>
      <c r="B897" s="22" t="s">
        <v>3</v>
      </c>
      <c r="C897" s="22" t="s">
        <v>221</v>
      </c>
      <c r="D897" s="22" t="n">
        <v>249660</v>
      </c>
      <c r="E897" s="22" t="s">
        <v>132</v>
      </c>
      <c r="F897" s="22" t="s">
        <v>5</v>
      </c>
      <c r="G897" s="22" t="s">
        <v>131</v>
      </c>
      <c r="H897" s="22" t="s">
        <v>131</v>
      </c>
      <c r="I897" s="22" t="n">
        <v>1.036</v>
      </c>
      <c r="J897" s="22" t="n">
        <v>1.056</v>
      </c>
      <c r="K897" s="22" t="n">
        <v>1.068</v>
      </c>
      <c r="L897" s="22" t="n">
        <v>1.073</v>
      </c>
      <c r="M897" s="22" t="n">
        <v>1.077</v>
      </c>
      <c r="N897" s="22" t="n">
        <v>1.087</v>
      </c>
      <c r="O897" s="22" t="n">
        <v>1.078</v>
      </c>
      <c r="P897" s="22" t="n">
        <v>1.089</v>
      </c>
      <c r="Q897" s="22" t="n">
        <v>1.107</v>
      </c>
      <c r="R897" s="22" t="n">
        <v>1.123</v>
      </c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</row>
    <row r="898" customFormat="false" ht="15" hidden="false" customHeight="false" outlineLevel="0" collapsed="false">
      <c r="A898" s="22" t="s">
        <v>221</v>
      </c>
      <c r="B898" s="22" t="s">
        <v>3</v>
      </c>
      <c r="C898" s="22" t="s">
        <v>221</v>
      </c>
      <c r="D898" s="22" t="n">
        <v>249660</v>
      </c>
      <c r="E898" s="22" t="s">
        <v>134</v>
      </c>
      <c r="F898" s="22" t="s">
        <v>135</v>
      </c>
      <c r="G898" s="22" t="s">
        <v>131</v>
      </c>
      <c r="H898" s="22" t="s">
        <v>131</v>
      </c>
      <c r="I898" s="22" t="n">
        <v>0.0329</v>
      </c>
      <c r="J898" s="22" t="n">
        <v>0.0447</v>
      </c>
      <c r="K898" s="22" t="n">
        <v>0.0587</v>
      </c>
      <c r="L898" s="22" t="n">
        <v>0.0434</v>
      </c>
      <c r="M898" s="22" t="n">
        <v>0.0317</v>
      </c>
      <c r="N898" s="22" t="n">
        <v>0.0261</v>
      </c>
      <c r="O898" s="22" t="n">
        <v>0.0313</v>
      </c>
      <c r="P898" s="22" t="n">
        <v>0.0349</v>
      </c>
      <c r="Q898" s="22" t="n">
        <v>0.0425</v>
      </c>
      <c r="R898" s="22" t="n">
        <v>0.0522</v>
      </c>
      <c r="S898" s="22" t="n">
        <v>0.051</v>
      </c>
      <c r="T898" s="22" t="n">
        <v>0.046</v>
      </c>
      <c r="U898" s="22" t="n">
        <v>0.037</v>
      </c>
      <c r="V898" s="22" t="n">
        <v>0.026</v>
      </c>
      <c r="W898" s="22" t="n">
        <v>0.024</v>
      </c>
      <c r="X898" s="22" t="n">
        <v>0.024</v>
      </c>
      <c r="Y898" s="22" t="n">
        <v>0.024</v>
      </c>
      <c r="Z898" s="22" t="n">
        <v>0.023</v>
      </c>
      <c r="AA898" s="22" t="n">
        <v>0.023</v>
      </c>
      <c r="AB898" s="22" t="n">
        <v>0.023</v>
      </c>
      <c r="AC898" s="22" t="n">
        <v>0.024</v>
      </c>
      <c r="AD898" s="22" t="n">
        <v>0.024</v>
      </c>
      <c r="AE898" s="22" t="n">
        <v>0.024</v>
      </c>
      <c r="AF898" s="22" t="n">
        <v>0.024</v>
      </c>
    </row>
    <row r="899" customFormat="false" ht="15" hidden="false" customHeight="false" outlineLevel="0" collapsed="false">
      <c r="A899" s="22" t="s">
        <v>221</v>
      </c>
      <c r="B899" s="22" t="s">
        <v>3</v>
      </c>
      <c r="C899" s="22" t="s">
        <v>221</v>
      </c>
      <c r="D899" s="22" t="n">
        <v>249660</v>
      </c>
      <c r="E899" s="22" t="s">
        <v>136</v>
      </c>
      <c r="F899" s="22" t="s">
        <v>137</v>
      </c>
      <c r="G899" s="22" t="s">
        <v>131</v>
      </c>
      <c r="H899" s="22" t="s">
        <v>131</v>
      </c>
      <c r="I899" s="22" t="n">
        <v>0</v>
      </c>
      <c r="J899" s="22" t="n">
        <v>0</v>
      </c>
      <c r="K899" s="22" t="n">
        <v>0</v>
      </c>
      <c r="L899" s="22" t="n">
        <v>0</v>
      </c>
      <c r="M899" s="22" t="n">
        <v>0</v>
      </c>
      <c r="N899" s="22" t="n">
        <v>0</v>
      </c>
      <c r="O899" s="22" t="n">
        <v>0</v>
      </c>
      <c r="P899" s="22" t="n">
        <v>0</v>
      </c>
      <c r="Q899" s="22" t="n">
        <v>0</v>
      </c>
      <c r="R899" s="22" t="n">
        <v>0</v>
      </c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1" t="s">
        <v>96</v>
      </c>
      <c r="B1" s="21" t="s">
        <v>97</v>
      </c>
      <c r="C1" s="21" t="s">
        <v>98</v>
      </c>
      <c r="D1" s="21" t="s">
        <v>99</v>
      </c>
      <c r="E1" s="21" t="s">
        <v>100</v>
      </c>
      <c r="F1" s="21" t="s">
        <v>101</v>
      </c>
      <c r="G1" s="21" t="s">
        <v>102</v>
      </c>
      <c r="H1" s="21" t="s">
        <v>103</v>
      </c>
      <c r="I1" s="21" t="s">
        <v>222</v>
      </c>
      <c r="J1" s="21" t="s">
        <v>223</v>
      </c>
      <c r="K1" s="21" t="s">
        <v>224</v>
      </c>
      <c r="L1" s="21" t="s">
        <v>225</v>
      </c>
      <c r="M1" s="21" t="s">
        <v>226</v>
      </c>
      <c r="N1" s="21" t="s">
        <v>227</v>
      </c>
      <c r="O1" s="21" t="s">
        <v>228</v>
      </c>
      <c r="P1" s="21" t="s">
        <v>229</v>
      </c>
      <c r="Q1" s="21" t="s">
        <v>230</v>
      </c>
      <c r="R1" s="21" t="s">
        <v>231</v>
      </c>
      <c r="S1" s="21" t="s">
        <v>232</v>
      </c>
      <c r="T1" s="21" t="s">
        <v>233</v>
      </c>
      <c r="U1" s="21" t="s">
        <v>234</v>
      </c>
      <c r="V1" s="21" t="s">
        <v>235</v>
      </c>
      <c r="W1" s="21" t="s">
        <v>236</v>
      </c>
      <c r="X1" s="21" t="s">
        <v>237</v>
      </c>
      <c r="Y1" s="21" t="s">
        <v>238</v>
      </c>
      <c r="Z1" s="21" t="s">
        <v>239</v>
      </c>
      <c r="AA1" s="21" t="s">
        <v>240</v>
      </c>
      <c r="AB1" s="21" t="s">
        <v>241</v>
      </c>
      <c r="AC1" s="21" t="s">
        <v>242</v>
      </c>
      <c r="AD1" s="21" t="s">
        <v>243</v>
      </c>
      <c r="AE1" s="21" t="s">
        <v>244</v>
      </c>
      <c r="AF1" s="21" t="s">
        <v>245</v>
      </c>
      <c r="AG1" s="21" t="s">
        <v>246</v>
      </c>
      <c r="AH1" s="21" t="s">
        <v>247</v>
      </c>
      <c r="AI1" s="21" t="s">
        <v>248</v>
      </c>
      <c r="AJ1" s="21" t="s">
        <v>249</v>
      </c>
      <c r="AK1" s="21" t="s">
        <v>250</v>
      </c>
      <c r="AL1" s="21" t="s">
        <v>251</v>
      </c>
      <c r="AM1" s="21" t="s">
        <v>252</v>
      </c>
      <c r="AN1" s="21" t="s">
        <v>253</v>
      </c>
      <c r="AO1" s="21" t="s">
        <v>104</v>
      </c>
      <c r="AP1" s="21" t="s">
        <v>105</v>
      </c>
      <c r="AQ1" s="21" t="s">
        <v>106</v>
      </c>
      <c r="AR1" s="21" t="s">
        <v>107</v>
      </c>
      <c r="AS1" s="21" t="s">
        <v>108</v>
      </c>
      <c r="AT1" s="21" t="s">
        <v>109</v>
      </c>
      <c r="AU1" s="21" t="s">
        <v>110</v>
      </c>
      <c r="AV1" s="21" t="s">
        <v>111</v>
      </c>
    </row>
    <row r="2" customFormat="false" ht="15" hidden="false" customHeight="false" outlineLevel="0" collapsed="false">
      <c r="A2" s="22" t="s">
        <v>254</v>
      </c>
      <c r="B2" s="22" t="s">
        <v>3</v>
      </c>
      <c r="C2" s="22" t="s">
        <v>254</v>
      </c>
      <c r="D2" s="22" t="n">
        <v>10180</v>
      </c>
      <c r="E2" s="22" t="s">
        <v>132</v>
      </c>
      <c r="F2" s="22" t="s">
        <v>135</v>
      </c>
      <c r="G2" s="22" t="s">
        <v>131</v>
      </c>
      <c r="H2" s="22" t="s">
        <v>131</v>
      </c>
      <c r="I2" s="22" t="n">
        <v>0.0073</v>
      </c>
      <c r="J2" s="22" t="n">
        <v>0.0061</v>
      </c>
      <c r="K2" s="22" t="n">
        <v>0.0801</v>
      </c>
      <c r="L2" s="22" t="n">
        <v>0.065</v>
      </c>
      <c r="M2" s="22" t="n">
        <v>0.0877</v>
      </c>
      <c r="N2" s="22" t="n">
        <v>0.1047</v>
      </c>
      <c r="O2" s="22" t="n">
        <v>0.0377</v>
      </c>
      <c r="P2" s="22" t="n">
        <v>0.0457</v>
      </c>
      <c r="Q2" s="22" t="n">
        <v>0.0409</v>
      </c>
      <c r="R2" s="22" t="n">
        <v>0.0396</v>
      </c>
      <c r="S2" s="22" t="n">
        <v>0.0375</v>
      </c>
      <c r="T2" s="22" t="n">
        <v>0.0413</v>
      </c>
      <c r="U2" s="22" t="n">
        <v>0.0503</v>
      </c>
      <c r="V2" s="22" t="n">
        <v>0.0538</v>
      </c>
      <c r="W2" s="22" t="n">
        <v>0.0411</v>
      </c>
      <c r="X2" s="22" t="n">
        <v>0.041</v>
      </c>
      <c r="Y2" s="22" t="n">
        <v>0.0269</v>
      </c>
      <c r="Z2" s="22" t="n">
        <v>0.0027</v>
      </c>
      <c r="AA2" s="22" t="n">
        <v>0.0044</v>
      </c>
      <c r="AB2" s="22" t="n">
        <v>0.0211</v>
      </c>
      <c r="AC2" s="22" t="n">
        <v>0.0169</v>
      </c>
      <c r="AD2" s="22" t="n">
        <v>0.0328</v>
      </c>
      <c r="AE2" s="22" t="n">
        <v>0.0626</v>
      </c>
      <c r="AF2" s="22" t="n">
        <v>0.0688</v>
      </c>
      <c r="AG2" s="22" t="n">
        <v>0.0811</v>
      </c>
      <c r="AH2" s="22" t="n">
        <v>0.0935</v>
      </c>
      <c r="AI2" s="22" t="n">
        <v>0.0662</v>
      </c>
      <c r="AJ2" s="22" t="n">
        <v>0.0638</v>
      </c>
      <c r="AK2" s="22" t="n">
        <v>0.0677</v>
      </c>
      <c r="AL2" s="22" t="n">
        <v>0.0625</v>
      </c>
      <c r="AM2" s="22" t="n">
        <v>0.0519</v>
      </c>
      <c r="AN2" s="22" t="n">
        <v>0.0537</v>
      </c>
      <c r="AO2" s="22" t="n">
        <v>0.0376</v>
      </c>
      <c r="AP2" s="22" t="n">
        <v>0.0429</v>
      </c>
      <c r="AQ2" s="22" t="n">
        <v>0.0383</v>
      </c>
      <c r="AR2" s="22" t="n">
        <v>0.0474</v>
      </c>
      <c r="AS2" s="22" t="n">
        <v>0.0657</v>
      </c>
      <c r="AT2" s="22" t="n">
        <v>0.0827</v>
      </c>
      <c r="AU2" s="22" t="n">
        <v>0.1297</v>
      </c>
      <c r="AV2" s="22" t="n">
        <v>0.1869</v>
      </c>
    </row>
    <row r="3" customFormat="false" ht="15" hidden="false" customHeight="false" outlineLevel="0" collapsed="false">
      <c r="A3" s="22" t="s">
        <v>128</v>
      </c>
      <c r="B3" s="22" t="s">
        <v>3</v>
      </c>
      <c r="C3" s="22" t="s">
        <v>128</v>
      </c>
      <c r="D3" s="22" t="n">
        <v>10420</v>
      </c>
      <c r="E3" s="22" t="s">
        <v>132</v>
      </c>
      <c r="F3" s="22" t="s">
        <v>135</v>
      </c>
      <c r="G3" s="22" t="s">
        <v>131</v>
      </c>
      <c r="H3" s="22" t="s">
        <v>131</v>
      </c>
      <c r="I3" s="22" t="n">
        <v>0.0271</v>
      </c>
      <c r="J3" s="22" t="n">
        <v>0.0232</v>
      </c>
      <c r="K3" s="22" t="n">
        <v>0.0279</v>
      </c>
      <c r="L3" s="22" t="n">
        <v>0.0192</v>
      </c>
      <c r="M3" s="22" t="n">
        <v>0.0148</v>
      </c>
      <c r="N3" s="22" t="n">
        <v>0.0068</v>
      </c>
      <c r="O3" s="22" t="n">
        <v>0.0172</v>
      </c>
      <c r="P3" s="22" t="n">
        <v>0.0205</v>
      </c>
      <c r="Q3" s="22" t="n">
        <v>0.0156</v>
      </c>
      <c r="R3" s="22" t="n">
        <v>0.0318</v>
      </c>
      <c r="S3" s="22" t="n">
        <v>0.0277</v>
      </c>
      <c r="T3" s="22" t="n">
        <v>0.03</v>
      </c>
      <c r="U3" s="22" t="n">
        <v>0.0339</v>
      </c>
      <c r="V3" s="22" t="n">
        <v>0.0142</v>
      </c>
      <c r="W3" s="22" t="n">
        <v>0.0215</v>
      </c>
      <c r="X3" s="22" t="n">
        <v>0.0253</v>
      </c>
      <c r="Y3" s="22" t="n">
        <v>0.0392</v>
      </c>
      <c r="Z3" s="22" t="n">
        <v>0.0452</v>
      </c>
      <c r="AA3" s="22" t="n">
        <v>0.0338</v>
      </c>
      <c r="AB3" s="22" t="n">
        <v>0.0438</v>
      </c>
      <c r="AC3" s="22" t="n">
        <v>0.0331</v>
      </c>
      <c r="AD3" s="22" t="n">
        <v>0.0632</v>
      </c>
      <c r="AE3" s="22" t="n">
        <v>0.1079</v>
      </c>
      <c r="AF3" s="22" t="n">
        <v>0.0892</v>
      </c>
      <c r="AG3" s="22" t="n">
        <v>0.1053</v>
      </c>
      <c r="AH3" s="22" t="n">
        <v>0.1152</v>
      </c>
      <c r="AI3" s="22" t="n">
        <v>0.103</v>
      </c>
      <c r="AJ3" s="22" t="n">
        <v>0.1115</v>
      </c>
      <c r="AK3" s="22" t="n">
        <v>0.1004</v>
      </c>
      <c r="AL3" s="22" t="n">
        <v>0.0724</v>
      </c>
      <c r="AM3" s="22" t="n">
        <v>0.0494</v>
      </c>
      <c r="AN3" s="22" t="n">
        <v>0.0466</v>
      </c>
      <c r="AO3" s="22" t="n">
        <v>0.0488</v>
      </c>
      <c r="AP3" s="22" t="n">
        <v>0.0492</v>
      </c>
      <c r="AQ3" s="22" t="n">
        <v>0.0583</v>
      </c>
      <c r="AR3" s="22" t="n">
        <v>0.0519</v>
      </c>
      <c r="AS3" s="22" t="n">
        <v>0.0571</v>
      </c>
      <c r="AT3" s="22" t="n">
        <v>0.0741</v>
      </c>
      <c r="AU3" s="22" t="n">
        <v>0.0806</v>
      </c>
      <c r="AV3" s="22" t="n">
        <v>0.0841</v>
      </c>
    </row>
    <row r="4" customFormat="false" ht="15" hidden="false" customHeight="false" outlineLevel="0" collapsed="false">
      <c r="A4" s="22" t="s">
        <v>255</v>
      </c>
      <c r="B4" s="22" t="s">
        <v>3</v>
      </c>
      <c r="C4" s="22" t="s">
        <v>255</v>
      </c>
      <c r="D4" s="22" t="n">
        <v>10460</v>
      </c>
      <c r="E4" s="22" t="s">
        <v>132</v>
      </c>
      <c r="F4" s="22" t="s">
        <v>135</v>
      </c>
      <c r="G4" s="22" t="s">
        <v>131</v>
      </c>
      <c r="H4" s="22" t="s">
        <v>131</v>
      </c>
      <c r="I4" s="22"/>
      <c r="J4" s="22"/>
      <c r="K4" s="22"/>
      <c r="L4" s="22"/>
      <c r="M4" s="22"/>
      <c r="N4" s="22" t="n">
        <v>0.028</v>
      </c>
      <c r="O4" s="22"/>
      <c r="P4" s="22"/>
      <c r="Q4" s="22"/>
      <c r="R4" s="22"/>
      <c r="S4" s="22"/>
      <c r="T4" s="22"/>
      <c r="U4" s="22"/>
      <c r="V4" s="22"/>
      <c r="W4" s="22" t="n">
        <v>0.2314</v>
      </c>
      <c r="X4" s="22" t="n">
        <v>0.2133</v>
      </c>
      <c r="Y4" s="22" t="n">
        <v>0.1963</v>
      </c>
      <c r="Z4" s="22" t="n">
        <v>0.1757</v>
      </c>
      <c r="AA4" s="22" t="n">
        <v>-0.0082</v>
      </c>
      <c r="AB4" s="22" t="n">
        <v>-0.0011</v>
      </c>
      <c r="AC4" s="22" t="n">
        <v>0.0197</v>
      </c>
      <c r="AD4" s="22" t="n">
        <v>0.0394</v>
      </c>
      <c r="AE4" s="22" t="n">
        <v>0.0546</v>
      </c>
      <c r="AF4" s="22" t="n">
        <v>0.1411</v>
      </c>
      <c r="AG4" s="22" t="n">
        <v>0.1412</v>
      </c>
      <c r="AH4" s="22" t="n">
        <v>0.1447</v>
      </c>
      <c r="AI4" s="22" t="n">
        <v>0.1358</v>
      </c>
      <c r="AJ4" s="22" t="n">
        <v>0.0572</v>
      </c>
      <c r="AK4" s="22" t="n">
        <v>0.0701</v>
      </c>
      <c r="AL4" s="22" t="n">
        <v>0.0236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</row>
    <row r="5" customFormat="false" ht="15" hidden="false" customHeight="false" outlineLevel="0" collapsed="false">
      <c r="A5" s="22" t="s">
        <v>256</v>
      </c>
      <c r="B5" s="22" t="s">
        <v>3</v>
      </c>
      <c r="C5" s="22" t="s">
        <v>256</v>
      </c>
      <c r="D5" s="22" t="n">
        <v>10500</v>
      </c>
      <c r="E5" s="22" t="s">
        <v>132</v>
      </c>
      <c r="F5" s="22" t="s">
        <v>135</v>
      </c>
      <c r="G5" s="22" t="s">
        <v>131</v>
      </c>
      <c r="H5" s="22" t="s">
        <v>131</v>
      </c>
      <c r="I5" s="22" t="n">
        <v>0.0796</v>
      </c>
      <c r="J5" s="22" t="n">
        <v>0.1222</v>
      </c>
      <c r="K5" s="22" t="n">
        <v>0.0445</v>
      </c>
      <c r="L5" s="22" t="n">
        <v>0.0764</v>
      </c>
      <c r="M5" s="22" t="n">
        <v>0.0726</v>
      </c>
      <c r="N5" s="22" t="n">
        <v>0.0353</v>
      </c>
      <c r="O5" s="22" t="n">
        <v>0.0709</v>
      </c>
      <c r="P5" s="22" t="n">
        <v>0.0519</v>
      </c>
      <c r="Q5" s="22" t="n">
        <v>0.0814</v>
      </c>
      <c r="R5" s="22" t="n">
        <v>0.0856</v>
      </c>
      <c r="S5" s="22" t="n">
        <v>0.048</v>
      </c>
      <c r="T5" s="22" t="n">
        <v>0.0284</v>
      </c>
      <c r="U5" s="22" t="n">
        <v>0.0089</v>
      </c>
      <c r="V5" s="22" t="n">
        <v>0.0131</v>
      </c>
      <c r="W5" s="22" t="n">
        <v>0.0336</v>
      </c>
      <c r="X5" s="22" t="n">
        <v>0.0543</v>
      </c>
      <c r="Y5" s="22" t="n">
        <v>0.0823</v>
      </c>
      <c r="Z5" s="22" t="n">
        <v>0.0797</v>
      </c>
      <c r="AA5" s="22" t="n">
        <v>0.0778</v>
      </c>
      <c r="AB5" s="22" t="n">
        <v>0.0821</v>
      </c>
      <c r="AC5" s="22" t="n">
        <v>0.0502</v>
      </c>
      <c r="AD5" s="22" t="n">
        <v>0.0576</v>
      </c>
      <c r="AE5" s="22" t="n">
        <v>0.0538</v>
      </c>
      <c r="AF5" s="22" t="n">
        <v>0.123</v>
      </c>
      <c r="AG5" s="22" t="n">
        <v>0.1603</v>
      </c>
      <c r="AH5" s="22" t="n">
        <v>0.2311</v>
      </c>
      <c r="AI5" s="22" t="n">
        <v>0.2432</v>
      </c>
      <c r="AJ5" s="22" t="n">
        <v>0.1327</v>
      </c>
      <c r="AK5" s="22" t="n">
        <v>0.099</v>
      </c>
      <c r="AL5" s="22" t="n">
        <v>0.02</v>
      </c>
      <c r="AM5" s="22" t="n">
        <v>0.0574</v>
      </c>
      <c r="AN5" s="22" t="n">
        <v>0.081</v>
      </c>
      <c r="AO5" s="22" t="n">
        <v>0.0809</v>
      </c>
      <c r="AP5" s="22" t="n">
        <v>0.0827</v>
      </c>
      <c r="AQ5" s="22" t="n">
        <v>0.0256</v>
      </c>
      <c r="AR5" s="22" t="n">
        <v>-0.0096</v>
      </c>
      <c r="AS5" s="22" t="n">
        <v>-0.0443</v>
      </c>
      <c r="AT5" s="22" t="n">
        <v>0.0024</v>
      </c>
      <c r="AU5" s="22" t="n">
        <v>-0.1087</v>
      </c>
      <c r="AV5" s="22" t="n">
        <v>-0.0573</v>
      </c>
    </row>
    <row r="6" customFormat="false" ht="15" hidden="false" customHeight="false" outlineLevel="0" collapsed="false">
      <c r="A6" s="22" t="s">
        <v>257</v>
      </c>
      <c r="B6" s="22" t="s">
        <v>3</v>
      </c>
      <c r="C6" s="22" t="s">
        <v>257</v>
      </c>
      <c r="D6" s="22" t="n">
        <v>10540</v>
      </c>
      <c r="E6" s="22" t="s">
        <v>132</v>
      </c>
      <c r="F6" s="22" t="s">
        <v>135</v>
      </c>
      <c r="G6" s="22" t="s">
        <v>131</v>
      </c>
      <c r="H6" s="22" t="s">
        <v>131</v>
      </c>
      <c r="I6" s="22" t="n">
        <v>0.0362</v>
      </c>
      <c r="J6" s="22" t="n">
        <v>0.0211</v>
      </c>
      <c r="K6" s="22" t="n">
        <v>0.054</v>
      </c>
      <c r="L6" s="22" t="n">
        <v>0.104</v>
      </c>
      <c r="M6" s="22" t="n">
        <v>0.089</v>
      </c>
      <c r="N6" s="22" t="n">
        <v>0.1398</v>
      </c>
      <c r="O6" s="22" t="n">
        <v>0.1514</v>
      </c>
      <c r="P6" s="22" t="n">
        <v>0.1381</v>
      </c>
      <c r="Q6" s="22" t="n">
        <v>0.1202</v>
      </c>
      <c r="R6" s="22" t="n">
        <v>0.071</v>
      </c>
      <c r="S6" s="22" t="n">
        <v>0.0322</v>
      </c>
      <c r="T6" s="22" t="n">
        <v>0.0443</v>
      </c>
      <c r="U6" s="22" t="n">
        <v>0.0521</v>
      </c>
      <c r="V6" s="22" t="n">
        <v>0.0582</v>
      </c>
      <c r="W6" s="22" t="n">
        <v>0.0722</v>
      </c>
      <c r="X6" s="22" t="n">
        <v>0.0068</v>
      </c>
      <c r="Y6" s="22" t="n">
        <v>-0.0158</v>
      </c>
      <c r="Z6" s="22" t="n">
        <v>-0.0289</v>
      </c>
      <c r="AA6" s="22" t="n">
        <v>-0.018</v>
      </c>
      <c r="AB6" s="22" t="n">
        <v>0.0278</v>
      </c>
      <c r="AC6" s="22" t="n">
        <v>0.0567</v>
      </c>
      <c r="AD6" s="22" t="n">
        <v>0.08</v>
      </c>
      <c r="AE6" s="22" t="n">
        <v>0.0798</v>
      </c>
      <c r="AF6" s="22" t="n">
        <v>0.1422</v>
      </c>
      <c r="AG6" s="22" t="n">
        <v>0.1671</v>
      </c>
      <c r="AH6" s="22" t="n">
        <v>0.1676</v>
      </c>
      <c r="AI6" s="22" t="n">
        <v>0.1663</v>
      </c>
      <c r="AJ6" s="22" t="n">
        <v>0.1145</v>
      </c>
      <c r="AK6" s="22" t="n">
        <v>0.0892</v>
      </c>
      <c r="AL6" s="22" t="n">
        <v>0.0672</v>
      </c>
      <c r="AM6" s="22" t="n">
        <v>0.0106</v>
      </c>
      <c r="AN6" s="22" t="n">
        <v>0.0054</v>
      </c>
      <c r="AO6" s="22" t="n">
        <v>-0.0026</v>
      </c>
      <c r="AP6" s="22" t="n">
        <v>0.0033</v>
      </c>
      <c r="AQ6" s="22" t="n">
        <v>0.0677</v>
      </c>
      <c r="AR6" s="22" t="n">
        <v>0.0508</v>
      </c>
      <c r="AS6" s="22" t="n">
        <v>0.0483</v>
      </c>
      <c r="AT6" s="22" t="n">
        <v>-0.0335</v>
      </c>
      <c r="AU6" s="22" t="n">
        <v>-0.1011</v>
      </c>
      <c r="AV6" s="22" t="n">
        <v>-0.1371</v>
      </c>
    </row>
    <row r="7" customFormat="false" ht="15" hidden="false" customHeight="false" outlineLevel="0" collapsed="false">
      <c r="A7" s="22" t="s">
        <v>138</v>
      </c>
      <c r="B7" s="22" t="s">
        <v>3</v>
      </c>
      <c r="C7" s="22" t="s">
        <v>138</v>
      </c>
      <c r="D7" s="22" t="n">
        <v>10580</v>
      </c>
      <c r="E7" s="22" t="s">
        <v>132</v>
      </c>
      <c r="F7" s="22" t="s">
        <v>135</v>
      </c>
      <c r="G7" s="22" t="s">
        <v>131</v>
      </c>
      <c r="H7" s="22" t="s">
        <v>131</v>
      </c>
      <c r="I7" s="22" t="n">
        <v>0.041</v>
      </c>
      <c r="J7" s="22" t="n">
        <v>0.0335</v>
      </c>
      <c r="K7" s="22" t="n">
        <v>0.0355</v>
      </c>
      <c r="L7" s="22" t="n">
        <v>0.0383</v>
      </c>
      <c r="M7" s="22" t="n">
        <v>0.0336</v>
      </c>
      <c r="N7" s="22" t="n">
        <v>0.0435</v>
      </c>
      <c r="O7" s="22" t="n">
        <v>0.0297</v>
      </c>
      <c r="P7" s="22" t="n">
        <v>0.0262</v>
      </c>
      <c r="Q7" s="22" t="n">
        <v>0.0327</v>
      </c>
      <c r="R7" s="22" t="n">
        <v>0.0231</v>
      </c>
      <c r="S7" s="22" t="n">
        <v>0.0338</v>
      </c>
      <c r="T7" s="22" t="n">
        <v>0.0395</v>
      </c>
      <c r="U7" s="22" t="n">
        <v>0.0294</v>
      </c>
      <c r="V7" s="22" t="n">
        <v>0.0341</v>
      </c>
      <c r="W7" s="22" t="n">
        <v>0.0202</v>
      </c>
      <c r="X7" s="22" t="n">
        <v>0.0109</v>
      </c>
      <c r="Y7" s="22" t="n">
        <v>0.0215</v>
      </c>
      <c r="Z7" s="22" t="n">
        <v>0.0142</v>
      </c>
      <c r="AA7" s="22" t="n">
        <v>0.0184</v>
      </c>
      <c r="AB7" s="22" t="n">
        <v>0.0313</v>
      </c>
      <c r="AC7" s="22" t="n">
        <v>0.0318</v>
      </c>
      <c r="AD7" s="22" t="n">
        <v>0.0406</v>
      </c>
      <c r="AE7" s="22" t="n">
        <v>0.0563</v>
      </c>
      <c r="AF7" s="22" t="n">
        <v>0.0603</v>
      </c>
      <c r="AG7" s="22" t="n">
        <v>0.0741</v>
      </c>
      <c r="AH7" s="22" t="n">
        <v>0.0978</v>
      </c>
      <c r="AI7" s="22" t="n">
        <v>0.1297</v>
      </c>
      <c r="AJ7" s="22" t="n">
        <v>0.109</v>
      </c>
      <c r="AK7" s="22" t="n">
        <v>0.091</v>
      </c>
      <c r="AL7" s="22" t="n">
        <v>0.0939</v>
      </c>
      <c r="AM7" s="22" t="n">
        <v>0.0636</v>
      </c>
      <c r="AN7" s="22" t="n">
        <v>0.0618</v>
      </c>
      <c r="AO7" s="22" t="n">
        <v>0.0637</v>
      </c>
      <c r="AP7" s="22" t="n">
        <v>0.0339</v>
      </c>
      <c r="AQ7" s="22" t="n">
        <v>0.0164</v>
      </c>
      <c r="AR7" s="22" t="n">
        <v>0.0299</v>
      </c>
      <c r="AS7" s="22" t="n">
        <v>0.0323</v>
      </c>
      <c r="AT7" s="22" t="n">
        <v>0.0548</v>
      </c>
      <c r="AU7" s="22" t="n">
        <v>0.0733</v>
      </c>
      <c r="AV7" s="22" t="n">
        <v>0.062</v>
      </c>
    </row>
    <row r="8" customFormat="false" ht="15" hidden="false" customHeight="false" outlineLevel="0" collapsed="false">
      <c r="A8" s="22" t="s">
        <v>258</v>
      </c>
      <c r="B8" s="22" t="s">
        <v>3</v>
      </c>
      <c r="C8" s="22" t="s">
        <v>258</v>
      </c>
      <c r="D8" s="22" t="n">
        <v>10660</v>
      </c>
      <c r="E8" s="22" t="s">
        <v>132</v>
      </c>
      <c r="F8" s="22" t="s">
        <v>135</v>
      </c>
      <c r="G8" s="22" t="s">
        <v>131</v>
      </c>
      <c r="H8" s="22" t="s">
        <v>131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</row>
    <row r="9" customFormat="false" ht="15" hidden="false" customHeight="false" outlineLevel="0" collapsed="false">
      <c r="A9" s="22" t="s">
        <v>56</v>
      </c>
      <c r="B9" s="22" t="s">
        <v>3</v>
      </c>
      <c r="C9" s="22" t="s">
        <v>56</v>
      </c>
      <c r="D9" s="22" t="n">
        <v>10740</v>
      </c>
      <c r="E9" s="22" t="s">
        <v>132</v>
      </c>
      <c r="F9" s="22" t="s">
        <v>135</v>
      </c>
      <c r="G9" s="22" t="s">
        <v>131</v>
      </c>
      <c r="H9" s="22" t="s">
        <v>131</v>
      </c>
      <c r="I9" s="22" t="n">
        <v>0.0231</v>
      </c>
      <c r="J9" s="22" t="n">
        <v>0.0254</v>
      </c>
      <c r="K9" s="22" t="n">
        <v>0.0244</v>
      </c>
      <c r="L9" s="22" t="n">
        <v>0.0334</v>
      </c>
      <c r="M9" s="22" t="n">
        <v>0.0315</v>
      </c>
      <c r="N9" s="22" t="n">
        <v>0.0393</v>
      </c>
      <c r="O9" s="22" t="n">
        <v>0.0395</v>
      </c>
      <c r="P9" s="22" t="n">
        <v>0.0242</v>
      </c>
      <c r="Q9" s="22" t="n">
        <v>0.0312</v>
      </c>
      <c r="R9" s="22" t="n">
        <v>0.0248</v>
      </c>
      <c r="S9" s="22" t="n">
        <v>0.038</v>
      </c>
      <c r="T9" s="22" t="n">
        <v>0.0505</v>
      </c>
      <c r="U9" s="22" t="n">
        <v>0.0584</v>
      </c>
      <c r="V9" s="22" t="n">
        <v>0.061</v>
      </c>
      <c r="W9" s="22" t="n">
        <v>0.0757</v>
      </c>
      <c r="X9" s="22" t="n">
        <v>0.0676</v>
      </c>
      <c r="Y9" s="22" t="n">
        <v>0.0536</v>
      </c>
      <c r="Z9" s="22" t="n">
        <v>0.0457</v>
      </c>
      <c r="AA9" s="22" t="n">
        <v>0.0491</v>
      </c>
      <c r="AB9" s="22" t="n">
        <v>0.0794</v>
      </c>
      <c r="AC9" s="22" t="n">
        <v>0.0903</v>
      </c>
      <c r="AD9" s="22" t="n">
        <v>0.1436</v>
      </c>
      <c r="AE9" s="22" t="n">
        <v>0.2059</v>
      </c>
      <c r="AF9" s="22" t="n">
        <v>0.2064</v>
      </c>
      <c r="AG9" s="22" t="n">
        <v>0.1955</v>
      </c>
      <c r="AH9" s="22" t="n">
        <v>0.1698</v>
      </c>
      <c r="AI9" s="22" t="n">
        <v>0.1318</v>
      </c>
      <c r="AJ9" s="22" t="n">
        <v>0.0999</v>
      </c>
      <c r="AK9" s="22" t="n">
        <v>0.0882</v>
      </c>
      <c r="AL9" s="22" t="n">
        <v>0.0658</v>
      </c>
      <c r="AM9" s="22" t="n">
        <v>0.0207</v>
      </c>
      <c r="AN9" s="22" t="n">
        <v>0.0149</v>
      </c>
      <c r="AO9" s="22" t="n">
        <v>0.0246</v>
      </c>
      <c r="AP9" s="22" t="n">
        <v>0.0124</v>
      </c>
      <c r="AQ9" s="22" t="n">
        <v>0.0099</v>
      </c>
      <c r="AR9" s="22" t="n">
        <v>0.015</v>
      </c>
      <c r="AS9" s="22" t="n">
        <v>0.0132</v>
      </c>
      <c r="AT9" s="22" t="n">
        <v>0.0201</v>
      </c>
      <c r="AU9" s="22" t="n">
        <v>0.0246</v>
      </c>
      <c r="AV9" s="22" t="n">
        <v>0.009</v>
      </c>
    </row>
    <row r="10" customFormat="false" ht="15" hidden="false" customHeight="false" outlineLevel="0" collapsed="false">
      <c r="A10" s="22" t="s">
        <v>259</v>
      </c>
      <c r="B10" s="22" t="s">
        <v>3</v>
      </c>
      <c r="C10" s="22" t="s">
        <v>259</v>
      </c>
      <c r="D10" s="22" t="n">
        <v>10780</v>
      </c>
      <c r="E10" s="22" t="s">
        <v>132</v>
      </c>
      <c r="F10" s="22" t="s">
        <v>135</v>
      </c>
      <c r="G10" s="22" t="s">
        <v>131</v>
      </c>
      <c r="H10" s="22" t="s">
        <v>131</v>
      </c>
      <c r="I10" s="22" t="n">
        <v>0.0636</v>
      </c>
      <c r="J10" s="22" t="n">
        <v>-0.0479</v>
      </c>
      <c r="K10" s="22" t="n">
        <v>-0.0691</v>
      </c>
      <c r="L10" s="22" t="n">
        <v>0.0486</v>
      </c>
      <c r="M10" s="22" t="n">
        <v>0.0021</v>
      </c>
      <c r="N10" s="22" t="n">
        <v>0.0271</v>
      </c>
      <c r="O10" s="22" t="n">
        <v>0.0424</v>
      </c>
      <c r="P10" s="22" t="n">
        <v>-0.0372</v>
      </c>
      <c r="Q10" s="22" t="n">
        <v>0.0448</v>
      </c>
      <c r="R10" s="22" t="n">
        <v>0.0343</v>
      </c>
      <c r="S10" s="22" t="n">
        <v>-0.0105</v>
      </c>
      <c r="T10" s="22" t="n">
        <v>0.0082</v>
      </c>
      <c r="U10" s="22" t="n">
        <v>-0.0043</v>
      </c>
      <c r="V10" s="22" t="n">
        <v>0.0031</v>
      </c>
      <c r="W10" s="22" t="n">
        <v>0.0448</v>
      </c>
      <c r="X10" s="22" t="n">
        <v>0.0336</v>
      </c>
      <c r="Y10" s="22" t="n">
        <v>0.0639</v>
      </c>
      <c r="Z10" s="22" t="n">
        <v>0.0401</v>
      </c>
      <c r="AA10" s="22" t="n">
        <v>0.0133</v>
      </c>
      <c r="AB10" s="22" t="n">
        <v>0.0477</v>
      </c>
      <c r="AC10" s="22" t="n">
        <v>0.0225</v>
      </c>
      <c r="AD10" s="22" t="n">
        <v>0.024</v>
      </c>
      <c r="AE10" s="22" t="n">
        <v>0.0646</v>
      </c>
      <c r="AF10" s="22" t="n">
        <v>0.0488</v>
      </c>
      <c r="AG10" s="22" t="n">
        <v>0.0586</v>
      </c>
      <c r="AH10" s="22" t="n">
        <v>0.1108</v>
      </c>
      <c r="AI10" s="22" t="n">
        <v>0.0747</v>
      </c>
      <c r="AJ10" s="22" t="n">
        <v>0.078</v>
      </c>
      <c r="AK10" s="22" t="n">
        <v>0.0328</v>
      </c>
      <c r="AL10" s="22" t="n">
        <v>-0.0143</v>
      </c>
      <c r="AM10" s="22" t="n">
        <v>0.0067</v>
      </c>
      <c r="AN10" s="22" t="n">
        <v>0.0036</v>
      </c>
      <c r="AO10" s="22" t="n">
        <v>0.0185</v>
      </c>
      <c r="AP10" s="22" t="n">
        <v>0.0215</v>
      </c>
      <c r="AQ10" s="22" t="n">
        <v>0.0229</v>
      </c>
      <c r="AR10" s="22" t="n">
        <v>0.0317</v>
      </c>
      <c r="AS10" s="22" t="n">
        <v>0.051</v>
      </c>
      <c r="AT10" s="22" t="n">
        <v>0.1444</v>
      </c>
      <c r="AU10" s="22" t="n">
        <v>0.1573</v>
      </c>
      <c r="AV10" s="22" t="n">
        <v>0.0973</v>
      </c>
    </row>
    <row r="11" customFormat="false" ht="15" hidden="false" customHeight="false" outlineLevel="0" collapsed="false">
      <c r="A11" s="22" t="s">
        <v>260</v>
      </c>
      <c r="B11" s="22" t="s">
        <v>3</v>
      </c>
      <c r="C11" s="22" t="s">
        <v>260</v>
      </c>
      <c r="D11" s="22" t="n">
        <v>10820</v>
      </c>
      <c r="E11" s="22" t="s">
        <v>132</v>
      </c>
      <c r="F11" s="22" t="s">
        <v>135</v>
      </c>
      <c r="G11" s="22" t="s">
        <v>131</v>
      </c>
      <c r="H11" s="22" t="s">
        <v>131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 t="n">
        <v>-0.0029</v>
      </c>
      <c r="AG11" s="22" t="n">
        <v>-0.0123</v>
      </c>
      <c r="AH11" s="22" t="n">
        <v>-0.0156</v>
      </c>
      <c r="AI11" s="22" t="n">
        <v>0.0074</v>
      </c>
      <c r="AJ11" s="22"/>
      <c r="AK11" s="22"/>
      <c r="AL11" s="22"/>
      <c r="AM11" s="22"/>
      <c r="AN11" s="22"/>
      <c r="AO11" s="22"/>
      <c r="AP11" s="22"/>
      <c r="AQ11" s="22"/>
      <c r="AR11" s="22"/>
      <c r="AS11" s="22" t="n">
        <v>0.1218</v>
      </c>
      <c r="AT11" s="22" t="n">
        <v>0.1341</v>
      </c>
      <c r="AU11" s="22" t="n">
        <v>0.1112</v>
      </c>
      <c r="AV11" s="22" t="n">
        <v>0.0686</v>
      </c>
    </row>
    <row r="12" customFormat="false" ht="15" hidden="false" customHeight="false" outlineLevel="0" collapsed="false">
      <c r="A12" s="22" t="s">
        <v>139</v>
      </c>
      <c r="B12" s="22" t="s">
        <v>3</v>
      </c>
      <c r="C12" s="22" t="s">
        <v>139</v>
      </c>
      <c r="D12" s="22" t="n">
        <v>10900</v>
      </c>
      <c r="E12" s="22" t="s">
        <v>132</v>
      </c>
      <c r="F12" s="22" t="s">
        <v>135</v>
      </c>
      <c r="G12" s="22" t="s">
        <v>131</v>
      </c>
      <c r="H12" s="22" t="s">
        <v>131</v>
      </c>
      <c r="I12" s="22" t="n">
        <v>0.0559</v>
      </c>
      <c r="J12" s="22" t="n">
        <v>0.0439</v>
      </c>
      <c r="K12" s="22" t="n">
        <v>0.0286</v>
      </c>
      <c r="L12" s="22" t="n">
        <v>0.0193</v>
      </c>
      <c r="M12" s="22" t="n">
        <v>0.016</v>
      </c>
      <c r="N12" s="22" t="n">
        <v>0.0292</v>
      </c>
      <c r="O12" s="22" t="n">
        <v>0.0398</v>
      </c>
      <c r="P12" s="22" t="n">
        <v>0.0483</v>
      </c>
      <c r="Q12" s="22" t="n">
        <v>0.0501</v>
      </c>
      <c r="R12" s="22" t="n">
        <v>0.0364</v>
      </c>
      <c r="S12" s="22" t="n">
        <v>0.0605</v>
      </c>
      <c r="T12" s="22" t="n">
        <v>0.0604</v>
      </c>
      <c r="U12" s="22" t="n">
        <v>0.0603</v>
      </c>
      <c r="V12" s="22" t="n">
        <v>0.054</v>
      </c>
      <c r="W12" s="22" t="n">
        <v>0.0245</v>
      </c>
      <c r="X12" s="22" t="n">
        <v>0.0258</v>
      </c>
      <c r="Y12" s="22" t="n">
        <v>0.0293</v>
      </c>
      <c r="Z12" s="22" t="n">
        <v>0.0149</v>
      </c>
      <c r="AA12" s="22" t="n">
        <v>0.0349</v>
      </c>
      <c r="AB12" s="22" t="n">
        <v>0.0512</v>
      </c>
      <c r="AC12" s="22" t="n">
        <v>0.0535</v>
      </c>
      <c r="AD12" s="22" t="n">
        <v>0.0744</v>
      </c>
      <c r="AE12" s="22" t="n">
        <v>0.1123</v>
      </c>
      <c r="AF12" s="22" t="n">
        <v>0.146</v>
      </c>
      <c r="AG12" s="22" t="n">
        <v>0.1526</v>
      </c>
      <c r="AH12" s="22" t="n">
        <v>0.1587</v>
      </c>
      <c r="AI12" s="22" t="n">
        <v>0.1282</v>
      </c>
      <c r="AJ12" s="22" t="n">
        <v>0.0875</v>
      </c>
      <c r="AK12" s="22" t="n">
        <v>0.0607</v>
      </c>
      <c r="AL12" s="22" t="n">
        <v>0.0479</v>
      </c>
      <c r="AM12" s="22" t="n">
        <v>0.0352</v>
      </c>
      <c r="AN12" s="22" t="n">
        <v>0.0358</v>
      </c>
      <c r="AO12" s="22" t="n">
        <v>0.0325</v>
      </c>
      <c r="AP12" s="22" t="n">
        <v>0.0242</v>
      </c>
      <c r="AQ12" s="22" t="n">
        <v>0.0311</v>
      </c>
      <c r="AR12" s="22" t="n">
        <v>0.0331</v>
      </c>
      <c r="AS12" s="22" t="n">
        <v>0.0437</v>
      </c>
      <c r="AT12" s="22" t="n">
        <v>0.0641</v>
      </c>
      <c r="AU12" s="22" t="n">
        <v>0.0456</v>
      </c>
      <c r="AV12" s="22" t="n">
        <v>0.0355</v>
      </c>
    </row>
    <row r="13" customFormat="false" ht="15" hidden="false" customHeight="false" outlineLevel="0" collapsed="false">
      <c r="A13" s="22" t="s">
        <v>261</v>
      </c>
      <c r="B13" s="22" t="s">
        <v>3</v>
      </c>
      <c r="C13" s="22" t="s">
        <v>261</v>
      </c>
      <c r="D13" s="22" t="n">
        <v>10940</v>
      </c>
      <c r="E13" s="22" t="s">
        <v>132</v>
      </c>
      <c r="F13" s="22" t="s">
        <v>135</v>
      </c>
      <c r="G13" s="22" t="s">
        <v>131</v>
      </c>
      <c r="H13" s="22" t="s">
        <v>131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</row>
    <row r="14" customFormat="false" ht="15" hidden="false" customHeight="false" outlineLevel="0" collapsed="false">
      <c r="A14" s="22" t="s">
        <v>262</v>
      </c>
      <c r="B14" s="22" t="s">
        <v>3</v>
      </c>
      <c r="C14" s="22" t="s">
        <v>262</v>
      </c>
      <c r="D14" s="22" t="n">
        <v>11020</v>
      </c>
      <c r="E14" s="22" t="s">
        <v>132</v>
      </c>
      <c r="F14" s="22" t="s">
        <v>135</v>
      </c>
      <c r="G14" s="22" t="s">
        <v>131</v>
      </c>
      <c r="H14" s="22" t="s">
        <v>131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</row>
    <row r="15" customFormat="false" ht="15" hidden="false" customHeight="false" outlineLevel="0" collapsed="false">
      <c r="A15" s="22" t="s">
        <v>263</v>
      </c>
      <c r="B15" s="22" t="s">
        <v>3</v>
      </c>
      <c r="C15" s="22" t="s">
        <v>263</v>
      </c>
      <c r="D15" s="22" t="n">
        <v>11060</v>
      </c>
      <c r="E15" s="22" t="s">
        <v>132</v>
      </c>
      <c r="F15" s="22" t="s">
        <v>135</v>
      </c>
      <c r="G15" s="22" t="s">
        <v>131</v>
      </c>
      <c r="H15" s="22" t="s">
        <v>131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</row>
    <row r="16" customFormat="false" ht="15" hidden="false" customHeight="false" outlineLevel="0" collapsed="false">
      <c r="A16" s="22" t="s">
        <v>264</v>
      </c>
      <c r="B16" s="22" t="s">
        <v>3</v>
      </c>
      <c r="C16" s="22" t="s">
        <v>264</v>
      </c>
      <c r="D16" s="22" t="n">
        <v>11100</v>
      </c>
      <c r="E16" s="22" t="s">
        <v>132</v>
      </c>
      <c r="F16" s="22" t="s">
        <v>135</v>
      </c>
      <c r="G16" s="22" t="s">
        <v>131</v>
      </c>
      <c r="H16" s="22" t="s">
        <v>131</v>
      </c>
      <c r="I16" s="22" t="n">
        <v>0.0301</v>
      </c>
      <c r="J16" s="22" t="n">
        <v>0.0177</v>
      </c>
      <c r="K16" s="22" t="n">
        <v>0.0232</v>
      </c>
      <c r="L16" s="22" t="n">
        <v>0.0031</v>
      </c>
      <c r="M16" s="22" t="n">
        <v>0.0103</v>
      </c>
      <c r="N16" s="22" t="n">
        <v>0.0264</v>
      </c>
      <c r="O16" s="22" t="n">
        <v>0.0071</v>
      </c>
      <c r="P16" s="22" t="n">
        <v>-0.0004</v>
      </c>
      <c r="Q16" s="22" t="n">
        <v>-0.0003</v>
      </c>
      <c r="R16" s="22" t="n">
        <v>0.0049</v>
      </c>
      <c r="S16" s="22" t="n">
        <v>0.0175</v>
      </c>
      <c r="T16" s="22" t="n">
        <v>0.031</v>
      </c>
      <c r="U16" s="22" t="n">
        <v>-0.0002</v>
      </c>
      <c r="V16" s="22" t="n">
        <v>0.0022</v>
      </c>
      <c r="W16" s="22" t="n">
        <v>-0.0042</v>
      </c>
      <c r="X16" s="22" t="n">
        <v>0.0104</v>
      </c>
      <c r="Y16" s="22" t="n">
        <v>0.0316</v>
      </c>
      <c r="Z16" s="22" t="n">
        <v>0.028</v>
      </c>
      <c r="AA16" s="22" t="n">
        <v>0.03</v>
      </c>
      <c r="AB16" s="22" t="n">
        <v>0.0295</v>
      </c>
      <c r="AC16" s="22" t="n">
        <v>0.0407</v>
      </c>
      <c r="AD16" s="22" t="n">
        <v>0.0712</v>
      </c>
      <c r="AE16" s="22" t="n">
        <v>0.0943</v>
      </c>
      <c r="AF16" s="22" t="n">
        <v>0.1073</v>
      </c>
      <c r="AG16" s="22" t="n">
        <v>0.1291</v>
      </c>
      <c r="AH16" s="22" t="n">
        <v>0.131</v>
      </c>
      <c r="AI16" s="22" t="n">
        <v>0.1454</v>
      </c>
      <c r="AJ16" s="22" t="n">
        <v>0.1226</v>
      </c>
      <c r="AK16" s="22" t="n">
        <v>0.098</v>
      </c>
      <c r="AL16" s="22" t="n">
        <v>0.0552</v>
      </c>
      <c r="AM16" s="22" t="n">
        <v>0.0173</v>
      </c>
      <c r="AN16" s="22" t="n">
        <v>0.0128</v>
      </c>
      <c r="AO16" s="22" t="n">
        <v>0.0062</v>
      </c>
      <c r="AP16" s="22" t="n">
        <v>0.0136</v>
      </c>
      <c r="AQ16" s="22" t="n">
        <v>0.0163</v>
      </c>
      <c r="AR16" s="22" t="n">
        <v>0.0016</v>
      </c>
      <c r="AS16" s="22" t="n">
        <v>0.0131</v>
      </c>
      <c r="AT16" s="22" t="n">
        <v>0.0126</v>
      </c>
      <c r="AU16" s="22" t="n">
        <v>0.0368</v>
      </c>
      <c r="AV16" s="22" t="n">
        <v>0.0682</v>
      </c>
    </row>
    <row r="17" customFormat="false" ht="15" hidden="false" customHeight="false" outlineLevel="0" collapsed="false">
      <c r="A17" s="22" t="s">
        <v>265</v>
      </c>
      <c r="B17" s="22" t="s">
        <v>3</v>
      </c>
      <c r="C17" s="22" t="s">
        <v>265</v>
      </c>
      <c r="D17" s="22" t="n">
        <v>11180</v>
      </c>
      <c r="E17" s="22" t="s">
        <v>132</v>
      </c>
      <c r="F17" s="22" t="s">
        <v>135</v>
      </c>
      <c r="G17" s="22" t="s">
        <v>131</v>
      </c>
      <c r="H17" s="22" t="s">
        <v>131</v>
      </c>
      <c r="I17" s="22" t="n">
        <v>-0.0121</v>
      </c>
      <c r="J17" s="22" t="n">
        <v>-0.0177</v>
      </c>
      <c r="K17" s="22" t="n">
        <v>0.0294</v>
      </c>
      <c r="L17" s="22" t="n">
        <v>0.0218</v>
      </c>
      <c r="M17" s="22" t="n">
        <v>0.112</v>
      </c>
      <c r="N17" s="22" t="n">
        <v>0.0916</v>
      </c>
      <c r="O17" s="22" t="n">
        <v>0.0731</v>
      </c>
      <c r="P17" s="22" t="n">
        <v>0.0945</v>
      </c>
      <c r="Q17" s="22" t="n">
        <v>-0.0226</v>
      </c>
      <c r="R17" s="22" t="n">
        <v>0.0047</v>
      </c>
      <c r="S17" s="22" t="n">
        <v>-0.0894</v>
      </c>
      <c r="T17" s="22" t="n">
        <v>-0.0957</v>
      </c>
      <c r="U17" s="22" t="n">
        <v>-0.0768</v>
      </c>
      <c r="V17" s="22" t="n">
        <v>-0.0847</v>
      </c>
      <c r="W17" s="22" t="n">
        <v>-0.0414</v>
      </c>
      <c r="X17" s="22" t="n">
        <v>-0.0702</v>
      </c>
      <c r="Y17" s="22" t="n">
        <v>-0.0796</v>
      </c>
      <c r="Z17" s="22" t="n">
        <v>-0.0482</v>
      </c>
      <c r="AA17" s="22" t="n">
        <v>0.029</v>
      </c>
      <c r="AB17" s="22" t="n">
        <v>0.0478</v>
      </c>
      <c r="AC17" s="22" t="n">
        <v>0.1147</v>
      </c>
      <c r="AD17" s="22" t="n">
        <v>0.0611</v>
      </c>
      <c r="AE17" s="22" t="n">
        <v>-0.0159</v>
      </c>
      <c r="AF17" s="22" t="n">
        <v>0.0038</v>
      </c>
      <c r="AG17" s="22" t="n">
        <v>-0.0513</v>
      </c>
      <c r="AH17" s="22" t="n">
        <v>0.0866</v>
      </c>
      <c r="AI17" s="22" t="n">
        <v>0.1819</v>
      </c>
      <c r="AJ17" s="22" t="n">
        <v>0.2012</v>
      </c>
      <c r="AK17" s="22" t="n">
        <v>0.2223</v>
      </c>
      <c r="AL17" s="22" t="n">
        <v>0.0935</v>
      </c>
      <c r="AM17" s="22" t="n">
        <v>0.0573</v>
      </c>
      <c r="AN17" s="22" t="n">
        <v>0.022</v>
      </c>
      <c r="AO17" s="22" t="n">
        <v>-0.0059</v>
      </c>
      <c r="AP17" s="22" t="n">
        <v>-0.0154</v>
      </c>
      <c r="AQ17" s="22" t="n">
        <v>0.0091</v>
      </c>
      <c r="AR17" s="22" t="n">
        <v>0.0409</v>
      </c>
      <c r="AS17" s="22" t="n">
        <v>0.0562</v>
      </c>
      <c r="AT17" s="22" t="n">
        <v>0.0806</v>
      </c>
      <c r="AU17" s="22" t="n">
        <v>0.0724</v>
      </c>
      <c r="AV17" s="22" t="n">
        <v>0.02</v>
      </c>
    </row>
    <row r="18" customFormat="false" ht="15" hidden="false" customHeight="false" outlineLevel="0" collapsed="false">
      <c r="A18" s="22" t="s">
        <v>140</v>
      </c>
      <c r="B18" s="22" t="s">
        <v>3</v>
      </c>
      <c r="C18" s="22" t="s">
        <v>140</v>
      </c>
      <c r="D18" s="22" t="n">
        <v>11244</v>
      </c>
      <c r="E18" s="22" t="s">
        <v>132</v>
      </c>
      <c r="F18" s="22" t="s">
        <v>135</v>
      </c>
      <c r="G18" s="22" t="s">
        <v>131</v>
      </c>
      <c r="H18" s="22" t="s">
        <v>131</v>
      </c>
      <c r="I18" s="22" t="n">
        <v>0.0572</v>
      </c>
      <c r="J18" s="22" t="n">
        <v>0.0597</v>
      </c>
      <c r="K18" s="22" t="n">
        <v>0.0544</v>
      </c>
      <c r="L18" s="22" t="n">
        <v>0.0527</v>
      </c>
      <c r="M18" s="22" t="n">
        <v>0.0397</v>
      </c>
      <c r="N18" s="22" t="n">
        <v>0.0391</v>
      </c>
      <c r="O18" s="22" t="n">
        <v>0.0378</v>
      </c>
      <c r="P18" s="22" t="n">
        <v>0.0308</v>
      </c>
      <c r="Q18" s="22" t="n">
        <v>0.0367</v>
      </c>
      <c r="R18" s="22" t="n">
        <v>0.0273</v>
      </c>
      <c r="S18" s="22" t="n">
        <v>0.0319</v>
      </c>
      <c r="T18" s="22" t="n">
        <v>0.0319</v>
      </c>
      <c r="U18" s="22" t="n">
        <v>0.0256</v>
      </c>
      <c r="V18" s="22" t="n">
        <v>0.0376</v>
      </c>
      <c r="W18" s="22" t="n">
        <v>0.0347</v>
      </c>
      <c r="X18" s="22" t="n">
        <v>0.0325</v>
      </c>
      <c r="Y18" s="22" t="n">
        <v>0.0377</v>
      </c>
      <c r="Z18" s="22" t="n">
        <v>-0.0041</v>
      </c>
      <c r="AA18" s="22" t="n">
        <v>-0.0157</v>
      </c>
      <c r="AB18" s="22" t="n">
        <v>-0.0026</v>
      </c>
      <c r="AC18" s="22" t="n">
        <v>0.0114</v>
      </c>
      <c r="AD18" s="22" t="n">
        <v>0.0634</v>
      </c>
      <c r="AE18" s="22" t="n">
        <v>0.1349</v>
      </c>
      <c r="AF18" s="22" t="n">
        <v>0.174</v>
      </c>
      <c r="AG18" s="22" t="n">
        <v>0.1894</v>
      </c>
      <c r="AH18" s="22" t="n">
        <v>0.1918</v>
      </c>
      <c r="AI18" s="22" t="n">
        <v>0.1474</v>
      </c>
      <c r="AJ18" s="22" t="n">
        <v>0.0865</v>
      </c>
      <c r="AK18" s="22" t="n">
        <v>0.0492</v>
      </c>
      <c r="AL18" s="22" t="n">
        <v>0.025</v>
      </c>
      <c r="AM18" s="22" t="n">
        <v>0.021</v>
      </c>
      <c r="AN18" s="22" t="n">
        <v>0.0317</v>
      </c>
      <c r="AO18" s="22" t="n">
        <v>0.0297</v>
      </c>
      <c r="AP18" s="22" t="n">
        <v>0.0234</v>
      </c>
      <c r="AQ18" s="22" t="n">
        <v>0.0155</v>
      </c>
      <c r="AR18" s="22" t="n">
        <v>0.0083</v>
      </c>
      <c r="AS18" s="22" t="n">
        <v>0.0154</v>
      </c>
      <c r="AT18" s="22" t="n">
        <v>0.03</v>
      </c>
      <c r="AU18" s="22" t="n">
        <v>0.0296</v>
      </c>
      <c r="AV18" s="22" t="n">
        <v>0.0236</v>
      </c>
    </row>
    <row r="19" customFormat="false" ht="15" hidden="false" customHeight="false" outlineLevel="0" collapsed="false">
      <c r="A19" s="22" t="s">
        <v>266</v>
      </c>
      <c r="B19" s="22" t="s">
        <v>3</v>
      </c>
      <c r="C19" s="22" t="s">
        <v>266</v>
      </c>
      <c r="D19" s="22" t="n">
        <v>11260</v>
      </c>
      <c r="E19" s="22" t="s">
        <v>132</v>
      </c>
      <c r="F19" s="22" t="s">
        <v>135</v>
      </c>
      <c r="G19" s="22" t="s">
        <v>131</v>
      </c>
      <c r="H19" s="22" t="s">
        <v>131</v>
      </c>
      <c r="I19" s="22"/>
      <c r="J19" s="22"/>
      <c r="K19" s="22"/>
      <c r="L19" s="22"/>
      <c r="M19" s="22"/>
      <c r="N19" s="22"/>
      <c r="O19" s="22"/>
      <c r="P19" s="22" t="n">
        <v>-0.0018</v>
      </c>
      <c r="Q19" s="22" t="n">
        <v>0.0154</v>
      </c>
      <c r="R19" s="22" t="n">
        <v>0.0453</v>
      </c>
      <c r="S19" s="22" t="n">
        <v>0.0181</v>
      </c>
      <c r="T19" s="22" t="n">
        <v>0.0057</v>
      </c>
      <c r="U19" s="22" t="n">
        <v>-0.0044</v>
      </c>
      <c r="V19" s="22" t="n">
        <v>-0.0229</v>
      </c>
      <c r="W19" s="22" t="n">
        <v>0.0012</v>
      </c>
      <c r="X19" s="22" t="n">
        <v>-0.01</v>
      </c>
      <c r="Y19" s="22" t="n">
        <v>0.0383</v>
      </c>
      <c r="Z19" s="22" t="n">
        <v>0.0415</v>
      </c>
      <c r="AA19" s="22" t="n">
        <v>0.073</v>
      </c>
      <c r="AB19" s="22" t="n">
        <v>0.1047</v>
      </c>
      <c r="AC19" s="22" t="n">
        <v>0.069</v>
      </c>
      <c r="AD19" s="22" t="n">
        <v>0.0972</v>
      </c>
      <c r="AE19" s="22" t="n">
        <v>0.0921</v>
      </c>
      <c r="AF19" s="22" t="n">
        <v>0.0956</v>
      </c>
      <c r="AG19" s="22" t="n">
        <v>0.1329</v>
      </c>
      <c r="AH19" s="22" t="n">
        <v>0.1306</v>
      </c>
      <c r="AI19" s="22" t="n">
        <v>0.1359</v>
      </c>
      <c r="AJ19" s="22" t="n">
        <v>0.1367</v>
      </c>
      <c r="AK19" s="22" t="n">
        <v>0.1073</v>
      </c>
      <c r="AL19" s="22" t="n">
        <v>0.1141</v>
      </c>
      <c r="AM19" s="22" t="n">
        <v>0.1599</v>
      </c>
      <c r="AN19" s="22" t="n">
        <v>0.0944</v>
      </c>
      <c r="AO19" s="22" t="n">
        <v>0.0709</v>
      </c>
      <c r="AP19" s="22" t="n">
        <v>0.0613</v>
      </c>
      <c r="AQ19" s="22" t="n">
        <v>-0.006</v>
      </c>
      <c r="AR19" s="22" t="n">
        <v>0.0241</v>
      </c>
      <c r="AS19" s="22" t="n">
        <v>0.0395</v>
      </c>
      <c r="AT19" s="22" t="n">
        <v>0.042</v>
      </c>
      <c r="AU19" s="22" t="n">
        <v>0.0271</v>
      </c>
      <c r="AV19" s="22" t="n">
        <v>0.0231</v>
      </c>
    </row>
    <row r="20" customFormat="false" ht="15" hidden="false" customHeight="false" outlineLevel="0" collapsed="false">
      <c r="A20" s="22" t="s">
        <v>267</v>
      </c>
      <c r="B20" s="22" t="s">
        <v>3</v>
      </c>
      <c r="C20" s="22" t="s">
        <v>267</v>
      </c>
      <c r="D20" s="22" t="n">
        <v>11380</v>
      </c>
      <c r="E20" s="22" t="s">
        <v>132</v>
      </c>
      <c r="F20" s="22" t="s">
        <v>135</v>
      </c>
      <c r="G20" s="22" t="s">
        <v>131</v>
      </c>
      <c r="H20" s="22" t="s">
        <v>131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</row>
    <row r="21" customFormat="false" ht="15" hidden="false" customHeight="false" outlineLevel="0" collapsed="false">
      <c r="A21" s="22" t="s">
        <v>268</v>
      </c>
      <c r="B21" s="22" t="s">
        <v>3</v>
      </c>
      <c r="C21" s="22" t="s">
        <v>268</v>
      </c>
      <c r="D21" s="22" t="n">
        <v>11420</v>
      </c>
      <c r="E21" s="22" t="s">
        <v>132</v>
      </c>
      <c r="F21" s="22" t="s">
        <v>135</v>
      </c>
      <c r="G21" s="22" t="s">
        <v>131</v>
      </c>
      <c r="H21" s="22" t="s">
        <v>131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</row>
    <row r="22" customFormat="false" ht="15" hidden="false" customHeight="false" outlineLevel="0" collapsed="false">
      <c r="A22" s="22" t="s">
        <v>141</v>
      </c>
      <c r="B22" s="22" t="s">
        <v>3</v>
      </c>
      <c r="C22" s="22" t="s">
        <v>141</v>
      </c>
      <c r="D22" s="22" t="n">
        <v>11460</v>
      </c>
      <c r="E22" s="22" t="s">
        <v>132</v>
      </c>
      <c r="F22" s="22" t="s">
        <v>135</v>
      </c>
      <c r="G22" s="22" t="s">
        <v>131</v>
      </c>
      <c r="H22" s="22" t="s">
        <v>131</v>
      </c>
      <c r="I22" s="22" t="n">
        <v>0.0497</v>
      </c>
      <c r="J22" s="22" t="n">
        <v>0.0573</v>
      </c>
      <c r="K22" s="22" t="n">
        <v>0.0333</v>
      </c>
      <c r="L22" s="22" t="n">
        <v>0.0427</v>
      </c>
      <c r="M22" s="22" t="n">
        <v>0.034</v>
      </c>
      <c r="N22" s="22" t="n">
        <v>0.0233</v>
      </c>
      <c r="O22" s="22" t="n">
        <v>0.0625</v>
      </c>
      <c r="P22" s="22" t="n">
        <v>0.032</v>
      </c>
      <c r="Q22" s="22" t="n">
        <v>0.0292</v>
      </c>
      <c r="R22" s="22" t="n">
        <v>0.0427</v>
      </c>
      <c r="S22" s="22" t="n">
        <v>0.0363</v>
      </c>
      <c r="T22" s="22" t="n">
        <v>0.0504</v>
      </c>
      <c r="U22" s="22" t="n">
        <v>0.0552</v>
      </c>
      <c r="V22" s="22" t="n">
        <v>0.0418</v>
      </c>
      <c r="W22" s="22" t="n">
        <v>0.0442</v>
      </c>
      <c r="X22" s="22" t="n">
        <v>0.0458</v>
      </c>
      <c r="Y22" s="22" t="n">
        <v>0.0393</v>
      </c>
      <c r="Z22" s="22" t="n">
        <v>0.0361</v>
      </c>
      <c r="AA22" s="22" t="n">
        <v>0.0078</v>
      </c>
      <c r="AB22" s="22" t="n">
        <v>0.0103</v>
      </c>
      <c r="AC22" s="22" t="n">
        <v>0.004</v>
      </c>
      <c r="AD22" s="22" t="n">
        <v>0.0422</v>
      </c>
      <c r="AE22" s="22" t="n">
        <v>0.1073</v>
      </c>
      <c r="AF22" s="22" t="n">
        <v>0.1452</v>
      </c>
      <c r="AG22" s="22" t="n">
        <v>0.1601</v>
      </c>
      <c r="AH22" s="22" t="n">
        <v>0.1636</v>
      </c>
      <c r="AI22" s="22" t="n">
        <v>0.1339</v>
      </c>
      <c r="AJ22" s="22" t="n">
        <v>0.0884</v>
      </c>
      <c r="AK22" s="22" t="n">
        <v>0.0726</v>
      </c>
      <c r="AL22" s="22" t="n">
        <v>0.0402</v>
      </c>
      <c r="AM22" s="22" t="n">
        <v>0.0223</v>
      </c>
      <c r="AN22" s="22" t="n">
        <v>0.0233</v>
      </c>
      <c r="AO22" s="22" t="n">
        <v>0.0375</v>
      </c>
      <c r="AP22" s="22" t="n">
        <v>0.0421</v>
      </c>
      <c r="AQ22" s="22" t="n">
        <v>0.0395</v>
      </c>
      <c r="AR22" s="22" t="n">
        <v>0.0382</v>
      </c>
      <c r="AS22" s="22" t="n">
        <v>0.021</v>
      </c>
      <c r="AT22" s="22" t="n">
        <v>0.0545</v>
      </c>
      <c r="AU22" s="22" t="n">
        <v>0.0158</v>
      </c>
      <c r="AV22" s="22" t="n">
        <v>-0.0388</v>
      </c>
    </row>
    <row r="23" customFormat="false" ht="15" hidden="false" customHeight="false" outlineLevel="0" collapsed="false">
      <c r="A23" s="22" t="s">
        <v>269</v>
      </c>
      <c r="B23" s="22" t="s">
        <v>3</v>
      </c>
      <c r="C23" s="22" t="s">
        <v>269</v>
      </c>
      <c r="D23" s="22" t="n">
        <v>11500</v>
      </c>
      <c r="E23" s="22" t="s">
        <v>132</v>
      </c>
      <c r="F23" s="22" t="s">
        <v>135</v>
      </c>
      <c r="G23" s="22" t="s">
        <v>131</v>
      </c>
      <c r="H23" s="22" t="s">
        <v>131</v>
      </c>
      <c r="I23" s="22"/>
      <c r="J23" s="22"/>
      <c r="K23" s="22" t="n">
        <v>-0.0674</v>
      </c>
      <c r="L23" s="22" t="n">
        <v>-0.0482</v>
      </c>
      <c r="M23" s="22" t="n">
        <v>-0.0577</v>
      </c>
      <c r="N23" s="22" t="n">
        <v>-0.0644</v>
      </c>
      <c r="O23" s="22" t="n">
        <v>0.0327</v>
      </c>
      <c r="P23" s="22" t="n">
        <v>0.0379</v>
      </c>
      <c r="Q23" s="22" t="n">
        <v>0.0186</v>
      </c>
      <c r="R23" s="22" t="n">
        <v>0.031</v>
      </c>
      <c r="S23" s="22" t="n">
        <v>0.0486</v>
      </c>
      <c r="T23" s="22" t="n">
        <v>0.0146</v>
      </c>
      <c r="U23" s="22" t="n">
        <v>0.061</v>
      </c>
      <c r="V23" s="22" t="n">
        <v>0.0574</v>
      </c>
      <c r="W23" s="22" t="n">
        <v>0.0569</v>
      </c>
      <c r="X23" s="22" t="n">
        <v>0.0822</v>
      </c>
      <c r="Y23" s="22" t="n">
        <v>0.0626</v>
      </c>
      <c r="Z23" s="22" t="n">
        <v>0.0415</v>
      </c>
      <c r="AA23" s="22" t="n">
        <v>0.0379</v>
      </c>
      <c r="AB23" s="22" t="n">
        <v>0.0363</v>
      </c>
      <c r="AC23" s="22" t="n">
        <v>0.0343</v>
      </c>
      <c r="AD23" s="22" t="n">
        <v>0.0339</v>
      </c>
      <c r="AE23" s="22" t="n">
        <v>0.0572</v>
      </c>
      <c r="AF23" s="22" t="n">
        <v>0.0812</v>
      </c>
      <c r="AG23" s="22" t="n">
        <v>0.101</v>
      </c>
      <c r="AH23" s="22" t="n">
        <v>0.1241</v>
      </c>
      <c r="AI23" s="22" t="n">
        <v>0.1157</v>
      </c>
      <c r="AJ23" s="22" t="n">
        <v>0.1451</v>
      </c>
      <c r="AK23" s="22" t="n">
        <v>0.1654</v>
      </c>
      <c r="AL23" s="22" t="n">
        <v>0.1461</v>
      </c>
      <c r="AM23" s="22" t="n">
        <v>0.1073</v>
      </c>
      <c r="AN23" s="22" t="n">
        <v>0.029</v>
      </c>
      <c r="AO23" s="22" t="n">
        <v>-0.0243</v>
      </c>
      <c r="AP23" s="22" t="n">
        <v>-0.0401</v>
      </c>
      <c r="AQ23" s="22" t="n">
        <v>-0.0097</v>
      </c>
      <c r="AR23" s="22" t="n">
        <v>0.0156</v>
      </c>
      <c r="AS23" s="22" t="n">
        <v>0.0298</v>
      </c>
      <c r="AT23" s="22" t="n">
        <v>0.1139</v>
      </c>
      <c r="AU23" s="22"/>
      <c r="AV23" s="22"/>
    </row>
    <row r="24" customFormat="false" ht="15" hidden="false" customHeight="false" outlineLevel="0" collapsed="false">
      <c r="A24" s="22" t="s">
        <v>270</v>
      </c>
      <c r="B24" s="22" t="s">
        <v>3</v>
      </c>
      <c r="C24" s="22" t="s">
        <v>270</v>
      </c>
      <c r="D24" s="22" t="n">
        <v>11540</v>
      </c>
      <c r="E24" s="22" t="s">
        <v>132</v>
      </c>
      <c r="F24" s="22" t="s">
        <v>135</v>
      </c>
      <c r="G24" s="22" t="s">
        <v>131</v>
      </c>
      <c r="H24" s="22" t="s">
        <v>131</v>
      </c>
      <c r="I24" s="22" t="n">
        <v>0.1246</v>
      </c>
      <c r="J24" s="22" t="n">
        <v>0.1363</v>
      </c>
      <c r="K24" s="22" t="n">
        <v>0.1147</v>
      </c>
      <c r="L24" s="22" t="n">
        <v>0.0739</v>
      </c>
      <c r="M24" s="22" t="n">
        <v>0.0682</v>
      </c>
      <c r="N24" s="22" t="n">
        <v>0.0702</v>
      </c>
      <c r="O24" s="22" t="n">
        <v>0.0612</v>
      </c>
      <c r="P24" s="22" t="n">
        <v>0.0003</v>
      </c>
      <c r="Q24" s="22" t="n">
        <v>0.0089</v>
      </c>
      <c r="R24" s="22" t="n">
        <v>0.012</v>
      </c>
      <c r="S24" s="22" t="n">
        <v>0.0235</v>
      </c>
      <c r="T24" s="22" t="n">
        <v>0.0275</v>
      </c>
      <c r="U24" s="22" t="n">
        <v>0.0336</v>
      </c>
      <c r="V24" s="22" t="n">
        <v>0.0403</v>
      </c>
      <c r="W24" s="22" t="n">
        <v>0.0419</v>
      </c>
      <c r="X24" s="22" t="n">
        <v>0.045</v>
      </c>
      <c r="Y24" s="22" t="n">
        <v>0.056</v>
      </c>
      <c r="Z24" s="22" t="n">
        <v>0.0816</v>
      </c>
      <c r="AA24" s="22" t="n">
        <v>0.0885</v>
      </c>
      <c r="AB24" s="22" t="n">
        <v>0.0592</v>
      </c>
      <c r="AC24" s="22" t="n">
        <v>0.0431</v>
      </c>
      <c r="AD24" s="22" t="n">
        <v>0.028</v>
      </c>
      <c r="AE24" s="22" t="n">
        <v>0.0572</v>
      </c>
      <c r="AF24" s="22" t="n">
        <v>0.1311</v>
      </c>
      <c r="AG24" s="22" t="n">
        <v>0.1421</v>
      </c>
      <c r="AH24" s="22" t="n">
        <v>0.1813</v>
      </c>
      <c r="AI24" s="22" t="n">
        <v>0.2013</v>
      </c>
      <c r="AJ24" s="22" t="n">
        <v>0.1146</v>
      </c>
      <c r="AK24" s="22" t="n">
        <v>0.1194</v>
      </c>
      <c r="AL24" s="22" t="n">
        <v>0.0749</v>
      </c>
      <c r="AM24" s="22" t="n">
        <v>0.1271</v>
      </c>
      <c r="AN24" s="22" t="n">
        <v>0.1572</v>
      </c>
      <c r="AO24" s="22" t="n">
        <v>0.1521</v>
      </c>
      <c r="AP24" s="22" t="n">
        <v>0.1696</v>
      </c>
      <c r="AQ24" s="22" t="n">
        <v>0.0546</v>
      </c>
      <c r="AR24" s="22" t="n">
        <v>0.1071</v>
      </c>
      <c r="AS24" s="22" t="n">
        <v>0.1017</v>
      </c>
      <c r="AT24" s="22" t="n">
        <v>0.1018</v>
      </c>
      <c r="AU24" s="22" t="n">
        <v>0.1366</v>
      </c>
      <c r="AV24" s="22" t="n">
        <v>0.0762</v>
      </c>
    </row>
    <row r="25" customFormat="false" ht="15" hidden="false" customHeight="false" outlineLevel="0" collapsed="false">
      <c r="A25" s="22" t="s">
        <v>271</v>
      </c>
      <c r="B25" s="22" t="s">
        <v>3</v>
      </c>
      <c r="C25" s="22" t="s">
        <v>271</v>
      </c>
      <c r="D25" s="22" t="n">
        <v>11620</v>
      </c>
      <c r="E25" s="22" t="s">
        <v>132</v>
      </c>
      <c r="F25" s="22" t="s">
        <v>135</v>
      </c>
      <c r="G25" s="22" t="s">
        <v>131</v>
      </c>
      <c r="H25" s="22" t="s">
        <v>131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</row>
    <row r="26" customFormat="false" ht="15" hidden="false" customHeight="false" outlineLevel="0" collapsed="false">
      <c r="A26" s="22" t="s">
        <v>272</v>
      </c>
      <c r="B26" s="22" t="s">
        <v>3</v>
      </c>
      <c r="C26" s="22" t="s">
        <v>272</v>
      </c>
      <c r="D26" s="22" t="n">
        <v>11680</v>
      </c>
      <c r="E26" s="22" t="s">
        <v>132</v>
      </c>
      <c r="F26" s="22" t="s">
        <v>135</v>
      </c>
      <c r="G26" s="22" t="s">
        <v>131</v>
      </c>
      <c r="H26" s="22" t="s">
        <v>131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</row>
    <row r="27" customFormat="false" ht="15" hidden="false" customHeight="false" outlineLevel="0" collapsed="false">
      <c r="A27" s="22" t="s">
        <v>64</v>
      </c>
      <c r="B27" s="22" t="s">
        <v>3</v>
      </c>
      <c r="C27" s="22" t="s">
        <v>64</v>
      </c>
      <c r="D27" s="22" t="n">
        <v>211700</v>
      </c>
      <c r="E27" s="22" t="s">
        <v>132</v>
      </c>
      <c r="F27" s="22" t="s">
        <v>135</v>
      </c>
      <c r="G27" s="22" t="s">
        <v>131</v>
      </c>
      <c r="H27" s="22" t="s">
        <v>131</v>
      </c>
      <c r="I27" s="22" t="n">
        <v>0.0659</v>
      </c>
      <c r="J27" s="22" t="n">
        <v>0.0307</v>
      </c>
      <c r="K27" s="22" t="n">
        <v>0.0408</v>
      </c>
      <c r="L27" s="22" t="n">
        <v>0.059</v>
      </c>
      <c r="M27" s="22" t="n">
        <v>0.0411</v>
      </c>
      <c r="N27" s="22" t="n">
        <v>0.0346</v>
      </c>
      <c r="O27" s="22" t="n">
        <v>0.0269</v>
      </c>
      <c r="P27" s="22" t="n">
        <v>0.0246</v>
      </c>
      <c r="Q27" s="22" t="n">
        <v>0.045</v>
      </c>
      <c r="R27" s="22" t="n">
        <v>0.0482</v>
      </c>
      <c r="S27" s="22" t="n">
        <v>0.0582</v>
      </c>
      <c r="T27" s="22" t="n">
        <v>0.0509</v>
      </c>
      <c r="U27" s="22" t="n">
        <v>0.0554</v>
      </c>
      <c r="V27" s="22" t="n">
        <v>0.0512</v>
      </c>
      <c r="W27" s="22" t="n">
        <v>0.0244</v>
      </c>
      <c r="X27" s="22" t="n">
        <v>0.0142</v>
      </c>
      <c r="Y27" s="22" t="n">
        <v>0.0115</v>
      </c>
      <c r="Z27" s="22" t="n">
        <v>-0.0141</v>
      </c>
      <c r="AA27" s="22" t="n">
        <v>-0.0017</v>
      </c>
      <c r="AB27" s="22" t="n">
        <v>0.0393</v>
      </c>
      <c r="AC27" s="22" t="n">
        <v>0.0463</v>
      </c>
      <c r="AD27" s="22" t="n">
        <v>0.1059</v>
      </c>
      <c r="AE27" s="22" t="n">
        <v>0.1835</v>
      </c>
      <c r="AF27" s="22" t="n">
        <v>0.221</v>
      </c>
      <c r="AG27" s="22" t="n">
        <v>0.2073</v>
      </c>
      <c r="AH27" s="22" t="n">
        <v>0.197</v>
      </c>
      <c r="AI27" s="22" t="n">
        <v>0.1548</v>
      </c>
      <c r="AJ27" s="22" t="n">
        <v>0.0939</v>
      </c>
      <c r="AK27" s="22" t="n">
        <v>0.1012</v>
      </c>
      <c r="AL27" s="22" t="n">
        <v>0.06</v>
      </c>
      <c r="AM27" s="22" t="n">
        <v>0.015</v>
      </c>
      <c r="AN27" s="22" t="n">
        <v>0.0017</v>
      </c>
      <c r="AO27" s="22" t="n">
        <v>-0.0143</v>
      </c>
      <c r="AP27" s="22" t="n">
        <v>0.0037</v>
      </c>
      <c r="AQ27" s="22" t="n">
        <v>0.0064</v>
      </c>
      <c r="AR27" s="22" t="n">
        <v>0.0039</v>
      </c>
      <c r="AS27" s="22" t="n">
        <v>-0.0242</v>
      </c>
      <c r="AT27" s="22" t="n">
        <v>-0.0444</v>
      </c>
      <c r="AU27" s="22" t="n">
        <v>-0.0685</v>
      </c>
      <c r="AV27" s="22" t="n">
        <v>-0.0623</v>
      </c>
    </row>
    <row r="28" customFormat="false" ht="15" hidden="false" customHeight="false" outlineLevel="0" collapsed="false">
      <c r="A28" s="22" t="s">
        <v>273</v>
      </c>
      <c r="B28" s="22" t="s">
        <v>3</v>
      </c>
      <c r="C28" s="22" t="s">
        <v>273</v>
      </c>
      <c r="D28" s="22" t="n">
        <v>11740</v>
      </c>
      <c r="E28" s="22" t="s">
        <v>132</v>
      </c>
      <c r="F28" s="22" t="s">
        <v>135</v>
      </c>
      <c r="G28" s="22" t="s">
        <v>131</v>
      </c>
      <c r="H28" s="22" t="s">
        <v>131</v>
      </c>
      <c r="I28" s="22"/>
      <c r="J28" s="22"/>
      <c r="K28" s="22"/>
      <c r="L28" s="22"/>
      <c r="M28" s="22" t="n">
        <v>0.2309</v>
      </c>
      <c r="N28" s="22" t="n">
        <v>0.2057</v>
      </c>
      <c r="O28" s="22" t="n">
        <v>0.1721</v>
      </c>
      <c r="P28" s="22" t="n">
        <v>0.1918</v>
      </c>
      <c r="Q28" s="22" t="n">
        <v>0.0324</v>
      </c>
      <c r="R28" s="22" t="n">
        <v>0.07</v>
      </c>
      <c r="S28" s="22" t="n">
        <v>0.0478</v>
      </c>
      <c r="T28" s="22" t="n">
        <v>0.0619</v>
      </c>
      <c r="U28" s="22" t="n">
        <v>0.0473</v>
      </c>
      <c r="V28" s="22" t="n">
        <v>0.015</v>
      </c>
      <c r="W28" s="22" t="n">
        <v>0.0398</v>
      </c>
      <c r="X28" s="22" t="n">
        <v>0.0207</v>
      </c>
      <c r="Y28" s="22" t="n">
        <v>0.0324</v>
      </c>
      <c r="Z28" s="22" t="n">
        <v>0.0342</v>
      </c>
      <c r="AA28" s="22" t="n">
        <v>0.0354</v>
      </c>
      <c r="AB28" s="22" t="n">
        <v>0.0758</v>
      </c>
      <c r="AC28" s="22" t="n">
        <v>0.0607</v>
      </c>
      <c r="AD28" s="22" t="n">
        <v>0.0568</v>
      </c>
      <c r="AE28" s="22" t="n">
        <v>0.0477</v>
      </c>
      <c r="AF28" s="22" t="n">
        <v>0.0187</v>
      </c>
      <c r="AG28" s="22" t="n">
        <v>0.0962</v>
      </c>
      <c r="AH28" s="22" t="n">
        <v>0.0758</v>
      </c>
      <c r="AI28" s="22" t="n">
        <v>0.3532</v>
      </c>
      <c r="AJ28" s="22" t="n">
        <v>0.4112</v>
      </c>
      <c r="AK28" s="22" t="n">
        <v>0.3854</v>
      </c>
      <c r="AL28" s="22" t="n">
        <v>0.4224</v>
      </c>
      <c r="AM28" s="22" t="n">
        <v>0.1845</v>
      </c>
      <c r="AN28" s="22" t="n">
        <v>0.1304</v>
      </c>
      <c r="AO28" s="22" t="n">
        <v>0.0657</v>
      </c>
      <c r="AP28" s="22" t="n">
        <v>0.075</v>
      </c>
      <c r="AQ28" s="22" t="n">
        <v>0.0386</v>
      </c>
      <c r="AR28" s="22" t="n">
        <v>0.0512</v>
      </c>
      <c r="AS28" s="22" t="n">
        <v>0.0559</v>
      </c>
      <c r="AT28" s="22" t="n">
        <v>0.0267</v>
      </c>
      <c r="AU28" s="22" t="n">
        <v>0.0402</v>
      </c>
      <c r="AV28" s="22" t="n">
        <v>0.0153</v>
      </c>
    </row>
    <row r="29" customFormat="false" ht="15" hidden="false" customHeight="false" outlineLevel="0" collapsed="false">
      <c r="A29" s="22" t="s">
        <v>274</v>
      </c>
      <c r="B29" s="22" t="s">
        <v>3</v>
      </c>
      <c r="C29" s="22" t="s">
        <v>274</v>
      </c>
      <c r="D29" s="22" t="n">
        <v>11820</v>
      </c>
      <c r="E29" s="22" t="s">
        <v>132</v>
      </c>
      <c r="F29" s="22" t="s">
        <v>135</v>
      </c>
      <c r="G29" s="22" t="s">
        <v>131</v>
      </c>
      <c r="H29" s="22" t="s">
        <v>131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customFormat="false" ht="15" hidden="false" customHeight="false" outlineLevel="0" collapsed="false">
      <c r="A30" s="22" t="s">
        <v>275</v>
      </c>
      <c r="B30" s="22" t="s">
        <v>3</v>
      </c>
      <c r="C30" s="22" t="s">
        <v>275</v>
      </c>
      <c r="D30" s="22" t="n">
        <v>12020</v>
      </c>
      <c r="E30" s="22" t="s">
        <v>132</v>
      </c>
      <c r="F30" s="22" t="s">
        <v>135</v>
      </c>
      <c r="G30" s="22" t="s">
        <v>131</v>
      </c>
      <c r="H30" s="22" t="s">
        <v>131</v>
      </c>
      <c r="I30" s="22" t="n">
        <v>0.0548</v>
      </c>
      <c r="J30" s="22" t="n">
        <v>0.0435</v>
      </c>
      <c r="K30" s="22" t="n">
        <v>0.0835</v>
      </c>
      <c r="L30" s="22" t="n">
        <v>0.1128</v>
      </c>
      <c r="M30" s="22" t="n">
        <v>0.1063</v>
      </c>
      <c r="N30" s="22" t="n">
        <v>0.1336</v>
      </c>
      <c r="O30" s="22" t="n">
        <v>0.123</v>
      </c>
      <c r="P30" s="22" t="n">
        <v>0.1083</v>
      </c>
      <c r="Q30" s="22" t="n">
        <v>0.0696</v>
      </c>
      <c r="R30" s="22" t="n">
        <v>0.0417</v>
      </c>
      <c r="S30" s="22" t="n">
        <v>0.034</v>
      </c>
      <c r="T30" s="22" t="n">
        <v>0.0399</v>
      </c>
      <c r="U30" s="22" t="n">
        <v>0.0707</v>
      </c>
      <c r="V30" s="22" t="n">
        <v>0.0566</v>
      </c>
      <c r="W30" s="22" t="n">
        <v>0.0524</v>
      </c>
      <c r="X30" s="22" t="n">
        <v>0.059</v>
      </c>
      <c r="Y30" s="22" t="n">
        <v>0.0671</v>
      </c>
      <c r="Z30" s="22" t="n">
        <v>0.0519</v>
      </c>
      <c r="AA30" s="22" t="n">
        <v>0.0552</v>
      </c>
      <c r="AB30" s="22" t="n">
        <v>0.0545</v>
      </c>
      <c r="AC30" s="22" t="n">
        <v>0.061</v>
      </c>
      <c r="AD30" s="22" t="n">
        <v>0.1096</v>
      </c>
      <c r="AE30" s="22" t="n">
        <v>0.176</v>
      </c>
      <c r="AF30" s="22" t="n">
        <v>0.1578</v>
      </c>
      <c r="AG30" s="22" t="n">
        <v>0.1279</v>
      </c>
      <c r="AH30" s="22" t="n">
        <v>0.1277</v>
      </c>
      <c r="AI30" s="22" t="n">
        <v>0.0911</v>
      </c>
      <c r="AJ30" s="22" t="n">
        <v>0.0512</v>
      </c>
      <c r="AK30" s="22" t="n">
        <v>0.0539</v>
      </c>
      <c r="AL30" s="22" t="n">
        <v>0.091</v>
      </c>
      <c r="AM30" s="22" t="n">
        <v>0.061</v>
      </c>
      <c r="AN30" s="22" t="n">
        <v>0.0884</v>
      </c>
      <c r="AO30" s="22" t="n">
        <v>0.0868</v>
      </c>
      <c r="AP30" s="22" t="n">
        <v>0.026</v>
      </c>
      <c r="AQ30" s="22" t="n">
        <v>-0.0204</v>
      </c>
      <c r="AR30" s="22" t="n">
        <v>-0.0456</v>
      </c>
      <c r="AS30" s="22" t="n">
        <v>-0.0381</v>
      </c>
      <c r="AT30" s="22" t="n">
        <v>-0.0365</v>
      </c>
      <c r="AU30" s="22" t="n">
        <v>-0.0379</v>
      </c>
      <c r="AV30" s="22" t="n">
        <v>-0.0375</v>
      </c>
    </row>
    <row r="31" customFormat="false" ht="15" hidden="false" customHeight="false" outlineLevel="0" collapsed="false">
      <c r="A31" s="22" t="s">
        <v>276</v>
      </c>
      <c r="B31" s="22" t="s">
        <v>3</v>
      </c>
      <c r="C31" s="22" t="s">
        <v>276</v>
      </c>
      <c r="D31" s="22" t="n">
        <v>11900</v>
      </c>
      <c r="E31" s="22" t="s">
        <v>132</v>
      </c>
      <c r="F31" s="22" t="s">
        <v>135</v>
      </c>
      <c r="G31" s="22" t="s">
        <v>131</v>
      </c>
      <c r="H31" s="22" t="s">
        <v>131</v>
      </c>
      <c r="I31" s="22" t="n">
        <v>0.0091</v>
      </c>
      <c r="J31" s="22" t="n">
        <v>-0.0156</v>
      </c>
      <c r="K31" s="22" t="n">
        <v>-0.0521</v>
      </c>
      <c r="L31" s="22" t="n">
        <v>-0.1365</v>
      </c>
      <c r="M31" s="22" t="n">
        <v>-0.0674</v>
      </c>
      <c r="N31" s="22" t="n">
        <v>-0.0332</v>
      </c>
      <c r="O31" s="22" t="n">
        <v>-0.0073</v>
      </c>
      <c r="P31" s="22" t="n">
        <v>0.1152</v>
      </c>
      <c r="Q31" s="22" t="n">
        <v>0.032</v>
      </c>
      <c r="R31" s="22" t="n">
        <v>0.0327</v>
      </c>
      <c r="S31" s="22" t="n">
        <v>0.0367</v>
      </c>
      <c r="T31" s="22" t="n">
        <v>0.018</v>
      </c>
      <c r="U31" s="22" t="n">
        <v>0.0429</v>
      </c>
      <c r="V31" s="22" t="n">
        <v>0.0244</v>
      </c>
      <c r="W31" s="22" t="n">
        <v>0.0326</v>
      </c>
      <c r="X31" s="22" t="n">
        <v>0.0584</v>
      </c>
      <c r="Y31" s="22" t="n">
        <v>0.0235</v>
      </c>
      <c r="Z31" s="22" t="n">
        <v>-0.0052</v>
      </c>
      <c r="AA31" s="22" t="n">
        <v>-0.0282</v>
      </c>
      <c r="AB31" s="22" t="n">
        <v>-0.0199</v>
      </c>
      <c r="AC31" s="22" t="n">
        <v>0.0047</v>
      </c>
      <c r="AD31" s="22" t="n">
        <v>0.0131</v>
      </c>
      <c r="AE31" s="22" t="n">
        <v>0.0915</v>
      </c>
      <c r="AF31" s="22" t="n">
        <v>0.0642</v>
      </c>
      <c r="AG31" s="22" t="n">
        <v>0.053</v>
      </c>
      <c r="AH31" s="22"/>
      <c r="AI31" s="22"/>
      <c r="AJ31" s="22"/>
      <c r="AK31" s="22"/>
      <c r="AL31" s="22"/>
      <c r="AM31" s="22"/>
      <c r="AN31" s="22"/>
      <c r="AO31" s="22" t="n">
        <v>0.1351</v>
      </c>
      <c r="AP31" s="22" t="n">
        <v>0.1861</v>
      </c>
      <c r="AQ31" s="22" t="n">
        <v>0.1262</v>
      </c>
      <c r="AR31" s="22" t="n">
        <v>0.1873</v>
      </c>
      <c r="AS31" s="22" t="n">
        <v>0.0435</v>
      </c>
      <c r="AT31" s="22"/>
      <c r="AU31" s="22"/>
      <c r="AV31" s="22"/>
    </row>
    <row r="32" customFormat="false" ht="15" hidden="false" customHeight="false" outlineLevel="0" collapsed="false">
      <c r="A32" s="22" t="s">
        <v>277</v>
      </c>
      <c r="B32" s="22" t="s">
        <v>3</v>
      </c>
      <c r="C32" s="22" t="s">
        <v>277</v>
      </c>
      <c r="D32" s="22" t="n">
        <v>11940</v>
      </c>
      <c r="E32" s="22" t="s">
        <v>132</v>
      </c>
      <c r="F32" s="22" t="s">
        <v>135</v>
      </c>
      <c r="G32" s="22" t="s">
        <v>131</v>
      </c>
      <c r="H32" s="22" t="s">
        <v>131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 t="n">
        <v>0.3829</v>
      </c>
      <c r="AO32" s="22" t="n">
        <v>0.256</v>
      </c>
      <c r="AP32" s="22" t="n">
        <v>-0.0885</v>
      </c>
      <c r="AQ32" s="22" t="n">
        <v>0.0661</v>
      </c>
      <c r="AR32" s="22" t="n">
        <v>0.0319</v>
      </c>
      <c r="AS32" s="22" t="n">
        <v>-0.0104</v>
      </c>
      <c r="AT32" s="22"/>
      <c r="AU32" s="22"/>
      <c r="AV32" s="22"/>
    </row>
    <row r="33" customFormat="false" ht="15" hidden="false" customHeight="false" outlineLevel="0" collapsed="false">
      <c r="A33" s="22" t="s">
        <v>278</v>
      </c>
      <c r="B33" s="22" t="s">
        <v>3</v>
      </c>
      <c r="C33" s="22" t="s">
        <v>278</v>
      </c>
      <c r="D33" s="22" t="n">
        <v>11980</v>
      </c>
      <c r="E33" s="22" t="s">
        <v>132</v>
      </c>
      <c r="F33" s="22" t="s">
        <v>135</v>
      </c>
      <c r="G33" s="22" t="s">
        <v>131</v>
      </c>
      <c r="H33" s="22" t="s">
        <v>131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 t="n">
        <v>0.1193</v>
      </c>
      <c r="AJ33" s="22" t="n">
        <v>0.0975</v>
      </c>
      <c r="AK33" s="22" t="n">
        <v>0.1356</v>
      </c>
      <c r="AL33" s="22" t="n">
        <v>0.0977</v>
      </c>
      <c r="AM33" s="22" t="n">
        <v>0.0716</v>
      </c>
      <c r="AN33" s="22" t="n">
        <v>0.0724</v>
      </c>
      <c r="AO33" s="22" t="n">
        <v>0.0661</v>
      </c>
      <c r="AP33" s="22" t="n">
        <v>0.079</v>
      </c>
      <c r="AQ33" s="22" t="n">
        <v>0.0748</v>
      </c>
      <c r="AR33" s="22" t="n">
        <v>0.0499</v>
      </c>
      <c r="AS33" s="22" t="n">
        <v>-0.0118</v>
      </c>
      <c r="AT33" s="22" t="n">
        <v>-0.0157</v>
      </c>
      <c r="AU33" s="22" t="n">
        <v>-0.0233</v>
      </c>
      <c r="AV33" s="22" t="n">
        <v>-0.0076</v>
      </c>
    </row>
    <row r="34" customFormat="false" ht="15" hidden="false" customHeight="false" outlineLevel="0" collapsed="false">
      <c r="A34" s="22" t="s">
        <v>81</v>
      </c>
      <c r="B34" s="22" t="s">
        <v>3</v>
      </c>
      <c r="C34" s="22" t="s">
        <v>81</v>
      </c>
      <c r="D34" s="22" t="n">
        <v>12060</v>
      </c>
      <c r="E34" s="22" t="s">
        <v>132</v>
      </c>
      <c r="F34" s="22" t="s">
        <v>135</v>
      </c>
      <c r="G34" s="22" t="s">
        <v>131</v>
      </c>
      <c r="H34" s="22" t="s">
        <v>131</v>
      </c>
      <c r="I34" s="22" t="n">
        <v>0.0721</v>
      </c>
      <c r="J34" s="22" t="n">
        <v>0.0666</v>
      </c>
      <c r="K34" s="22" t="n">
        <v>0.0645</v>
      </c>
      <c r="L34" s="22" t="n">
        <v>0.0627</v>
      </c>
      <c r="M34" s="22" t="n">
        <v>0.0615</v>
      </c>
      <c r="N34" s="22" t="n">
        <v>0.0615</v>
      </c>
      <c r="O34" s="22" t="n">
        <v>0.0524</v>
      </c>
      <c r="P34" s="22" t="n">
        <v>0.0506</v>
      </c>
      <c r="Q34" s="22" t="n">
        <v>0.0609</v>
      </c>
      <c r="R34" s="22" t="n">
        <v>0.0537</v>
      </c>
      <c r="S34" s="22" t="n">
        <v>0.0628</v>
      </c>
      <c r="T34" s="22" t="n">
        <v>0.0698</v>
      </c>
      <c r="U34" s="22" t="n">
        <v>0.069</v>
      </c>
      <c r="V34" s="22" t="n">
        <v>0.0678</v>
      </c>
      <c r="W34" s="22" t="n">
        <v>0.0595</v>
      </c>
      <c r="X34" s="22" t="n">
        <v>0.0488</v>
      </c>
      <c r="Y34" s="22" t="n">
        <v>0.0348</v>
      </c>
      <c r="Z34" s="22" t="n">
        <v>0.0005</v>
      </c>
      <c r="AA34" s="22" t="n">
        <v>0.0039</v>
      </c>
      <c r="AB34" s="22" t="n">
        <v>0.0247</v>
      </c>
      <c r="AC34" s="22" t="n">
        <v>0.046</v>
      </c>
      <c r="AD34" s="22" t="n">
        <v>0.1202</v>
      </c>
      <c r="AE34" s="22" t="n">
        <v>0.1904</v>
      </c>
      <c r="AF34" s="22" t="n">
        <v>0.2267</v>
      </c>
      <c r="AG34" s="22" t="n">
        <v>0.2246</v>
      </c>
      <c r="AH34" s="22" t="n">
        <v>0.1916</v>
      </c>
      <c r="AI34" s="22" t="n">
        <v>0.1232</v>
      </c>
      <c r="AJ34" s="22" t="n">
        <v>0.0575</v>
      </c>
      <c r="AK34" s="22" t="n">
        <v>0.0318</v>
      </c>
      <c r="AL34" s="22" t="n">
        <v>0.0084</v>
      </c>
      <c r="AM34" s="22" t="n">
        <v>-0.0272</v>
      </c>
      <c r="AN34" s="22" t="n">
        <v>-0.039</v>
      </c>
      <c r="AO34" s="22" t="n">
        <v>-0.0389</v>
      </c>
      <c r="AP34" s="22" t="n">
        <v>-0.0417</v>
      </c>
      <c r="AQ34" s="22" t="n">
        <v>-0.0377</v>
      </c>
      <c r="AR34" s="22" t="n">
        <v>-0.0336</v>
      </c>
      <c r="AS34" s="22" t="n">
        <v>-0.0252</v>
      </c>
      <c r="AT34" s="22" t="n">
        <v>-0.0158</v>
      </c>
      <c r="AU34" s="22" t="n">
        <v>-0.0019</v>
      </c>
      <c r="AV34" s="22" t="n">
        <v>0.0051</v>
      </c>
    </row>
    <row r="35" customFormat="false" ht="15" hidden="false" customHeight="false" outlineLevel="0" collapsed="false">
      <c r="A35" s="22" t="s">
        <v>142</v>
      </c>
      <c r="B35" s="22" t="s">
        <v>3</v>
      </c>
      <c r="C35" s="22" t="s">
        <v>142</v>
      </c>
      <c r="D35" s="22" t="n">
        <v>12100</v>
      </c>
      <c r="E35" s="22" t="s">
        <v>132</v>
      </c>
      <c r="F35" s="22" t="s">
        <v>135</v>
      </c>
      <c r="G35" s="22" t="s">
        <v>131</v>
      </c>
      <c r="H35" s="22" t="s">
        <v>131</v>
      </c>
      <c r="I35" s="22" t="n">
        <v>0.0688</v>
      </c>
      <c r="J35" s="22" t="n">
        <v>-0.0418</v>
      </c>
      <c r="K35" s="22" t="n">
        <v>0.0801</v>
      </c>
      <c r="L35" s="22" t="n">
        <v>0.1279</v>
      </c>
      <c r="M35" s="22" t="n">
        <v>0.0661</v>
      </c>
      <c r="N35" s="22" t="n">
        <v>0.075</v>
      </c>
      <c r="O35" s="22" t="n">
        <v>0.0352</v>
      </c>
      <c r="P35" s="22" t="n">
        <v>-0.0115</v>
      </c>
      <c r="Q35" s="22" t="n">
        <v>0.0125</v>
      </c>
      <c r="R35" s="22" t="n">
        <v>0.0784</v>
      </c>
      <c r="S35" s="22" t="n">
        <v>0.0955</v>
      </c>
      <c r="T35" s="22" t="n">
        <v>0.0699</v>
      </c>
      <c r="U35" s="22" t="n">
        <v>0.0611</v>
      </c>
      <c r="V35" s="22" t="n">
        <v>0.0285</v>
      </c>
      <c r="W35" s="22" t="n">
        <v>0.042</v>
      </c>
      <c r="X35" s="22" t="n">
        <v>0.0612</v>
      </c>
      <c r="Y35" s="22" t="n">
        <v>0.0523</v>
      </c>
      <c r="Z35" s="22" t="n">
        <v>0.0212</v>
      </c>
      <c r="AA35" s="22" t="n">
        <v>0.0073</v>
      </c>
      <c r="AB35" s="22" t="n">
        <v>0.0307</v>
      </c>
      <c r="AC35" s="22" t="n">
        <v>0.0789</v>
      </c>
      <c r="AD35" s="22" t="n">
        <v>0.1007</v>
      </c>
      <c r="AE35" s="22" t="n">
        <v>0.151</v>
      </c>
      <c r="AF35" s="22" t="n">
        <v>0.14</v>
      </c>
      <c r="AG35" s="22" t="n">
        <v>0.1123</v>
      </c>
      <c r="AH35" s="22" t="n">
        <v>0.1446</v>
      </c>
      <c r="AI35" s="22" t="n">
        <v>0.1642</v>
      </c>
      <c r="AJ35" s="22" t="n">
        <v>0.1641</v>
      </c>
      <c r="AK35" s="22" t="n">
        <v>0.1618</v>
      </c>
      <c r="AL35" s="22" t="n">
        <v>0.1584</v>
      </c>
      <c r="AM35" s="22" t="n">
        <v>0.0791</v>
      </c>
      <c r="AN35" s="22" t="n">
        <v>0.0791</v>
      </c>
      <c r="AO35" s="22" t="n">
        <v>0.0769</v>
      </c>
      <c r="AP35" s="22" t="n">
        <v>0.032</v>
      </c>
      <c r="AQ35" s="22" t="n">
        <v>0.0533</v>
      </c>
      <c r="AR35" s="22" t="n">
        <v>0.0364</v>
      </c>
      <c r="AS35" s="22" t="n">
        <v>0.0331</v>
      </c>
      <c r="AT35" s="22" t="n">
        <v>0.0498</v>
      </c>
      <c r="AU35" s="22" t="n">
        <v>0.0196</v>
      </c>
      <c r="AV35" s="22" t="n">
        <v>0.0023</v>
      </c>
    </row>
    <row r="36" customFormat="false" ht="15" hidden="false" customHeight="false" outlineLevel="0" collapsed="false">
      <c r="A36" s="22" t="s">
        <v>279</v>
      </c>
      <c r="B36" s="22" t="s">
        <v>3</v>
      </c>
      <c r="C36" s="22" t="s">
        <v>279</v>
      </c>
      <c r="D36" s="22" t="n">
        <v>12180</v>
      </c>
      <c r="E36" s="22" t="s">
        <v>132</v>
      </c>
      <c r="F36" s="22" t="s">
        <v>135</v>
      </c>
      <c r="G36" s="22" t="s">
        <v>131</v>
      </c>
      <c r="H36" s="22" t="s">
        <v>131</v>
      </c>
      <c r="I36" s="22" t="n">
        <v>0.0169</v>
      </c>
      <c r="J36" s="22" t="n">
        <v>0.0169</v>
      </c>
      <c r="K36" s="22" t="n">
        <v>0.0393</v>
      </c>
      <c r="L36" s="22" t="n">
        <v>0.0179</v>
      </c>
      <c r="M36" s="22" t="n">
        <v>0.0029</v>
      </c>
      <c r="N36" s="22" t="n">
        <v>0.0029</v>
      </c>
      <c r="O36" s="22" t="n">
        <v>0.0015</v>
      </c>
      <c r="P36" s="22" t="n">
        <v>-0.0021</v>
      </c>
      <c r="Q36" s="22" t="n">
        <v>0.0006</v>
      </c>
      <c r="R36" s="22" t="n">
        <v>0.0006</v>
      </c>
      <c r="S36" s="22" t="n">
        <v>0.0005</v>
      </c>
      <c r="T36" s="22" t="n">
        <v>0.0013</v>
      </c>
      <c r="U36" s="22" t="n">
        <v>0.0022</v>
      </c>
      <c r="V36" s="22" t="n">
        <v>0.0022</v>
      </c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</row>
    <row r="37" customFormat="false" ht="15" hidden="false" customHeight="false" outlineLevel="0" collapsed="false">
      <c r="A37" s="22" t="s">
        <v>280</v>
      </c>
      <c r="B37" s="22" t="s">
        <v>3</v>
      </c>
      <c r="C37" s="22" t="s">
        <v>280</v>
      </c>
      <c r="D37" s="22" t="n">
        <v>12220</v>
      </c>
      <c r="E37" s="22" t="s">
        <v>132</v>
      </c>
      <c r="F37" s="22" t="s">
        <v>135</v>
      </c>
      <c r="G37" s="22" t="s">
        <v>131</v>
      </c>
      <c r="H37" s="22" t="s">
        <v>131</v>
      </c>
      <c r="I37" s="22" t="n">
        <v>0.0042</v>
      </c>
      <c r="J37" s="22" t="n">
        <v>0.0162</v>
      </c>
      <c r="K37" s="22" t="n">
        <v>0.006</v>
      </c>
      <c r="L37" s="22" t="n">
        <v>0.0015</v>
      </c>
      <c r="M37" s="22" t="n">
        <v>0.0313</v>
      </c>
      <c r="N37" s="22" t="n">
        <v>0.0298</v>
      </c>
      <c r="O37" s="22" t="n">
        <v>0.0592</v>
      </c>
      <c r="P37" s="22" t="n">
        <v>0.0557</v>
      </c>
      <c r="Q37" s="22" t="n">
        <v>0.0406</v>
      </c>
      <c r="R37" s="22" t="n">
        <v>0.0253</v>
      </c>
      <c r="S37" s="22" t="n">
        <v>0.0246</v>
      </c>
      <c r="T37" s="22" t="n">
        <v>0.0017</v>
      </c>
      <c r="U37" s="22" t="n">
        <v>0.0097</v>
      </c>
      <c r="V37" s="22" t="n">
        <v>-0.0404</v>
      </c>
      <c r="W37" s="22" t="n">
        <v>-0.0036</v>
      </c>
      <c r="X37" s="22" t="n">
        <v>-0.0118</v>
      </c>
      <c r="Y37" s="22" t="n">
        <v>-0.0067</v>
      </c>
      <c r="Z37" s="22" t="n">
        <v>0.0709</v>
      </c>
      <c r="AA37" s="22" t="n">
        <v>0.0264</v>
      </c>
      <c r="AB37" s="22" t="n">
        <v>0.0518</v>
      </c>
      <c r="AC37" s="22" t="n">
        <v>0.0455</v>
      </c>
      <c r="AD37" s="22" t="n">
        <v>0.0592</v>
      </c>
      <c r="AE37" s="22" t="n">
        <v>0.0696</v>
      </c>
      <c r="AF37" s="22" t="n">
        <v>0.1091</v>
      </c>
      <c r="AG37" s="22" t="n">
        <v>0.1069</v>
      </c>
      <c r="AH37" s="22" t="n">
        <v>0.1436</v>
      </c>
      <c r="AI37" s="22" t="n">
        <v>0.1726</v>
      </c>
      <c r="AJ37" s="22" t="n">
        <v>0.1309</v>
      </c>
      <c r="AK37" s="22" t="n">
        <v>0.1803</v>
      </c>
      <c r="AL37" s="22" t="n">
        <v>0.1339</v>
      </c>
      <c r="AM37" s="22" t="n">
        <v>0.1144</v>
      </c>
      <c r="AN37" s="22" t="n">
        <v>0.1135</v>
      </c>
      <c r="AO37" s="22" t="n">
        <v>0.0627</v>
      </c>
      <c r="AP37" s="22" t="n">
        <v>0.059</v>
      </c>
      <c r="AQ37" s="22" t="n">
        <v>0.057</v>
      </c>
      <c r="AR37" s="22" t="n">
        <v>0.0909</v>
      </c>
      <c r="AS37" s="22" t="n">
        <v>0.0805</v>
      </c>
      <c r="AT37" s="22" t="n">
        <v>0.0842</v>
      </c>
      <c r="AU37" s="22" t="n">
        <v>0.072</v>
      </c>
      <c r="AV37" s="22" t="n">
        <v>0.0297</v>
      </c>
    </row>
    <row r="38" customFormat="false" ht="15" hidden="false" customHeight="false" outlineLevel="0" collapsed="false">
      <c r="A38" s="22" t="s">
        <v>143</v>
      </c>
      <c r="B38" s="22" t="s">
        <v>3</v>
      </c>
      <c r="C38" s="22" t="s">
        <v>143</v>
      </c>
      <c r="D38" s="22" t="n">
        <v>12260</v>
      </c>
      <c r="E38" s="22" t="s">
        <v>132</v>
      </c>
      <c r="F38" s="22" t="s">
        <v>135</v>
      </c>
      <c r="G38" s="22" t="s">
        <v>131</v>
      </c>
      <c r="H38" s="22" t="s">
        <v>131</v>
      </c>
      <c r="I38" s="22" t="n">
        <v>0.0352</v>
      </c>
      <c r="J38" s="22" t="n">
        <v>0.0465</v>
      </c>
      <c r="K38" s="22" t="n">
        <v>0.0406</v>
      </c>
      <c r="L38" s="22" t="n">
        <v>0.0315</v>
      </c>
      <c r="M38" s="22" t="n">
        <v>0.0351</v>
      </c>
      <c r="N38" s="22" t="n">
        <v>0.046</v>
      </c>
      <c r="O38" s="22" t="n">
        <v>0.05</v>
      </c>
      <c r="P38" s="22" t="n">
        <v>0.0581</v>
      </c>
      <c r="Q38" s="22" t="n">
        <v>0.0246</v>
      </c>
      <c r="R38" s="22" t="n">
        <v>0.0163</v>
      </c>
      <c r="S38" s="22" t="n">
        <v>0.0245</v>
      </c>
      <c r="T38" s="22" t="n">
        <v>0.0227</v>
      </c>
      <c r="U38" s="22" t="n">
        <v>0.0441</v>
      </c>
      <c r="V38" s="22" t="n">
        <v>0.0624</v>
      </c>
      <c r="W38" s="22" t="n">
        <v>0.0549</v>
      </c>
      <c r="X38" s="22" t="n">
        <v>0.066</v>
      </c>
      <c r="Y38" s="22" t="n">
        <v>0.0806</v>
      </c>
      <c r="Z38" s="22" t="n">
        <v>0.0531</v>
      </c>
      <c r="AA38" s="22" t="n">
        <v>0.0747</v>
      </c>
      <c r="AB38" s="22" t="n">
        <v>0.0876</v>
      </c>
      <c r="AC38" s="22" t="n">
        <v>0.0724</v>
      </c>
      <c r="AD38" s="22" t="n">
        <v>0.1149</v>
      </c>
      <c r="AE38" s="22" t="n">
        <v>0.1303</v>
      </c>
      <c r="AF38" s="22" t="n">
        <v>0.1441</v>
      </c>
      <c r="AG38" s="22" t="n">
        <v>0.1565</v>
      </c>
      <c r="AH38" s="22" t="n">
        <v>0.1488</v>
      </c>
      <c r="AI38" s="22" t="n">
        <v>0.1162</v>
      </c>
      <c r="AJ38" s="22" t="n">
        <v>0.075</v>
      </c>
      <c r="AK38" s="22" t="n">
        <v>0.0366</v>
      </c>
      <c r="AL38" s="22" t="n">
        <v>0.0044</v>
      </c>
      <c r="AM38" s="22" t="n">
        <v>0.0015</v>
      </c>
      <c r="AN38" s="22" t="n">
        <v>0.0021</v>
      </c>
      <c r="AO38" s="22" t="n">
        <v>0.0067</v>
      </c>
      <c r="AP38" s="22" t="n">
        <v>0.0182</v>
      </c>
      <c r="AQ38" s="22" t="n">
        <v>0.0133</v>
      </c>
      <c r="AR38" s="22" t="n">
        <v>0.0259</v>
      </c>
      <c r="AS38" s="22" t="n">
        <v>0.0472</v>
      </c>
      <c r="AT38" s="22" t="n">
        <v>0.0383</v>
      </c>
      <c r="AU38" s="22" t="n">
        <v>0.03</v>
      </c>
      <c r="AV38" s="22" t="n">
        <v>0.0058</v>
      </c>
    </row>
    <row r="39" customFormat="false" ht="15" hidden="false" customHeight="false" outlineLevel="0" collapsed="false">
      <c r="A39" s="22" t="s">
        <v>281</v>
      </c>
      <c r="B39" s="22" t="s">
        <v>3</v>
      </c>
      <c r="C39" s="22" t="s">
        <v>281</v>
      </c>
      <c r="D39" s="22" t="n">
        <v>12380</v>
      </c>
      <c r="E39" s="22" t="s">
        <v>132</v>
      </c>
      <c r="F39" s="22" t="s">
        <v>135</v>
      </c>
      <c r="G39" s="22" t="s">
        <v>131</v>
      </c>
      <c r="H39" s="22" t="s">
        <v>131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</row>
    <row r="40" customFormat="false" ht="15" hidden="false" customHeight="false" outlineLevel="0" collapsed="false">
      <c r="A40" s="22" t="s">
        <v>84</v>
      </c>
      <c r="B40" s="22" t="s">
        <v>3</v>
      </c>
      <c r="C40" s="22" t="s">
        <v>84</v>
      </c>
      <c r="D40" s="22" t="n">
        <v>12420</v>
      </c>
      <c r="E40" s="22" t="s">
        <v>132</v>
      </c>
      <c r="F40" s="22" t="s">
        <v>135</v>
      </c>
      <c r="G40" s="22" t="s">
        <v>131</v>
      </c>
      <c r="H40" s="22" t="s">
        <v>131</v>
      </c>
      <c r="I40" s="22" t="n">
        <v>0.0767</v>
      </c>
      <c r="J40" s="22" t="n">
        <v>0.0651</v>
      </c>
      <c r="K40" s="22" t="n">
        <v>0.0444</v>
      </c>
      <c r="L40" s="22" t="n">
        <v>0.0381</v>
      </c>
      <c r="M40" s="22" t="n">
        <v>0.0272</v>
      </c>
      <c r="N40" s="22" t="n">
        <v>0.0219</v>
      </c>
      <c r="O40" s="22" t="n">
        <v>0.0268</v>
      </c>
      <c r="P40" s="22" t="n">
        <v>0.0188</v>
      </c>
      <c r="Q40" s="22" t="n">
        <v>0.0114</v>
      </c>
      <c r="R40" s="22" t="n">
        <v>0.0207</v>
      </c>
      <c r="S40" s="22" t="n">
        <v>0.038</v>
      </c>
      <c r="T40" s="22" t="n">
        <v>0.0523</v>
      </c>
      <c r="U40" s="22" t="n">
        <v>0.0583</v>
      </c>
      <c r="V40" s="22" t="n">
        <v>0.0568</v>
      </c>
      <c r="W40" s="22" t="n">
        <v>0.0487</v>
      </c>
      <c r="X40" s="22" t="n">
        <v>0.0419</v>
      </c>
      <c r="Y40" s="22" t="n">
        <v>0.0374</v>
      </c>
      <c r="Z40" s="22" t="n">
        <v>-0.0066</v>
      </c>
      <c r="AA40" s="22" t="n">
        <v>-0.042</v>
      </c>
      <c r="AB40" s="22" t="n">
        <v>-0.0419</v>
      </c>
      <c r="AC40" s="22" t="n">
        <v>-0.021</v>
      </c>
      <c r="AD40" s="22" t="n">
        <v>0.0713</v>
      </c>
      <c r="AE40" s="22" t="n">
        <v>0.189</v>
      </c>
      <c r="AF40" s="22" t="n">
        <v>0.2504</v>
      </c>
      <c r="AG40" s="22" t="n">
        <v>0.2487</v>
      </c>
      <c r="AH40" s="22" t="n">
        <v>0.2118</v>
      </c>
      <c r="AI40" s="22" t="n">
        <v>0.1301</v>
      </c>
      <c r="AJ40" s="22" t="n">
        <v>0.055</v>
      </c>
      <c r="AK40" s="22" t="n">
        <v>0.0295</v>
      </c>
      <c r="AL40" s="22" t="n">
        <v>-0.0073</v>
      </c>
      <c r="AM40" s="22" t="n">
        <v>-0.0384</v>
      </c>
      <c r="AN40" s="22" t="n">
        <v>-0.0481</v>
      </c>
      <c r="AO40" s="22" t="n">
        <v>-0.0597</v>
      </c>
      <c r="AP40" s="22" t="n">
        <v>-0.0694</v>
      </c>
      <c r="AQ40" s="22" t="n">
        <v>-0.0773</v>
      </c>
      <c r="AR40" s="22" t="n">
        <v>-0.0701</v>
      </c>
      <c r="AS40" s="22" t="n">
        <v>-0.0638</v>
      </c>
      <c r="AT40" s="22" t="n">
        <v>-0.0647</v>
      </c>
      <c r="AU40" s="22" t="n">
        <v>-0.055</v>
      </c>
      <c r="AV40" s="22" t="n">
        <v>-0.0552</v>
      </c>
    </row>
    <row r="41" customFormat="false" ht="15" hidden="false" customHeight="false" outlineLevel="0" collapsed="false">
      <c r="A41" s="22" t="s">
        <v>144</v>
      </c>
      <c r="B41" s="22" t="s">
        <v>3</v>
      </c>
      <c r="C41" s="22" t="s">
        <v>144</v>
      </c>
      <c r="D41" s="22" t="n">
        <v>12540</v>
      </c>
      <c r="E41" s="22" t="s">
        <v>132</v>
      </c>
      <c r="F41" s="22" t="s">
        <v>135</v>
      </c>
      <c r="G41" s="22" t="s">
        <v>131</v>
      </c>
      <c r="H41" s="22" t="s">
        <v>131</v>
      </c>
      <c r="I41" s="22" t="n">
        <v>0.0195</v>
      </c>
      <c r="J41" s="22" t="n">
        <v>0.0442</v>
      </c>
      <c r="K41" s="22" t="n">
        <v>0.0352</v>
      </c>
      <c r="L41" s="22" t="n">
        <v>0.0544</v>
      </c>
      <c r="M41" s="22" t="n">
        <v>0.0539</v>
      </c>
      <c r="N41" s="22" t="n">
        <v>0.0392</v>
      </c>
      <c r="O41" s="22" t="n">
        <v>0.0454</v>
      </c>
      <c r="P41" s="22" t="n">
        <v>0.0207</v>
      </c>
      <c r="Q41" s="22" t="n">
        <v>0.0341</v>
      </c>
      <c r="R41" s="22" t="n">
        <v>0.0492</v>
      </c>
      <c r="S41" s="22" t="n">
        <v>0.0392</v>
      </c>
      <c r="T41" s="22" t="n">
        <v>0.0462</v>
      </c>
      <c r="U41" s="22" t="n">
        <v>0.0479</v>
      </c>
      <c r="V41" s="22" t="n">
        <v>0.051</v>
      </c>
      <c r="W41" s="22" t="n">
        <v>0.0692</v>
      </c>
      <c r="X41" s="22" t="n">
        <v>0.0754</v>
      </c>
      <c r="Y41" s="22" t="n">
        <v>0.0728</v>
      </c>
      <c r="Z41" s="22" t="n">
        <v>0.0593</v>
      </c>
      <c r="AA41" s="22" t="n">
        <v>0.0562</v>
      </c>
      <c r="AB41" s="22" t="n">
        <v>0.0609</v>
      </c>
      <c r="AC41" s="22" t="n">
        <v>0.0676</v>
      </c>
      <c r="AD41" s="22" t="n">
        <v>0.0983</v>
      </c>
      <c r="AE41" s="22" t="n">
        <v>0.1416</v>
      </c>
      <c r="AF41" s="22" t="n">
        <v>0.1763</v>
      </c>
      <c r="AG41" s="22" t="n">
        <v>0.2018</v>
      </c>
      <c r="AH41" s="22" t="n">
        <v>0.1918</v>
      </c>
      <c r="AI41" s="22" t="n">
        <v>0.1329</v>
      </c>
      <c r="AJ41" s="22" t="n">
        <v>0.0823</v>
      </c>
      <c r="AK41" s="22" t="n">
        <v>0.047</v>
      </c>
      <c r="AL41" s="22" t="n">
        <v>0.0231</v>
      </c>
      <c r="AM41" s="22" t="n">
        <v>0.0175</v>
      </c>
      <c r="AN41" s="22" t="n">
        <v>0.0156</v>
      </c>
      <c r="AO41" s="22" t="n">
        <v>0.0065</v>
      </c>
      <c r="AP41" s="22" t="n">
        <v>0.009</v>
      </c>
      <c r="AQ41" s="22" t="n">
        <v>0.0051</v>
      </c>
      <c r="AR41" s="22" t="n">
        <v>0.0174</v>
      </c>
      <c r="AS41" s="22" t="n">
        <v>0.0223</v>
      </c>
      <c r="AT41" s="22" t="n">
        <v>0.0647</v>
      </c>
      <c r="AU41" s="22" t="n">
        <v>0.0782</v>
      </c>
      <c r="AV41" s="22" t="n">
        <v>0.0605</v>
      </c>
    </row>
    <row r="42" customFormat="false" ht="15" hidden="false" customHeight="false" outlineLevel="0" collapsed="false">
      <c r="A42" s="22" t="s">
        <v>145</v>
      </c>
      <c r="B42" s="22" t="s">
        <v>3</v>
      </c>
      <c r="C42" s="22" t="s">
        <v>145</v>
      </c>
      <c r="D42" s="22" t="n">
        <v>12580</v>
      </c>
      <c r="E42" s="22" t="s">
        <v>132</v>
      </c>
      <c r="F42" s="22" t="s">
        <v>135</v>
      </c>
      <c r="G42" s="22" t="s">
        <v>131</v>
      </c>
      <c r="H42" s="22" t="s">
        <v>131</v>
      </c>
      <c r="I42" s="22" t="n">
        <v>0.0116</v>
      </c>
      <c r="J42" s="22" t="n">
        <v>0.0118</v>
      </c>
      <c r="K42" s="22" t="n">
        <v>-0.0025</v>
      </c>
      <c r="L42" s="22" t="n">
        <v>-0.0044</v>
      </c>
      <c r="M42" s="22" t="n">
        <v>0.0083</v>
      </c>
      <c r="N42" s="22" t="n">
        <v>0.0052</v>
      </c>
      <c r="O42" s="22" t="n">
        <v>0.0224</v>
      </c>
      <c r="P42" s="22" t="n">
        <v>0.0278</v>
      </c>
      <c r="Q42" s="22" t="n">
        <v>0.021</v>
      </c>
      <c r="R42" s="22" t="n">
        <v>0.0208</v>
      </c>
      <c r="S42" s="22" t="n">
        <v>0.0234</v>
      </c>
      <c r="T42" s="22" t="n">
        <v>0.0309</v>
      </c>
      <c r="U42" s="22" t="n">
        <v>0.0391</v>
      </c>
      <c r="V42" s="22" t="n">
        <v>0.0403</v>
      </c>
      <c r="W42" s="22" t="n">
        <v>0.0393</v>
      </c>
      <c r="X42" s="22" t="n">
        <v>0.0267</v>
      </c>
      <c r="Y42" s="22" t="n">
        <v>0.0185</v>
      </c>
      <c r="Z42" s="22" t="n">
        <v>-0.0023</v>
      </c>
      <c r="AA42" s="22" t="n">
        <v>0.002</v>
      </c>
      <c r="AB42" s="22" t="n">
        <v>0.0263</v>
      </c>
      <c r="AC42" s="22" t="n">
        <v>0.0432</v>
      </c>
      <c r="AD42" s="22" t="n">
        <v>0.0837</v>
      </c>
      <c r="AE42" s="22" t="n">
        <v>0.1211</v>
      </c>
      <c r="AF42" s="22" t="n">
        <v>0.1301</v>
      </c>
      <c r="AG42" s="22" t="n">
        <v>0.1273</v>
      </c>
      <c r="AH42" s="22" t="n">
        <v>0.1115</v>
      </c>
      <c r="AI42" s="22" t="n">
        <v>0.0753</v>
      </c>
      <c r="AJ42" s="22" t="n">
        <v>0.0549</v>
      </c>
      <c r="AK42" s="22" t="n">
        <v>0.0442</v>
      </c>
      <c r="AL42" s="22" t="n">
        <v>0.0314</v>
      </c>
      <c r="AM42" s="22" t="n">
        <v>0.0206</v>
      </c>
      <c r="AN42" s="22" t="n">
        <v>0.0147</v>
      </c>
      <c r="AO42" s="22" t="n">
        <v>0.0127</v>
      </c>
      <c r="AP42" s="22" t="n">
        <v>0.0149</v>
      </c>
      <c r="AQ42" s="22" t="n">
        <v>0.0224</v>
      </c>
      <c r="AR42" s="22" t="n">
        <v>0.0223</v>
      </c>
      <c r="AS42" s="22" t="n">
        <v>0.0306</v>
      </c>
      <c r="AT42" s="22" t="n">
        <v>0.0327</v>
      </c>
      <c r="AU42" s="22" t="n">
        <v>0.0215</v>
      </c>
      <c r="AV42" s="22" t="n">
        <v>0.0165</v>
      </c>
    </row>
    <row r="43" customFormat="false" ht="15" hidden="false" customHeight="false" outlineLevel="0" collapsed="false">
      <c r="A43" s="22" t="s">
        <v>282</v>
      </c>
      <c r="B43" s="22" t="s">
        <v>3</v>
      </c>
      <c r="C43" s="22" t="s">
        <v>282</v>
      </c>
      <c r="D43" s="22" t="n">
        <v>12620</v>
      </c>
      <c r="E43" s="22" t="s">
        <v>132</v>
      </c>
      <c r="F43" s="22" t="s">
        <v>135</v>
      </c>
      <c r="G43" s="22" t="s">
        <v>131</v>
      </c>
      <c r="H43" s="22" t="s">
        <v>131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</row>
    <row r="44" customFormat="false" ht="15" hidden="false" customHeight="false" outlineLevel="0" collapsed="false">
      <c r="A44" s="22" t="s">
        <v>283</v>
      </c>
      <c r="B44" s="22" t="s">
        <v>3</v>
      </c>
      <c r="C44" s="22" t="s">
        <v>283</v>
      </c>
      <c r="D44" s="22" t="n">
        <v>12660</v>
      </c>
      <c r="E44" s="22" t="s">
        <v>132</v>
      </c>
      <c r="F44" s="22" t="s">
        <v>135</v>
      </c>
      <c r="G44" s="22" t="s">
        <v>131</v>
      </c>
      <c r="H44" s="22" t="s">
        <v>131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 t="n">
        <v>0.0429</v>
      </c>
      <c r="AQ44" s="22" t="n">
        <v>0.0369</v>
      </c>
      <c r="AR44" s="22" t="n">
        <v>0.0398</v>
      </c>
      <c r="AS44" s="22" t="n">
        <v>0.0355</v>
      </c>
      <c r="AT44" s="22" t="n">
        <v>0.0378</v>
      </c>
      <c r="AU44" s="22" t="n">
        <v>-0.0248</v>
      </c>
      <c r="AV44" s="22" t="n">
        <v>-0.0119</v>
      </c>
    </row>
    <row r="45" customFormat="false" ht="15" hidden="false" customHeight="false" outlineLevel="0" collapsed="false">
      <c r="A45" s="22" t="s">
        <v>284</v>
      </c>
      <c r="B45" s="22" t="s">
        <v>3</v>
      </c>
      <c r="C45" s="22" t="s">
        <v>284</v>
      </c>
      <c r="D45" s="22" t="n">
        <v>12700</v>
      </c>
      <c r="E45" s="22" t="s">
        <v>132</v>
      </c>
      <c r="F45" s="22" t="s">
        <v>135</v>
      </c>
      <c r="G45" s="22" t="s">
        <v>131</v>
      </c>
      <c r="H45" s="22" t="s">
        <v>131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</row>
    <row r="46" customFormat="false" ht="15" hidden="false" customHeight="false" outlineLevel="0" collapsed="false">
      <c r="A46" s="22" t="s">
        <v>285</v>
      </c>
      <c r="B46" s="22" t="s">
        <v>3</v>
      </c>
      <c r="C46" s="22" t="s">
        <v>285</v>
      </c>
      <c r="D46" s="22" t="n">
        <v>12780</v>
      </c>
      <c r="E46" s="22" t="s">
        <v>132</v>
      </c>
      <c r="F46" s="22" t="s">
        <v>135</v>
      </c>
      <c r="G46" s="22" t="s">
        <v>131</v>
      </c>
      <c r="H46" s="22" t="s">
        <v>131</v>
      </c>
      <c r="I46" s="22" t="n">
        <v>-0.1736</v>
      </c>
      <c r="J46" s="22" t="n">
        <v>-0.1511</v>
      </c>
      <c r="K46" s="22" t="n">
        <v>-0.0372</v>
      </c>
      <c r="L46" s="22" t="n">
        <v>-0.0013</v>
      </c>
      <c r="M46" s="22" t="n">
        <v>0.0075</v>
      </c>
      <c r="N46" s="22" t="n">
        <v>-0.017</v>
      </c>
      <c r="O46" s="22" t="n">
        <v>-0.0469</v>
      </c>
      <c r="P46" s="22" t="n">
        <v>-0.0512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 t="n">
        <v>0.2154</v>
      </c>
      <c r="AD46" s="22" t="n">
        <v>0.2263</v>
      </c>
      <c r="AE46" s="22" t="n">
        <v>0.2179</v>
      </c>
      <c r="AF46" s="22" t="n">
        <v>0.2274</v>
      </c>
      <c r="AG46" s="22" t="n">
        <v>0.0755</v>
      </c>
      <c r="AH46" s="22" t="n">
        <v>0.0982</v>
      </c>
      <c r="AI46" s="22" t="n">
        <v>0.1211</v>
      </c>
      <c r="AJ46" s="22" t="n">
        <v>0.1211</v>
      </c>
      <c r="AK46" s="22" t="n">
        <v>0.0318</v>
      </c>
      <c r="AL46" s="22" t="n">
        <v>0.025</v>
      </c>
      <c r="AM46" s="22" t="n">
        <v>0.0049</v>
      </c>
      <c r="AN46" s="22" t="n">
        <v>-0.0169</v>
      </c>
      <c r="AO46" s="22" t="n">
        <v>0.0344</v>
      </c>
      <c r="AP46" s="22" t="n">
        <v>0.0393</v>
      </c>
      <c r="AQ46" s="22" t="n">
        <v>0.0365</v>
      </c>
      <c r="AR46" s="22" t="n">
        <v>0.05</v>
      </c>
      <c r="AS46" s="22" t="n">
        <v>0.0432</v>
      </c>
      <c r="AT46" s="22" t="n">
        <v>0.0606</v>
      </c>
      <c r="AU46" s="22" t="n">
        <v>0.1109</v>
      </c>
      <c r="AV46" s="22" t="n">
        <v>0.0494</v>
      </c>
    </row>
    <row r="47" customFormat="false" ht="15" hidden="false" customHeight="false" outlineLevel="0" collapsed="false">
      <c r="A47" s="22" t="s">
        <v>286</v>
      </c>
      <c r="B47" s="22" t="s">
        <v>3</v>
      </c>
      <c r="C47" s="22" t="s">
        <v>286</v>
      </c>
      <c r="D47" s="22" t="n">
        <v>12860</v>
      </c>
      <c r="E47" s="22" t="s">
        <v>132</v>
      </c>
      <c r="F47" s="22" t="s">
        <v>135</v>
      </c>
      <c r="G47" s="22" t="s">
        <v>131</v>
      </c>
      <c r="H47" s="22" t="s">
        <v>131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</row>
    <row r="48" customFormat="false" ht="15" hidden="false" customHeight="false" outlineLevel="0" collapsed="false">
      <c r="A48" s="22" t="s">
        <v>40</v>
      </c>
      <c r="B48" s="22" t="s">
        <v>3</v>
      </c>
      <c r="C48" s="22" t="s">
        <v>40</v>
      </c>
      <c r="D48" s="22" t="n">
        <v>12940</v>
      </c>
      <c r="E48" s="22" t="s">
        <v>132</v>
      </c>
      <c r="F48" s="22" t="s">
        <v>135</v>
      </c>
      <c r="G48" s="22" t="s">
        <v>131</v>
      </c>
      <c r="H48" s="22" t="s">
        <v>131</v>
      </c>
      <c r="I48" s="22" t="n">
        <v>0.0046</v>
      </c>
      <c r="J48" s="22" t="n">
        <v>0.0151</v>
      </c>
      <c r="K48" s="22" t="n">
        <v>0.0409</v>
      </c>
      <c r="L48" s="22" t="n">
        <v>0.1201</v>
      </c>
      <c r="M48" s="22" t="n">
        <v>0.1371</v>
      </c>
      <c r="N48" s="22" t="n">
        <v>0.1049</v>
      </c>
      <c r="O48" s="22" t="n">
        <v>0.0595</v>
      </c>
      <c r="P48" s="22" t="n">
        <v>-0.0414</v>
      </c>
      <c r="Q48" s="22" t="n">
        <v>-0.0649</v>
      </c>
      <c r="R48" s="22" t="n">
        <v>-0.0447</v>
      </c>
      <c r="S48" s="22" t="n">
        <v>-0.0239</v>
      </c>
      <c r="T48" s="22" t="n">
        <v>-0.0079</v>
      </c>
      <c r="U48" s="22" t="n">
        <v>0.0078</v>
      </c>
      <c r="V48" s="22" t="n">
        <v>-0.0036</v>
      </c>
      <c r="W48" s="22" t="n">
        <v>-0.0177</v>
      </c>
      <c r="X48" s="22" t="n">
        <v>0.0179</v>
      </c>
      <c r="Y48" s="22" t="n">
        <v>0.0123</v>
      </c>
      <c r="Z48" s="22" t="n">
        <v>0.0115</v>
      </c>
      <c r="AA48" s="22" t="n">
        <v>0.0406</v>
      </c>
      <c r="AB48" s="22" t="n">
        <v>0.0403</v>
      </c>
      <c r="AC48" s="22" t="n">
        <v>0.032</v>
      </c>
      <c r="AD48" s="22" t="n">
        <v>0.0535</v>
      </c>
      <c r="AE48" s="22" t="n">
        <v>0.0809</v>
      </c>
      <c r="AF48" s="22" t="n">
        <v>0.1142</v>
      </c>
      <c r="AG48" s="22" t="n">
        <v>0.1149</v>
      </c>
      <c r="AH48" s="22" t="n">
        <v>0.1171</v>
      </c>
      <c r="AI48" s="22" t="n">
        <v>0.115</v>
      </c>
      <c r="AJ48" s="22" t="n">
        <v>0.0632</v>
      </c>
      <c r="AK48" s="22" t="n">
        <v>0.0523</v>
      </c>
      <c r="AL48" s="22" t="n">
        <v>0.0599</v>
      </c>
      <c r="AM48" s="22" t="n">
        <v>0.0196</v>
      </c>
      <c r="AN48" s="22" t="n">
        <v>0.0128</v>
      </c>
      <c r="AO48" s="22" t="n">
        <v>0.012</v>
      </c>
      <c r="AP48" s="22" t="n">
        <v>-0.0066</v>
      </c>
      <c r="AQ48" s="22" t="n">
        <v>-0.0082</v>
      </c>
      <c r="AR48" s="22" t="n">
        <v>-0.0051</v>
      </c>
      <c r="AS48" s="22" t="n">
        <v>0.0048</v>
      </c>
      <c r="AT48" s="22" t="n">
        <v>0.0245</v>
      </c>
      <c r="AU48" s="22" t="n">
        <v>0.0265</v>
      </c>
      <c r="AV48" s="22" t="n">
        <v>0.0136</v>
      </c>
    </row>
    <row r="49" customFormat="false" ht="15" hidden="false" customHeight="false" outlineLevel="0" collapsed="false">
      <c r="A49" s="22" t="s">
        <v>287</v>
      </c>
      <c r="B49" s="22" t="s">
        <v>3</v>
      </c>
      <c r="C49" s="22" t="s">
        <v>287</v>
      </c>
      <c r="D49" s="22" t="n">
        <v>13060</v>
      </c>
      <c r="E49" s="22" t="s">
        <v>132</v>
      </c>
      <c r="F49" s="22" t="s">
        <v>135</v>
      </c>
      <c r="G49" s="22" t="s">
        <v>131</v>
      </c>
      <c r="H49" s="22" t="s">
        <v>131</v>
      </c>
      <c r="I49" s="22" t="n">
        <v>0.1636</v>
      </c>
      <c r="J49" s="22" t="n">
        <v>0.2439</v>
      </c>
      <c r="K49" s="22"/>
      <c r="L49" s="22" t="n">
        <v>-0.0433</v>
      </c>
      <c r="M49" s="22" t="n">
        <v>0.041</v>
      </c>
      <c r="N49" s="22" t="n">
        <v>0.0187</v>
      </c>
      <c r="O49" s="22" t="n">
        <v>0.1403</v>
      </c>
      <c r="P49" s="22" t="n">
        <v>0.1279</v>
      </c>
      <c r="Q49" s="22" t="n">
        <v>-0.0024</v>
      </c>
      <c r="R49" s="22" t="n">
        <v>-0.0094</v>
      </c>
      <c r="S49" s="22" t="n">
        <v>-0.0463</v>
      </c>
      <c r="T49" s="22" t="n">
        <v>-0.0284</v>
      </c>
      <c r="U49" s="22" t="n">
        <v>0.0087</v>
      </c>
      <c r="V49" s="22" t="n">
        <v>0.0003</v>
      </c>
      <c r="W49" s="22" t="n">
        <v>-0.001</v>
      </c>
      <c r="X49" s="22" t="n">
        <v>-0.0456</v>
      </c>
      <c r="Y49" s="22" t="n">
        <v>-0.0786</v>
      </c>
      <c r="Z49" s="22" t="n">
        <v>-0.0609</v>
      </c>
      <c r="AA49" s="22" t="n">
        <v>-0.0608</v>
      </c>
      <c r="AB49" s="22" t="n">
        <v>-0.0086</v>
      </c>
      <c r="AC49" s="22" t="n">
        <v>-0.0353</v>
      </c>
      <c r="AD49" s="22" t="n">
        <v>-0.0619</v>
      </c>
      <c r="AE49" s="22" t="n">
        <v>0.0715</v>
      </c>
      <c r="AF49" s="22" t="n">
        <v>0.0648</v>
      </c>
      <c r="AG49" s="22" t="n">
        <v>0.125</v>
      </c>
      <c r="AH49" s="22" t="n">
        <v>0.1862</v>
      </c>
      <c r="AI49" s="22" t="n">
        <v>0.1689</v>
      </c>
      <c r="AJ49" s="22" t="n">
        <v>0.0689</v>
      </c>
      <c r="AK49" s="22" t="n">
        <v>0.0408</v>
      </c>
      <c r="AL49" s="22" t="n">
        <v>-0.102</v>
      </c>
      <c r="AM49" s="22" t="n">
        <v>-0.1671</v>
      </c>
      <c r="AN49" s="22" t="n">
        <v>-0.0258</v>
      </c>
      <c r="AO49" s="22" t="n">
        <v>-0.0643</v>
      </c>
      <c r="AP49" s="22" t="n">
        <v>-0.0429</v>
      </c>
      <c r="AQ49" s="22" t="n">
        <v>0.0183</v>
      </c>
      <c r="AR49" s="22" t="n">
        <v>-0.0686</v>
      </c>
      <c r="AS49" s="22" t="n">
        <v>-0.05</v>
      </c>
      <c r="AT49" s="22" t="n">
        <v>0.0436</v>
      </c>
      <c r="AU49" s="22" t="n">
        <v>-0.084</v>
      </c>
      <c r="AV49" s="22" t="n">
        <v>-0.0595</v>
      </c>
    </row>
    <row r="50" customFormat="false" ht="15" hidden="false" customHeight="false" outlineLevel="0" collapsed="false">
      <c r="A50" s="22" t="s">
        <v>288</v>
      </c>
      <c r="B50" s="22" t="s">
        <v>3</v>
      </c>
      <c r="C50" s="22" t="s">
        <v>288</v>
      </c>
      <c r="D50" s="22" t="n">
        <v>13140</v>
      </c>
      <c r="E50" s="22" t="s">
        <v>132</v>
      </c>
      <c r="F50" s="22" t="s">
        <v>135</v>
      </c>
      <c r="G50" s="22" t="s">
        <v>131</v>
      </c>
      <c r="H50" s="22" t="s">
        <v>131</v>
      </c>
      <c r="I50" s="22" t="n">
        <v>-0.0186</v>
      </c>
      <c r="J50" s="22" t="n">
        <v>0.0111</v>
      </c>
      <c r="K50" s="22" t="n">
        <v>0.0143</v>
      </c>
      <c r="L50" s="22" t="n">
        <v>0.007</v>
      </c>
      <c r="M50" s="22" t="n">
        <v>0.0072</v>
      </c>
      <c r="N50" s="22" t="n">
        <v>0.0234</v>
      </c>
      <c r="O50" s="22" t="n">
        <v>0.0247</v>
      </c>
      <c r="P50" s="22" t="n">
        <v>0.0549</v>
      </c>
      <c r="Q50" s="22" t="n">
        <v>0.0786</v>
      </c>
      <c r="R50" s="22" t="n">
        <v>0.0794</v>
      </c>
      <c r="S50" s="22" t="n">
        <v>0.0807</v>
      </c>
      <c r="T50" s="22" t="n">
        <v>0.0432</v>
      </c>
      <c r="U50" s="22" t="n">
        <v>0.0191</v>
      </c>
      <c r="V50" s="22" t="n">
        <v>0.0041</v>
      </c>
      <c r="W50" s="22" t="n">
        <v>0.0119</v>
      </c>
      <c r="X50" s="22" t="n">
        <v>0.0603</v>
      </c>
      <c r="Y50" s="22" t="n">
        <v>0.0512</v>
      </c>
      <c r="Z50" s="22" t="n">
        <v>0.0345</v>
      </c>
      <c r="AA50" s="22" t="n">
        <v>0.0168</v>
      </c>
      <c r="AB50" s="22" t="n">
        <v>0.0024</v>
      </c>
      <c r="AC50" s="22" t="n">
        <v>0.0113</v>
      </c>
      <c r="AD50" s="22" t="n">
        <v>0.0313</v>
      </c>
      <c r="AE50" s="22" t="n">
        <v>0.0612</v>
      </c>
      <c r="AF50" s="22" t="n">
        <v>0.0753</v>
      </c>
      <c r="AG50" s="22" t="n">
        <v>0.0866</v>
      </c>
      <c r="AH50" s="22" t="n">
        <v>0.1031</v>
      </c>
      <c r="AI50" s="22" t="n">
        <v>0.0709</v>
      </c>
      <c r="AJ50" s="22" t="n">
        <v>0.024</v>
      </c>
      <c r="AK50" s="22" t="n">
        <v>0.0209</v>
      </c>
      <c r="AL50" s="22" t="n">
        <v>0.0188</v>
      </c>
      <c r="AM50" s="22" t="n">
        <v>0.0446</v>
      </c>
      <c r="AN50" s="22" t="n">
        <v>0.0598</v>
      </c>
      <c r="AO50" s="22" t="n">
        <v>0.0738</v>
      </c>
      <c r="AP50" s="22" t="n">
        <v>0.0527</v>
      </c>
      <c r="AQ50" s="22" t="n">
        <v>0.0259</v>
      </c>
      <c r="AR50" s="22" t="n">
        <v>0.0282</v>
      </c>
      <c r="AS50" s="22" t="n">
        <v>0.0056</v>
      </c>
      <c r="AT50" s="22" t="n">
        <v>0.0271</v>
      </c>
      <c r="AU50" s="22" t="n">
        <v>0.0617</v>
      </c>
      <c r="AV50" s="22" t="n">
        <v>0.0546</v>
      </c>
    </row>
    <row r="51" customFormat="false" ht="15" hidden="false" customHeight="false" outlineLevel="0" collapsed="false">
      <c r="A51" s="22" t="s">
        <v>289</v>
      </c>
      <c r="B51" s="22" t="s">
        <v>3</v>
      </c>
      <c r="C51" s="22" t="s">
        <v>289</v>
      </c>
      <c r="D51" s="22" t="n">
        <v>13180</v>
      </c>
      <c r="E51" s="22" t="s">
        <v>132</v>
      </c>
      <c r="F51" s="22" t="s">
        <v>135</v>
      </c>
      <c r="G51" s="22" t="s">
        <v>131</v>
      </c>
      <c r="H51" s="22" t="s">
        <v>131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</row>
    <row r="52" customFormat="false" ht="15" hidden="false" customHeight="false" outlineLevel="0" collapsed="false">
      <c r="A52" s="22" t="s">
        <v>290</v>
      </c>
      <c r="B52" s="22" t="s">
        <v>3</v>
      </c>
      <c r="C52" s="22" t="s">
        <v>290</v>
      </c>
      <c r="D52" s="22" t="n">
        <v>13220</v>
      </c>
      <c r="E52" s="22" t="s">
        <v>132</v>
      </c>
      <c r="F52" s="22" t="s">
        <v>135</v>
      </c>
      <c r="G52" s="22" t="s">
        <v>131</v>
      </c>
      <c r="H52" s="22" t="s">
        <v>131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</row>
    <row r="53" customFormat="false" ht="15" hidden="false" customHeight="false" outlineLevel="0" collapsed="false">
      <c r="A53" s="22" t="s">
        <v>291</v>
      </c>
      <c r="B53" s="22" t="s">
        <v>3</v>
      </c>
      <c r="C53" s="22" t="s">
        <v>291</v>
      </c>
      <c r="D53" s="22" t="n">
        <v>13300</v>
      </c>
      <c r="E53" s="22" t="s">
        <v>132</v>
      </c>
      <c r="F53" s="22" t="s">
        <v>135</v>
      </c>
      <c r="G53" s="22" t="s">
        <v>131</v>
      </c>
      <c r="H53" s="22" t="s">
        <v>131</v>
      </c>
      <c r="I53" s="22"/>
      <c r="J53" s="22" t="n">
        <v>-0.0872</v>
      </c>
      <c r="K53" s="22" t="n">
        <v>-0.0526</v>
      </c>
      <c r="L53" s="22" t="n">
        <v>-0.0943</v>
      </c>
      <c r="M53" s="22" t="n">
        <v>-0.0891</v>
      </c>
      <c r="N53" s="22" t="n">
        <v>-0.0462</v>
      </c>
      <c r="O53" s="22" t="n">
        <v>-0.0954</v>
      </c>
      <c r="P53" s="22" t="n">
        <v>-0.0874</v>
      </c>
      <c r="Q53" s="22" t="n">
        <v>0.0228</v>
      </c>
      <c r="R53" s="22" t="n">
        <v>0.0845</v>
      </c>
      <c r="S53" s="22" t="n">
        <v>0.0327</v>
      </c>
      <c r="T53" s="22" t="n">
        <v>0.0539</v>
      </c>
      <c r="U53" s="22" t="n">
        <v>0.0092</v>
      </c>
      <c r="V53" s="22" t="n">
        <v>-0.0323</v>
      </c>
      <c r="W53" s="22" t="n">
        <v>0.0034</v>
      </c>
      <c r="X53" s="22" t="n">
        <v>0.0248</v>
      </c>
      <c r="Y53" s="22" t="n">
        <v>0.0122</v>
      </c>
      <c r="Z53" s="22" t="n">
        <v>0.0219</v>
      </c>
      <c r="AA53" s="22" t="n">
        <v>-0.004</v>
      </c>
      <c r="AB53" s="22" t="n">
        <v>0.0074</v>
      </c>
      <c r="AC53" s="22" t="n">
        <v>-0.0186</v>
      </c>
      <c r="AD53" s="22" t="n">
        <v>-0.0124</v>
      </c>
      <c r="AE53" s="22" t="n">
        <v>0.0528</v>
      </c>
      <c r="AF53" s="22" t="n">
        <v>0.0476</v>
      </c>
      <c r="AG53" s="22" t="n">
        <v>0.0744</v>
      </c>
      <c r="AH53" s="22" t="n">
        <v>0.0637</v>
      </c>
      <c r="AI53" s="22" t="n">
        <v>0.0136</v>
      </c>
      <c r="AJ53" s="22" t="n">
        <v>0.0088</v>
      </c>
      <c r="AK53" s="22" t="n">
        <v>0.0124</v>
      </c>
      <c r="AL53" s="22" t="n">
        <v>0.0317</v>
      </c>
      <c r="AM53" s="22" t="n">
        <v>0.0787</v>
      </c>
      <c r="AN53" s="22" t="n">
        <v>0.0873</v>
      </c>
      <c r="AO53" s="22" t="n">
        <v>0.0935</v>
      </c>
      <c r="AP53" s="22" t="n">
        <v>0.0667</v>
      </c>
      <c r="AQ53" s="22" t="n">
        <v>0.0974</v>
      </c>
      <c r="AR53" s="22" t="n">
        <v>0.0587</v>
      </c>
      <c r="AS53" s="22" t="n">
        <v>-0.0028</v>
      </c>
      <c r="AT53" s="22" t="n">
        <v>0.0349</v>
      </c>
      <c r="AU53" s="22" t="n">
        <v>-0.1232</v>
      </c>
      <c r="AV53" s="22" t="n">
        <v>-0.1473</v>
      </c>
    </row>
    <row r="54" customFormat="false" ht="15" hidden="false" customHeight="false" outlineLevel="0" collapsed="false">
      <c r="A54" s="22" t="s">
        <v>292</v>
      </c>
      <c r="B54" s="22" t="s">
        <v>3</v>
      </c>
      <c r="C54" s="22" t="s">
        <v>292</v>
      </c>
      <c r="D54" s="22" t="n">
        <v>13340</v>
      </c>
      <c r="E54" s="22" t="s">
        <v>132</v>
      </c>
      <c r="F54" s="22" t="s">
        <v>135</v>
      </c>
      <c r="G54" s="22" t="s">
        <v>131</v>
      </c>
      <c r="H54" s="22" t="s">
        <v>131</v>
      </c>
      <c r="I54" s="22" t="n">
        <v>0.0408</v>
      </c>
      <c r="J54" s="22" t="n">
        <v>0.0337</v>
      </c>
      <c r="K54" s="22" t="n">
        <v>0.0324</v>
      </c>
      <c r="L54" s="22" t="n">
        <v>0.0227</v>
      </c>
      <c r="M54" s="22" t="n">
        <v>0.0154</v>
      </c>
      <c r="N54" s="22" t="n">
        <v>0.0309</v>
      </c>
      <c r="O54" s="22" t="n">
        <v>0.0478</v>
      </c>
      <c r="P54" s="22" t="n">
        <v>0.0471</v>
      </c>
      <c r="Q54" s="22" t="n">
        <v>0.0278</v>
      </c>
      <c r="R54" s="22" t="n">
        <v>-0.0745</v>
      </c>
      <c r="S54" s="22" t="n">
        <v>-0.0729</v>
      </c>
      <c r="T54" s="22" t="n">
        <v>-0.0781</v>
      </c>
      <c r="U54" s="22" t="n">
        <v>-0.0695</v>
      </c>
      <c r="V54" s="22" t="n">
        <v>0.0411</v>
      </c>
      <c r="W54" s="22" t="n">
        <v>0.021</v>
      </c>
      <c r="X54" s="22" t="n">
        <v>0.0204</v>
      </c>
      <c r="Y54" s="22" t="n">
        <v>0.0019</v>
      </c>
      <c r="Z54" s="22" t="n">
        <v>-0.0089</v>
      </c>
      <c r="AA54" s="22" t="n">
        <v>0.0049</v>
      </c>
      <c r="AB54" s="22" t="n">
        <v>0.021</v>
      </c>
      <c r="AC54" s="22" t="n">
        <v>0.0441</v>
      </c>
      <c r="AD54" s="22" t="n">
        <v>0.0399</v>
      </c>
      <c r="AE54" s="22" t="n">
        <v>0.0364</v>
      </c>
      <c r="AF54" s="22" t="n">
        <v>0.0355</v>
      </c>
      <c r="AG54" s="22" t="n">
        <v>0.128</v>
      </c>
      <c r="AH54" s="22" t="n">
        <v>0.1567</v>
      </c>
      <c r="AI54" s="22" t="n">
        <v>0.1574</v>
      </c>
      <c r="AJ54" s="22" t="n">
        <v>0.1434</v>
      </c>
      <c r="AK54" s="22" t="n">
        <v>0.0469</v>
      </c>
      <c r="AL54" s="22" t="n">
        <v>0.0621</v>
      </c>
      <c r="AM54" s="22" t="n">
        <v>0.1002</v>
      </c>
      <c r="AN54" s="22" t="n">
        <v>0.1001</v>
      </c>
      <c r="AO54" s="22" t="n">
        <v>0.1004</v>
      </c>
      <c r="AP54" s="22" t="n">
        <v>0.0605</v>
      </c>
      <c r="AQ54" s="22" t="n">
        <v>0.0439</v>
      </c>
      <c r="AR54" s="22" t="n">
        <v>0.0558</v>
      </c>
      <c r="AS54" s="22" t="n">
        <v>0.0763</v>
      </c>
      <c r="AT54" s="22" t="n">
        <v>0.0959</v>
      </c>
      <c r="AU54" s="22" t="n">
        <v>0.0903</v>
      </c>
      <c r="AV54" s="22" t="n">
        <v>0.0823</v>
      </c>
    </row>
    <row r="55" customFormat="false" ht="15" hidden="false" customHeight="false" outlineLevel="0" collapsed="false">
      <c r="A55" s="22" t="s">
        <v>293</v>
      </c>
      <c r="B55" s="22" t="s">
        <v>3</v>
      </c>
      <c r="C55" s="22" t="s">
        <v>293</v>
      </c>
      <c r="D55" s="22" t="n">
        <v>13380</v>
      </c>
      <c r="E55" s="22" t="s">
        <v>132</v>
      </c>
      <c r="F55" s="22" t="s">
        <v>135</v>
      </c>
      <c r="G55" s="22" t="s">
        <v>131</v>
      </c>
      <c r="H55" s="22" t="s">
        <v>131</v>
      </c>
      <c r="I55" s="22" t="n">
        <v>0.0653</v>
      </c>
      <c r="J55" s="22" t="n">
        <v>0.0793</v>
      </c>
      <c r="K55" s="22" t="n">
        <v>0.0384</v>
      </c>
      <c r="L55" s="22" t="n">
        <v>0.0873</v>
      </c>
      <c r="M55" s="22" t="n">
        <v>0.1248</v>
      </c>
      <c r="N55" s="22" t="n">
        <v>0.1001</v>
      </c>
      <c r="O55" s="22" t="n">
        <v>0.1147</v>
      </c>
      <c r="P55" s="22" t="n">
        <v>0.0881</v>
      </c>
      <c r="Q55" s="22" t="n">
        <v>0.0437</v>
      </c>
      <c r="R55" s="22" t="n">
        <v>0.0269</v>
      </c>
      <c r="S55" s="22" t="n">
        <v>0.038</v>
      </c>
      <c r="T55" s="22" t="n">
        <v>0.0503</v>
      </c>
      <c r="U55" s="22" t="n">
        <v>0.067</v>
      </c>
      <c r="V55" s="22" t="n">
        <v>0.088</v>
      </c>
      <c r="W55" s="22" t="n">
        <v>0.0652</v>
      </c>
      <c r="X55" s="22" t="n">
        <v>0.0593</v>
      </c>
      <c r="Y55" s="22" t="n">
        <v>0.0595</v>
      </c>
      <c r="Z55" s="22" t="n">
        <v>0.0285</v>
      </c>
      <c r="AA55" s="22" t="n">
        <v>0.0329</v>
      </c>
      <c r="AB55" s="22" t="n">
        <v>0.0602</v>
      </c>
      <c r="AC55" s="22" t="n">
        <v>0.0619</v>
      </c>
      <c r="AD55" s="22" t="n">
        <v>0.0672</v>
      </c>
      <c r="AE55" s="22" t="n">
        <v>0.1084</v>
      </c>
      <c r="AF55" s="22" t="n">
        <v>0.1135</v>
      </c>
      <c r="AG55" s="22" t="n">
        <v>0.1481</v>
      </c>
      <c r="AH55" s="22" t="n">
        <v>0.1609</v>
      </c>
      <c r="AI55" s="22" t="n">
        <v>0.1478</v>
      </c>
      <c r="AJ55" s="22" t="n">
        <v>0.1459</v>
      </c>
      <c r="AK55" s="22" t="n">
        <v>0.0956</v>
      </c>
      <c r="AL55" s="22" t="n">
        <v>0.0934</v>
      </c>
      <c r="AM55" s="22" t="n">
        <v>0.0582</v>
      </c>
      <c r="AN55" s="22" t="n">
        <v>0.0187</v>
      </c>
      <c r="AO55" s="22" t="n">
        <v>0.0531</v>
      </c>
      <c r="AP55" s="22" t="n">
        <v>0.0439</v>
      </c>
      <c r="AQ55" s="22" t="n">
        <v>0.0391</v>
      </c>
      <c r="AR55" s="22" t="n">
        <v>0.0504</v>
      </c>
      <c r="AS55" s="22" t="n">
        <v>0.0248</v>
      </c>
      <c r="AT55" s="22" t="n">
        <v>0.0466</v>
      </c>
      <c r="AU55" s="22" t="n">
        <v>0.0535</v>
      </c>
      <c r="AV55" s="22" t="n">
        <v>0.0353</v>
      </c>
    </row>
    <row r="56" customFormat="false" ht="15" hidden="false" customHeight="false" outlineLevel="0" collapsed="false">
      <c r="A56" s="22" t="s">
        <v>294</v>
      </c>
      <c r="B56" s="22" t="s">
        <v>3</v>
      </c>
      <c r="C56" s="22" t="s">
        <v>294</v>
      </c>
      <c r="D56" s="22" t="n">
        <v>13460</v>
      </c>
      <c r="E56" s="22" t="s">
        <v>132</v>
      </c>
      <c r="F56" s="22" t="s">
        <v>135</v>
      </c>
      <c r="G56" s="22" t="s">
        <v>131</v>
      </c>
      <c r="H56" s="22" t="s">
        <v>131</v>
      </c>
      <c r="I56" s="22"/>
      <c r="J56" s="22"/>
      <c r="K56" s="22"/>
      <c r="L56" s="22"/>
      <c r="M56" s="22"/>
      <c r="N56" s="22"/>
      <c r="O56" s="22" t="n">
        <v>0.0163</v>
      </c>
      <c r="P56" s="22" t="n">
        <v>0.0273</v>
      </c>
      <c r="Q56" s="22" t="n">
        <v>0.0547</v>
      </c>
      <c r="R56" s="22" t="n">
        <v>0.018</v>
      </c>
      <c r="S56" s="22" t="n">
        <v>0.0532</v>
      </c>
      <c r="T56" s="22" t="n">
        <v>0.0787</v>
      </c>
      <c r="U56" s="22" t="n">
        <v>0.0973</v>
      </c>
      <c r="V56" s="22" t="n">
        <v>0.1098</v>
      </c>
      <c r="W56" s="22" t="n">
        <v>0.1035</v>
      </c>
      <c r="X56" s="22" t="n">
        <v>0.0857</v>
      </c>
      <c r="Y56" s="22" t="n">
        <v>0.0601</v>
      </c>
      <c r="Z56" s="22" t="n">
        <v>0.0442</v>
      </c>
      <c r="AA56" s="22" t="n">
        <v>0.0627</v>
      </c>
      <c r="AB56" s="22" t="n">
        <v>0.0871</v>
      </c>
      <c r="AC56" s="22" t="n">
        <v>0.1107</v>
      </c>
      <c r="AD56" s="22" t="n">
        <v>0.2303</v>
      </c>
      <c r="AE56" s="22" t="n">
        <v>0.2349</v>
      </c>
      <c r="AF56" s="22" t="n">
        <v>0.1236</v>
      </c>
      <c r="AG56" s="22" t="n">
        <v>0.1219</v>
      </c>
      <c r="AH56" s="22" t="n">
        <v>0.0091</v>
      </c>
      <c r="AI56" s="22" t="n">
        <v>-0.0227</v>
      </c>
      <c r="AJ56" s="22" t="n">
        <v>0.0486</v>
      </c>
      <c r="AK56" s="22" t="n">
        <v>-0.0034</v>
      </c>
      <c r="AL56" s="22" t="n">
        <v>0.0107</v>
      </c>
      <c r="AM56" s="22" t="n">
        <v>0.023</v>
      </c>
      <c r="AN56" s="22" t="n">
        <v>0.0045</v>
      </c>
      <c r="AO56" s="22" t="n">
        <v>0.0284</v>
      </c>
      <c r="AP56" s="22" t="n">
        <v>0.0051</v>
      </c>
      <c r="AQ56" s="22" t="n">
        <v>-0.0224</v>
      </c>
      <c r="AR56" s="22" t="n">
        <v>-0.0206</v>
      </c>
      <c r="AS56" s="22" t="n">
        <v>-0.0097</v>
      </c>
      <c r="AT56" s="22" t="n">
        <v>0.045</v>
      </c>
      <c r="AU56" s="22" t="n">
        <v>0.0317</v>
      </c>
      <c r="AV56" s="22" t="n">
        <v>0.0281</v>
      </c>
    </row>
    <row r="57" customFormat="false" ht="15" hidden="false" customHeight="false" outlineLevel="0" collapsed="false">
      <c r="A57" s="22" t="s">
        <v>295</v>
      </c>
      <c r="B57" s="22" t="s">
        <v>3</v>
      </c>
      <c r="C57" s="22" t="s">
        <v>295</v>
      </c>
      <c r="D57" s="22" t="n">
        <v>13660</v>
      </c>
      <c r="E57" s="22" t="s">
        <v>132</v>
      </c>
      <c r="F57" s="22" t="s">
        <v>135</v>
      </c>
      <c r="G57" s="22" t="s">
        <v>131</v>
      </c>
      <c r="H57" s="22" t="s">
        <v>131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customFormat="false" ht="15" hidden="false" customHeight="false" outlineLevel="0" collapsed="false">
      <c r="A58" s="22" t="s">
        <v>296</v>
      </c>
      <c r="B58" s="22" t="s">
        <v>3</v>
      </c>
      <c r="C58" s="22" t="s">
        <v>296</v>
      </c>
      <c r="D58" s="22" t="n">
        <v>13700</v>
      </c>
      <c r="E58" s="22" t="s">
        <v>132</v>
      </c>
      <c r="F58" s="22" t="s">
        <v>135</v>
      </c>
      <c r="G58" s="22" t="s">
        <v>131</v>
      </c>
      <c r="H58" s="22" t="s">
        <v>131</v>
      </c>
      <c r="I58" s="22"/>
      <c r="J58" s="22" t="n">
        <v>-0.0972</v>
      </c>
      <c r="K58" s="22"/>
      <c r="L58" s="22" t="n">
        <v>-0.0924</v>
      </c>
      <c r="M58" s="22" t="n">
        <v>0.0126</v>
      </c>
      <c r="N58" s="22" t="n">
        <v>0.0358</v>
      </c>
      <c r="O58" s="22"/>
      <c r="P58" s="22" t="n">
        <v>0.1521</v>
      </c>
      <c r="Q58" s="22" t="n">
        <v>0.1527</v>
      </c>
      <c r="R58" s="22" t="n">
        <v>0.2341</v>
      </c>
      <c r="S58" s="22" t="n">
        <v>0.3012</v>
      </c>
      <c r="T58" s="22" t="n">
        <v>0.2047</v>
      </c>
      <c r="U58" s="22" t="n">
        <v>0.1627</v>
      </c>
      <c r="V58" s="22" t="n">
        <v>0.1104</v>
      </c>
      <c r="W58" s="22" t="n">
        <v>0.0452</v>
      </c>
      <c r="X58" s="22" t="n">
        <v>0.0236</v>
      </c>
      <c r="Y58" s="22" t="n">
        <v>0.0008</v>
      </c>
      <c r="Z58" s="22" t="n">
        <v>-0.0215</v>
      </c>
      <c r="AA58" s="22" t="n">
        <v>-0.1266</v>
      </c>
      <c r="AB58" s="22" t="n">
        <v>-0.2274</v>
      </c>
      <c r="AC58" s="22" t="n">
        <v>-0.0855</v>
      </c>
      <c r="AD58" s="22" t="n">
        <v>-0.1072</v>
      </c>
      <c r="AE58" s="22" t="n">
        <v>0.0011</v>
      </c>
      <c r="AF58" s="22" t="n">
        <v>0.1385</v>
      </c>
      <c r="AG58" s="22" t="n">
        <v>-0.034</v>
      </c>
      <c r="AH58" s="22" t="n">
        <v>0.0808</v>
      </c>
      <c r="AI58" s="22" t="n">
        <v>0.0928</v>
      </c>
      <c r="AJ58" s="22" t="n">
        <v>0.0859</v>
      </c>
      <c r="AK58" s="22" t="n">
        <v>-0.0126</v>
      </c>
      <c r="AL58" s="22" t="n">
        <v>-0.0029</v>
      </c>
      <c r="AM58" s="22" t="n">
        <v>0.0194</v>
      </c>
      <c r="AN58" s="22" t="n">
        <v>0.0256</v>
      </c>
      <c r="AO58" s="22" t="n">
        <v>0.0983</v>
      </c>
      <c r="AP58" s="22" t="n">
        <v>0.2712</v>
      </c>
      <c r="AQ58" s="22" t="n">
        <v>0.2708</v>
      </c>
      <c r="AR58" s="22" t="n">
        <v>0.3196</v>
      </c>
      <c r="AS58" s="22" t="n">
        <v>0.2217</v>
      </c>
      <c r="AT58" s="22" t="n">
        <v>-0.0437</v>
      </c>
      <c r="AU58" s="22" t="n">
        <v>-0.0923</v>
      </c>
      <c r="AV58" s="22" t="n">
        <v>-0.1776</v>
      </c>
    </row>
    <row r="59" customFormat="false" ht="15" hidden="false" customHeight="false" outlineLevel="0" collapsed="false">
      <c r="A59" s="22" t="s">
        <v>297</v>
      </c>
      <c r="B59" s="22" t="s">
        <v>3</v>
      </c>
      <c r="C59" s="22" t="s">
        <v>297</v>
      </c>
      <c r="D59" s="22" t="n">
        <v>13740</v>
      </c>
      <c r="E59" s="22" t="s">
        <v>132</v>
      </c>
      <c r="F59" s="22" t="s">
        <v>135</v>
      </c>
      <c r="G59" s="22" t="s">
        <v>131</v>
      </c>
      <c r="H59" s="22" t="s">
        <v>131</v>
      </c>
      <c r="I59" s="22" t="n">
        <v>0.1851</v>
      </c>
      <c r="J59" s="22" t="n">
        <v>0.2032</v>
      </c>
      <c r="K59" s="22" t="n">
        <v>0.2088</v>
      </c>
      <c r="L59" s="22" t="n">
        <v>-0.0208</v>
      </c>
      <c r="M59" s="22" t="n">
        <v>0.0683</v>
      </c>
      <c r="N59" s="22" t="n">
        <v>0.046</v>
      </c>
      <c r="O59" s="22" t="n">
        <v>-0.026</v>
      </c>
      <c r="P59" s="22" t="n">
        <v>-0.0166</v>
      </c>
      <c r="Q59" s="22" t="n">
        <v>-0.0666</v>
      </c>
      <c r="R59" s="22" t="n">
        <v>-0.0778</v>
      </c>
      <c r="S59" s="22" t="n">
        <v>0.0328</v>
      </c>
      <c r="T59" s="22" t="n">
        <v>0.0752</v>
      </c>
      <c r="U59" s="22" t="n">
        <v>0.0585</v>
      </c>
      <c r="V59" s="22" t="n">
        <v>0.0799</v>
      </c>
      <c r="W59" s="22" t="n">
        <v>0.0383</v>
      </c>
      <c r="X59" s="22" t="n">
        <v>0.055</v>
      </c>
      <c r="Y59" s="22" t="n">
        <v>0.0874</v>
      </c>
      <c r="Z59" s="22" t="n">
        <v>0.0859</v>
      </c>
      <c r="AA59" s="22" t="n">
        <v>0.1343</v>
      </c>
      <c r="AB59" s="22" t="n">
        <v>0.1267</v>
      </c>
      <c r="AC59" s="22" t="n">
        <v>0.1268</v>
      </c>
      <c r="AD59" s="22" t="n">
        <v>0.1537</v>
      </c>
      <c r="AE59" s="22" t="n">
        <v>0.1555</v>
      </c>
      <c r="AF59" s="22" t="n">
        <v>0.1237</v>
      </c>
      <c r="AG59" s="22" t="n">
        <v>0.1467</v>
      </c>
      <c r="AH59" s="22" t="n">
        <v>0.1679</v>
      </c>
      <c r="AI59" s="22" t="n">
        <v>0.1352</v>
      </c>
      <c r="AJ59" s="22" t="n">
        <v>0.104</v>
      </c>
      <c r="AK59" s="22" t="n">
        <v>0.052</v>
      </c>
      <c r="AL59" s="22" t="n">
        <v>0.0189</v>
      </c>
      <c r="AM59" s="22" t="n">
        <v>-0.0091</v>
      </c>
      <c r="AN59" s="22" t="n">
        <v>0.008</v>
      </c>
      <c r="AO59" s="22" t="n">
        <v>-0.0072</v>
      </c>
      <c r="AP59" s="22" t="n">
        <v>-0.003</v>
      </c>
      <c r="AQ59" s="22" t="n">
        <v>0.0031</v>
      </c>
      <c r="AR59" s="22" t="n">
        <v>-0.0061</v>
      </c>
      <c r="AS59" s="22" t="n">
        <v>0.0249</v>
      </c>
      <c r="AT59" s="22" t="n">
        <v>0.0638</v>
      </c>
      <c r="AU59" s="22" t="n">
        <v>0.0642</v>
      </c>
      <c r="AV59" s="22" t="n">
        <v>0.048</v>
      </c>
    </row>
    <row r="60" customFormat="false" ht="15" hidden="false" customHeight="false" outlineLevel="0" collapsed="false">
      <c r="A60" s="22" t="s">
        <v>298</v>
      </c>
      <c r="B60" s="22" t="s">
        <v>3</v>
      </c>
      <c r="C60" s="22" t="s">
        <v>298</v>
      </c>
      <c r="D60" s="22" t="n">
        <v>13780</v>
      </c>
      <c r="E60" s="22" t="s">
        <v>132</v>
      </c>
      <c r="F60" s="22" t="s">
        <v>135</v>
      </c>
      <c r="G60" s="22" t="s">
        <v>131</v>
      </c>
      <c r="H60" s="22" t="s">
        <v>131</v>
      </c>
      <c r="I60" s="22"/>
      <c r="J60" s="22"/>
      <c r="K60" s="22"/>
      <c r="L60" s="22" t="n">
        <v>0.0565</v>
      </c>
      <c r="M60" s="22" t="n">
        <v>0.0389</v>
      </c>
      <c r="N60" s="22" t="n">
        <v>0.0431</v>
      </c>
      <c r="O60" s="22" t="n">
        <v>0.0466</v>
      </c>
      <c r="P60" s="22" t="n">
        <v>0.0507</v>
      </c>
      <c r="Q60" s="22" t="n">
        <v>0.0136</v>
      </c>
      <c r="R60" s="22" t="n">
        <v>0.0096</v>
      </c>
      <c r="S60" s="22" t="n">
        <v>0.0033</v>
      </c>
      <c r="T60" s="22" t="n">
        <v>0.0123</v>
      </c>
      <c r="U60" s="22" t="n">
        <v>-0.0006</v>
      </c>
      <c r="V60" s="22" t="n">
        <v>0.0072</v>
      </c>
      <c r="W60" s="22" t="n">
        <v>0.0162</v>
      </c>
      <c r="X60" s="22" t="n">
        <v>0.0114</v>
      </c>
      <c r="Y60" s="22" t="n">
        <v>0.1817</v>
      </c>
      <c r="Z60" s="22" t="n">
        <v>0.1372</v>
      </c>
      <c r="AA60" s="22" t="n">
        <v>0.2122</v>
      </c>
      <c r="AB60" s="22" t="n">
        <v>0.2305</v>
      </c>
      <c r="AC60" s="22" t="n">
        <v>0.0571</v>
      </c>
      <c r="AD60" s="22" t="n">
        <v>0.0938</v>
      </c>
      <c r="AE60" s="22" t="n">
        <v>0.0286</v>
      </c>
      <c r="AF60" s="22" t="n">
        <v>0.0016</v>
      </c>
      <c r="AG60" s="22" t="n">
        <v>0.0152</v>
      </c>
      <c r="AH60" s="22" t="n">
        <v>0.2134</v>
      </c>
      <c r="AI60" s="22" t="n">
        <v>0.297</v>
      </c>
      <c r="AJ60" s="22" t="n">
        <v>0.2641</v>
      </c>
      <c r="AK60" s="22" t="n">
        <v>0.2894</v>
      </c>
      <c r="AL60" s="22" t="n">
        <v>0.1493</v>
      </c>
      <c r="AM60" s="22" t="n">
        <v>0.0736</v>
      </c>
      <c r="AN60" s="22" t="n">
        <v>0.0748</v>
      </c>
      <c r="AO60" s="22" t="n">
        <v>0.0487</v>
      </c>
      <c r="AP60" s="22" t="n">
        <v>-0.0283</v>
      </c>
      <c r="AQ60" s="22" t="n">
        <v>-0.0354</v>
      </c>
      <c r="AR60" s="22" t="n">
        <v>0.0039</v>
      </c>
      <c r="AS60" s="22" t="n">
        <v>0.0095</v>
      </c>
      <c r="AT60" s="22" t="n">
        <v>0.0223</v>
      </c>
      <c r="AU60" s="22"/>
      <c r="AV60" s="22"/>
    </row>
    <row r="61" customFormat="false" ht="15" hidden="false" customHeight="false" outlineLevel="0" collapsed="false">
      <c r="A61" s="22" t="s">
        <v>53</v>
      </c>
      <c r="B61" s="22" t="s">
        <v>3</v>
      </c>
      <c r="C61" s="22" t="s">
        <v>53</v>
      </c>
      <c r="D61" s="22" t="n">
        <v>13820</v>
      </c>
      <c r="E61" s="22" t="s">
        <v>132</v>
      </c>
      <c r="F61" s="22" t="s">
        <v>135</v>
      </c>
      <c r="G61" s="22" t="s">
        <v>131</v>
      </c>
      <c r="H61" s="22" t="s">
        <v>131</v>
      </c>
      <c r="I61" s="22" t="n">
        <v>0.0419</v>
      </c>
      <c r="J61" s="22" t="n">
        <v>0.0525</v>
      </c>
      <c r="K61" s="22" t="n">
        <v>0.0168</v>
      </c>
      <c r="L61" s="22" t="n">
        <v>0.0032</v>
      </c>
      <c r="M61" s="22" t="n">
        <v>0.0224</v>
      </c>
      <c r="N61" s="22" t="n">
        <v>0.0274</v>
      </c>
      <c r="O61" s="22" t="n">
        <v>0.0399</v>
      </c>
      <c r="P61" s="22" t="n">
        <v>0.032</v>
      </c>
      <c r="Q61" s="22" t="n">
        <v>0.0293</v>
      </c>
      <c r="R61" s="22" t="n">
        <v>0.0474</v>
      </c>
      <c r="S61" s="22" t="n">
        <v>0.0635</v>
      </c>
      <c r="T61" s="22" t="n">
        <v>0.0806</v>
      </c>
      <c r="U61" s="22" t="n">
        <v>0.0777</v>
      </c>
      <c r="V61" s="22" t="n">
        <v>0.0654</v>
      </c>
      <c r="W61" s="22" t="n">
        <v>0.0658</v>
      </c>
      <c r="X61" s="22" t="n">
        <v>0.0718</v>
      </c>
      <c r="Y61" s="22" t="n">
        <v>0.068</v>
      </c>
      <c r="Z61" s="22" t="n">
        <v>0.0234</v>
      </c>
      <c r="AA61" s="22" t="n">
        <v>0.0319</v>
      </c>
      <c r="AB61" s="22" t="n">
        <v>0.0278</v>
      </c>
      <c r="AC61" s="22" t="n">
        <v>0.0255</v>
      </c>
      <c r="AD61" s="22" t="n">
        <v>0.0636</v>
      </c>
      <c r="AE61" s="22" t="n">
        <v>0.0901</v>
      </c>
      <c r="AF61" s="22" t="n">
        <v>0.107</v>
      </c>
      <c r="AG61" s="22" t="n">
        <v>0.1463</v>
      </c>
      <c r="AH61" s="22" t="n">
        <v>0.1522</v>
      </c>
      <c r="AI61" s="22" t="n">
        <v>0.1335</v>
      </c>
      <c r="AJ61" s="22" t="n">
        <v>0.0962</v>
      </c>
      <c r="AK61" s="22" t="n">
        <v>0.0546</v>
      </c>
      <c r="AL61" s="22" t="n">
        <v>0.0292</v>
      </c>
      <c r="AM61" s="22" t="n">
        <v>0.0059</v>
      </c>
      <c r="AN61" s="22" t="n">
        <v>0.0076</v>
      </c>
      <c r="AO61" s="22" t="n">
        <v>0.0095</v>
      </c>
      <c r="AP61" s="22" t="n">
        <v>0.0148</v>
      </c>
      <c r="AQ61" s="22" t="n">
        <v>-0.0008</v>
      </c>
      <c r="AR61" s="22" t="n">
        <v>0.0033</v>
      </c>
      <c r="AS61" s="22" t="n">
        <v>0.0061</v>
      </c>
      <c r="AT61" s="22" t="n">
        <v>0.0022</v>
      </c>
      <c r="AU61" s="22" t="n">
        <v>0.0068</v>
      </c>
      <c r="AV61" s="22" t="n">
        <v>0.0049</v>
      </c>
    </row>
    <row r="62" customFormat="false" ht="15" hidden="false" customHeight="false" outlineLevel="0" collapsed="false">
      <c r="A62" s="22" t="s">
        <v>299</v>
      </c>
      <c r="B62" s="22" t="s">
        <v>3</v>
      </c>
      <c r="C62" s="22" t="s">
        <v>299</v>
      </c>
      <c r="D62" s="22" t="n">
        <v>13900</v>
      </c>
      <c r="E62" s="22" t="s">
        <v>132</v>
      </c>
      <c r="F62" s="22" t="s">
        <v>135</v>
      </c>
      <c r="G62" s="22" t="s">
        <v>131</v>
      </c>
      <c r="H62" s="22" t="s">
        <v>131</v>
      </c>
      <c r="I62" s="22"/>
      <c r="J62" s="22"/>
      <c r="K62" s="22"/>
      <c r="L62" s="22"/>
      <c r="M62" s="22"/>
      <c r="N62" s="22"/>
      <c r="O62" s="22" t="n">
        <v>-0.028</v>
      </c>
      <c r="P62" s="22" t="n">
        <v>0.0191</v>
      </c>
      <c r="Q62" s="22" t="n">
        <v>-0.0513</v>
      </c>
      <c r="R62" s="22" t="n">
        <v>-0.02</v>
      </c>
      <c r="S62" s="22" t="n">
        <v>0.0277</v>
      </c>
      <c r="T62" s="22" t="n">
        <v>0.0336</v>
      </c>
      <c r="U62" s="22" t="n">
        <v>0.0476</v>
      </c>
      <c r="V62" s="22" t="n">
        <v>0.0154</v>
      </c>
      <c r="W62" s="22" t="n">
        <v>-0.0035</v>
      </c>
      <c r="X62" s="22" t="n">
        <v>0.0009</v>
      </c>
      <c r="Y62" s="22" t="n">
        <v>-0.0401</v>
      </c>
      <c r="Z62" s="22" t="n">
        <v>-0.0248</v>
      </c>
      <c r="AA62" s="22" t="n">
        <v>-0.0197</v>
      </c>
      <c r="AB62" s="22" t="n">
        <v>-0.0204</v>
      </c>
      <c r="AC62" s="22" t="n">
        <v>0.0302</v>
      </c>
      <c r="AD62" s="22" t="n">
        <v>0.022</v>
      </c>
      <c r="AE62" s="22" t="n">
        <v>0.0283</v>
      </c>
      <c r="AF62" s="22" t="n">
        <v>0.0382</v>
      </c>
      <c r="AG62" s="22" t="n">
        <v>0.0543</v>
      </c>
      <c r="AH62" s="22" t="n">
        <v>0.0643</v>
      </c>
      <c r="AI62" s="22" t="n">
        <v>0.1011</v>
      </c>
      <c r="AJ62" s="22" t="n">
        <v>0.1053</v>
      </c>
      <c r="AK62" s="22" t="n">
        <v>0.0793</v>
      </c>
      <c r="AL62" s="22" t="n">
        <v>0.0792</v>
      </c>
      <c r="AM62" s="22" t="n">
        <v>0.0537</v>
      </c>
      <c r="AN62" s="22" t="n">
        <v>0.0616</v>
      </c>
      <c r="AO62" s="22" t="n">
        <v>0.0755</v>
      </c>
      <c r="AP62" s="22" t="n">
        <v>0.0753</v>
      </c>
      <c r="AQ62" s="22" t="n">
        <v>0.082</v>
      </c>
      <c r="AR62" s="22" t="n">
        <v>0.0707</v>
      </c>
      <c r="AS62" s="22" t="n">
        <v>0.0761</v>
      </c>
      <c r="AT62" s="22" t="n">
        <v>0.0834</v>
      </c>
      <c r="AU62" s="22" t="n">
        <v>0.074</v>
      </c>
      <c r="AV62" s="22" t="n">
        <v>0.0676</v>
      </c>
    </row>
    <row r="63" customFormat="false" ht="15" hidden="false" customHeight="false" outlineLevel="0" collapsed="false">
      <c r="A63" s="22" t="s">
        <v>300</v>
      </c>
      <c r="B63" s="22" t="s">
        <v>3</v>
      </c>
      <c r="C63" s="22" t="s">
        <v>300</v>
      </c>
      <c r="D63" s="22" t="n">
        <v>13980</v>
      </c>
      <c r="E63" s="22" t="s">
        <v>132</v>
      </c>
      <c r="F63" s="22" t="s">
        <v>135</v>
      </c>
      <c r="G63" s="22" t="s">
        <v>131</v>
      </c>
      <c r="H63" s="22" t="s">
        <v>131</v>
      </c>
      <c r="I63" s="22" t="n">
        <v>0.0126</v>
      </c>
      <c r="J63" s="22" t="n">
        <v>0.0002</v>
      </c>
      <c r="K63" s="22" t="n">
        <v>-0.0001</v>
      </c>
      <c r="L63" s="22" t="n">
        <v>0.0426</v>
      </c>
      <c r="M63" s="22" t="n">
        <v>0.0296</v>
      </c>
      <c r="N63" s="22" t="n">
        <v>0.0377</v>
      </c>
      <c r="O63" s="22" t="n">
        <v>0.0453</v>
      </c>
      <c r="P63" s="22" t="n">
        <v>0.0447</v>
      </c>
      <c r="Q63" s="22" t="n">
        <v>0.0501</v>
      </c>
      <c r="R63" s="22" t="n">
        <v>0.0366</v>
      </c>
      <c r="S63" s="22" t="n">
        <v>0.0304</v>
      </c>
      <c r="T63" s="22" t="n">
        <v>0.0244</v>
      </c>
      <c r="U63" s="22" t="n">
        <v>0.0307</v>
      </c>
      <c r="V63" s="22" t="n">
        <v>0.0545</v>
      </c>
      <c r="W63" s="22" t="n">
        <v>0.0681</v>
      </c>
      <c r="X63" s="22" t="n">
        <v>0.1004</v>
      </c>
      <c r="Y63" s="22" t="n">
        <v>0.1203</v>
      </c>
      <c r="Z63" s="22" t="n">
        <v>0.1024</v>
      </c>
      <c r="AA63" s="22" t="n">
        <v>0.1</v>
      </c>
      <c r="AB63" s="22" t="n">
        <v>0.0628</v>
      </c>
      <c r="AC63" s="22" t="n">
        <v>0.0378</v>
      </c>
      <c r="AD63" s="22" t="n">
        <v>0.0419</v>
      </c>
      <c r="AE63" s="22" t="n">
        <v>0.0431</v>
      </c>
      <c r="AF63" s="22" t="n">
        <v>0.0445</v>
      </c>
      <c r="AG63" s="22" t="n">
        <v>-0.0352</v>
      </c>
      <c r="AH63" s="22" t="n">
        <v>-0.0488</v>
      </c>
      <c r="AI63" s="22" t="n">
        <v>-0.0583</v>
      </c>
      <c r="AJ63" s="22" t="n">
        <v>-0.0573</v>
      </c>
      <c r="AK63" s="22" t="n">
        <v>0.0204</v>
      </c>
      <c r="AL63" s="22" t="n">
        <v>0.0627</v>
      </c>
      <c r="AM63" s="22" t="n">
        <v>0.0973</v>
      </c>
      <c r="AN63" s="22" t="n">
        <v>0.0876</v>
      </c>
      <c r="AO63" s="22" t="n">
        <v>0.0811</v>
      </c>
      <c r="AP63" s="22" t="n">
        <v>0.0513</v>
      </c>
      <c r="AQ63" s="22" t="n">
        <v>0.0213</v>
      </c>
      <c r="AR63" s="22" t="n">
        <v>0.0315</v>
      </c>
      <c r="AS63" s="22" t="n">
        <v>0.0447</v>
      </c>
      <c r="AT63" s="22" t="n">
        <v>0.046</v>
      </c>
      <c r="AU63" s="22" t="n">
        <v>0.0498</v>
      </c>
      <c r="AV63" s="22" t="n">
        <v>0.0652</v>
      </c>
    </row>
    <row r="64" customFormat="false" ht="15" hidden="false" customHeight="false" outlineLevel="0" collapsed="false">
      <c r="A64" s="22" t="s">
        <v>301</v>
      </c>
      <c r="B64" s="22" t="s">
        <v>3</v>
      </c>
      <c r="C64" s="22" t="s">
        <v>301</v>
      </c>
      <c r="D64" s="22" t="n">
        <v>14010</v>
      </c>
      <c r="E64" s="22" t="s">
        <v>132</v>
      </c>
      <c r="F64" s="22" t="s">
        <v>135</v>
      </c>
      <c r="G64" s="22" t="s">
        <v>131</v>
      </c>
      <c r="H64" s="22" t="s">
        <v>131</v>
      </c>
      <c r="I64" s="22" t="n">
        <v>0.0226</v>
      </c>
      <c r="J64" s="22" t="n">
        <v>-0.0947</v>
      </c>
      <c r="K64" s="22" t="n">
        <v>0.0219</v>
      </c>
      <c r="L64" s="22" t="n">
        <v>-0.034</v>
      </c>
      <c r="M64" s="22" t="n">
        <v>-0.0193</v>
      </c>
      <c r="N64" s="22" t="n">
        <v>0.0881</v>
      </c>
      <c r="O64" s="22" t="n">
        <v>0.0274</v>
      </c>
      <c r="P64" s="22" t="n">
        <v>0.0298</v>
      </c>
      <c r="Q64" s="22" t="n">
        <v>-0.0062</v>
      </c>
      <c r="R64" s="22" t="n">
        <v>-0.0043</v>
      </c>
      <c r="S64" s="22" t="n">
        <v>-0.0263</v>
      </c>
      <c r="T64" s="22" t="n">
        <v>-0.0138</v>
      </c>
      <c r="U64" s="22" t="n">
        <v>-0.0141</v>
      </c>
      <c r="V64" s="22" t="n">
        <v>0.0404</v>
      </c>
      <c r="W64" s="22" t="n">
        <v>0.017</v>
      </c>
      <c r="X64" s="22" t="n">
        <v>0.0622</v>
      </c>
      <c r="Y64" s="22" t="n">
        <v>0.0057</v>
      </c>
      <c r="Z64" s="22" t="n">
        <v>-0.0172</v>
      </c>
      <c r="AA64" s="22" t="n">
        <v>0.0478</v>
      </c>
      <c r="AB64" s="22" t="n">
        <v>0.003</v>
      </c>
      <c r="AC64" s="22" t="n">
        <v>0.0798</v>
      </c>
      <c r="AD64" s="22" t="n">
        <v>0.1177</v>
      </c>
      <c r="AE64" s="22" t="n">
        <v>0.1797</v>
      </c>
      <c r="AF64" s="22" t="n">
        <v>0.2936</v>
      </c>
      <c r="AG64" s="22" t="n">
        <v>0.2362</v>
      </c>
      <c r="AH64" s="22" t="n">
        <v>0.2599</v>
      </c>
      <c r="AI64" s="22" t="n">
        <v>0.1838</v>
      </c>
      <c r="AJ64" s="22" t="n">
        <v>0.0164</v>
      </c>
      <c r="AK64" s="22" t="n">
        <v>0.0502</v>
      </c>
      <c r="AL64" s="22" t="n">
        <v>0.0189</v>
      </c>
      <c r="AM64" s="22" t="n">
        <v>0.0324</v>
      </c>
      <c r="AN64" s="22" t="n">
        <v>0.1058</v>
      </c>
      <c r="AO64" s="22" t="n">
        <v>0.1037</v>
      </c>
      <c r="AP64" s="22" t="n">
        <v>0.123</v>
      </c>
      <c r="AQ64" s="22" t="n">
        <v>0.0834</v>
      </c>
      <c r="AR64" s="22" t="n">
        <v>0.0615</v>
      </c>
      <c r="AS64" s="22" t="n">
        <v>0.0474</v>
      </c>
      <c r="AT64" s="22" t="n">
        <v>-0.017</v>
      </c>
      <c r="AU64" s="22" t="n">
        <v>-0.0481</v>
      </c>
      <c r="AV64" s="22" t="n">
        <v>-0.0239</v>
      </c>
    </row>
    <row r="65" customFormat="false" ht="15" hidden="false" customHeight="false" outlineLevel="0" collapsed="false">
      <c r="A65" s="22" t="s">
        <v>302</v>
      </c>
      <c r="B65" s="22" t="s">
        <v>3</v>
      </c>
      <c r="C65" s="22" t="s">
        <v>302</v>
      </c>
      <c r="D65" s="22" t="n">
        <v>14020</v>
      </c>
      <c r="E65" s="22" t="s">
        <v>132</v>
      </c>
      <c r="F65" s="22" t="s">
        <v>135</v>
      </c>
      <c r="G65" s="22" t="s">
        <v>131</v>
      </c>
      <c r="H65" s="22" t="s">
        <v>131</v>
      </c>
      <c r="I65" s="22" t="n">
        <v>0.0235</v>
      </c>
      <c r="J65" s="22" t="n">
        <v>0.0181</v>
      </c>
      <c r="K65" s="22" t="n">
        <v>0.0525</v>
      </c>
      <c r="L65" s="22" t="n">
        <v>0.0655</v>
      </c>
      <c r="M65" s="22" t="n">
        <v>0.0326</v>
      </c>
      <c r="N65" s="22" t="n">
        <v>0.0464</v>
      </c>
      <c r="O65" s="22" t="n">
        <v>0.0266</v>
      </c>
      <c r="P65" s="22" t="n">
        <v>0.0324</v>
      </c>
      <c r="Q65" s="22" t="n">
        <v>0.0437</v>
      </c>
      <c r="R65" s="22" t="n">
        <v>0.0638</v>
      </c>
      <c r="S65" s="22" t="n">
        <v>0.0531</v>
      </c>
      <c r="T65" s="22" t="n">
        <v>-0.0189</v>
      </c>
      <c r="U65" s="22" t="n">
        <v>-0.0179</v>
      </c>
      <c r="V65" s="22" t="n">
        <v>-0.0344</v>
      </c>
      <c r="W65" s="22" t="n">
        <v>-0.0113</v>
      </c>
      <c r="X65" s="22" t="n">
        <v>0.0359</v>
      </c>
      <c r="Y65" s="22" t="n">
        <v>0.0369</v>
      </c>
      <c r="Z65" s="22" t="n">
        <v>0.024</v>
      </c>
      <c r="AA65" s="22" t="n">
        <v>0.018</v>
      </c>
      <c r="AB65" s="22" t="n">
        <v>0.0321</v>
      </c>
      <c r="AC65" s="22" t="n">
        <v>0.0427</v>
      </c>
      <c r="AD65" s="22" t="n">
        <v>0.0608</v>
      </c>
      <c r="AE65" s="22" t="n">
        <v>0.0837</v>
      </c>
      <c r="AF65" s="22" t="n">
        <v>0.0842</v>
      </c>
      <c r="AG65" s="22" t="n">
        <v>0.1083</v>
      </c>
      <c r="AH65" s="22" t="n">
        <v>0.1062</v>
      </c>
      <c r="AI65" s="22" t="n">
        <v>0.0823</v>
      </c>
      <c r="AJ65" s="22" t="n">
        <v>0.0748</v>
      </c>
      <c r="AK65" s="22" t="n">
        <v>0.0468</v>
      </c>
      <c r="AL65" s="22" t="n">
        <v>0.0415</v>
      </c>
      <c r="AM65" s="22" t="n">
        <v>0.0415</v>
      </c>
      <c r="AN65" s="22" t="n">
        <v>0.0539</v>
      </c>
      <c r="AO65" s="22" t="n">
        <v>0.0519</v>
      </c>
      <c r="AP65" s="22" t="n">
        <v>0.046</v>
      </c>
      <c r="AQ65" s="22" t="n">
        <v>0.0078</v>
      </c>
      <c r="AR65" s="22" t="n">
        <v>0.0114</v>
      </c>
      <c r="AS65" s="22" t="n">
        <v>0.0249</v>
      </c>
      <c r="AT65" s="22" t="n">
        <v>0.0066</v>
      </c>
      <c r="AU65" s="22" t="n">
        <v>0.0451</v>
      </c>
      <c r="AV65" s="22" t="n">
        <v>0.0242</v>
      </c>
    </row>
    <row r="66" customFormat="false" ht="15" hidden="false" customHeight="false" outlineLevel="0" collapsed="false">
      <c r="A66" s="22" t="s">
        <v>30</v>
      </c>
      <c r="B66" s="22" t="s">
        <v>3</v>
      </c>
      <c r="C66" s="22" t="s">
        <v>30</v>
      </c>
      <c r="D66" s="22" t="n">
        <v>14260</v>
      </c>
      <c r="E66" s="22" t="s">
        <v>132</v>
      </c>
      <c r="F66" s="22" t="s">
        <v>135</v>
      </c>
      <c r="G66" s="22" t="s">
        <v>131</v>
      </c>
      <c r="H66" s="22" t="s">
        <v>131</v>
      </c>
      <c r="I66" s="22" t="n">
        <v>0.0663</v>
      </c>
      <c r="J66" s="22" t="n">
        <v>0.086</v>
      </c>
      <c r="K66" s="22" t="n">
        <v>0.0723</v>
      </c>
      <c r="L66" s="22" t="n">
        <v>0.0878</v>
      </c>
      <c r="M66" s="22" t="n">
        <v>0.0553</v>
      </c>
      <c r="N66" s="22" t="n">
        <v>0.0418</v>
      </c>
      <c r="O66" s="22" t="n">
        <v>0.0439</v>
      </c>
      <c r="P66" s="22" t="n">
        <v>0.0205</v>
      </c>
      <c r="Q66" s="22" t="n">
        <v>0.05</v>
      </c>
      <c r="R66" s="22" t="n">
        <v>0.0532</v>
      </c>
      <c r="S66" s="22" t="n">
        <v>0.0677</v>
      </c>
      <c r="T66" s="22" t="n">
        <v>0.0995</v>
      </c>
      <c r="U66" s="22" t="n">
        <v>0.0926</v>
      </c>
      <c r="V66" s="22" t="n">
        <v>0.096</v>
      </c>
      <c r="W66" s="22" t="n">
        <v>0.1049</v>
      </c>
      <c r="X66" s="22" t="n">
        <v>0.0787</v>
      </c>
      <c r="Y66" s="22" t="n">
        <v>0.0863</v>
      </c>
      <c r="Z66" s="22" t="n">
        <v>0.0777</v>
      </c>
      <c r="AA66" s="22" t="n">
        <v>0.0672</v>
      </c>
      <c r="AB66" s="22" t="n">
        <v>0.0983</v>
      </c>
      <c r="AC66" s="22" t="n">
        <v>0.1261</v>
      </c>
      <c r="AD66" s="22" t="n">
        <v>0.1964</v>
      </c>
      <c r="AE66" s="22" t="n">
        <v>0.2678</v>
      </c>
      <c r="AF66" s="22" t="n">
        <v>0.2442</v>
      </c>
      <c r="AG66" s="22" t="n">
        <v>0.2071</v>
      </c>
      <c r="AH66" s="22" t="n">
        <v>0.1762</v>
      </c>
      <c r="AI66" s="22" t="n">
        <v>0.0982</v>
      </c>
      <c r="AJ66" s="22" t="n">
        <v>0.0344</v>
      </c>
      <c r="AK66" s="22" t="n">
        <v>0.0223</v>
      </c>
      <c r="AL66" s="22" t="n">
        <v>-0.0302</v>
      </c>
      <c r="AM66" s="22" t="n">
        <v>-0.0621</v>
      </c>
      <c r="AN66" s="22" t="n">
        <v>-0.047</v>
      </c>
      <c r="AO66" s="22" t="n">
        <v>-0.0468</v>
      </c>
      <c r="AP66" s="22" t="n">
        <v>-0.017</v>
      </c>
      <c r="AQ66" s="22" t="n">
        <v>0.0028</v>
      </c>
      <c r="AR66" s="22" t="n">
        <v>0.0163</v>
      </c>
      <c r="AS66" s="22" t="n">
        <v>0.0318</v>
      </c>
      <c r="AT66" s="22" t="n">
        <v>0.0277</v>
      </c>
      <c r="AU66" s="22" t="n">
        <v>0.0327</v>
      </c>
      <c r="AV66" s="22" t="n">
        <v>0.0318</v>
      </c>
    </row>
    <row r="67" customFormat="false" ht="15" hidden="false" customHeight="false" outlineLevel="0" collapsed="false">
      <c r="A67" s="22" t="s">
        <v>303</v>
      </c>
      <c r="B67" s="22" t="s">
        <v>3</v>
      </c>
      <c r="C67" s="22" t="s">
        <v>303</v>
      </c>
      <c r="D67" s="22" t="n">
        <v>14300</v>
      </c>
      <c r="E67" s="22" t="s">
        <v>132</v>
      </c>
      <c r="F67" s="22" t="s">
        <v>135</v>
      </c>
      <c r="G67" s="22" t="s">
        <v>131</v>
      </c>
      <c r="H67" s="22" t="s">
        <v>131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customFormat="false" ht="15" hidden="false" customHeight="false" outlineLevel="0" collapsed="false">
      <c r="A68" s="22" t="s">
        <v>304</v>
      </c>
      <c r="B68" s="22" t="s">
        <v>3</v>
      </c>
      <c r="C68" s="22" t="s">
        <v>304</v>
      </c>
      <c r="D68" s="22" t="n">
        <v>14380</v>
      </c>
      <c r="E68" s="22" t="s">
        <v>132</v>
      </c>
      <c r="F68" s="22" t="s">
        <v>135</v>
      </c>
      <c r="G68" s="22" t="s">
        <v>131</v>
      </c>
      <c r="H68" s="22" t="s">
        <v>131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 t="n">
        <v>0.1012</v>
      </c>
      <c r="U68" s="22" t="n">
        <v>0.1057</v>
      </c>
      <c r="V68" s="22" t="n">
        <v>0.2222</v>
      </c>
      <c r="W68" s="22" t="n">
        <v>0.2799</v>
      </c>
      <c r="X68" s="22" t="n">
        <v>0.1508</v>
      </c>
      <c r="Y68" s="22" t="n">
        <v>0.1426</v>
      </c>
      <c r="Z68" s="22" t="n">
        <v>0.035</v>
      </c>
      <c r="AA68" s="22" t="n">
        <v>-0.0084</v>
      </c>
      <c r="AB68" s="22" t="n">
        <v>0.0426</v>
      </c>
      <c r="AC68" s="22" t="n">
        <v>0.0459</v>
      </c>
      <c r="AD68" s="22" t="n">
        <v>0.0379</v>
      </c>
      <c r="AE68" s="22" t="n">
        <v>0.0345</v>
      </c>
      <c r="AF68" s="22" t="n">
        <v>0.0029</v>
      </c>
      <c r="AG68" s="22" t="n">
        <v>0.0383</v>
      </c>
      <c r="AH68" s="22"/>
      <c r="AI68" s="22"/>
      <c r="AJ68" s="22"/>
      <c r="AK68" s="22"/>
      <c r="AL68" s="22" t="n">
        <v>0.2577</v>
      </c>
      <c r="AM68" s="22" t="n">
        <v>0.2647</v>
      </c>
      <c r="AN68" s="22" t="n">
        <v>0.2229</v>
      </c>
      <c r="AO68" s="22" t="n">
        <v>0.1626</v>
      </c>
      <c r="AP68" s="22" t="n">
        <v>0.092</v>
      </c>
      <c r="AQ68" s="22" t="n">
        <v>0.1044</v>
      </c>
      <c r="AR68" s="22" t="n">
        <v>0.1155</v>
      </c>
      <c r="AS68" s="22" t="n">
        <v>0.0887</v>
      </c>
      <c r="AT68" s="22"/>
      <c r="AU68" s="22"/>
      <c r="AV68" s="22" t="n">
        <v>0.0281</v>
      </c>
    </row>
    <row r="69" customFormat="false" ht="15" hidden="false" customHeight="false" outlineLevel="0" collapsed="false">
      <c r="A69" s="22" t="s">
        <v>146</v>
      </c>
      <c r="B69" s="22" t="s">
        <v>3</v>
      </c>
      <c r="C69" s="22" t="s">
        <v>146</v>
      </c>
      <c r="D69" s="22" t="n">
        <v>14460</v>
      </c>
      <c r="E69" s="22" t="s">
        <v>132</v>
      </c>
      <c r="F69" s="22" t="s">
        <v>135</v>
      </c>
      <c r="G69" s="22" t="s">
        <v>131</v>
      </c>
      <c r="H69" s="22" t="s">
        <v>131</v>
      </c>
      <c r="I69" s="22" t="n">
        <v>0.0664</v>
      </c>
      <c r="J69" s="22" t="n">
        <v>0.0567</v>
      </c>
      <c r="K69" s="22" t="n">
        <v>0.0402</v>
      </c>
      <c r="L69" s="22" t="n">
        <v>0.027</v>
      </c>
      <c r="M69" s="22" t="n">
        <v>0.0268</v>
      </c>
      <c r="N69" s="22" t="n">
        <v>0.0247</v>
      </c>
      <c r="O69" s="22" t="n">
        <v>0.0355</v>
      </c>
      <c r="P69" s="22" t="n">
        <v>0.0287</v>
      </c>
      <c r="Q69" s="22" t="n">
        <v>0.0396</v>
      </c>
      <c r="R69" s="22" t="n">
        <v>0.0379</v>
      </c>
      <c r="S69" s="22" t="n">
        <v>0.0405</v>
      </c>
      <c r="T69" s="22" t="n">
        <v>0.0603</v>
      </c>
      <c r="U69" s="22" t="n">
        <v>0.0507</v>
      </c>
      <c r="V69" s="22" t="n">
        <v>0.049</v>
      </c>
      <c r="W69" s="22" t="n">
        <v>0.0607</v>
      </c>
      <c r="X69" s="22" t="n">
        <v>0.0449</v>
      </c>
      <c r="Y69" s="22" t="n">
        <v>0.0455</v>
      </c>
      <c r="Z69" s="22" t="n">
        <v>-0.005</v>
      </c>
      <c r="AA69" s="22" t="n">
        <v>-0.0592</v>
      </c>
      <c r="AB69" s="22" t="n">
        <v>-0.0801</v>
      </c>
      <c r="AC69" s="22" t="n">
        <v>-0.0849</v>
      </c>
      <c r="AD69" s="22" t="n">
        <v>-0.0228</v>
      </c>
      <c r="AE69" s="22" t="n">
        <v>0.0744</v>
      </c>
      <c r="AF69" s="22" t="n">
        <v>0.1403</v>
      </c>
      <c r="AG69" s="22" t="n">
        <v>0.1715</v>
      </c>
      <c r="AH69" s="22" t="n">
        <v>0.1675</v>
      </c>
      <c r="AI69" s="22" t="n">
        <v>0.1193</v>
      </c>
      <c r="AJ69" s="22" t="n">
        <v>0.0959</v>
      </c>
      <c r="AK69" s="22" t="n">
        <v>0.0755</v>
      </c>
      <c r="AL69" s="22" t="n">
        <v>0.0558</v>
      </c>
      <c r="AM69" s="22" t="n">
        <v>0.0493</v>
      </c>
      <c r="AN69" s="22" t="n">
        <v>0.0463</v>
      </c>
      <c r="AO69" s="22" t="n">
        <v>0.0456</v>
      </c>
      <c r="AP69" s="22" t="n">
        <v>0.0336</v>
      </c>
      <c r="AQ69" s="22" t="n">
        <v>0.0322</v>
      </c>
      <c r="AR69" s="22" t="n">
        <v>0.0238</v>
      </c>
      <c r="AS69" s="22" t="n">
        <v>0.0244</v>
      </c>
      <c r="AT69" s="22" t="n">
        <v>0.0362</v>
      </c>
      <c r="AU69" s="22" t="n">
        <v>0.0216</v>
      </c>
      <c r="AV69" s="22" t="n">
        <v>0.0078</v>
      </c>
    </row>
    <row r="70" customFormat="false" ht="15" hidden="false" customHeight="false" outlineLevel="0" collapsed="false">
      <c r="A70" s="22" t="s">
        <v>147</v>
      </c>
      <c r="B70" s="22" t="s">
        <v>3</v>
      </c>
      <c r="C70" s="22" t="s">
        <v>147</v>
      </c>
      <c r="D70" s="22" t="n">
        <v>14500</v>
      </c>
      <c r="E70" s="22" t="s">
        <v>132</v>
      </c>
      <c r="F70" s="22" t="s">
        <v>135</v>
      </c>
      <c r="G70" s="22" t="s">
        <v>131</v>
      </c>
      <c r="H70" s="22" t="s">
        <v>131</v>
      </c>
      <c r="I70" s="22" t="n">
        <v>0.0684</v>
      </c>
      <c r="J70" s="22" t="n">
        <v>0.0211</v>
      </c>
      <c r="K70" s="22" t="n">
        <v>0.009</v>
      </c>
      <c r="L70" s="22" t="n">
        <v>0.0274</v>
      </c>
      <c r="M70" s="22" t="n">
        <v>0.033</v>
      </c>
      <c r="N70" s="22" t="n">
        <v>0.0626</v>
      </c>
      <c r="O70" s="22" t="n">
        <v>0.065</v>
      </c>
      <c r="P70" s="22" t="n">
        <v>0.064</v>
      </c>
      <c r="Q70" s="22" t="n">
        <v>0.0468</v>
      </c>
      <c r="R70" s="22" t="n">
        <v>0.0238</v>
      </c>
      <c r="S70" s="22" t="n">
        <v>0.0277</v>
      </c>
      <c r="T70" s="22" t="n">
        <v>0.022</v>
      </c>
      <c r="U70" s="22" t="n">
        <v>0.0257</v>
      </c>
      <c r="V70" s="22" t="n">
        <v>0.0393</v>
      </c>
      <c r="W70" s="22" t="n">
        <v>0.0333</v>
      </c>
      <c r="X70" s="22" t="n">
        <v>0.0309</v>
      </c>
      <c r="Y70" s="22" t="n">
        <v>0.0285</v>
      </c>
      <c r="Z70" s="22" t="n">
        <v>-0.0288</v>
      </c>
      <c r="AA70" s="22" t="n">
        <v>-0.0328</v>
      </c>
      <c r="AB70" s="22" t="n">
        <v>-0.0353</v>
      </c>
      <c r="AC70" s="22" t="n">
        <v>-0.0279</v>
      </c>
      <c r="AD70" s="22" t="n">
        <v>0.0445</v>
      </c>
      <c r="AE70" s="22" t="n">
        <v>0.1008</v>
      </c>
      <c r="AF70" s="22" t="n">
        <v>0.1465</v>
      </c>
      <c r="AG70" s="22" t="n">
        <v>0.1735</v>
      </c>
      <c r="AH70" s="22" t="n">
        <v>0.1463</v>
      </c>
      <c r="AI70" s="22" t="n">
        <v>0.1165</v>
      </c>
      <c r="AJ70" s="22" t="n">
        <v>0.0822</v>
      </c>
      <c r="AK70" s="22" t="n">
        <v>0.0502</v>
      </c>
      <c r="AL70" s="22" t="n">
        <v>0.0395</v>
      </c>
      <c r="AM70" s="22" t="n">
        <v>0.0254</v>
      </c>
      <c r="AN70" s="22" t="n">
        <v>0.0089</v>
      </c>
      <c r="AO70" s="22" t="n">
        <v>0.0036</v>
      </c>
      <c r="AP70" s="22" t="n">
        <v>0.0002</v>
      </c>
      <c r="AQ70" s="22" t="n">
        <v>-0.0023</v>
      </c>
      <c r="AR70" s="22" t="n">
        <v>-0.0149</v>
      </c>
      <c r="AS70" s="22" t="n">
        <v>-0.0072</v>
      </c>
      <c r="AT70" s="22" t="n">
        <v>0.0159</v>
      </c>
      <c r="AU70" s="22" t="n">
        <v>-0.009</v>
      </c>
      <c r="AV70" s="22" t="n">
        <v>-0.0373</v>
      </c>
    </row>
    <row r="71" customFormat="false" ht="15" hidden="false" customHeight="false" outlineLevel="0" collapsed="false">
      <c r="A71" s="22" t="s">
        <v>305</v>
      </c>
      <c r="B71" s="22" t="s">
        <v>3</v>
      </c>
      <c r="C71" s="22" t="s">
        <v>305</v>
      </c>
      <c r="D71" s="22" t="n">
        <v>14540</v>
      </c>
      <c r="E71" s="22" t="s">
        <v>132</v>
      </c>
      <c r="F71" s="22" t="s">
        <v>135</v>
      </c>
      <c r="G71" s="22" t="s">
        <v>131</v>
      </c>
      <c r="H71" s="22" t="s">
        <v>131</v>
      </c>
      <c r="I71" s="22" t="n">
        <v>0.0589</v>
      </c>
      <c r="J71" s="22" t="n">
        <v>0.023</v>
      </c>
      <c r="K71" s="22" t="n">
        <v>0.1311</v>
      </c>
      <c r="L71" s="22" t="n">
        <v>0.0992</v>
      </c>
      <c r="M71" s="22" t="n">
        <v>0.0909</v>
      </c>
      <c r="N71" s="22" t="n">
        <v>0.0186</v>
      </c>
      <c r="O71" s="22" t="n">
        <v>-0.049</v>
      </c>
      <c r="P71" s="22" t="n">
        <v>-0.0545</v>
      </c>
      <c r="Q71" s="22" t="n">
        <v>-0.0643</v>
      </c>
      <c r="R71" s="22" t="n">
        <v>0.007</v>
      </c>
      <c r="S71" s="22" t="n">
        <v>-0.0149</v>
      </c>
      <c r="T71" s="22" t="n">
        <v>0.0303</v>
      </c>
      <c r="U71" s="22" t="n">
        <v>0.0267</v>
      </c>
      <c r="V71" s="22" t="n">
        <v>0.006</v>
      </c>
      <c r="W71" s="22" t="n">
        <v>-0.0005</v>
      </c>
      <c r="X71" s="22" t="n">
        <v>-0.0409</v>
      </c>
      <c r="Y71" s="22" t="n">
        <v>0.045</v>
      </c>
      <c r="Z71" s="22" t="n">
        <v>0.0775</v>
      </c>
      <c r="AA71" s="22" t="n">
        <v>0.0866</v>
      </c>
      <c r="AB71" s="22" t="n">
        <v>0.0984</v>
      </c>
      <c r="AC71" s="22" t="n">
        <v>0.0571</v>
      </c>
      <c r="AD71" s="22" t="n">
        <v>0.0712</v>
      </c>
      <c r="AE71" s="22" t="n">
        <v>0.1461</v>
      </c>
      <c r="AF71" s="22" t="n">
        <v>0.1888</v>
      </c>
      <c r="AG71" s="22" t="n">
        <v>0.25</v>
      </c>
      <c r="AH71" s="22" t="n">
        <v>0.2565</v>
      </c>
      <c r="AI71" s="22" t="n">
        <v>0.1684</v>
      </c>
      <c r="AJ71" s="22" t="n">
        <v>0.0926</v>
      </c>
      <c r="AK71" s="22" t="n">
        <v>0.0295</v>
      </c>
      <c r="AL71" s="22" t="n">
        <v>0.0426</v>
      </c>
      <c r="AM71" s="22" t="n">
        <v>0.0398</v>
      </c>
      <c r="AN71" s="22" t="n">
        <v>0.0749</v>
      </c>
      <c r="AO71" s="22" t="n">
        <v>0.0427</v>
      </c>
      <c r="AP71" s="22" t="n">
        <v>0.019</v>
      </c>
      <c r="AQ71" s="22" t="n">
        <v>-0.0088</v>
      </c>
      <c r="AR71" s="22" t="n">
        <v>-0.026</v>
      </c>
      <c r="AS71" s="22" t="n">
        <v>-0.0143</v>
      </c>
      <c r="AT71" s="22" t="n">
        <v>-0.0191</v>
      </c>
      <c r="AU71" s="22" t="n">
        <v>-0.0382</v>
      </c>
      <c r="AV71" s="22" t="n">
        <v>-0.0451</v>
      </c>
    </row>
    <row r="72" customFormat="false" ht="15" hidden="false" customHeight="false" outlineLevel="0" collapsed="false">
      <c r="A72" s="22" t="s">
        <v>306</v>
      </c>
      <c r="B72" s="22" t="s">
        <v>3</v>
      </c>
      <c r="C72" s="22" t="s">
        <v>306</v>
      </c>
      <c r="D72" s="22" t="n">
        <v>14580</v>
      </c>
      <c r="E72" s="22" t="s">
        <v>132</v>
      </c>
      <c r="F72" s="22" t="s">
        <v>135</v>
      </c>
      <c r="G72" s="22" t="s">
        <v>131</v>
      </c>
      <c r="H72" s="22" t="s">
        <v>131</v>
      </c>
      <c r="I72" s="22" t="n">
        <v>0.0238</v>
      </c>
      <c r="J72" s="22" t="n">
        <v>0.0939</v>
      </c>
      <c r="K72" s="22" t="n">
        <v>0.0967</v>
      </c>
      <c r="L72" s="22" t="n">
        <v>0.0929</v>
      </c>
      <c r="M72" s="22" t="n">
        <v>0.0904</v>
      </c>
      <c r="N72" s="22" t="n">
        <v>0.0388</v>
      </c>
      <c r="O72" s="22" t="n">
        <v>0.0385</v>
      </c>
      <c r="P72" s="22" t="n">
        <v>0.0488</v>
      </c>
      <c r="Q72" s="22" t="n">
        <v>0.0708</v>
      </c>
      <c r="R72" s="22" t="n">
        <v>0.0741</v>
      </c>
      <c r="S72" s="22" t="n">
        <v>0.0636</v>
      </c>
      <c r="T72" s="22" t="n">
        <v>0.0453</v>
      </c>
      <c r="U72" s="22" t="n">
        <v>0.0428</v>
      </c>
      <c r="V72" s="22" t="n">
        <v>0.0385</v>
      </c>
      <c r="W72" s="22" t="n">
        <v>0.0176</v>
      </c>
      <c r="X72" s="22" t="n">
        <v>0.0328</v>
      </c>
      <c r="Y72" s="22" t="n">
        <v>0.0192</v>
      </c>
      <c r="Z72" s="22"/>
      <c r="AA72" s="22" t="n">
        <v>0.1242</v>
      </c>
      <c r="AB72" s="22" t="n">
        <v>0.1358</v>
      </c>
      <c r="AC72" s="22" t="n">
        <v>0.184</v>
      </c>
      <c r="AD72" s="22" t="n">
        <v>0.1335</v>
      </c>
      <c r="AE72" s="22" t="n">
        <v>0.4521</v>
      </c>
      <c r="AF72" s="22" t="n">
        <v>0.5638</v>
      </c>
      <c r="AG72" s="22" t="n">
        <v>0.3976</v>
      </c>
      <c r="AH72" s="22" t="n">
        <v>0.4921</v>
      </c>
      <c r="AI72" s="22" t="n">
        <v>0.2272</v>
      </c>
      <c r="AJ72" s="22" t="n">
        <v>0.0037</v>
      </c>
      <c r="AK72" s="22" t="n">
        <v>0.065</v>
      </c>
      <c r="AL72" s="22" t="n">
        <v>-0.0004</v>
      </c>
      <c r="AM72" s="22" t="n">
        <v>-0.0612</v>
      </c>
      <c r="AN72" s="22" t="n">
        <v>-0.0137</v>
      </c>
      <c r="AO72" s="22" t="n">
        <v>-0.0404</v>
      </c>
      <c r="AP72" s="22" t="n">
        <v>-0.056</v>
      </c>
      <c r="AQ72" s="22" t="n">
        <v>-0.0361</v>
      </c>
      <c r="AR72" s="22" t="n">
        <v>-0.0079</v>
      </c>
      <c r="AS72" s="22" t="n">
        <v>-0.0208</v>
      </c>
      <c r="AT72" s="22" t="n">
        <v>-0.0217</v>
      </c>
      <c r="AU72" s="22" t="n">
        <v>-0.1072</v>
      </c>
      <c r="AV72" s="22" t="n">
        <v>-0.1087</v>
      </c>
    </row>
    <row r="73" customFormat="false" ht="15" hidden="false" customHeight="false" outlineLevel="0" collapsed="false">
      <c r="A73" s="22" t="s">
        <v>307</v>
      </c>
      <c r="B73" s="22" t="s">
        <v>3</v>
      </c>
      <c r="C73" s="22" t="s">
        <v>307</v>
      </c>
      <c r="D73" s="22" t="n">
        <v>14660</v>
      </c>
      <c r="E73" s="22" t="s">
        <v>132</v>
      </c>
      <c r="F73" s="22" t="s">
        <v>135</v>
      </c>
      <c r="G73" s="22" t="s">
        <v>131</v>
      </c>
      <c r="H73" s="22" t="s">
        <v>131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 t="n">
        <v>0.2065</v>
      </c>
      <c r="AS73" s="22" t="n">
        <v>0.169</v>
      </c>
      <c r="AT73" s="22" t="n">
        <v>0.1285</v>
      </c>
      <c r="AU73" s="22" t="n">
        <v>0.077</v>
      </c>
      <c r="AV73" s="22" t="n">
        <v>0.021</v>
      </c>
    </row>
    <row r="74" customFormat="false" ht="15" hidden="false" customHeight="false" outlineLevel="0" collapsed="false">
      <c r="A74" s="22" t="s">
        <v>308</v>
      </c>
      <c r="B74" s="22" t="s">
        <v>3</v>
      </c>
      <c r="C74" s="22" t="s">
        <v>308</v>
      </c>
      <c r="D74" s="22" t="n">
        <v>14700</v>
      </c>
      <c r="E74" s="22" t="s">
        <v>132</v>
      </c>
      <c r="F74" s="22" t="s">
        <v>135</v>
      </c>
      <c r="G74" s="22" t="s">
        <v>131</v>
      </c>
      <c r="H74" s="22" t="s">
        <v>131</v>
      </c>
      <c r="I74" s="22"/>
      <c r="J74" s="22"/>
      <c r="K74" s="22"/>
      <c r="L74" s="22"/>
      <c r="M74" s="22"/>
      <c r="N74" s="22"/>
      <c r="O74" s="22"/>
      <c r="P74" s="22" t="n">
        <v>-0.0434</v>
      </c>
      <c r="Q74" s="22" t="n">
        <v>-0.0032</v>
      </c>
      <c r="R74" s="22" t="n">
        <v>0.0098</v>
      </c>
      <c r="S74" s="22" t="n">
        <v>0.0144</v>
      </c>
      <c r="T74" s="22" t="n">
        <v>0.0283</v>
      </c>
      <c r="U74" s="22" t="n">
        <v>0.0281</v>
      </c>
      <c r="V74" s="22" t="n">
        <v>0.018</v>
      </c>
      <c r="W74" s="22" t="n">
        <v>0.0221</v>
      </c>
      <c r="X74" s="22" t="n">
        <v>0.0211</v>
      </c>
      <c r="Y74" s="22" t="n">
        <v>0.0211</v>
      </c>
      <c r="Z74" s="22" t="n">
        <v>0.0141</v>
      </c>
      <c r="AA74" s="22" t="n">
        <v>0.0145</v>
      </c>
      <c r="AB74" s="22" t="n">
        <v>0.0211</v>
      </c>
      <c r="AC74" s="22" t="n">
        <v>0.0214</v>
      </c>
      <c r="AD74" s="22" t="n">
        <v>0.036</v>
      </c>
      <c r="AE74" s="22" t="n">
        <v>0.0511</v>
      </c>
      <c r="AF74" s="22" t="n">
        <v>-0.0058</v>
      </c>
      <c r="AG74" s="22" t="n">
        <v>-0.0153</v>
      </c>
      <c r="AH74" s="22" t="n">
        <v>-0.0139</v>
      </c>
      <c r="AI74" s="22" t="n">
        <v>0.0194</v>
      </c>
      <c r="AJ74" s="22" t="n">
        <v>0.087</v>
      </c>
      <c r="AK74" s="22" t="n">
        <v>0.1104</v>
      </c>
      <c r="AL74" s="22" t="n">
        <v>0.1008</v>
      </c>
      <c r="AM74" s="22" t="n">
        <v>0.0518</v>
      </c>
      <c r="AN74" s="22" t="n">
        <v>0.0452</v>
      </c>
      <c r="AO74" s="22" t="n">
        <v>0.0393</v>
      </c>
      <c r="AP74" s="22" t="n">
        <v>0.0642</v>
      </c>
      <c r="AQ74" s="22" t="n">
        <v>0.0699</v>
      </c>
      <c r="AR74" s="22" t="n">
        <v>0.0439</v>
      </c>
      <c r="AS74" s="22" t="n">
        <v>0.0455</v>
      </c>
      <c r="AT74" s="22" t="n">
        <v>0.0214</v>
      </c>
      <c r="AU74" s="22"/>
      <c r="AV74" s="22"/>
    </row>
    <row r="75" customFormat="false" ht="15" hidden="false" customHeight="false" outlineLevel="0" collapsed="false">
      <c r="A75" s="22" t="s">
        <v>309</v>
      </c>
      <c r="B75" s="22" t="s">
        <v>3</v>
      </c>
      <c r="C75" s="22" t="s">
        <v>309</v>
      </c>
      <c r="D75" s="22" t="n">
        <v>14720</v>
      </c>
      <c r="E75" s="22" t="s">
        <v>132</v>
      </c>
      <c r="F75" s="22" t="s">
        <v>135</v>
      </c>
      <c r="G75" s="22" t="s">
        <v>131</v>
      </c>
      <c r="H75" s="22" t="s">
        <v>131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customFormat="false" ht="15" hidden="false" customHeight="false" outlineLevel="0" collapsed="false">
      <c r="A76" s="22" t="s">
        <v>310</v>
      </c>
      <c r="B76" s="22" t="s">
        <v>3</v>
      </c>
      <c r="C76" s="22" t="s">
        <v>310</v>
      </c>
      <c r="D76" s="22" t="n">
        <v>14740</v>
      </c>
      <c r="E76" s="22" t="s">
        <v>132</v>
      </c>
      <c r="F76" s="22" t="s">
        <v>135</v>
      </c>
      <c r="G76" s="22" t="s">
        <v>131</v>
      </c>
      <c r="H76" s="22" t="s">
        <v>131</v>
      </c>
      <c r="I76" s="22" t="n">
        <v>0.1125</v>
      </c>
      <c r="J76" s="22" t="n">
        <v>0.1498</v>
      </c>
      <c r="K76" s="22" t="n">
        <v>0.1246</v>
      </c>
      <c r="L76" s="22" t="n">
        <v>0.0916</v>
      </c>
      <c r="M76" s="22" t="n">
        <v>0.0941</v>
      </c>
      <c r="N76" s="22" t="n">
        <v>0.049</v>
      </c>
      <c r="O76" s="22" t="n">
        <v>0.0265</v>
      </c>
      <c r="P76" s="22" t="n">
        <v>0.0317</v>
      </c>
      <c r="Q76" s="22" t="n">
        <v>0.0532</v>
      </c>
      <c r="R76" s="22" t="n">
        <v>0.0465</v>
      </c>
      <c r="S76" s="22" t="n">
        <v>0.0483</v>
      </c>
      <c r="T76" s="22" t="n">
        <v>0.0681</v>
      </c>
      <c r="U76" s="22" t="n">
        <v>0.0894</v>
      </c>
      <c r="V76" s="22" t="n">
        <v>0.0953</v>
      </c>
      <c r="W76" s="22" t="n">
        <v>0.0921</v>
      </c>
      <c r="X76" s="22" t="n">
        <v>0.0676</v>
      </c>
      <c r="Y76" s="22" t="n">
        <v>0.0404</v>
      </c>
      <c r="Z76" s="22" t="n">
        <v>-0.0237</v>
      </c>
      <c r="AA76" s="22" t="n">
        <v>-0.0058</v>
      </c>
      <c r="AB76" s="22" t="n">
        <v>0.0161</v>
      </c>
      <c r="AC76" s="22" t="n">
        <v>0.0327</v>
      </c>
      <c r="AD76" s="22" t="n">
        <v>0.1466</v>
      </c>
      <c r="AE76" s="22" t="n">
        <v>0.2208</v>
      </c>
      <c r="AF76" s="22" t="n">
        <v>0.2744</v>
      </c>
      <c r="AG76" s="22" t="n">
        <v>0.2179</v>
      </c>
      <c r="AH76" s="22" t="n">
        <v>0.1363</v>
      </c>
      <c r="AI76" s="22" t="n">
        <v>0.0533</v>
      </c>
      <c r="AJ76" s="22" t="n">
        <v>-0.0417</v>
      </c>
      <c r="AK76" s="22" t="n">
        <v>-0.0727</v>
      </c>
      <c r="AL76" s="22" t="n">
        <v>-0.0847</v>
      </c>
      <c r="AM76" s="22" t="n">
        <v>-0.0836</v>
      </c>
      <c r="AN76" s="22" t="n">
        <v>-0.0276</v>
      </c>
      <c r="AO76" s="22" t="n">
        <v>0.0137</v>
      </c>
      <c r="AP76" s="22" t="n">
        <v>0.0604</v>
      </c>
      <c r="AQ76" s="22" t="n">
        <v>0.0602</v>
      </c>
      <c r="AR76" s="22" t="n">
        <v>0.0642</v>
      </c>
      <c r="AS76" s="22" t="n">
        <v>0.0594</v>
      </c>
      <c r="AT76" s="22" t="n">
        <v>0.033</v>
      </c>
      <c r="AU76" s="22" t="n">
        <v>0.019</v>
      </c>
      <c r="AV76" s="22" t="n">
        <v>-0.0113</v>
      </c>
    </row>
    <row r="77" customFormat="false" ht="15" hidden="false" customHeight="false" outlineLevel="0" collapsed="false">
      <c r="A77" s="22" t="s">
        <v>311</v>
      </c>
      <c r="B77" s="22" t="s">
        <v>3</v>
      </c>
      <c r="C77" s="22" t="s">
        <v>311</v>
      </c>
      <c r="D77" s="22" t="n">
        <v>14780</v>
      </c>
      <c r="E77" s="22" t="s">
        <v>132</v>
      </c>
      <c r="F77" s="22" t="s">
        <v>135</v>
      </c>
      <c r="G77" s="22" t="s">
        <v>131</v>
      </c>
      <c r="H77" s="22" t="s">
        <v>131</v>
      </c>
      <c r="I77" s="22"/>
      <c r="J77" s="22" t="n">
        <v>-0.0232</v>
      </c>
      <c r="K77" s="22"/>
      <c r="L77" s="22"/>
      <c r="M77" s="22"/>
      <c r="N77" s="22" t="n">
        <v>-0.0081</v>
      </c>
      <c r="O77" s="22" t="n">
        <v>-0.0717</v>
      </c>
      <c r="P77" s="22" t="n">
        <v>-0.0405</v>
      </c>
      <c r="Q77" s="22" t="n">
        <v>0.002</v>
      </c>
      <c r="R77" s="22" t="n">
        <v>0.0903</v>
      </c>
      <c r="S77" s="22" t="n">
        <v>0.056</v>
      </c>
      <c r="T77" s="22" t="n">
        <v>0.1037</v>
      </c>
      <c r="U77" s="22" t="n">
        <v>0.0653</v>
      </c>
      <c r="V77" s="22" t="n">
        <v>0.0359</v>
      </c>
      <c r="W77" s="22" t="n">
        <v>0.063</v>
      </c>
      <c r="X77" s="22" t="n">
        <v>-0.0051</v>
      </c>
      <c r="Y77" s="22" t="n">
        <v>-0.0148</v>
      </c>
      <c r="Z77" s="22" t="n">
        <v>-0.0079</v>
      </c>
      <c r="AA77" s="22" t="n">
        <v>0.0033</v>
      </c>
      <c r="AB77" s="22" t="n">
        <v>0.0173</v>
      </c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customFormat="false" ht="15" hidden="false" customHeight="false" outlineLevel="0" collapsed="false">
      <c r="A78" s="22" t="s">
        <v>148</v>
      </c>
      <c r="B78" s="22" t="s">
        <v>3</v>
      </c>
      <c r="C78" s="22" t="s">
        <v>148</v>
      </c>
      <c r="D78" s="22" t="n">
        <v>14860</v>
      </c>
      <c r="E78" s="22" t="s">
        <v>132</v>
      </c>
      <c r="F78" s="22" t="s">
        <v>135</v>
      </c>
      <c r="G78" s="22" t="s">
        <v>131</v>
      </c>
      <c r="H78" s="22" t="s">
        <v>131</v>
      </c>
      <c r="I78" s="22" t="n">
        <v>0.042</v>
      </c>
      <c r="J78" s="22" t="n">
        <v>0.0066</v>
      </c>
      <c r="K78" s="22" t="n">
        <v>0.0003</v>
      </c>
      <c r="L78" s="22" t="n">
        <v>0.002</v>
      </c>
      <c r="M78" s="22" t="n">
        <v>0.0118</v>
      </c>
      <c r="N78" s="22" t="n">
        <v>0.0291</v>
      </c>
      <c r="O78" s="22" t="n">
        <v>0.0196</v>
      </c>
      <c r="P78" s="22" t="n">
        <v>0.0127</v>
      </c>
      <c r="Q78" s="22" t="n">
        <v>0.0127</v>
      </c>
      <c r="R78" s="22" t="n">
        <v>0.0076</v>
      </c>
      <c r="S78" s="22" t="n">
        <v>0.0156</v>
      </c>
      <c r="T78" s="22" t="n">
        <v>0.031</v>
      </c>
      <c r="U78" s="22" t="n">
        <v>0.0128</v>
      </c>
      <c r="V78" s="22" t="n">
        <v>0.0149</v>
      </c>
      <c r="W78" s="22" t="n">
        <v>0.029</v>
      </c>
      <c r="X78" s="22" t="n">
        <v>0.0171</v>
      </c>
      <c r="Y78" s="22" t="n">
        <v>0.0068</v>
      </c>
      <c r="Z78" s="22" t="n">
        <v>-0.025</v>
      </c>
      <c r="AA78" s="22" t="n">
        <v>-0.0323</v>
      </c>
      <c r="AB78" s="22" t="n">
        <v>-0.0171</v>
      </c>
      <c r="AC78" s="22" t="n">
        <v>-0.0015</v>
      </c>
      <c r="AD78" s="22" t="n">
        <v>0.0438</v>
      </c>
      <c r="AE78" s="22" t="n">
        <v>0.0844</v>
      </c>
      <c r="AF78" s="22" t="n">
        <v>0.099</v>
      </c>
      <c r="AG78" s="22" t="n">
        <v>0.1078</v>
      </c>
      <c r="AH78" s="22" t="n">
        <v>0.1045</v>
      </c>
      <c r="AI78" s="22" t="n">
        <v>0.0883</v>
      </c>
      <c r="AJ78" s="22" t="n">
        <v>0.0907</v>
      </c>
      <c r="AK78" s="22" t="n">
        <v>0.0737</v>
      </c>
      <c r="AL78" s="22" t="n">
        <v>0.0714</v>
      </c>
      <c r="AM78" s="22" t="n">
        <v>0.0519</v>
      </c>
      <c r="AN78" s="22" t="n">
        <v>0.0243</v>
      </c>
      <c r="AO78" s="22" t="n">
        <v>0.027</v>
      </c>
      <c r="AP78" s="22" t="n">
        <v>0.019</v>
      </c>
      <c r="AQ78" s="22" t="n">
        <v>0.0372</v>
      </c>
      <c r="AR78" s="22" t="n">
        <v>0.0412</v>
      </c>
      <c r="AS78" s="22" t="n">
        <v>0.0517</v>
      </c>
      <c r="AT78" s="22" t="n">
        <v>0.0485</v>
      </c>
      <c r="AU78" s="22" t="n">
        <v>0.0306</v>
      </c>
      <c r="AV78" s="22" t="n">
        <v>0.0269</v>
      </c>
    </row>
    <row r="79" customFormat="false" ht="15" hidden="false" customHeight="false" outlineLevel="0" collapsed="false">
      <c r="A79" s="22" t="s">
        <v>312</v>
      </c>
      <c r="B79" s="22" t="s">
        <v>3</v>
      </c>
      <c r="C79" s="22" t="s">
        <v>312</v>
      </c>
      <c r="D79" s="22" t="n">
        <v>15020</v>
      </c>
      <c r="E79" s="22" t="s">
        <v>132</v>
      </c>
      <c r="F79" s="22" t="s">
        <v>135</v>
      </c>
      <c r="G79" s="22" t="s">
        <v>131</v>
      </c>
      <c r="H79" s="22" t="s">
        <v>131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customFormat="false" ht="15" hidden="false" customHeight="false" outlineLevel="0" collapsed="false">
      <c r="A80" s="22" t="s">
        <v>313</v>
      </c>
      <c r="B80" s="22" t="s">
        <v>3</v>
      </c>
      <c r="C80" s="22" t="s">
        <v>313</v>
      </c>
      <c r="D80" s="22" t="n">
        <v>15100</v>
      </c>
      <c r="E80" s="22" t="s">
        <v>132</v>
      </c>
      <c r="F80" s="22" t="s">
        <v>135</v>
      </c>
      <c r="G80" s="22" t="s">
        <v>131</v>
      </c>
      <c r="H80" s="22" t="s">
        <v>131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customFormat="false" ht="15" hidden="false" customHeight="false" outlineLevel="0" collapsed="false">
      <c r="A81" s="22" t="s">
        <v>314</v>
      </c>
      <c r="B81" s="22" t="s">
        <v>3</v>
      </c>
      <c r="C81" s="22" t="s">
        <v>314</v>
      </c>
      <c r="D81" s="22" t="n">
        <v>15220</v>
      </c>
      <c r="E81" s="22" t="s">
        <v>132</v>
      </c>
      <c r="F81" s="22" t="s">
        <v>135</v>
      </c>
      <c r="G81" s="22" t="s">
        <v>131</v>
      </c>
      <c r="H81" s="22" t="s">
        <v>131</v>
      </c>
      <c r="I81" s="22" t="n">
        <v>0.0419</v>
      </c>
      <c r="J81" s="22"/>
      <c r="K81" s="22"/>
      <c r="L81" s="22"/>
      <c r="M81" s="22"/>
      <c r="N81" s="22" t="n">
        <v>0.0351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 t="n">
        <v>-0.0685</v>
      </c>
      <c r="AA81" s="22" t="n">
        <v>-0.0605</v>
      </c>
      <c r="AB81" s="22" t="n">
        <v>-0.0566</v>
      </c>
      <c r="AC81" s="22" t="n">
        <v>-0.0224</v>
      </c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customFormat="false" ht="15" hidden="false" customHeight="false" outlineLevel="0" collapsed="false">
      <c r="A82" s="22" t="s">
        <v>315</v>
      </c>
      <c r="B82" s="22" t="s">
        <v>3</v>
      </c>
      <c r="C82" s="22" t="s">
        <v>315</v>
      </c>
      <c r="D82" s="22" t="n">
        <v>15260</v>
      </c>
      <c r="E82" s="22" t="s">
        <v>132</v>
      </c>
      <c r="F82" s="22" t="s">
        <v>135</v>
      </c>
      <c r="G82" s="22" t="s">
        <v>131</v>
      </c>
      <c r="H82" s="22" t="s">
        <v>131</v>
      </c>
      <c r="I82" s="22" t="n">
        <v>0.0844</v>
      </c>
      <c r="J82" s="22" t="n">
        <v>0.0778</v>
      </c>
      <c r="K82" s="22" t="n">
        <v>0.0667</v>
      </c>
      <c r="L82" s="22" t="n">
        <v>0.0423</v>
      </c>
      <c r="M82" s="22" t="n">
        <v>0.0715</v>
      </c>
      <c r="N82" s="22" t="n">
        <v>0.1033</v>
      </c>
      <c r="O82" s="22" t="n">
        <v>0.1207</v>
      </c>
      <c r="P82" s="22" t="n">
        <v>0.1155</v>
      </c>
      <c r="Q82" s="22" t="n">
        <v>0.0857</v>
      </c>
      <c r="R82" s="22" t="n">
        <v>0.1215</v>
      </c>
      <c r="S82" s="22" t="n">
        <v>0.125</v>
      </c>
      <c r="T82" s="22" t="n">
        <v>0.0999</v>
      </c>
      <c r="U82" s="22" t="n">
        <v>0.0632</v>
      </c>
      <c r="V82" s="22" t="n">
        <v>0.0052</v>
      </c>
      <c r="W82" s="22" t="n">
        <v>0.0048</v>
      </c>
      <c r="X82" s="22" t="n">
        <v>-0.0002</v>
      </c>
      <c r="Y82" s="22" t="n">
        <v>0.0197</v>
      </c>
      <c r="Z82" s="22" t="n">
        <v>-0.0319</v>
      </c>
      <c r="AA82" s="22" t="n">
        <v>-0.0406</v>
      </c>
      <c r="AB82" s="22" t="n">
        <v>-0.0074</v>
      </c>
      <c r="AC82" s="22" t="n">
        <v>0.0024</v>
      </c>
      <c r="AD82" s="22" t="n">
        <v>0.1208</v>
      </c>
      <c r="AE82" s="22" t="n">
        <v>0.2007</v>
      </c>
      <c r="AF82" s="22" t="n">
        <v>0.3063</v>
      </c>
      <c r="AG82" s="22" t="n">
        <v>0.2924</v>
      </c>
      <c r="AH82" s="22" t="n">
        <v>0.2177</v>
      </c>
      <c r="AI82" s="22" t="n">
        <v>0.198</v>
      </c>
      <c r="AJ82" s="22" t="n">
        <v>0.0569</v>
      </c>
      <c r="AK82" s="22" t="n">
        <v>0.0753</v>
      </c>
      <c r="AL82" s="22" t="n">
        <v>0.0551</v>
      </c>
      <c r="AM82" s="22" t="n">
        <v>-0.058</v>
      </c>
      <c r="AN82" s="22" t="n">
        <v>-0.0519</v>
      </c>
      <c r="AO82" s="22" t="n">
        <v>-0.0811</v>
      </c>
      <c r="AP82" s="22" t="n">
        <v>-0.045</v>
      </c>
      <c r="AQ82" s="22" t="n">
        <v>0.0063</v>
      </c>
      <c r="AR82" s="22" t="n">
        <v>0.0568</v>
      </c>
      <c r="AS82" s="22" t="n">
        <v>0.0748</v>
      </c>
      <c r="AT82" s="22" t="n">
        <v>0.0307</v>
      </c>
      <c r="AU82" s="22" t="n">
        <v>0.0226</v>
      </c>
      <c r="AV82" s="22" t="n">
        <v>-0.0089</v>
      </c>
    </row>
    <row r="83" customFormat="false" ht="15" hidden="false" customHeight="false" outlineLevel="0" collapsed="false">
      <c r="A83" s="22" t="s">
        <v>149</v>
      </c>
      <c r="B83" s="22" t="s">
        <v>3</v>
      </c>
      <c r="C83" s="22" t="s">
        <v>149</v>
      </c>
      <c r="D83" s="22" t="n">
        <v>15380</v>
      </c>
      <c r="E83" s="22" t="s">
        <v>132</v>
      </c>
      <c r="F83" s="22" t="s">
        <v>135</v>
      </c>
      <c r="G83" s="22" t="s">
        <v>131</v>
      </c>
      <c r="H83" s="22" t="s">
        <v>131</v>
      </c>
      <c r="I83" s="22" t="n">
        <v>0.0469</v>
      </c>
      <c r="J83" s="22" t="n">
        <v>0.0327</v>
      </c>
      <c r="K83" s="22" t="n">
        <v>0.0316</v>
      </c>
      <c r="L83" s="22" t="n">
        <v>0.0304</v>
      </c>
      <c r="M83" s="22" t="n">
        <v>0.0385</v>
      </c>
      <c r="N83" s="22" t="n">
        <v>0.0082</v>
      </c>
      <c r="O83" s="22" t="n">
        <v>-0.0121</v>
      </c>
      <c r="P83" s="22" t="n">
        <v>-0.0015</v>
      </c>
      <c r="Q83" s="22" t="n">
        <v>-0.018</v>
      </c>
      <c r="R83" s="22" t="n">
        <v>0.0197</v>
      </c>
      <c r="S83" s="22" t="n">
        <v>0.0303</v>
      </c>
      <c r="T83" s="22" t="n">
        <v>0.0202</v>
      </c>
      <c r="U83" s="22" t="n">
        <v>0.0329</v>
      </c>
      <c r="V83" s="22" t="n">
        <v>0.0088</v>
      </c>
      <c r="W83" s="22" t="n">
        <v>0.0302</v>
      </c>
      <c r="X83" s="22" t="n">
        <v>0.0369</v>
      </c>
      <c r="Y83" s="22" t="n">
        <v>0.0367</v>
      </c>
      <c r="Z83" s="22" t="n">
        <v>0.0328</v>
      </c>
      <c r="AA83" s="22" t="n">
        <v>0.024</v>
      </c>
      <c r="AB83" s="22" t="n">
        <v>0.0333</v>
      </c>
      <c r="AC83" s="22" t="n">
        <v>0.0381</v>
      </c>
      <c r="AD83" s="22" t="n">
        <v>0.0465</v>
      </c>
      <c r="AE83" s="22" t="n">
        <v>0.0582</v>
      </c>
      <c r="AF83" s="22" t="n">
        <v>0.0684</v>
      </c>
      <c r="AG83" s="22" t="n">
        <v>0.0731</v>
      </c>
      <c r="AH83" s="22" t="n">
        <v>0.1011</v>
      </c>
      <c r="AI83" s="22" t="n">
        <v>0.1086</v>
      </c>
      <c r="AJ83" s="22" t="n">
        <v>0.0905</v>
      </c>
      <c r="AK83" s="22" t="n">
        <v>0.0817</v>
      </c>
      <c r="AL83" s="22" t="n">
        <v>0.0483</v>
      </c>
      <c r="AM83" s="22" t="n">
        <v>0.0429</v>
      </c>
      <c r="AN83" s="22" t="n">
        <v>0.0503</v>
      </c>
      <c r="AO83" s="22" t="n">
        <v>0.0581</v>
      </c>
      <c r="AP83" s="22" t="n">
        <v>0.0705</v>
      </c>
      <c r="AQ83" s="22" t="n">
        <v>0.0606</v>
      </c>
      <c r="AR83" s="22" t="n">
        <v>0.0534</v>
      </c>
      <c r="AS83" s="22" t="n">
        <v>0.0489</v>
      </c>
      <c r="AT83" s="22" t="n">
        <v>0.0571</v>
      </c>
      <c r="AU83" s="22" t="n">
        <v>0.0494</v>
      </c>
      <c r="AV83" s="22" t="n">
        <v>0.049</v>
      </c>
    </row>
    <row r="84" customFormat="false" ht="15" hidden="false" customHeight="false" outlineLevel="0" collapsed="false">
      <c r="A84" s="22" t="s">
        <v>316</v>
      </c>
      <c r="B84" s="22" t="s">
        <v>3</v>
      </c>
      <c r="C84" s="22" t="s">
        <v>316</v>
      </c>
      <c r="D84" s="22" t="n">
        <v>15460</v>
      </c>
      <c r="E84" s="22" t="s">
        <v>132</v>
      </c>
      <c r="F84" s="22" t="s">
        <v>135</v>
      </c>
      <c r="G84" s="22" t="s">
        <v>131</v>
      </c>
      <c r="H84" s="22" t="s">
        <v>131</v>
      </c>
      <c r="I84" s="22"/>
      <c r="J84" s="22"/>
      <c r="K84" s="22"/>
      <c r="L84" s="22"/>
      <c r="M84" s="22"/>
      <c r="N84" s="22" t="n">
        <v>0.1046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customFormat="false" ht="15" hidden="false" customHeight="false" outlineLevel="0" collapsed="false">
      <c r="A85" s="22" t="s">
        <v>317</v>
      </c>
      <c r="B85" s="22" t="s">
        <v>3</v>
      </c>
      <c r="C85" s="22" t="s">
        <v>317</v>
      </c>
      <c r="D85" s="22" t="n">
        <v>15540</v>
      </c>
      <c r="E85" s="22" t="s">
        <v>132</v>
      </c>
      <c r="F85" s="22" t="s">
        <v>135</v>
      </c>
      <c r="G85" s="22" t="s">
        <v>131</v>
      </c>
      <c r="H85" s="22" t="s">
        <v>131</v>
      </c>
      <c r="I85" s="22" t="n">
        <v>0.0412</v>
      </c>
      <c r="J85" s="22" t="n">
        <v>0.0609</v>
      </c>
      <c r="K85" s="22" t="n">
        <v>0.0113</v>
      </c>
      <c r="L85" s="22" t="n">
        <v>0.0501</v>
      </c>
      <c r="M85" s="22" t="n">
        <v>0.067</v>
      </c>
      <c r="N85" s="22" t="n">
        <v>0.0578</v>
      </c>
      <c r="O85" s="22" t="n">
        <v>0.0548</v>
      </c>
      <c r="P85" s="22" t="n">
        <v>0.0148</v>
      </c>
      <c r="Q85" s="22" t="n">
        <v>-0.0538</v>
      </c>
      <c r="R85" s="22" t="n">
        <v>-0.0496</v>
      </c>
      <c r="S85" s="22" t="n">
        <v>-0.01</v>
      </c>
      <c r="T85" s="22" t="n">
        <v>-0.0328</v>
      </c>
      <c r="U85" s="22" t="n">
        <v>-0.0047</v>
      </c>
      <c r="V85" s="22" t="n">
        <v>-0.0071</v>
      </c>
      <c r="W85" s="22" t="n">
        <v>-0.0467</v>
      </c>
      <c r="X85" s="22" t="n">
        <v>-0.0058</v>
      </c>
      <c r="Y85" s="22" t="n">
        <v>0.0013</v>
      </c>
      <c r="Z85" s="22" t="n">
        <v>0.0014</v>
      </c>
      <c r="AA85" s="22" t="n">
        <v>0.0519</v>
      </c>
      <c r="AB85" s="22" t="n">
        <v>0.0379</v>
      </c>
      <c r="AC85" s="22" t="n">
        <v>0.0067</v>
      </c>
      <c r="AD85" s="22" t="n">
        <v>0.0062</v>
      </c>
      <c r="AE85" s="22" t="n">
        <v>-0.0051</v>
      </c>
      <c r="AF85" s="22" t="n">
        <v>-0.001</v>
      </c>
      <c r="AG85" s="22" t="n">
        <v>0.0161</v>
      </c>
      <c r="AH85" s="22" t="n">
        <v>0.0164</v>
      </c>
      <c r="AI85" s="22" t="n">
        <v>0.0418</v>
      </c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 t="n">
        <v>0.1498</v>
      </c>
      <c r="AV85" s="22" t="n">
        <v>0.1106</v>
      </c>
    </row>
    <row r="86" customFormat="false" ht="15" hidden="false" customHeight="false" outlineLevel="0" collapsed="false">
      <c r="A86" s="22" t="s">
        <v>318</v>
      </c>
      <c r="B86" s="22" t="s">
        <v>3</v>
      </c>
      <c r="C86" s="22" t="s">
        <v>318</v>
      </c>
      <c r="D86" s="22" t="n">
        <v>15860</v>
      </c>
      <c r="E86" s="22" t="s">
        <v>132</v>
      </c>
      <c r="F86" s="22" t="s">
        <v>135</v>
      </c>
      <c r="G86" s="22" t="s">
        <v>131</v>
      </c>
      <c r="H86" s="22" t="s">
        <v>131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customFormat="false" ht="15" hidden="false" customHeight="false" outlineLevel="0" collapsed="false">
      <c r="A87" s="22" t="s">
        <v>319</v>
      </c>
      <c r="B87" s="22" t="s">
        <v>3</v>
      </c>
      <c r="C87" s="22" t="s">
        <v>319</v>
      </c>
      <c r="D87" s="22" t="n">
        <v>15940</v>
      </c>
      <c r="E87" s="22" t="s">
        <v>132</v>
      </c>
      <c r="F87" s="22" t="s">
        <v>135</v>
      </c>
      <c r="G87" s="22" t="s">
        <v>131</v>
      </c>
      <c r="H87" s="22" t="s">
        <v>131</v>
      </c>
      <c r="I87" s="22" t="n">
        <v>0.0429</v>
      </c>
      <c r="J87" s="22" t="n">
        <v>0.0339</v>
      </c>
      <c r="K87" s="22" t="n">
        <v>0.0876</v>
      </c>
      <c r="L87" s="22" t="n">
        <v>0.0679</v>
      </c>
      <c r="M87" s="22" t="n">
        <v>0.014</v>
      </c>
      <c r="N87" s="22" t="n">
        <v>0.0688</v>
      </c>
      <c r="O87" s="22" t="n">
        <v>-0.0127</v>
      </c>
      <c r="P87" s="22" t="n">
        <v>-0.0197</v>
      </c>
      <c r="Q87" s="22" t="n">
        <v>0.0413</v>
      </c>
      <c r="R87" s="22" t="n">
        <v>-0.0098</v>
      </c>
      <c r="S87" s="22" t="n">
        <v>0.0593</v>
      </c>
      <c r="T87" s="22" t="n">
        <v>0.0582</v>
      </c>
      <c r="U87" s="22" t="n">
        <v>0.0579</v>
      </c>
      <c r="V87" s="22" t="n">
        <v>0.0461</v>
      </c>
      <c r="W87" s="22" t="n">
        <v>0.0152</v>
      </c>
      <c r="X87" s="22" t="n">
        <v>0.0586</v>
      </c>
      <c r="Y87" s="22" t="n">
        <v>0.0705</v>
      </c>
      <c r="Z87" s="22" t="n">
        <v>0.0764</v>
      </c>
      <c r="AA87" s="22" t="n">
        <v>0.094</v>
      </c>
      <c r="AB87" s="22" t="n">
        <v>0.0443</v>
      </c>
      <c r="AC87" s="22" t="n">
        <v>0.0364</v>
      </c>
      <c r="AD87" s="22" t="n">
        <v>0.0542</v>
      </c>
      <c r="AE87" s="22" t="n">
        <v>0.0563</v>
      </c>
      <c r="AF87" s="22" t="n">
        <v>0.077</v>
      </c>
      <c r="AG87" s="22" t="n">
        <v>0.0889</v>
      </c>
      <c r="AH87" s="22" t="n">
        <v>0.0683</v>
      </c>
      <c r="AI87" s="22" t="n">
        <v>0.0722</v>
      </c>
      <c r="AJ87" s="22" t="n">
        <v>0.1179</v>
      </c>
      <c r="AK87" s="22" t="n">
        <v>0.2376</v>
      </c>
      <c r="AL87" s="22" t="n">
        <v>0.2609</v>
      </c>
      <c r="AM87" s="22" t="n">
        <v>0.1635</v>
      </c>
      <c r="AN87" s="22" t="n">
        <v>0.1196</v>
      </c>
      <c r="AO87" s="22" t="n">
        <v>0.0066</v>
      </c>
      <c r="AP87" s="22" t="n">
        <v>-0.004</v>
      </c>
      <c r="AQ87" s="22" t="n">
        <v>0.0397</v>
      </c>
      <c r="AR87" s="22" t="n">
        <v>0.0184</v>
      </c>
      <c r="AS87" s="22" t="n">
        <v>0.0176</v>
      </c>
      <c r="AT87" s="22" t="n">
        <v>0.0718</v>
      </c>
      <c r="AU87" s="22" t="n">
        <v>0.0694</v>
      </c>
      <c r="AV87" s="22" t="n">
        <v>0.0628</v>
      </c>
    </row>
    <row r="88" customFormat="false" ht="15" hidden="false" customHeight="false" outlineLevel="0" collapsed="false">
      <c r="A88" s="22" t="s">
        <v>79</v>
      </c>
      <c r="B88" s="22" t="s">
        <v>3</v>
      </c>
      <c r="C88" s="22" t="s">
        <v>79</v>
      </c>
      <c r="D88" s="22" t="n">
        <v>15980</v>
      </c>
      <c r="E88" s="22" t="s">
        <v>132</v>
      </c>
      <c r="F88" s="22" t="s">
        <v>135</v>
      </c>
      <c r="G88" s="22" t="s">
        <v>131</v>
      </c>
      <c r="H88" s="22" t="s">
        <v>131</v>
      </c>
      <c r="I88" s="22" t="n">
        <v>0.0898</v>
      </c>
      <c r="J88" s="22" t="n">
        <v>0.1071</v>
      </c>
      <c r="K88" s="22" t="n">
        <v>0.0781</v>
      </c>
      <c r="L88" s="22" t="n">
        <v>0.0485</v>
      </c>
      <c r="M88" s="22" t="n">
        <v>0.0456</v>
      </c>
      <c r="N88" s="22" t="n">
        <v>0.0179</v>
      </c>
      <c r="O88" s="22" t="n">
        <v>0.0248</v>
      </c>
      <c r="P88" s="22" t="n">
        <v>0.0588</v>
      </c>
      <c r="Q88" s="22" t="n">
        <v>0.0655</v>
      </c>
      <c r="R88" s="22" t="n">
        <v>0.076</v>
      </c>
      <c r="S88" s="22" t="n">
        <v>0.0706</v>
      </c>
      <c r="T88" s="22" t="n">
        <v>0.0395</v>
      </c>
      <c r="U88" s="22" t="n">
        <v>0.0196</v>
      </c>
      <c r="V88" s="22" t="n">
        <v>0.0251</v>
      </c>
      <c r="W88" s="22" t="n">
        <v>0.0207</v>
      </c>
      <c r="X88" s="22" t="n">
        <v>0.0291</v>
      </c>
      <c r="Y88" s="22" t="n">
        <v>0.0436</v>
      </c>
      <c r="Z88" s="22" t="n">
        <v>0.0147</v>
      </c>
      <c r="AA88" s="22" t="n">
        <v>-0.012</v>
      </c>
      <c r="AB88" s="22" t="n">
        <v>-0.0006</v>
      </c>
      <c r="AC88" s="22" t="n">
        <v>0.0116</v>
      </c>
      <c r="AD88" s="22" t="n">
        <v>0.0765</v>
      </c>
      <c r="AE88" s="22" t="n">
        <v>0.2414</v>
      </c>
      <c r="AF88" s="22" t="n">
        <v>0.3459</v>
      </c>
      <c r="AG88" s="22" t="n">
        <v>0.414</v>
      </c>
      <c r="AH88" s="22" t="n">
        <v>0.4176</v>
      </c>
      <c r="AI88" s="22" t="n">
        <v>0.2865</v>
      </c>
      <c r="AJ88" s="22" t="n">
        <v>0.1983</v>
      </c>
      <c r="AK88" s="22" t="n">
        <v>0.1407</v>
      </c>
      <c r="AL88" s="22" t="n">
        <v>0.0678</v>
      </c>
      <c r="AM88" s="22" t="n">
        <v>0.0064</v>
      </c>
      <c r="AN88" s="22" t="n">
        <v>-0.0496</v>
      </c>
      <c r="AO88" s="22" t="n">
        <v>-0.0819</v>
      </c>
      <c r="AP88" s="22" t="n">
        <v>-0.095</v>
      </c>
      <c r="AQ88" s="22" t="n">
        <v>-0.0899</v>
      </c>
      <c r="AR88" s="22" t="n">
        <v>-0.0883</v>
      </c>
      <c r="AS88" s="22" t="n">
        <v>-0.0765</v>
      </c>
      <c r="AT88" s="22" t="n">
        <v>-0.0487</v>
      </c>
      <c r="AU88" s="22" t="n">
        <v>-0.0639</v>
      </c>
      <c r="AV88" s="22" t="n">
        <v>-0.0767</v>
      </c>
    </row>
    <row r="89" customFormat="false" ht="15" hidden="false" customHeight="false" outlineLevel="0" collapsed="false">
      <c r="A89" s="22" t="s">
        <v>320</v>
      </c>
      <c r="B89" s="22" t="s">
        <v>3</v>
      </c>
      <c r="C89" s="22" t="s">
        <v>320</v>
      </c>
      <c r="D89" s="22" t="n">
        <v>216060</v>
      </c>
      <c r="E89" s="22" t="s">
        <v>132</v>
      </c>
      <c r="F89" s="22" t="s">
        <v>135</v>
      </c>
      <c r="G89" s="22" t="s">
        <v>131</v>
      </c>
      <c r="H89" s="22" t="s">
        <v>131</v>
      </c>
      <c r="I89" s="22"/>
      <c r="J89" s="22"/>
      <c r="K89" s="22"/>
      <c r="L89" s="22" t="n">
        <v>-0.1901</v>
      </c>
      <c r="M89" s="22" t="n">
        <v>-0.1891</v>
      </c>
      <c r="N89" s="22" t="n">
        <v>-0.141</v>
      </c>
      <c r="O89" s="22" t="n">
        <v>-0.1049</v>
      </c>
      <c r="P89" s="22" t="n">
        <v>0.0122</v>
      </c>
      <c r="Q89" s="22" t="n">
        <v>-0.0063</v>
      </c>
      <c r="R89" s="22" t="n">
        <v>0.0479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</row>
    <row r="90" customFormat="false" ht="15" hidden="false" customHeight="false" outlineLevel="0" collapsed="false">
      <c r="A90" s="22" t="s">
        <v>321</v>
      </c>
      <c r="B90" s="22" t="s">
        <v>3</v>
      </c>
      <c r="C90" s="22" t="s">
        <v>321</v>
      </c>
      <c r="D90" s="22" t="n">
        <v>16100</v>
      </c>
      <c r="E90" s="22" t="s">
        <v>132</v>
      </c>
      <c r="F90" s="22" t="s">
        <v>135</v>
      </c>
      <c r="G90" s="22" t="s">
        <v>131</v>
      </c>
      <c r="H90" s="22" t="s">
        <v>131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 t="n">
        <v>-0.0318</v>
      </c>
      <c r="AI90" s="22" t="n">
        <v>-0.0023</v>
      </c>
      <c r="AJ90" s="22" t="n">
        <v>0.0747</v>
      </c>
      <c r="AK90" s="22" t="n">
        <v>0.1263</v>
      </c>
      <c r="AL90" s="22" t="n">
        <v>0.084</v>
      </c>
      <c r="AM90" s="22" t="n">
        <v>0.0874</v>
      </c>
      <c r="AN90" s="22" t="n">
        <v>0.09</v>
      </c>
      <c r="AO90" s="22" t="n">
        <v>0.081</v>
      </c>
      <c r="AP90" s="22" t="n">
        <v>0.0639</v>
      </c>
      <c r="AQ90" s="22" t="n">
        <v>0.0601</v>
      </c>
      <c r="AR90" s="22" t="n">
        <v>0.0189</v>
      </c>
      <c r="AS90" s="22" t="n">
        <v>0.0065</v>
      </c>
      <c r="AT90" s="22" t="n">
        <v>0.0171</v>
      </c>
      <c r="AU90" s="22" t="n">
        <v>0.0197</v>
      </c>
      <c r="AV90" s="22" t="n">
        <v>0.0288</v>
      </c>
    </row>
    <row r="91" customFormat="false" ht="15" hidden="false" customHeight="false" outlineLevel="0" collapsed="false">
      <c r="A91" s="22" t="s">
        <v>322</v>
      </c>
      <c r="B91" s="22" t="s">
        <v>3</v>
      </c>
      <c r="C91" s="22" t="s">
        <v>322</v>
      </c>
      <c r="D91" s="22" t="n">
        <v>16180</v>
      </c>
      <c r="E91" s="22" t="s">
        <v>132</v>
      </c>
      <c r="F91" s="22" t="s">
        <v>135</v>
      </c>
      <c r="G91" s="22" t="s">
        <v>131</v>
      </c>
      <c r="H91" s="22" t="s">
        <v>131</v>
      </c>
      <c r="I91" s="22" t="n">
        <v>-0.0226</v>
      </c>
      <c r="J91" s="22" t="n">
        <v>0.0754</v>
      </c>
      <c r="K91" s="22" t="n">
        <v>0.0793</v>
      </c>
      <c r="L91" s="22" t="n">
        <v>0.1009</v>
      </c>
      <c r="M91" s="22" t="n">
        <v>0.131</v>
      </c>
      <c r="N91" s="22" t="n">
        <v>0.1295</v>
      </c>
      <c r="O91" s="22" t="n">
        <v>0.1811</v>
      </c>
      <c r="P91" s="22" t="n">
        <v>0.1651</v>
      </c>
      <c r="Q91" s="22" t="n">
        <v>0.1421</v>
      </c>
      <c r="R91" s="22" t="n">
        <v>0.09</v>
      </c>
      <c r="S91" s="22" t="n">
        <v>0.0553</v>
      </c>
      <c r="T91" s="22" t="n">
        <v>0.0845</v>
      </c>
      <c r="U91" s="22" t="n">
        <v>0.0433</v>
      </c>
      <c r="V91" s="22" t="n">
        <v>0.0204</v>
      </c>
      <c r="W91" s="22" t="n">
        <v>0.0066</v>
      </c>
      <c r="X91" s="22" t="n">
        <v>-0.0261</v>
      </c>
      <c r="Y91" s="22" t="n">
        <v>-0.0075</v>
      </c>
      <c r="Z91" s="22" t="n">
        <v>0.0075</v>
      </c>
      <c r="AA91" s="22" t="n">
        <v>0.0094</v>
      </c>
      <c r="AB91" s="22" t="n">
        <v>0.0563</v>
      </c>
      <c r="AC91" s="22" t="n">
        <v>0.0653</v>
      </c>
      <c r="AD91" s="22" t="n">
        <v>0.1021</v>
      </c>
      <c r="AE91" s="22" t="n">
        <v>0.1954</v>
      </c>
      <c r="AF91" s="22" t="n">
        <v>0.1291</v>
      </c>
      <c r="AG91" s="22" t="n">
        <v>0.1136</v>
      </c>
      <c r="AH91" s="22" t="n">
        <v>0.1232</v>
      </c>
      <c r="AI91" s="22" t="n">
        <v>0.0583</v>
      </c>
      <c r="AJ91" s="22" t="n">
        <v>0.0262</v>
      </c>
      <c r="AK91" s="22" t="n">
        <v>-0.0041</v>
      </c>
      <c r="AL91" s="22" t="n">
        <v>-0.0218</v>
      </c>
      <c r="AM91" s="22" t="n">
        <v>-0.0449</v>
      </c>
      <c r="AN91" s="22" t="n">
        <v>0.0066</v>
      </c>
      <c r="AO91" s="22" t="n">
        <v>0.0407</v>
      </c>
      <c r="AP91" s="22" t="n">
        <v>0.0197</v>
      </c>
      <c r="AQ91" s="22" t="n">
        <v>0.013</v>
      </c>
      <c r="AR91" s="22" t="n">
        <v>0.0438</v>
      </c>
      <c r="AS91" s="22" t="n">
        <v>0.0518</v>
      </c>
      <c r="AT91" s="22" t="n">
        <v>0.0918</v>
      </c>
      <c r="AU91" s="22" t="n">
        <v>0.0766</v>
      </c>
      <c r="AV91" s="22" t="n">
        <v>0.0182</v>
      </c>
    </row>
    <row r="92" customFormat="false" ht="15" hidden="false" customHeight="false" outlineLevel="0" collapsed="false">
      <c r="A92" s="22" t="s">
        <v>323</v>
      </c>
      <c r="B92" s="22" t="s">
        <v>3</v>
      </c>
      <c r="C92" s="22" t="s">
        <v>323</v>
      </c>
      <c r="D92" s="22" t="n">
        <v>16220</v>
      </c>
      <c r="E92" s="22" t="s">
        <v>132</v>
      </c>
      <c r="F92" s="22" t="s">
        <v>135</v>
      </c>
      <c r="G92" s="22" t="s">
        <v>131</v>
      </c>
      <c r="H92" s="22" t="s">
        <v>131</v>
      </c>
      <c r="I92" s="22" t="n">
        <v>-0.1237</v>
      </c>
      <c r="J92" s="22" t="n">
        <v>-0.1676</v>
      </c>
      <c r="K92" s="22" t="n">
        <v>-0.1573</v>
      </c>
      <c r="L92" s="22" t="n">
        <v>-0.0983</v>
      </c>
      <c r="M92" s="22" t="n">
        <v>-0.0826</v>
      </c>
      <c r="N92" s="22" t="n">
        <v>-0.0046</v>
      </c>
      <c r="O92" s="22" t="n">
        <v>0.037</v>
      </c>
      <c r="P92" s="22" t="n">
        <v>0.011</v>
      </c>
      <c r="Q92" s="22" t="n">
        <v>0.0311</v>
      </c>
      <c r="R92" s="22" t="n">
        <v>0.0666</v>
      </c>
      <c r="S92" s="22" t="n">
        <v>0.0269</v>
      </c>
      <c r="T92" s="22" t="n">
        <v>0.0316</v>
      </c>
      <c r="U92" s="22" t="n">
        <v>0.0717</v>
      </c>
      <c r="V92" s="22" t="n">
        <v>0.0586</v>
      </c>
      <c r="W92" s="22" t="n">
        <v>0.0892</v>
      </c>
      <c r="X92" s="22" t="n">
        <v>0.091</v>
      </c>
      <c r="Y92" s="22" t="n">
        <v>0.0676</v>
      </c>
      <c r="Z92" s="22" t="n">
        <v>0.0094</v>
      </c>
      <c r="AA92" s="22" t="n">
        <v>-0.0574</v>
      </c>
      <c r="AB92" s="22" t="n">
        <v>-0.042</v>
      </c>
      <c r="AC92" s="22" t="n">
        <v>-0.0625</v>
      </c>
      <c r="AD92" s="22" t="n">
        <v>0.0453</v>
      </c>
      <c r="AE92" s="22" t="n">
        <v>0.1324</v>
      </c>
      <c r="AF92" s="22" t="n">
        <v>0.1005</v>
      </c>
      <c r="AG92" s="22" t="n">
        <v>0.1152</v>
      </c>
      <c r="AH92" s="22" t="n">
        <v>0.1396</v>
      </c>
      <c r="AI92" s="22" t="n">
        <v>0.0941</v>
      </c>
      <c r="AJ92" s="22" t="n">
        <v>0.0728</v>
      </c>
      <c r="AK92" s="22" t="n">
        <v>0.0821</v>
      </c>
      <c r="AL92" s="22" t="n">
        <v>0.0195</v>
      </c>
      <c r="AM92" s="22" t="n">
        <v>0.0395</v>
      </c>
      <c r="AN92" s="22" t="n">
        <v>0.0418</v>
      </c>
      <c r="AO92" s="22" t="n">
        <v>0.037</v>
      </c>
      <c r="AP92" s="22" t="n">
        <v>0.0397</v>
      </c>
      <c r="AQ92" s="22" t="n">
        <v>0.0506</v>
      </c>
      <c r="AR92" s="22" t="n">
        <v>0.0344</v>
      </c>
      <c r="AS92" s="22" t="n">
        <v>0.0529</v>
      </c>
      <c r="AT92" s="22" t="n">
        <v>0.0703</v>
      </c>
      <c r="AU92" s="22" t="n">
        <v>0.0204</v>
      </c>
      <c r="AV92" s="22" t="n">
        <v>0.0484</v>
      </c>
    </row>
    <row r="93" customFormat="false" ht="15" hidden="false" customHeight="false" outlineLevel="0" collapsed="false">
      <c r="A93" s="22" t="s">
        <v>324</v>
      </c>
      <c r="B93" s="22" t="s">
        <v>3</v>
      </c>
      <c r="C93" s="22" t="s">
        <v>324</v>
      </c>
      <c r="D93" s="22" t="n">
        <v>16300</v>
      </c>
      <c r="E93" s="22" t="s">
        <v>132</v>
      </c>
      <c r="F93" s="22" t="s">
        <v>135</v>
      </c>
      <c r="G93" s="22" t="s">
        <v>131</v>
      </c>
      <c r="H93" s="22" t="s">
        <v>131</v>
      </c>
      <c r="I93" s="22" t="n">
        <v>0.1134</v>
      </c>
      <c r="J93" s="22" t="n">
        <v>0.0504</v>
      </c>
      <c r="K93" s="22" t="n">
        <v>0.0576</v>
      </c>
      <c r="L93" s="22" t="n">
        <v>0.1179</v>
      </c>
      <c r="M93" s="22" t="n">
        <v>-0.0048</v>
      </c>
      <c r="N93" s="22" t="n">
        <v>-0.0015</v>
      </c>
      <c r="O93" s="22" t="n">
        <v>0.0354</v>
      </c>
      <c r="P93" s="22" t="n">
        <v>0.0293</v>
      </c>
      <c r="Q93" s="22" t="n">
        <v>0.0267</v>
      </c>
      <c r="R93" s="22" t="n">
        <v>0.036</v>
      </c>
      <c r="S93" s="22" t="n">
        <v>0.0397</v>
      </c>
      <c r="T93" s="22" t="n">
        <v>0.033</v>
      </c>
      <c r="U93" s="22" t="n">
        <v>0.0137</v>
      </c>
      <c r="V93" s="22" t="n">
        <v>-0.0042</v>
      </c>
      <c r="W93" s="22" t="n">
        <v>-0.0333</v>
      </c>
      <c r="X93" s="22" t="n">
        <v>-0.0222</v>
      </c>
      <c r="Y93" s="22" t="n">
        <v>-0.0037</v>
      </c>
      <c r="Z93" s="22" t="n">
        <v>-0.0101</v>
      </c>
      <c r="AA93" s="22" t="n">
        <v>0.0287</v>
      </c>
      <c r="AB93" s="22" t="n">
        <v>0.0644</v>
      </c>
      <c r="AC93" s="22" t="n">
        <v>0.0795</v>
      </c>
      <c r="AD93" s="22" t="n">
        <v>0.1135</v>
      </c>
      <c r="AE93" s="22" t="n">
        <v>0.103</v>
      </c>
      <c r="AF93" s="22" t="n">
        <v>0.0631</v>
      </c>
      <c r="AG93" s="22" t="n">
        <v>0.0423</v>
      </c>
      <c r="AH93" s="22" t="n">
        <v>0.0354</v>
      </c>
      <c r="AI93" s="22" t="n">
        <v>0.0211</v>
      </c>
      <c r="AJ93" s="22" t="n">
        <v>0.0237</v>
      </c>
      <c r="AK93" s="22" t="n">
        <v>0.011</v>
      </c>
      <c r="AL93" s="22" t="n">
        <v>-0.008</v>
      </c>
      <c r="AM93" s="22" t="n">
        <v>0.0273</v>
      </c>
      <c r="AN93" s="22" t="n">
        <v>0.0229</v>
      </c>
      <c r="AO93" s="22" t="n">
        <v>0.0579</v>
      </c>
      <c r="AP93" s="22" t="n">
        <v>0.0885</v>
      </c>
      <c r="AQ93" s="22" t="n">
        <v>0.0501</v>
      </c>
      <c r="AR93" s="22" t="n">
        <v>0.0416</v>
      </c>
      <c r="AS93" s="22" t="n">
        <v>0.0399</v>
      </c>
      <c r="AT93" s="22" t="n">
        <v>0.0529</v>
      </c>
      <c r="AU93" s="22" t="n">
        <v>0.076</v>
      </c>
      <c r="AV93" s="22" t="n">
        <v>0.126</v>
      </c>
    </row>
    <row r="94" customFormat="false" ht="15" hidden="false" customHeight="false" outlineLevel="0" collapsed="false">
      <c r="A94" s="22" t="s">
        <v>325</v>
      </c>
      <c r="B94" s="22" t="s">
        <v>3</v>
      </c>
      <c r="C94" s="22" t="s">
        <v>325</v>
      </c>
      <c r="D94" s="22" t="n">
        <v>16540</v>
      </c>
      <c r="E94" s="22" t="s">
        <v>132</v>
      </c>
      <c r="F94" s="22" t="s">
        <v>135</v>
      </c>
      <c r="G94" s="22" t="s">
        <v>131</v>
      </c>
      <c r="H94" s="22" t="s">
        <v>131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</row>
    <row r="95" customFormat="false" ht="15" hidden="false" customHeight="false" outlineLevel="0" collapsed="false">
      <c r="A95" s="22" t="s">
        <v>150</v>
      </c>
      <c r="B95" s="22" t="s">
        <v>3</v>
      </c>
      <c r="C95" s="22" t="s">
        <v>150</v>
      </c>
      <c r="D95" s="22" t="n">
        <v>16580</v>
      </c>
      <c r="E95" s="22" t="s">
        <v>132</v>
      </c>
      <c r="F95" s="22" t="s">
        <v>135</v>
      </c>
      <c r="G95" s="22" t="s">
        <v>131</v>
      </c>
      <c r="H95" s="22" t="s">
        <v>131</v>
      </c>
      <c r="I95" s="22" t="n">
        <v>0.0326</v>
      </c>
      <c r="J95" s="22" t="n">
        <v>0.0312</v>
      </c>
      <c r="K95" s="22" t="n">
        <v>0.0139</v>
      </c>
      <c r="L95" s="22" t="n">
        <v>-0.0019</v>
      </c>
      <c r="M95" s="22" t="n">
        <v>0.0038</v>
      </c>
      <c r="N95" s="22" t="n">
        <v>-0.0012</v>
      </c>
      <c r="O95" s="22" t="n">
        <v>0.0025</v>
      </c>
      <c r="P95" s="22" t="n">
        <v>0.0059</v>
      </c>
      <c r="Q95" s="22" t="n">
        <v>0.0367</v>
      </c>
      <c r="R95" s="22" t="n">
        <v>0.0397</v>
      </c>
      <c r="S95" s="22" t="n">
        <v>0.0476</v>
      </c>
      <c r="T95" s="22" t="n">
        <v>0.0307</v>
      </c>
      <c r="U95" s="22" t="n">
        <v>0.0392</v>
      </c>
      <c r="V95" s="22" t="n">
        <v>0.0353</v>
      </c>
      <c r="W95" s="22" t="n">
        <v>0.0324</v>
      </c>
      <c r="X95" s="22" t="n">
        <v>0.0458</v>
      </c>
      <c r="Y95" s="22" t="n">
        <v>0.0135</v>
      </c>
      <c r="Z95" s="22" t="n">
        <v>0.0022</v>
      </c>
      <c r="AA95" s="22" t="n">
        <v>-0.0104</v>
      </c>
      <c r="AB95" s="22" t="n">
        <v>-0.0067</v>
      </c>
      <c r="AC95" s="22" t="n">
        <v>-0.0149</v>
      </c>
      <c r="AD95" s="22" t="n">
        <v>-0.002</v>
      </c>
      <c r="AE95" s="22" t="n">
        <v>0.0104</v>
      </c>
      <c r="AF95" s="22" t="n">
        <v>0.0604</v>
      </c>
      <c r="AG95" s="22" t="n">
        <v>0.0468</v>
      </c>
      <c r="AH95" s="22" t="n">
        <v>0.0674</v>
      </c>
      <c r="AI95" s="22" t="n">
        <v>0.1193</v>
      </c>
      <c r="AJ95" s="22" t="n">
        <v>0.1007</v>
      </c>
      <c r="AK95" s="22" t="n">
        <v>0.1217</v>
      </c>
      <c r="AL95" s="22" t="n">
        <v>0.1019</v>
      </c>
      <c r="AM95" s="22" t="n">
        <v>0.0626</v>
      </c>
      <c r="AN95" s="22" t="n">
        <v>0.0316</v>
      </c>
      <c r="AO95" s="22" t="n">
        <v>0.0397</v>
      </c>
      <c r="AP95" s="22" t="n">
        <v>0.032</v>
      </c>
      <c r="AQ95" s="22" t="n">
        <v>0.0523</v>
      </c>
      <c r="AR95" s="22" t="n">
        <v>0.063</v>
      </c>
      <c r="AS95" s="22" t="n">
        <v>0.0722</v>
      </c>
      <c r="AT95" s="22" t="n">
        <v>0.1725</v>
      </c>
      <c r="AU95" s="22" t="n">
        <v>0.1197</v>
      </c>
      <c r="AV95" s="22" t="n">
        <v>0.1295</v>
      </c>
    </row>
    <row r="96" customFormat="false" ht="15" hidden="false" customHeight="false" outlineLevel="0" collapsed="false">
      <c r="A96" s="22" t="s">
        <v>326</v>
      </c>
      <c r="B96" s="22" t="s">
        <v>3</v>
      </c>
      <c r="C96" s="22" t="s">
        <v>326</v>
      </c>
      <c r="D96" s="22" t="n">
        <v>16660</v>
      </c>
      <c r="E96" s="22" t="s">
        <v>132</v>
      </c>
      <c r="F96" s="22" t="s">
        <v>135</v>
      </c>
      <c r="G96" s="22" t="s">
        <v>131</v>
      </c>
      <c r="H96" s="22" t="s">
        <v>131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 t="n">
        <v>0.1695</v>
      </c>
      <c r="X96" s="22" t="n">
        <v>0.1487</v>
      </c>
      <c r="Y96" s="22" t="n">
        <v>0.1249</v>
      </c>
      <c r="Z96" s="22" t="n">
        <v>0.1429</v>
      </c>
      <c r="AA96" s="22" t="n">
        <v>-0.0015</v>
      </c>
      <c r="AB96" s="22" t="n">
        <v>0.0143</v>
      </c>
      <c r="AC96" s="22" t="n">
        <v>0.0408</v>
      </c>
      <c r="AD96" s="22" t="n">
        <v>0.0245</v>
      </c>
      <c r="AE96" s="22" t="n">
        <v>0.0373</v>
      </c>
      <c r="AF96" s="22" t="n">
        <v>0.0626</v>
      </c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</row>
    <row r="97" customFormat="false" ht="15" hidden="false" customHeight="false" outlineLevel="0" collapsed="false">
      <c r="A97" s="22" t="s">
        <v>48</v>
      </c>
      <c r="B97" s="22" t="s">
        <v>3</v>
      </c>
      <c r="C97" s="22" t="s">
        <v>48</v>
      </c>
      <c r="D97" s="22" t="n">
        <v>16700</v>
      </c>
      <c r="E97" s="22" t="s">
        <v>132</v>
      </c>
      <c r="F97" s="22" t="s">
        <v>135</v>
      </c>
      <c r="G97" s="22" t="s">
        <v>131</v>
      </c>
      <c r="H97" s="22" t="s">
        <v>131</v>
      </c>
      <c r="I97" s="22" t="n">
        <v>0.0618</v>
      </c>
      <c r="J97" s="22" t="n">
        <v>0.0683</v>
      </c>
      <c r="K97" s="22" t="n">
        <v>0.0464</v>
      </c>
      <c r="L97" s="22" t="n">
        <v>0.0558</v>
      </c>
      <c r="M97" s="22" t="n">
        <v>0.0588</v>
      </c>
      <c r="N97" s="22" t="n">
        <v>0.037</v>
      </c>
      <c r="O97" s="22" t="n">
        <v>0.042</v>
      </c>
      <c r="P97" s="22" t="n">
        <v>0.0245</v>
      </c>
      <c r="Q97" s="22" t="n">
        <v>0.03</v>
      </c>
      <c r="R97" s="22" t="n">
        <v>0.0447</v>
      </c>
      <c r="S97" s="22" t="n">
        <v>0.0415</v>
      </c>
      <c r="T97" s="22" t="n">
        <v>0.0362</v>
      </c>
      <c r="U97" s="22" t="n">
        <v>0.0447</v>
      </c>
      <c r="V97" s="22" t="n">
        <v>0.0476</v>
      </c>
      <c r="W97" s="22" t="n">
        <v>0.0511</v>
      </c>
      <c r="X97" s="22" t="n">
        <v>0.0775</v>
      </c>
      <c r="Y97" s="22" t="n">
        <v>0.0621</v>
      </c>
      <c r="Z97" s="22" t="n">
        <v>0.0144</v>
      </c>
      <c r="AA97" s="22" t="n">
        <v>0.0107</v>
      </c>
      <c r="AB97" s="22" t="n">
        <v>0.0033</v>
      </c>
      <c r="AC97" s="22" t="n">
        <v>0.0167</v>
      </c>
      <c r="AD97" s="22" t="n">
        <v>0.1019</v>
      </c>
      <c r="AE97" s="22" t="n">
        <v>0.1865</v>
      </c>
      <c r="AF97" s="22" t="n">
        <v>0.2305</v>
      </c>
      <c r="AG97" s="22" t="n">
        <v>0.2453</v>
      </c>
      <c r="AH97" s="22" t="n">
        <v>0.2227</v>
      </c>
      <c r="AI97" s="22" t="n">
        <v>0.1734</v>
      </c>
      <c r="AJ97" s="22" t="n">
        <v>0.1309</v>
      </c>
      <c r="AK97" s="22" t="n">
        <v>0.1064</v>
      </c>
      <c r="AL97" s="22" t="n">
        <v>0.0681</v>
      </c>
      <c r="AM97" s="22" t="n">
        <v>0.0362</v>
      </c>
      <c r="AN97" s="22" t="n">
        <v>0.0253</v>
      </c>
      <c r="AO97" s="22" t="n">
        <v>0.016</v>
      </c>
      <c r="AP97" s="22" t="n">
        <v>0.0091</v>
      </c>
      <c r="AQ97" s="22" t="n">
        <v>0.0041</v>
      </c>
      <c r="AR97" s="22" t="n">
        <v>-0.0033</v>
      </c>
      <c r="AS97" s="22" t="n">
        <v>0.0026</v>
      </c>
      <c r="AT97" s="22" t="n">
        <v>0.006</v>
      </c>
      <c r="AU97" s="22" t="n">
        <v>-0.0079</v>
      </c>
      <c r="AV97" s="22" t="n">
        <v>0.0039</v>
      </c>
    </row>
    <row r="98" customFormat="false" ht="15" hidden="false" customHeight="false" outlineLevel="0" collapsed="false">
      <c r="A98" s="22" t="s">
        <v>327</v>
      </c>
      <c r="B98" s="22" t="s">
        <v>3</v>
      </c>
      <c r="C98" s="22" t="s">
        <v>327</v>
      </c>
      <c r="D98" s="22" t="n">
        <v>16620</v>
      </c>
      <c r="E98" s="22" t="s">
        <v>132</v>
      </c>
      <c r="F98" s="22" t="s">
        <v>135</v>
      </c>
      <c r="G98" s="22" t="s">
        <v>131</v>
      </c>
      <c r="H98" s="22" t="s">
        <v>131</v>
      </c>
      <c r="I98" s="22"/>
      <c r="J98" s="22" t="n">
        <v>-0.0789</v>
      </c>
      <c r="K98" s="22" t="n">
        <v>-0.2278</v>
      </c>
      <c r="L98" s="22" t="n">
        <v>-0.2043</v>
      </c>
      <c r="M98" s="22" t="n">
        <v>-0.119</v>
      </c>
      <c r="N98" s="22"/>
      <c r="O98" s="22" t="n">
        <v>0.1578</v>
      </c>
      <c r="P98" s="22" t="n">
        <v>0.1507</v>
      </c>
      <c r="Q98" s="22" t="n">
        <v>-0.0744</v>
      </c>
      <c r="R98" s="22" t="n">
        <v>-0.1414</v>
      </c>
      <c r="S98" s="22" t="n">
        <v>-0.0475</v>
      </c>
      <c r="T98" s="22" t="n">
        <v>-0.0473</v>
      </c>
      <c r="U98" s="22" t="n">
        <v>-0.0004</v>
      </c>
      <c r="V98" s="22" t="n">
        <v>0.0046</v>
      </c>
      <c r="W98" s="22" t="n">
        <v>0.2324</v>
      </c>
      <c r="X98" s="22" t="n">
        <v>0.1627</v>
      </c>
      <c r="Y98" s="22" t="n">
        <v>0.1602</v>
      </c>
      <c r="Z98" s="22" t="n">
        <v>0.1524</v>
      </c>
      <c r="AA98" s="22" t="n">
        <v>-0.0589</v>
      </c>
      <c r="AB98" s="22" t="n">
        <v>0.058</v>
      </c>
      <c r="AC98" s="22" t="n">
        <v>0.0652</v>
      </c>
      <c r="AD98" s="22" t="n">
        <v>0.0934</v>
      </c>
      <c r="AE98" s="22" t="n">
        <v>0.0743</v>
      </c>
      <c r="AF98" s="22" t="n">
        <v>0.0632</v>
      </c>
      <c r="AG98" s="22" t="n">
        <v>0.1135</v>
      </c>
      <c r="AH98" s="22" t="n">
        <v>0.1205</v>
      </c>
      <c r="AI98" s="22" t="n">
        <v>0.1677</v>
      </c>
      <c r="AJ98" s="22" t="n">
        <v>0.1155</v>
      </c>
      <c r="AK98" s="22" t="n">
        <v>0.0868</v>
      </c>
      <c r="AL98" s="22" t="n">
        <v>0.0812</v>
      </c>
      <c r="AM98" s="22" t="n">
        <v>0.0606</v>
      </c>
      <c r="AN98" s="22" t="n">
        <v>0.0558</v>
      </c>
      <c r="AO98" s="22" t="n">
        <v>0.0258</v>
      </c>
      <c r="AP98" s="22" t="n">
        <v>0.0447</v>
      </c>
      <c r="AQ98" s="22" t="n">
        <v>0.0983</v>
      </c>
      <c r="AR98" s="22" t="n">
        <v>0.1309</v>
      </c>
      <c r="AS98" s="22" t="n">
        <v>0.1307</v>
      </c>
      <c r="AT98" s="22"/>
      <c r="AU98" s="22"/>
      <c r="AV98" s="22"/>
    </row>
    <row r="99" customFormat="false" ht="15" hidden="false" customHeight="false" outlineLevel="0" collapsed="false">
      <c r="A99" s="22" t="s">
        <v>68</v>
      </c>
      <c r="B99" s="22" t="s">
        <v>3</v>
      </c>
      <c r="C99" s="22" t="s">
        <v>68</v>
      </c>
      <c r="D99" s="22" t="n">
        <v>16740</v>
      </c>
      <c r="E99" s="22" t="s">
        <v>132</v>
      </c>
      <c r="F99" s="22" t="s">
        <v>135</v>
      </c>
      <c r="G99" s="22" t="s">
        <v>131</v>
      </c>
      <c r="H99" s="22" t="s">
        <v>131</v>
      </c>
      <c r="I99" s="22" t="n">
        <v>0.0823</v>
      </c>
      <c r="J99" s="22" t="n">
        <v>0.0703</v>
      </c>
      <c r="K99" s="22" t="n">
        <v>0.0531</v>
      </c>
      <c r="L99" s="22" t="n">
        <v>0.049</v>
      </c>
      <c r="M99" s="22" t="n">
        <v>0.0468</v>
      </c>
      <c r="N99" s="22" t="n">
        <v>0.04</v>
      </c>
      <c r="O99" s="22" t="n">
        <v>0.0461</v>
      </c>
      <c r="P99" s="22" t="n">
        <v>0.0384</v>
      </c>
      <c r="Q99" s="22" t="n">
        <v>0.0383</v>
      </c>
      <c r="R99" s="22" t="n">
        <v>0.0457</v>
      </c>
      <c r="S99" s="22" t="n">
        <v>0.05</v>
      </c>
      <c r="T99" s="22" t="n">
        <v>0.0562</v>
      </c>
      <c r="U99" s="22" t="n">
        <v>0.0605</v>
      </c>
      <c r="V99" s="22" t="n">
        <v>0.0654</v>
      </c>
      <c r="W99" s="22" t="n">
        <v>0.0677</v>
      </c>
      <c r="X99" s="22" t="n">
        <v>0.0704</v>
      </c>
      <c r="Y99" s="22" t="n">
        <v>0.0638</v>
      </c>
      <c r="Z99" s="22" t="n">
        <v>0.0145</v>
      </c>
      <c r="AA99" s="22" t="n">
        <v>0.0073</v>
      </c>
      <c r="AB99" s="22" t="n">
        <v>0.0222</v>
      </c>
      <c r="AC99" s="22" t="n">
        <v>0.0277</v>
      </c>
      <c r="AD99" s="22" t="n">
        <v>0.0965</v>
      </c>
      <c r="AE99" s="22" t="n">
        <v>0.1623</v>
      </c>
      <c r="AF99" s="22" t="n">
        <v>0.1969</v>
      </c>
      <c r="AG99" s="22" t="n">
        <v>0.2061</v>
      </c>
      <c r="AH99" s="22" t="n">
        <v>0.1937</v>
      </c>
      <c r="AI99" s="22" t="n">
        <v>0.1667</v>
      </c>
      <c r="AJ99" s="22" t="n">
        <v>0.1015</v>
      </c>
      <c r="AK99" s="22" t="n">
        <v>0.0724</v>
      </c>
      <c r="AL99" s="22" t="n">
        <v>0.0387</v>
      </c>
      <c r="AM99" s="22" t="n">
        <v>-0.0093</v>
      </c>
      <c r="AN99" s="22" t="n">
        <v>-0.0207</v>
      </c>
      <c r="AO99" s="22" t="n">
        <v>-0.0201</v>
      </c>
      <c r="AP99" s="22" t="n">
        <v>-0.0263</v>
      </c>
      <c r="AQ99" s="22" t="n">
        <v>-0.0267</v>
      </c>
      <c r="AR99" s="22" t="n">
        <v>-0.0069</v>
      </c>
      <c r="AS99" s="22" t="n">
        <v>-0.0027</v>
      </c>
      <c r="AT99" s="22" t="n">
        <v>0.0014</v>
      </c>
      <c r="AU99" s="22" t="n">
        <v>-0.0032</v>
      </c>
      <c r="AV99" s="22" t="n">
        <v>-0.019</v>
      </c>
    </row>
    <row r="100" customFormat="false" ht="15" hidden="false" customHeight="false" outlineLevel="0" collapsed="false">
      <c r="A100" s="22" t="s">
        <v>328</v>
      </c>
      <c r="B100" s="22" t="s">
        <v>3</v>
      </c>
      <c r="C100" s="22" t="s">
        <v>328</v>
      </c>
      <c r="D100" s="22" t="n">
        <v>16820</v>
      </c>
      <c r="E100" s="22" t="s">
        <v>132</v>
      </c>
      <c r="F100" s="22" t="s">
        <v>135</v>
      </c>
      <c r="G100" s="22" t="s">
        <v>131</v>
      </c>
      <c r="H100" s="22" t="s">
        <v>131</v>
      </c>
      <c r="I100" s="22" t="n">
        <v>0.0136</v>
      </c>
      <c r="J100" s="22" t="n">
        <v>0.041</v>
      </c>
      <c r="K100" s="22" t="n">
        <v>0.0393</v>
      </c>
      <c r="L100" s="22" t="n">
        <v>0.0404</v>
      </c>
      <c r="M100" s="22" t="n">
        <v>0.0507</v>
      </c>
      <c r="N100" s="22" t="n">
        <v>0.0455</v>
      </c>
      <c r="O100" s="22" t="n">
        <v>0.0459</v>
      </c>
      <c r="P100" s="22" t="n">
        <v>0.0258</v>
      </c>
      <c r="Q100" s="22" t="n">
        <v>0.026</v>
      </c>
      <c r="R100" s="22" t="n">
        <v>0.0254</v>
      </c>
      <c r="S100" s="22" t="n">
        <v>0.0297</v>
      </c>
      <c r="T100" s="22" t="n">
        <v>0.0421</v>
      </c>
      <c r="U100" s="22" t="n">
        <v>0.0624</v>
      </c>
      <c r="V100" s="22" t="n">
        <v>0.0639</v>
      </c>
      <c r="W100" s="22" t="n">
        <v>0.0621</v>
      </c>
      <c r="X100" s="22" t="n">
        <v>0.0537</v>
      </c>
      <c r="Y100" s="22" t="n">
        <v>0.0352</v>
      </c>
      <c r="Z100" s="22" t="n">
        <v>0.0054</v>
      </c>
      <c r="AA100" s="22" t="n">
        <v>0.0039</v>
      </c>
      <c r="AB100" s="22" t="n">
        <v>0.0104</v>
      </c>
      <c r="AC100" s="22" t="n">
        <v>0.0166</v>
      </c>
      <c r="AD100" s="22" t="n">
        <v>0.0616</v>
      </c>
      <c r="AE100" s="22" t="n">
        <v>0.0959</v>
      </c>
      <c r="AF100" s="22" t="n">
        <v>0.1044</v>
      </c>
      <c r="AG100" s="22" t="n">
        <v>0.1095</v>
      </c>
      <c r="AH100" s="22" t="n">
        <v>0.1155</v>
      </c>
      <c r="AI100" s="22" t="n">
        <v>0.0772</v>
      </c>
      <c r="AJ100" s="22" t="n">
        <v>0.0706</v>
      </c>
      <c r="AK100" s="22" t="n">
        <v>0.0733</v>
      </c>
      <c r="AL100" s="22" t="n">
        <v>0.0631</v>
      </c>
      <c r="AM100" s="22" t="n">
        <v>0.0465</v>
      </c>
      <c r="AN100" s="22" t="n">
        <v>0.0576</v>
      </c>
      <c r="AO100" s="22" t="n">
        <v>0.0504</v>
      </c>
      <c r="AP100" s="22" t="n">
        <v>0.0417</v>
      </c>
      <c r="AQ100" s="22" t="n">
        <v>0.0565</v>
      </c>
      <c r="AR100" s="22" t="n">
        <v>0.0388</v>
      </c>
      <c r="AS100" s="22" t="n">
        <v>0.0432</v>
      </c>
      <c r="AT100" s="22" t="n">
        <v>0.0462</v>
      </c>
      <c r="AU100" s="22" t="n">
        <v>0.0265</v>
      </c>
      <c r="AV100" s="22" t="n">
        <v>0.0047</v>
      </c>
    </row>
    <row r="101" customFormat="false" ht="15" hidden="false" customHeight="false" outlineLevel="0" collapsed="false">
      <c r="A101" s="22" t="s">
        <v>39</v>
      </c>
      <c r="B101" s="22" t="s">
        <v>3</v>
      </c>
      <c r="C101" s="22" t="s">
        <v>39</v>
      </c>
      <c r="D101" s="22" t="n">
        <v>16860</v>
      </c>
      <c r="E101" s="22" t="s">
        <v>132</v>
      </c>
      <c r="F101" s="22" t="s">
        <v>135</v>
      </c>
      <c r="G101" s="22" t="s">
        <v>131</v>
      </c>
      <c r="H101" s="22" t="s">
        <v>131</v>
      </c>
      <c r="I101" s="22" t="n">
        <v>0.086</v>
      </c>
      <c r="J101" s="22" t="n">
        <v>0.0762</v>
      </c>
      <c r="K101" s="22" t="n">
        <v>0.0582</v>
      </c>
      <c r="L101" s="22" t="n">
        <v>0.0526</v>
      </c>
      <c r="M101" s="22" t="n">
        <v>0.0455</v>
      </c>
      <c r="N101" s="22" t="n">
        <v>0.0488</v>
      </c>
      <c r="O101" s="22" t="n">
        <v>0.0544</v>
      </c>
      <c r="P101" s="22" t="n">
        <v>0.0573</v>
      </c>
      <c r="Q101" s="22" t="n">
        <v>0.0232</v>
      </c>
      <c r="R101" s="22" t="n">
        <v>0.0122</v>
      </c>
      <c r="S101" s="22" t="n">
        <v>0.0219</v>
      </c>
      <c r="T101" s="22" t="n">
        <v>0.024</v>
      </c>
      <c r="U101" s="22" t="n">
        <v>0.0453</v>
      </c>
      <c r="V101" s="22" t="n">
        <v>0.054</v>
      </c>
      <c r="W101" s="22" t="n">
        <v>0.0659</v>
      </c>
      <c r="X101" s="22" t="n">
        <v>0.0636</v>
      </c>
      <c r="Y101" s="22" t="n">
        <v>0.0599</v>
      </c>
      <c r="Z101" s="22" t="n">
        <v>0.0449</v>
      </c>
      <c r="AA101" s="22" t="n">
        <v>0.0527</v>
      </c>
      <c r="AB101" s="22" t="n">
        <v>0.0745</v>
      </c>
      <c r="AC101" s="22" t="n">
        <v>0.0695</v>
      </c>
      <c r="AD101" s="22" t="n">
        <v>0.1118</v>
      </c>
      <c r="AE101" s="22" t="n">
        <v>0.1509</v>
      </c>
      <c r="AF101" s="22" t="n">
        <v>0.1772</v>
      </c>
      <c r="AG101" s="22" t="n">
        <v>0.1877</v>
      </c>
      <c r="AH101" s="22" t="n">
        <v>0.1951</v>
      </c>
      <c r="AI101" s="22" t="n">
        <v>0.1528</v>
      </c>
      <c r="AJ101" s="22" t="n">
        <v>0.1041</v>
      </c>
      <c r="AK101" s="22" t="n">
        <v>0.0967</v>
      </c>
      <c r="AL101" s="22" t="n">
        <v>0.0458</v>
      </c>
      <c r="AM101" s="22" t="n">
        <v>0.0097</v>
      </c>
      <c r="AN101" s="22" t="n">
        <v>0.0016</v>
      </c>
      <c r="AO101" s="22" t="n">
        <v>-0.0186</v>
      </c>
      <c r="AP101" s="22" t="n">
        <v>0.0007</v>
      </c>
      <c r="AQ101" s="22" t="n">
        <v>0.0012</v>
      </c>
      <c r="AR101" s="22" t="n">
        <v>-0.009</v>
      </c>
      <c r="AS101" s="22" t="n">
        <v>-0.0028</v>
      </c>
      <c r="AT101" s="22" t="n">
        <v>-0.0046</v>
      </c>
      <c r="AU101" s="22" t="n">
        <v>-0.0026</v>
      </c>
      <c r="AV101" s="22" t="n">
        <v>0.0104</v>
      </c>
    </row>
    <row r="102" customFormat="false" ht="15" hidden="false" customHeight="false" outlineLevel="0" collapsed="false">
      <c r="A102" s="22" t="s">
        <v>329</v>
      </c>
      <c r="B102" s="22" t="s">
        <v>3</v>
      </c>
      <c r="C102" s="22" t="s">
        <v>329</v>
      </c>
      <c r="D102" s="22" t="n">
        <v>16940</v>
      </c>
      <c r="E102" s="22" t="s">
        <v>132</v>
      </c>
      <c r="F102" s="22" t="s">
        <v>135</v>
      </c>
      <c r="G102" s="22" t="s">
        <v>131</v>
      </c>
      <c r="H102" s="22" t="s">
        <v>131</v>
      </c>
      <c r="I102" s="22" t="n">
        <v>0.0403</v>
      </c>
      <c r="J102" s="22" t="n">
        <v>0.0231</v>
      </c>
      <c r="K102" s="22" t="n">
        <v>0.0406</v>
      </c>
      <c r="L102" s="22" t="n">
        <v>0.0142</v>
      </c>
      <c r="M102" s="22" t="n">
        <v>0.1698</v>
      </c>
      <c r="N102" s="22" t="n">
        <v>0.1699</v>
      </c>
      <c r="O102" s="22" t="n">
        <v>0.1518</v>
      </c>
      <c r="P102" s="22" t="n">
        <v>0.1673</v>
      </c>
      <c r="Q102" s="22" t="n">
        <v>-0.0166</v>
      </c>
      <c r="R102" s="22" t="n">
        <v>0.0093</v>
      </c>
      <c r="S102" s="22" t="n">
        <v>0.0173</v>
      </c>
      <c r="T102" s="22" t="n">
        <v>0.0229</v>
      </c>
      <c r="U102" s="22" t="n">
        <v>0.0176</v>
      </c>
      <c r="V102" s="22" t="n">
        <v>0.0252</v>
      </c>
      <c r="W102" s="22" t="n">
        <v>0.0253</v>
      </c>
      <c r="X102" s="22" t="n">
        <v>0.023</v>
      </c>
      <c r="Y102" s="22" t="n">
        <v>0.0625</v>
      </c>
      <c r="Z102" s="22" t="n">
        <v>0.0557</v>
      </c>
      <c r="AA102" s="22" t="n">
        <v>0.061</v>
      </c>
      <c r="AB102" s="22" t="n">
        <v>0.0797</v>
      </c>
      <c r="AC102" s="22" t="n">
        <v>0.0728</v>
      </c>
      <c r="AD102" s="22" t="n">
        <v>0.0691</v>
      </c>
      <c r="AE102" s="22" t="n">
        <v>0.0638</v>
      </c>
      <c r="AF102" s="22" t="n">
        <v>0.072</v>
      </c>
      <c r="AG102" s="22" t="n">
        <v>0.0613</v>
      </c>
      <c r="AH102" s="22" t="n">
        <v>0.0622</v>
      </c>
      <c r="AI102" s="22" t="n">
        <v>0.0708</v>
      </c>
      <c r="AJ102" s="22" t="n">
        <v>0.0641</v>
      </c>
      <c r="AK102" s="22" t="n">
        <v>0.0411</v>
      </c>
      <c r="AL102" s="22" t="n">
        <v>0.0432</v>
      </c>
      <c r="AM102" s="22" t="n">
        <v>0.0433</v>
      </c>
      <c r="AN102" s="22" t="n">
        <v>0.0062</v>
      </c>
      <c r="AO102" s="22" t="n">
        <v>0.1055</v>
      </c>
      <c r="AP102" s="22" t="n">
        <v>0.1281</v>
      </c>
      <c r="AQ102" s="22" t="n">
        <v>0.1267</v>
      </c>
      <c r="AR102" s="22" t="n">
        <v>0.1051</v>
      </c>
      <c r="AS102" s="22" t="n">
        <v>0.0531</v>
      </c>
      <c r="AT102" s="22" t="n">
        <v>0.0937</v>
      </c>
      <c r="AU102" s="22" t="n">
        <v>0.0796</v>
      </c>
      <c r="AV102" s="22" t="n">
        <v>0.1408</v>
      </c>
    </row>
    <row r="103" customFormat="false" ht="15" hidden="false" customHeight="false" outlineLevel="0" collapsed="false">
      <c r="A103" s="22" t="s">
        <v>151</v>
      </c>
      <c r="B103" s="22" t="s">
        <v>3</v>
      </c>
      <c r="C103" s="22" t="s">
        <v>151</v>
      </c>
      <c r="D103" s="22" t="n">
        <v>216980</v>
      </c>
      <c r="E103" s="22" t="s">
        <v>132</v>
      </c>
      <c r="F103" s="22" t="s">
        <v>135</v>
      </c>
      <c r="G103" s="22" t="s">
        <v>131</v>
      </c>
      <c r="H103" s="22" t="s">
        <v>131</v>
      </c>
      <c r="I103" s="22" t="n">
        <v>0.0558</v>
      </c>
      <c r="J103" s="22" t="n">
        <v>0.0585</v>
      </c>
      <c r="K103" s="22" t="n">
        <v>0.0423</v>
      </c>
      <c r="L103" s="22" t="n">
        <v>0.0272</v>
      </c>
      <c r="M103" s="22" t="n">
        <v>0.0296</v>
      </c>
      <c r="N103" s="22" t="n">
        <v>0.0327</v>
      </c>
      <c r="O103" s="22" t="n">
        <v>0.0334</v>
      </c>
      <c r="P103" s="22" t="n">
        <v>0.0396</v>
      </c>
      <c r="Q103" s="22" t="n">
        <v>0.0292</v>
      </c>
      <c r="R103" s="22" t="n">
        <v>0.0208</v>
      </c>
      <c r="S103" s="22" t="n">
        <v>0.0396</v>
      </c>
      <c r="T103" s="22" t="n">
        <v>0.0604</v>
      </c>
      <c r="U103" s="22" t="n">
        <v>0.067</v>
      </c>
      <c r="V103" s="22" t="n">
        <v>0.068</v>
      </c>
      <c r="W103" s="22" t="n">
        <v>0.0577</v>
      </c>
      <c r="X103" s="22" t="n">
        <v>0.0265</v>
      </c>
      <c r="Y103" s="22" t="n">
        <v>0.0303</v>
      </c>
      <c r="Z103" s="22" t="n">
        <v>-0.0051</v>
      </c>
      <c r="AA103" s="22" t="n">
        <v>-0.0388</v>
      </c>
      <c r="AB103" s="22" t="n">
        <v>-0.0497</v>
      </c>
      <c r="AC103" s="22" t="n">
        <v>-0.058</v>
      </c>
      <c r="AD103" s="22" t="n">
        <v>-0.003</v>
      </c>
      <c r="AE103" s="22" t="n">
        <v>0.0916</v>
      </c>
      <c r="AF103" s="22" t="n">
        <v>0.1605</v>
      </c>
      <c r="AG103" s="22" t="n">
        <v>0.184</v>
      </c>
      <c r="AH103" s="22" t="n">
        <v>0.1723</v>
      </c>
      <c r="AI103" s="22" t="n">
        <v>0.1243</v>
      </c>
      <c r="AJ103" s="22" t="n">
        <v>0.0929</v>
      </c>
      <c r="AK103" s="22" t="n">
        <v>0.0748</v>
      </c>
      <c r="AL103" s="22" t="n">
        <v>0.0541</v>
      </c>
      <c r="AM103" s="22" t="n">
        <v>0.0409</v>
      </c>
      <c r="AN103" s="22" t="n">
        <v>0.0474</v>
      </c>
      <c r="AO103" s="22" t="n">
        <v>0.0492</v>
      </c>
      <c r="AP103" s="22" t="n">
        <v>0.0449</v>
      </c>
      <c r="AQ103" s="22" t="n">
        <v>0.049</v>
      </c>
      <c r="AR103" s="22" t="n">
        <v>0.0536</v>
      </c>
      <c r="AS103" s="22" t="n">
        <v>0.0596</v>
      </c>
      <c r="AT103" s="22" t="n">
        <v>0.0814</v>
      </c>
      <c r="AU103" s="22" t="n">
        <v>0.0783</v>
      </c>
      <c r="AV103" s="22" t="n">
        <v>0.0649</v>
      </c>
    </row>
    <row r="104" customFormat="false" ht="15" hidden="false" customHeight="false" outlineLevel="0" collapsed="false">
      <c r="A104" s="22" t="s">
        <v>330</v>
      </c>
      <c r="B104" s="22" t="s">
        <v>3</v>
      </c>
      <c r="C104" s="22" t="s">
        <v>330</v>
      </c>
      <c r="D104" s="22" t="n">
        <v>17020</v>
      </c>
      <c r="E104" s="22" t="s">
        <v>132</v>
      </c>
      <c r="F104" s="22" t="s">
        <v>135</v>
      </c>
      <c r="G104" s="22" t="s">
        <v>131</v>
      </c>
      <c r="H104" s="22" t="s">
        <v>131</v>
      </c>
      <c r="I104" s="22" t="n">
        <v>0.06</v>
      </c>
      <c r="J104" s="22" t="n">
        <v>0.0594</v>
      </c>
      <c r="K104" s="22" t="n">
        <v>0.0656</v>
      </c>
      <c r="L104" s="22" t="n">
        <v>0.0787</v>
      </c>
      <c r="M104" s="22" t="n">
        <v>0.0539</v>
      </c>
      <c r="N104" s="22" t="n">
        <v>0.0557</v>
      </c>
      <c r="O104" s="22" t="n">
        <v>0.042</v>
      </c>
      <c r="P104" s="22" t="n">
        <v>0.0279</v>
      </c>
      <c r="Q104" s="22" t="n">
        <v>0.031</v>
      </c>
      <c r="R104" s="22" t="n">
        <v>0.0256</v>
      </c>
      <c r="S104" s="22" t="n">
        <v>0.0516</v>
      </c>
      <c r="T104" s="22" t="n">
        <v>0.0336</v>
      </c>
      <c r="U104" s="22" t="n">
        <v>0.057</v>
      </c>
      <c r="V104" s="22" t="n">
        <v>0.0865</v>
      </c>
      <c r="W104" s="22" t="n">
        <v>0.0731</v>
      </c>
      <c r="X104" s="22" t="n">
        <v>0.0944</v>
      </c>
      <c r="Y104" s="22" t="n">
        <v>0.0501</v>
      </c>
      <c r="Z104" s="22" t="n">
        <v>0.0113</v>
      </c>
      <c r="AA104" s="22" t="n">
        <v>0.0094</v>
      </c>
      <c r="AB104" s="22" t="n">
        <v>0.0179</v>
      </c>
      <c r="AC104" s="22" t="n">
        <v>0.016</v>
      </c>
      <c r="AD104" s="22" t="n">
        <v>0.0434</v>
      </c>
      <c r="AE104" s="22" t="n">
        <v>0.0301</v>
      </c>
      <c r="AF104" s="22" t="n">
        <v>0.0203</v>
      </c>
      <c r="AG104" s="22" t="n">
        <v>0.0672</v>
      </c>
      <c r="AH104" s="22" t="n">
        <v>0.0806</v>
      </c>
      <c r="AI104" s="22" t="n">
        <v>0.1091</v>
      </c>
      <c r="AJ104" s="22" t="n">
        <v>0.1223</v>
      </c>
      <c r="AK104" s="22" t="n">
        <v>0.1065</v>
      </c>
      <c r="AL104" s="22" t="n">
        <v>0.0941</v>
      </c>
      <c r="AM104" s="22" t="n">
        <v>0.0862</v>
      </c>
      <c r="AN104" s="22" t="n">
        <v>0.0659</v>
      </c>
      <c r="AO104" s="22" t="n">
        <v>0.0456</v>
      </c>
      <c r="AP104" s="22" t="n">
        <v>0.0252</v>
      </c>
      <c r="AQ104" s="22" t="n">
        <v>0.03</v>
      </c>
      <c r="AR104" s="22" t="n">
        <v>0.0228</v>
      </c>
      <c r="AS104" s="22" t="n">
        <v>0.023</v>
      </c>
      <c r="AT104" s="22" t="n">
        <v>0.0292</v>
      </c>
      <c r="AU104" s="22" t="n">
        <v>0.0372</v>
      </c>
      <c r="AV104" s="22" t="n">
        <v>0.0421</v>
      </c>
    </row>
    <row r="105" customFormat="false" ht="15" hidden="false" customHeight="false" outlineLevel="0" collapsed="false">
      <c r="A105" s="22" t="s">
        <v>331</v>
      </c>
      <c r="B105" s="22" t="s">
        <v>3</v>
      </c>
      <c r="C105" s="22" t="s">
        <v>331</v>
      </c>
      <c r="D105" s="22" t="n">
        <v>17060</v>
      </c>
      <c r="E105" s="22" t="s">
        <v>132</v>
      </c>
      <c r="F105" s="22" t="s">
        <v>135</v>
      </c>
      <c r="G105" s="22" t="s">
        <v>131</v>
      </c>
      <c r="H105" s="22" t="s">
        <v>131</v>
      </c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 t="n">
        <v>0.2093</v>
      </c>
      <c r="Z105" s="22" t="n">
        <v>0.2188</v>
      </c>
      <c r="AA105" s="22" t="n">
        <v>0.022</v>
      </c>
      <c r="AB105" s="22" t="n">
        <v>0.0318</v>
      </c>
      <c r="AC105" s="22" t="n">
        <v>0.0386</v>
      </c>
      <c r="AD105" s="22" t="n">
        <v>0.0422</v>
      </c>
      <c r="AE105" s="22" t="n">
        <v>0.0409</v>
      </c>
      <c r="AF105" s="22" t="n">
        <v>0.018</v>
      </c>
      <c r="AG105" s="22"/>
      <c r="AH105" s="22" t="n">
        <v>0.0601</v>
      </c>
      <c r="AI105" s="22"/>
      <c r="AJ105" s="22"/>
      <c r="AK105" s="22"/>
      <c r="AL105" s="22"/>
      <c r="AM105" s="22"/>
      <c r="AN105" s="22" t="n">
        <v>0.091</v>
      </c>
      <c r="AO105" s="22" t="n">
        <v>0.1238</v>
      </c>
      <c r="AP105" s="22" t="n">
        <v>0.0541</v>
      </c>
      <c r="AQ105" s="22" t="n">
        <v>-0.0683</v>
      </c>
      <c r="AR105" s="22" t="n">
        <v>0.0139</v>
      </c>
      <c r="AS105" s="22" t="n">
        <v>0.0109</v>
      </c>
      <c r="AT105" s="22"/>
      <c r="AU105" s="22"/>
      <c r="AV105" s="22"/>
    </row>
    <row r="106" customFormat="false" ht="15" hidden="false" customHeight="false" outlineLevel="0" collapsed="false">
      <c r="A106" s="22" t="s">
        <v>38</v>
      </c>
      <c r="B106" s="22" t="s">
        <v>3</v>
      </c>
      <c r="C106" s="22" t="s">
        <v>38</v>
      </c>
      <c r="D106" s="22" t="n">
        <v>17140</v>
      </c>
      <c r="E106" s="22" t="s">
        <v>132</v>
      </c>
      <c r="F106" s="22" t="s">
        <v>135</v>
      </c>
      <c r="G106" s="22" t="s">
        <v>131</v>
      </c>
      <c r="H106" s="22" t="s">
        <v>131</v>
      </c>
      <c r="I106" s="22" t="n">
        <v>0.0357</v>
      </c>
      <c r="J106" s="22" t="n">
        <v>0.0481</v>
      </c>
      <c r="K106" s="22" t="n">
        <v>0.0325</v>
      </c>
      <c r="L106" s="22" t="n">
        <v>0.0341</v>
      </c>
      <c r="M106" s="22" t="n">
        <v>0.0268</v>
      </c>
      <c r="N106" s="22" t="n">
        <v>0.0364</v>
      </c>
      <c r="O106" s="22" t="n">
        <v>0.041</v>
      </c>
      <c r="P106" s="22" t="n">
        <v>0.0441</v>
      </c>
      <c r="Q106" s="22" t="n">
        <v>0.0387</v>
      </c>
      <c r="R106" s="22" t="n">
        <v>0.0289</v>
      </c>
      <c r="S106" s="22" t="n">
        <v>0.0414</v>
      </c>
      <c r="T106" s="22" t="n">
        <v>0.0415</v>
      </c>
      <c r="U106" s="22" t="n">
        <v>0.0503</v>
      </c>
      <c r="V106" s="22" t="n">
        <v>0.0512</v>
      </c>
      <c r="W106" s="22" t="n">
        <v>0.0555</v>
      </c>
      <c r="X106" s="22" t="n">
        <v>0.0532</v>
      </c>
      <c r="Y106" s="22" t="n">
        <v>0.0485</v>
      </c>
      <c r="Z106" s="22" t="n">
        <v>0.0416</v>
      </c>
      <c r="AA106" s="22" t="n">
        <v>0.0231</v>
      </c>
      <c r="AB106" s="22" t="n">
        <v>0.0216</v>
      </c>
      <c r="AC106" s="22" t="n">
        <v>0.0297</v>
      </c>
      <c r="AD106" s="22" t="n">
        <v>0.0567</v>
      </c>
      <c r="AE106" s="22" t="n">
        <v>0.0932</v>
      </c>
      <c r="AF106" s="22" t="n">
        <v>0.1258</v>
      </c>
      <c r="AG106" s="22" t="n">
        <v>0.1444</v>
      </c>
      <c r="AH106" s="22" t="n">
        <v>0.1459</v>
      </c>
      <c r="AI106" s="22" t="n">
        <v>0.1621</v>
      </c>
      <c r="AJ106" s="22" t="n">
        <v>0.1388</v>
      </c>
      <c r="AK106" s="22" t="n">
        <v>0.1168</v>
      </c>
      <c r="AL106" s="22" t="n">
        <v>0.095</v>
      </c>
      <c r="AM106" s="22" t="n">
        <v>0.0589</v>
      </c>
      <c r="AN106" s="22" t="n">
        <v>0.0414</v>
      </c>
      <c r="AO106" s="22" t="n">
        <v>0.043</v>
      </c>
      <c r="AP106" s="22" t="n">
        <v>0.0476</v>
      </c>
      <c r="AQ106" s="22" t="n">
        <v>0.0443</v>
      </c>
      <c r="AR106" s="22" t="n">
        <v>0.0422</v>
      </c>
      <c r="AS106" s="22" t="n">
        <v>0.0448</v>
      </c>
      <c r="AT106" s="22" t="n">
        <v>0.0632</v>
      </c>
      <c r="AU106" s="22" t="n">
        <v>0.0655</v>
      </c>
      <c r="AV106" s="22" t="n">
        <v>0.0567</v>
      </c>
    </row>
    <row r="107" customFormat="false" ht="15" hidden="false" customHeight="false" outlineLevel="0" collapsed="false">
      <c r="A107" s="22" t="s">
        <v>332</v>
      </c>
      <c r="B107" s="22" t="s">
        <v>3</v>
      </c>
      <c r="C107" s="22" t="s">
        <v>332</v>
      </c>
      <c r="D107" s="22" t="n">
        <v>17300</v>
      </c>
      <c r="E107" s="22" t="s">
        <v>132</v>
      </c>
      <c r="F107" s="22" t="s">
        <v>135</v>
      </c>
      <c r="G107" s="22" t="s">
        <v>131</v>
      </c>
      <c r="H107" s="22" t="s">
        <v>131</v>
      </c>
      <c r="I107" s="22" t="n">
        <v>0.0799</v>
      </c>
      <c r="J107" s="22" t="n">
        <v>0.0627</v>
      </c>
      <c r="K107" s="22" t="n">
        <v>0.0392</v>
      </c>
      <c r="L107" s="22" t="n">
        <v>0.0331</v>
      </c>
      <c r="M107" s="22" t="n">
        <v>0.0352</v>
      </c>
      <c r="N107" s="22" t="n">
        <v>0.0695</v>
      </c>
      <c r="O107" s="22" t="n">
        <v>0.0606</v>
      </c>
      <c r="P107" s="22" t="n">
        <v>0.0719</v>
      </c>
      <c r="Q107" s="22" t="n">
        <v>0.0618</v>
      </c>
      <c r="R107" s="22" t="n">
        <v>0.0707</v>
      </c>
      <c r="S107" s="22" t="n">
        <v>0.0652</v>
      </c>
      <c r="T107" s="22" t="n">
        <v>0.0567</v>
      </c>
      <c r="U107" s="22" t="n">
        <v>0.0622</v>
      </c>
      <c r="V107" s="22" t="n">
        <v>0.0515</v>
      </c>
      <c r="W107" s="22" t="n">
        <v>0.0574</v>
      </c>
      <c r="X107" s="22" t="n">
        <v>0.0426</v>
      </c>
      <c r="Y107" s="22" t="n">
        <v>0.0406</v>
      </c>
      <c r="Z107" s="22" t="n">
        <v>0.0219</v>
      </c>
      <c r="AA107" s="22" t="n">
        <v>0.021</v>
      </c>
      <c r="AB107" s="22" t="n">
        <v>0.0391</v>
      </c>
      <c r="AC107" s="22" t="n">
        <v>0.0363</v>
      </c>
      <c r="AD107" s="22" t="n">
        <v>0.0722</v>
      </c>
      <c r="AE107" s="22" t="n">
        <v>0.1039</v>
      </c>
      <c r="AF107" s="22" t="n">
        <v>0.1199</v>
      </c>
      <c r="AG107" s="22" t="n">
        <v>0.1404</v>
      </c>
      <c r="AH107" s="22" t="n">
        <v>0.1688</v>
      </c>
      <c r="AI107" s="22" t="n">
        <v>0.1379</v>
      </c>
      <c r="AJ107" s="22" t="n">
        <v>0.0906</v>
      </c>
      <c r="AK107" s="22" t="n">
        <v>0.061</v>
      </c>
      <c r="AL107" s="22" t="n">
        <v>0.0128</v>
      </c>
      <c r="AM107" s="22" t="n">
        <v>0.0117</v>
      </c>
      <c r="AN107" s="22" t="n">
        <v>0.0288</v>
      </c>
      <c r="AO107" s="22" t="n">
        <v>0.0347</v>
      </c>
      <c r="AP107" s="22" t="n">
        <v>0.0554</v>
      </c>
      <c r="AQ107" s="22" t="n">
        <v>0.0717</v>
      </c>
      <c r="AR107" s="22" t="n">
        <v>0.0505</v>
      </c>
      <c r="AS107" s="22" t="n">
        <v>0.0244</v>
      </c>
      <c r="AT107" s="22" t="n">
        <v>-0.0264</v>
      </c>
      <c r="AU107" s="22" t="n">
        <v>-0.0523</v>
      </c>
      <c r="AV107" s="22" t="n">
        <v>-0.046</v>
      </c>
    </row>
    <row r="108" customFormat="false" ht="15" hidden="false" customHeight="false" outlineLevel="0" collapsed="false">
      <c r="A108" s="22" t="s">
        <v>152</v>
      </c>
      <c r="B108" s="22" t="s">
        <v>3</v>
      </c>
      <c r="C108" s="22" t="s">
        <v>152</v>
      </c>
      <c r="D108" s="22" t="n">
        <v>17410</v>
      </c>
      <c r="E108" s="22" t="s">
        <v>132</v>
      </c>
      <c r="F108" s="22" t="s">
        <v>135</v>
      </c>
      <c r="G108" s="22" t="s">
        <v>131</v>
      </c>
      <c r="H108" s="22" t="s">
        <v>131</v>
      </c>
      <c r="I108" s="22" t="n">
        <v>0.0526</v>
      </c>
      <c r="J108" s="22" t="n">
        <v>0.0601</v>
      </c>
      <c r="K108" s="22" t="n">
        <v>0.024</v>
      </c>
      <c r="L108" s="22" t="n">
        <v>0.0204</v>
      </c>
      <c r="M108" s="22" t="n">
        <v>0.0209</v>
      </c>
      <c r="N108" s="22" t="n">
        <v>0.0038</v>
      </c>
      <c r="O108" s="22" t="n">
        <v>0.0113</v>
      </c>
      <c r="P108" s="22" t="n">
        <v>0.0143</v>
      </c>
      <c r="Q108" s="22" t="n">
        <v>0.0151</v>
      </c>
      <c r="R108" s="22" t="n">
        <v>0.0208</v>
      </c>
      <c r="S108" s="22" t="n">
        <v>0.0164</v>
      </c>
      <c r="T108" s="22" t="n">
        <v>0.0186</v>
      </c>
      <c r="U108" s="22" t="n">
        <v>0.0108</v>
      </c>
      <c r="V108" s="22" t="n">
        <v>0.0181</v>
      </c>
      <c r="W108" s="22" t="n">
        <v>0.0517</v>
      </c>
      <c r="X108" s="22" t="n">
        <v>0.0708</v>
      </c>
      <c r="Y108" s="22" t="n">
        <v>0.0758</v>
      </c>
      <c r="Z108" s="22" t="n">
        <v>0.0615</v>
      </c>
      <c r="AA108" s="22" t="n">
        <v>0.0385</v>
      </c>
      <c r="AB108" s="22" t="n">
        <v>0.018</v>
      </c>
      <c r="AC108" s="22" t="n">
        <v>0.0332</v>
      </c>
      <c r="AD108" s="22" t="n">
        <v>0.0423</v>
      </c>
      <c r="AE108" s="22" t="n">
        <v>0.064</v>
      </c>
      <c r="AF108" s="22" t="n">
        <v>0.1001</v>
      </c>
      <c r="AG108" s="22" t="n">
        <v>0.1123</v>
      </c>
      <c r="AH108" s="22" t="n">
        <v>0.1285</v>
      </c>
      <c r="AI108" s="22" t="n">
        <v>0.1332</v>
      </c>
      <c r="AJ108" s="22" t="n">
        <v>0.1131</v>
      </c>
      <c r="AK108" s="22" t="n">
        <v>0.0948</v>
      </c>
      <c r="AL108" s="22" t="n">
        <v>0.0705</v>
      </c>
      <c r="AM108" s="22" t="n">
        <v>0.0412</v>
      </c>
      <c r="AN108" s="22" t="n">
        <v>0.0438</v>
      </c>
      <c r="AO108" s="22" t="n">
        <v>0.0481</v>
      </c>
      <c r="AP108" s="22" t="n">
        <v>0.0539</v>
      </c>
      <c r="AQ108" s="22" t="n">
        <v>0.0696</v>
      </c>
      <c r="AR108" s="22" t="n">
        <v>0.0521</v>
      </c>
      <c r="AS108" s="22" t="n">
        <v>0.0437</v>
      </c>
      <c r="AT108" s="22" t="n">
        <v>0.0625</v>
      </c>
      <c r="AU108" s="22" t="n">
        <v>0.0544</v>
      </c>
      <c r="AV108" s="22" t="n">
        <v>0.0686</v>
      </c>
    </row>
    <row r="109" customFormat="false" ht="15" hidden="false" customHeight="false" outlineLevel="0" collapsed="false">
      <c r="A109" s="22" t="s">
        <v>333</v>
      </c>
      <c r="B109" s="22" t="s">
        <v>3</v>
      </c>
      <c r="C109" s="22" t="s">
        <v>333</v>
      </c>
      <c r="D109" s="22" t="n">
        <v>17420</v>
      </c>
      <c r="E109" s="22" t="s">
        <v>132</v>
      </c>
      <c r="F109" s="22" t="s">
        <v>135</v>
      </c>
      <c r="G109" s="22" t="s">
        <v>131</v>
      </c>
      <c r="H109" s="22" t="s">
        <v>131</v>
      </c>
      <c r="I109" s="22" t="n">
        <v>-0.0335</v>
      </c>
      <c r="J109" s="22" t="n">
        <v>-0.0094</v>
      </c>
      <c r="K109" s="22"/>
      <c r="L109" s="22"/>
      <c r="M109" s="22"/>
      <c r="N109" s="22" t="n">
        <v>-0.065</v>
      </c>
      <c r="O109" s="22" t="n">
        <v>-0.0842</v>
      </c>
      <c r="P109" s="22" t="n">
        <v>-0.1133</v>
      </c>
      <c r="Q109" s="22" t="n">
        <v>-0.0965</v>
      </c>
      <c r="R109" s="22" t="n">
        <v>0.057</v>
      </c>
      <c r="S109" s="22" t="n">
        <v>0.0136</v>
      </c>
      <c r="T109" s="22" t="n">
        <v>0.0195</v>
      </c>
      <c r="U109" s="22" t="n">
        <v>0.0093</v>
      </c>
      <c r="V109" s="22" t="n">
        <v>0.0101</v>
      </c>
      <c r="W109" s="22" t="n">
        <v>0.0304</v>
      </c>
      <c r="X109" s="22" t="n">
        <v>0.0264</v>
      </c>
      <c r="Y109" s="22" t="n">
        <v>0.0451</v>
      </c>
      <c r="Z109" s="22" t="n">
        <v>0.0106</v>
      </c>
      <c r="AA109" s="22" t="n">
        <v>0.0367</v>
      </c>
      <c r="AB109" s="22" t="n">
        <v>0.0726</v>
      </c>
      <c r="AC109" s="22" t="n">
        <v>0.086</v>
      </c>
      <c r="AD109" s="22" t="n">
        <v>0.1139</v>
      </c>
      <c r="AE109" s="22" t="n">
        <v>0.1408</v>
      </c>
      <c r="AF109" s="22" t="n">
        <v>0.1907</v>
      </c>
      <c r="AG109" s="22" t="n">
        <v>0.2493</v>
      </c>
      <c r="AH109" s="22" t="n">
        <v>0.2704</v>
      </c>
      <c r="AI109" s="22" t="n">
        <v>0.2036</v>
      </c>
      <c r="AJ109" s="22" t="n">
        <v>0.1163</v>
      </c>
      <c r="AK109" s="22" t="n">
        <v>0.0252</v>
      </c>
      <c r="AL109" s="22" t="n">
        <v>0.0294</v>
      </c>
      <c r="AM109" s="22" t="n">
        <v>0.0225</v>
      </c>
      <c r="AN109" s="22" t="n">
        <v>0.0346</v>
      </c>
      <c r="AO109" s="22" t="n">
        <v>0.0595</v>
      </c>
      <c r="AP109" s="22" t="n">
        <v>0.0312</v>
      </c>
      <c r="AQ109" s="22" t="n">
        <v>0.104</v>
      </c>
      <c r="AR109" s="22" t="n">
        <v>0.0988</v>
      </c>
      <c r="AS109" s="22" t="n">
        <v>0.0678</v>
      </c>
      <c r="AT109" s="22" t="n">
        <v>0.045</v>
      </c>
      <c r="AU109" s="22" t="n">
        <v>-0.0201</v>
      </c>
      <c r="AV109" s="22" t="n">
        <v>-0.0608</v>
      </c>
    </row>
    <row r="110" customFormat="false" ht="15" hidden="false" customHeight="false" outlineLevel="0" collapsed="false">
      <c r="A110" s="22" t="s">
        <v>334</v>
      </c>
      <c r="B110" s="22" t="s">
        <v>3</v>
      </c>
      <c r="C110" s="22" t="s">
        <v>334</v>
      </c>
      <c r="D110" s="22" t="n">
        <v>17540</v>
      </c>
      <c r="E110" s="22" t="s">
        <v>132</v>
      </c>
      <c r="F110" s="22" t="s">
        <v>135</v>
      </c>
      <c r="G110" s="22" t="s">
        <v>131</v>
      </c>
      <c r="H110" s="22" t="s">
        <v>131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</row>
    <row r="111" customFormat="false" ht="15" hidden="false" customHeight="false" outlineLevel="0" collapsed="false">
      <c r="A111" s="22" t="s">
        <v>335</v>
      </c>
      <c r="B111" s="22" t="s">
        <v>3</v>
      </c>
      <c r="C111" s="22" t="s">
        <v>335</v>
      </c>
      <c r="D111" s="22" t="n">
        <v>17580</v>
      </c>
      <c r="E111" s="22" t="s">
        <v>132</v>
      </c>
      <c r="F111" s="22" t="s">
        <v>135</v>
      </c>
      <c r="G111" s="22" t="s">
        <v>131</v>
      </c>
      <c r="H111" s="22" t="s">
        <v>131</v>
      </c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 t="n">
        <v>0.2707</v>
      </c>
      <c r="AH111" s="22" t="n">
        <v>0.0823</v>
      </c>
      <c r="AI111" s="22" t="n">
        <v>0.0902</v>
      </c>
      <c r="AJ111" s="22" t="n">
        <v>0.0705</v>
      </c>
      <c r="AK111" s="22" t="n">
        <v>0.0138</v>
      </c>
      <c r="AL111" s="22" t="n">
        <v>0.0084</v>
      </c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</row>
    <row r="112" customFormat="false" ht="15" hidden="false" customHeight="false" outlineLevel="0" collapsed="false">
      <c r="A112" s="22" t="s">
        <v>336</v>
      </c>
      <c r="B112" s="22" t="s">
        <v>3</v>
      </c>
      <c r="C112" s="22" t="s">
        <v>336</v>
      </c>
      <c r="D112" s="22" t="n">
        <v>17660</v>
      </c>
      <c r="E112" s="22" t="s">
        <v>132</v>
      </c>
      <c r="F112" s="22" t="s">
        <v>135</v>
      </c>
      <c r="G112" s="22" t="s">
        <v>131</v>
      </c>
      <c r="H112" s="22" t="s">
        <v>131</v>
      </c>
      <c r="I112" s="22" t="n">
        <v>0.0219</v>
      </c>
      <c r="J112" s="22" t="n">
        <v>0.1543</v>
      </c>
      <c r="K112" s="22" t="n">
        <v>0.0524</v>
      </c>
      <c r="L112" s="22" t="n">
        <v>0.0904</v>
      </c>
      <c r="M112" s="22" t="n">
        <v>0.1069</v>
      </c>
      <c r="N112" s="22" t="n">
        <v>0.11</v>
      </c>
      <c r="O112" s="22" t="n">
        <v>0.1326</v>
      </c>
      <c r="P112" s="22" t="n">
        <v>0.0849</v>
      </c>
      <c r="Q112" s="22" t="n">
        <v>0.0812</v>
      </c>
      <c r="R112" s="22" t="n">
        <v>0.0542</v>
      </c>
      <c r="S112" s="22" t="n">
        <v>0.0401</v>
      </c>
      <c r="T112" s="22" t="n">
        <v>0.0474</v>
      </c>
      <c r="U112" s="22" t="n">
        <v>0.0395</v>
      </c>
      <c r="V112" s="22" t="n">
        <v>0.0506</v>
      </c>
      <c r="W112" s="22" t="n">
        <v>0.0689</v>
      </c>
      <c r="X112" s="22" t="n">
        <v>0.0694</v>
      </c>
      <c r="Y112" s="22" t="n">
        <v>0.058</v>
      </c>
      <c r="Z112" s="22" t="n">
        <v>0.0667</v>
      </c>
      <c r="AA112" s="22" t="n">
        <v>0.0595</v>
      </c>
      <c r="AB112" s="22" t="n">
        <v>0.1168</v>
      </c>
      <c r="AC112" s="22" t="n">
        <v>0.2137</v>
      </c>
      <c r="AD112" s="22" t="n">
        <v>0.2809</v>
      </c>
      <c r="AE112" s="22" t="n">
        <v>0.3237</v>
      </c>
      <c r="AF112" s="22" t="n">
        <v>0.2492</v>
      </c>
      <c r="AG112" s="22" t="n">
        <v>0.155</v>
      </c>
      <c r="AH112" s="22" t="n">
        <v>0.1472</v>
      </c>
      <c r="AI112" s="22" t="n">
        <v>0.0837</v>
      </c>
      <c r="AJ112" s="22" t="n">
        <v>0.031</v>
      </c>
      <c r="AK112" s="22" t="n">
        <v>0.0547</v>
      </c>
      <c r="AL112" s="22" t="n">
        <v>-0.0063</v>
      </c>
      <c r="AM112" s="22" t="n">
        <v>-0.0102</v>
      </c>
      <c r="AN112" s="22" t="n">
        <v>0.014</v>
      </c>
      <c r="AO112" s="22" t="n">
        <v>-0.007</v>
      </c>
      <c r="AP112" s="22" t="n">
        <v>0.0015</v>
      </c>
      <c r="AQ112" s="22" t="n">
        <v>0.0124</v>
      </c>
      <c r="AR112" s="22" t="n">
        <v>0.0192</v>
      </c>
      <c r="AS112" s="22" t="n">
        <v>0.0258</v>
      </c>
      <c r="AT112" s="22" t="n">
        <v>0.0372</v>
      </c>
      <c r="AU112" s="22" t="n">
        <v>0.028</v>
      </c>
      <c r="AV112" s="22" t="n">
        <v>0.0244</v>
      </c>
    </row>
    <row r="113" customFormat="false" ht="15" hidden="false" customHeight="false" outlineLevel="0" collapsed="false">
      <c r="A113" s="22" t="s">
        <v>337</v>
      </c>
      <c r="B113" s="22" t="s">
        <v>3</v>
      </c>
      <c r="C113" s="22" t="s">
        <v>337</v>
      </c>
      <c r="D113" s="22" t="n">
        <v>17740</v>
      </c>
      <c r="E113" s="22" t="s">
        <v>132</v>
      </c>
      <c r="F113" s="22" t="s">
        <v>135</v>
      </c>
      <c r="G113" s="22" t="s">
        <v>131</v>
      </c>
      <c r="H113" s="22" t="s">
        <v>131</v>
      </c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 t="n">
        <v>0.0227</v>
      </c>
      <c r="AT113" s="22" t="n">
        <v>0.0292</v>
      </c>
      <c r="AU113" s="22" t="n">
        <v>0.0156</v>
      </c>
      <c r="AV113" s="22" t="n">
        <v>0.0234</v>
      </c>
    </row>
    <row r="114" customFormat="false" ht="15" hidden="false" customHeight="false" outlineLevel="0" collapsed="false">
      <c r="A114" s="22" t="s">
        <v>153</v>
      </c>
      <c r="B114" s="22" t="s">
        <v>3</v>
      </c>
      <c r="C114" s="22" t="s">
        <v>153</v>
      </c>
      <c r="D114" s="22" t="n">
        <v>17780</v>
      </c>
      <c r="E114" s="22" t="s">
        <v>132</v>
      </c>
      <c r="F114" s="22" t="s">
        <v>135</v>
      </c>
      <c r="G114" s="22" t="s">
        <v>131</v>
      </c>
      <c r="H114" s="22" t="s">
        <v>131</v>
      </c>
      <c r="I114" s="22" t="n">
        <v>0.0769</v>
      </c>
      <c r="J114" s="22" t="n">
        <v>0.0706</v>
      </c>
      <c r="K114" s="22" t="n">
        <v>0.0938</v>
      </c>
      <c r="L114" s="22" t="n">
        <v>0.0566</v>
      </c>
      <c r="M114" s="22" t="n">
        <v>0.0671</v>
      </c>
      <c r="N114" s="22" t="n">
        <v>0.0533</v>
      </c>
      <c r="O114" s="22" t="n">
        <v>-0.0045</v>
      </c>
      <c r="P114" s="22" t="n">
        <v>0.0094</v>
      </c>
      <c r="Q114" s="22" t="n">
        <v>0.0001</v>
      </c>
      <c r="R114" s="22" t="n">
        <v>0.0034</v>
      </c>
      <c r="S114" s="22" t="n">
        <v>0.0121</v>
      </c>
      <c r="T114" s="22" t="n">
        <v>0.0046</v>
      </c>
      <c r="U114" s="22" t="n">
        <v>0.001</v>
      </c>
      <c r="V114" s="22" t="n">
        <v>-0.0082</v>
      </c>
      <c r="W114" s="22" t="n">
        <v>0.0337</v>
      </c>
      <c r="X114" s="22" t="n">
        <v>0.0489</v>
      </c>
      <c r="Y114" s="22" t="n">
        <v>0.0387</v>
      </c>
      <c r="Z114" s="22" t="n">
        <v>0.004</v>
      </c>
      <c r="AA114" s="22" t="n">
        <v>0.0005</v>
      </c>
      <c r="AB114" s="22" t="n">
        <v>-0.0217</v>
      </c>
      <c r="AC114" s="22" t="n">
        <v>-0.0004</v>
      </c>
      <c r="AD114" s="22" t="n">
        <v>0.0423</v>
      </c>
      <c r="AE114" s="22" t="n">
        <v>0.0319</v>
      </c>
      <c r="AF114" s="22" t="n">
        <v>0.0805</v>
      </c>
      <c r="AG114" s="22" t="n">
        <v>0.0838</v>
      </c>
      <c r="AH114" s="22" t="n">
        <v>0.107</v>
      </c>
      <c r="AI114" s="22" t="n">
        <v>0.1159</v>
      </c>
      <c r="AJ114" s="22" t="n">
        <v>0.0982</v>
      </c>
      <c r="AK114" s="22" t="n">
        <v>0.0816</v>
      </c>
      <c r="AL114" s="22" t="n">
        <v>0.0847</v>
      </c>
      <c r="AM114" s="22" t="n">
        <v>0.0757</v>
      </c>
      <c r="AN114" s="22" t="n">
        <v>0.0627</v>
      </c>
      <c r="AO114" s="22" t="n">
        <v>0.0571</v>
      </c>
      <c r="AP114" s="22" t="n">
        <v>0.0398</v>
      </c>
      <c r="AQ114" s="22" t="n">
        <v>0.0438</v>
      </c>
      <c r="AR114" s="22" t="n">
        <v>0.0297</v>
      </c>
      <c r="AS114" s="22" t="n">
        <v>0.0246</v>
      </c>
      <c r="AT114" s="22" t="n">
        <v>0.0527</v>
      </c>
      <c r="AU114" s="22" t="n">
        <v>0.0779</v>
      </c>
      <c r="AV114" s="22" t="n">
        <v>0.0941</v>
      </c>
    </row>
    <row r="115" customFormat="false" ht="15" hidden="false" customHeight="false" outlineLevel="0" collapsed="false">
      <c r="A115" s="22" t="s">
        <v>72</v>
      </c>
      <c r="B115" s="22" t="s">
        <v>3</v>
      </c>
      <c r="C115" s="22" t="s">
        <v>72</v>
      </c>
      <c r="D115" s="22" t="n">
        <v>17820</v>
      </c>
      <c r="E115" s="22" t="s">
        <v>132</v>
      </c>
      <c r="F115" s="22" t="s">
        <v>135</v>
      </c>
      <c r="G115" s="22" t="s">
        <v>131</v>
      </c>
      <c r="H115" s="22" t="s">
        <v>131</v>
      </c>
      <c r="I115" s="22" t="n">
        <v>0.0782</v>
      </c>
      <c r="J115" s="22" t="n">
        <v>0.0909</v>
      </c>
      <c r="K115" s="22" t="n">
        <v>0.0947</v>
      </c>
      <c r="L115" s="22" t="n">
        <v>0.091</v>
      </c>
      <c r="M115" s="22" t="n">
        <v>0.0869</v>
      </c>
      <c r="N115" s="22" t="n">
        <v>0.086</v>
      </c>
      <c r="O115" s="22" t="n">
        <v>0.0833</v>
      </c>
      <c r="P115" s="22" t="n">
        <v>0.0525</v>
      </c>
      <c r="Q115" s="22" t="n">
        <v>0.0491</v>
      </c>
      <c r="R115" s="22" t="n">
        <v>0.0346</v>
      </c>
      <c r="S115" s="22" t="n">
        <v>0.0144</v>
      </c>
      <c r="T115" s="22" t="n">
        <v>0.0266</v>
      </c>
      <c r="U115" s="22" t="n">
        <v>0.0485</v>
      </c>
      <c r="V115" s="22" t="n">
        <v>0.0782</v>
      </c>
      <c r="W115" s="22" t="n">
        <v>0.1152</v>
      </c>
      <c r="X115" s="22" t="n">
        <v>0.1191</v>
      </c>
      <c r="Y115" s="22" t="n">
        <v>0.1017</v>
      </c>
      <c r="Z115" s="22" t="n">
        <v>0.0531</v>
      </c>
      <c r="AA115" s="22" t="n">
        <v>0.0427</v>
      </c>
      <c r="AB115" s="22" t="n">
        <v>0.0476</v>
      </c>
      <c r="AC115" s="22" t="n">
        <v>0.0607</v>
      </c>
      <c r="AD115" s="22" t="n">
        <v>0.1309</v>
      </c>
      <c r="AE115" s="22" t="n">
        <v>0.1876</v>
      </c>
      <c r="AF115" s="22" t="n">
        <v>0.179</v>
      </c>
      <c r="AG115" s="22" t="n">
        <v>0.1668</v>
      </c>
      <c r="AH115" s="22" t="n">
        <v>0.137</v>
      </c>
      <c r="AI115" s="22" t="n">
        <v>0.0828</v>
      </c>
      <c r="AJ115" s="22" t="n">
        <v>0.06</v>
      </c>
      <c r="AK115" s="22" t="n">
        <v>0.0382</v>
      </c>
      <c r="AL115" s="22" t="n">
        <v>0.0045</v>
      </c>
      <c r="AM115" s="22" t="n">
        <v>-0.028</v>
      </c>
      <c r="AN115" s="22" t="n">
        <v>-0.0141</v>
      </c>
      <c r="AO115" s="22" t="n">
        <v>-0.013</v>
      </c>
      <c r="AP115" s="22" t="n">
        <v>-0.0279</v>
      </c>
      <c r="AQ115" s="22" t="n">
        <v>-0.0195</v>
      </c>
      <c r="AR115" s="22" t="n">
        <v>-0.0281</v>
      </c>
      <c r="AS115" s="22" t="n">
        <v>-0.0328</v>
      </c>
      <c r="AT115" s="22" t="n">
        <v>-0.0286</v>
      </c>
      <c r="AU115" s="22" t="n">
        <v>-0.0344</v>
      </c>
      <c r="AV115" s="22" t="n">
        <v>-0.0457</v>
      </c>
    </row>
    <row r="116" customFormat="false" ht="15" hidden="false" customHeight="false" outlineLevel="0" collapsed="false">
      <c r="A116" s="22" t="s">
        <v>338</v>
      </c>
      <c r="B116" s="22" t="s">
        <v>3</v>
      </c>
      <c r="C116" s="22" t="s">
        <v>338</v>
      </c>
      <c r="D116" s="22" t="n">
        <v>17860</v>
      </c>
      <c r="E116" s="22" t="s">
        <v>132</v>
      </c>
      <c r="F116" s="22" t="s">
        <v>135</v>
      </c>
      <c r="G116" s="22" t="s">
        <v>131</v>
      </c>
      <c r="H116" s="22" t="s">
        <v>131</v>
      </c>
      <c r="I116" s="22" t="n">
        <v>0.1166</v>
      </c>
      <c r="J116" s="22" t="n">
        <v>0.0886</v>
      </c>
      <c r="K116" s="22" t="n">
        <v>0.0436</v>
      </c>
      <c r="L116" s="22" t="n">
        <v>-0.0145</v>
      </c>
      <c r="M116" s="22" t="n">
        <v>-0.0243</v>
      </c>
      <c r="N116" s="22" t="n">
        <v>-0.0126</v>
      </c>
      <c r="O116" s="22" t="n">
        <v>0.0197</v>
      </c>
      <c r="P116" s="22" t="n">
        <v>0.0301</v>
      </c>
      <c r="Q116" s="22" t="n">
        <v>0.0197</v>
      </c>
      <c r="R116" s="22" t="n">
        <v>-0.0006</v>
      </c>
      <c r="S116" s="22" t="n">
        <v>-0.0076</v>
      </c>
      <c r="T116" s="22" t="n">
        <v>-0.0324</v>
      </c>
      <c r="U116" s="22" t="n">
        <v>-0.0086</v>
      </c>
      <c r="V116" s="22" t="n">
        <v>0.0058</v>
      </c>
      <c r="W116" s="22" t="n">
        <v>0.0043</v>
      </c>
      <c r="X116" s="22" t="n">
        <v>0.0423</v>
      </c>
      <c r="Y116" s="22" t="n">
        <v>0.0318</v>
      </c>
      <c r="Z116" s="22" t="n">
        <v>0.0213</v>
      </c>
      <c r="AA116" s="22" t="n">
        <v>0.0171</v>
      </c>
      <c r="AB116" s="22" t="n">
        <v>0.0683</v>
      </c>
      <c r="AC116" s="22" t="n">
        <v>0.0645</v>
      </c>
      <c r="AD116" s="22" t="n">
        <v>0.077</v>
      </c>
      <c r="AE116" s="22" t="n">
        <v>0.1074</v>
      </c>
      <c r="AF116" s="22" t="n">
        <v>0.0695</v>
      </c>
      <c r="AG116" s="22" t="n">
        <v>0.1131</v>
      </c>
      <c r="AH116" s="22" t="n">
        <v>0.2389</v>
      </c>
      <c r="AI116" s="22" t="n">
        <v>0.2456</v>
      </c>
      <c r="AJ116" s="22" t="n">
        <v>0.2191</v>
      </c>
      <c r="AK116" s="22" t="n">
        <v>0.171</v>
      </c>
      <c r="AL116" s="22" t="n">
        <v>0.0657</v>
      </c>
      <c r="AM116" s="22" t="n">
        <v>0.0246</v>
      </c>
      <c r="AN116" s="22" t="n">
        <v>0.0277</v>
      </c>
      <c r="AO116" s="22" t="n">
        <v>0.0356</v>
      </c>
      <c r="AP116" s="22" t="n">
        <v>0.036</v>
      </c>
      <c r="AQ116" s="22" t="n">
        <v>0.0368</v>
      </c>
      <c r="AR116" s="22" t="n">
        <v>0.0327</v>
      </c>
      <c r="AS116" s="22" t="n">
        <v>0.0417</v>
      </c>
      <c r="AT116" s="22" t="n">
        <v>0.0393</v>
      </c>
      <c r="AU116" s="22" t="n">
        <v>0.0673</v>
      </c>
      <c r="AV116" s="22" t="n">
        <v>0.0599</v>
      </c>
    </row>
    <row r="117" customFormat="false" ht="15" hidden="false" customHeight="false" outlineLevel="0" collapsed="false">
      <c r="A117" s="22" t="s">
        <v>51</v>
      </c>
      <c r="B117" s="22" t="s">
        <v>3</v>
      </c>
      <c r="C117" s="22" t="s">
        <v>51</v>
      </c>
      <c r="D117" s="22" t="n">
        <v>17900</v>
      </c>
      <c r="E117" s="22" t="s">
        <v>132</v>
      </c>
      <c r="F117" s="22" t="s">
        <v>135</v>
      </c>
      <c r="G117" s="22" t="s">
        <v>131</v>
      </c>
      <c r="H117" s="22" t="s">
        <v>131</v>
      </c>
      <c r="I117" s="22" t="n">
        <v>0.0465</v>
      </c>
      <c r="J117" s="22" t="n">
        <v>0.0543</v>
      </c>
      <c r="K117" s="22" t="n">
        <v>0.0324</v>
      </c>
      <c r="L117" s="22" t="n">
        <v>0.0149</v>
      </c>
      <c r="M117" s="22" t="n">
        <v>0.0157</v>
      </c>
      <c r="N117" s="22" t="n">
        <v>0.0126</v>
      </c>
      <c r="O117" s="22" t="n">
        <v>0.0363</v>
      </c>
      <c r="P117" s="22" t="n">
        <v>0.0463</v>
      </c>
      <c r="Q117" s="22" t="n">
        <v>0.04</v>
      </c>
      <c r="R117" s="22" t="n">
        <v>0.0438</v>
      </c>
      <c r="S117" s="22" t="n">
        <v>0.0204</v>
      </c>
      <c r="T117" s="22" t="n">
        <v>0.0426</v>
      </c>
      <c r="U117" s="22" t="n">
        <v>0.0448</v>
      </c>
      <c r="V117" s="22" t="n">
        <v>0.0424</v>
      </c>
      <c r="W117" s="22" t="n">
        <v>0.0473</v>
      </c>
      <c r="X117" s="22" t="n">
        <v>0.024</v>
      </c>
      <c r="Y117" s="22" t="n">
        <v>0.0155</v>
      </c>
      <c r="Z117" s="22" t="n">
        <v>0.007</v>
      </c>
      <c r="AA117" s="22" t="n">
        <v>0.031</v>
      </c>
      <c r="AB117" s="22" t="n">
        <v>0.0628</v>
      </c>
      <c r="AC117" s="22" t="n">
        <v>0.0749</v>
      </c>
      <c r="AD117" s="22" t="n">
        <v>0.1065</v>
      </c>
      <c r="AE117" s="22" t="n">
        <v>0.1335</v>
      </c>
      <c r="AF117" s="22" t="n">
        <v>0.1453</v>
      </c>
      <c r="AG117" s="22" t="n">
        <v>0.146</v>
      </c>
      <c r="AH117" s="22" t="n">
        <v>0.1365</v>
      </c>
      <c r="AI117" s="22" t="n">
        <v>0.1124</v>
      </c>
      <c r="AJ117" s="22" t="n">
        <v>0.0903</v>
      </c>
      <c r="AK117" s="22" t="n">
        <v>0.077</v>
      </c>
      <c r="AL117" s="22" t="n">
        <v>0.0601</v>
      </c>
      <c r="AM117" s="22" t="n">
        <v>0.0336</v>
      </c>
      <c r="AN117" s="22" t="n">
        <v>0.0248</v>
      </c>
      <c r="AO117" s="22" t="n">
        <v>0.0237</v>
      </c>
      <c r="AP117" s="22" t="n">
        <v>0.0216</v>
      </c>
      <c r="AQ117" s="22" t="n">
        <v>0.0228</v>
      </c>
      <c r="AR117" s="22" t="n">
        <v>0.0043</v>
      </c>
      <c r="AS117" s="22" t="n">
        <v>0.0148</v>
      </c>
      <c r="AT117" s="22" t="n">
        <v>0.0113</v>
      </c>
      <c r="AU117" s="22" t="n">
        <v>0.023</v>
      </c>
      <c r="AV117" s="22" t="n">
        <v>0.0377</v>
      </c>
    </row>
    <row r="118" customFormat="false" ht="15" hidden="false" customHeight="false" outlineLevel="0" collapsed="false">
      <c r="A118" s="22" t="s">
        <v>154</v>
      </c>
      <c r="B118" s="22" t="s">
        <v>3</v>
      </c>
      <c r="C118" s="22" t="s">
        <v>154</v>
      </c>
      <c r="D118" s="22" t="n">
        <v>17980</v>
      </c>
      <c r="E118" s="22" t="s">
        <v>132</v>
      </c>
      <c r="F118" s="22" t="s">
        <v>135</v>
      </c>
      <c r="G118" s="22" t="s">
        <v>131</v>
      </c>
      <c r="H118" s="22" t="s">
        <v>131</v>
      </c>
      <c r="I118" s="22" t="n">
        <v>0.0011</v>
      </c>
      <c r="J118" s="22" t="n">
        <v>-0.003</v>
      </c>
      <c r="K118" s="22" t="n">
        <v>0.0152</v>
      </c>
      <c r="L118" s="22" t="n">
        <v>0.0274</v>
      </c>
      <c r="M118" s="22" t="n">
        <v>0.037</v>
      </c>
      <c r="N118" s="22" t="n">
        <v>0.0255</v>
      </c>
      <c r="O118" s="22" t="n">
        <v>0.0095</v>
      </c>
      <c r="P118" s="22" t="n">
        <v>-0.0022</v>
      </c>
      <c r="Q118" s="22" t="n">
        <v>0.0119</v>
      </c>
      <c r="R118" s="22" t="n">
        <v>0.0206</v>
      </c>
      <c r="S118" s="22" t="n">
        <v>0.0203</v>
      </c>
      <c r="T118" s="22" t="n">
        <v>0.0537</v>
      </c>
      <c r="U118" s="22" t="n">
        <v>0.0383</v>
      </c>
      <c r="V118" s="22" t="n">
        <v>0.0486</v>
      </c>
      <c r="W118" s="22" t="n">
        <v>0.0505</v>
      </c>
      <c r="X118" s="22" t="n">
        <v>0.0306</v>
      </c>
      <c r="Y118" s="22" t="n">
        <v>0.0551</v>
      </c>
      <c r="Z118" s="22" t="n">
        <v>0.0552</v>
      </c>
      <c r="AA118" s="22" t="n">
        <v>0.0531</v>
      </c>
      <c r="AB118" s="22" t="n">
        <v>0.05</v>
      </c>
      <c r="AC118" s="22" t="n">
        <v>0.0427</v>
      </c>
      <c r="AD118" s="22" t="n">
        <v>0.061</v>
      </c>
      <c r="AE118" s="22" t="n">
        <v>0.0788</v>
      </c>
      <c r="AF118" s="22" t="n">
        <v>0.0914</v>
      </c>
      <c r="AG118" s="22" t="n">
        <v>0.0967</v>
      </c>
      <c r="AH118" s="22" t="n">
        <v>0.0978</v>
      </c>
      <c r="AI118" s="22" t="n">
        <v>0.0787</v>
      </c>
      <c r="AJ118" s="22" t="n">
        <v>0.0749</v>
      </c>
      <c r="AK118" s="22" t="n">
        <v>0.0697</v>
      </c>
      <c r="AL118" s="22" t="n">
        <v>0.0608</v>
      </c>
      <c r="AM118" s="22" t="n">
        <v>0.0666</v>
      </c>
      <c r="AN118" s="22" t="n">
        <v>0.0496</v>
      </c>
      <c r="AO118" s="22" t="n">
        <v>0.0615</v>
      </c>
      <c r="AP118" s="22" t="n">
        <v>0.051</v>
      </c>
      <c r="AQ118" s="22" t="n">
        <v>0.037</v>
      </c>
      <c r="AR118" s="22" t="n">
        <v>0.0458</v>
      </c>
      <c r="AS118" s="22" t="n">
        <v>0.0302</v>
      </c>
      <c r="AT118" s="22" t="n">
        <v>0.023</v>
      </c>
      <c r="AU118" s="22" t="n">
        <v>0.0419</v>
      </c>
      <c r="AV118" s="22" t="n">
        <v>0.0362</v>
      </c>
    </row>
    <row r="119" customFormat="false" ht="15" hidden="false" customHeight="false" outlineLevel="0" collapsed="false">
      <c r="A119" s="22" t="s">
        <v>339</v>
      </c>
      <c r="B119" s="22" t="s">
        <v>3</v>
      </c>
      <c r="C119" s="22" t="s">
        <v>339</v>
      </c>
      <c r="D119" s="22" t="n">
        <v>18020</v>
      </c>
      <c r="E119" s="22" t="s">
        <v>132</v>
      </c>
      <c r="F119" s="22" t="s">
        <v>135</v>
      </c>
      <c r="G119" s="22" t="s">
        <v>131</v>
      </c>
      <c r="H119" s="22" t="s">
        <v>131</v>
      </c>
      <c r="I119" s="22" t="n">
        <v>0.1249</v>
      </c>
      <c r="J119" s="22" t="n">
        <v>0.1184</v>
      </c>
      <c r="K119" s="22" t="n">
        <v>0.0033</v>
      </c>
      <c r="L119" s="22" t="n">
        <v>0.0035</v>
      </c>
      <c r="M119" s="22" t="n">
        <v>0.0086</v>
      </c>
      <c r="N119" s="22" t="n">
        <v>0.0332</v>
      </c>
      <c r="O119" s="22" t="n">
        <v>0.0274</v>
      </c>
      <c r="P119" s="22" t="n">
        <v>0.0253</v>
      </c>
      <c r="Q119" s="22" t="n">
        <v>0.0083</v>
      </c>
      <c r="R119" s="22" t="n">
        <v>0.0103</v>
      </c>
      <c r="S119" s="22" t="n">
        <v>0.0168</v>
      </c>
      <c r="T119" s="22" t="n">
        <v>0.0264</v>
      </c>
      <c r="U119" s="22" t="n">
        <v>0.0379</v>
      </c>
      <c r="V119" s="22" t="n">
        <v>0.0171</v>
      </c>
      <c r="W119" s="22" t="n">
        <v>0.0015</v>
      </c>
      <c r="X119" s="22" t="n">
        <v>-0.0372</v>
      </c>
      <c r="Y119" s="22" t="n">
        <v>-0.0437</v>
      </c>
      <c r="Z119" s="22" t="n">
        <v>-0.0314</v>
      </c>
      <c r="AA119" s="22" t="n">
        <v>-0.0387</v>
      </c>
      <c r="AB119" s="22" t="n">
        <v>-0.0455</v>
      </c>
      <c r="AC119" s="22" t="n">
        <v>-0.0086</v>
      </c>
      <c r="AD119" s="22" t="n">
        <v>-0.0058</v>
      </c>
      <c r="AE119" s="22" t="n">
        <v>0.0522</v>
      </c>
      <c r="AF119" s="22" t="n">
        <v>0.1025</v>
      </c>
      <c r="AG119" s="22" t="n">
        <v>0.0937</v>
      </c>
      <c r="AH119" s="22" t="n">
        <v>0.1165</v>
      </c>
      <c r="AI119" s="22" t="n">
        <v>0.0983</v>
      </c>
      <c r="AJ119" s="22" t="n">
        <v>0.1021</v>
      </c>
      <c r="AK119" s="22" t="n">
        <v>0.0841</v>
      </c>
      <c r="AL119" s="22" t="n">
        <v>0.0664</v>
      </c>
      <c r="AM119" s="22" t="n">
        <v>0.0782</v>
      </c>
      <c r="AN119" s="22" t="n">
        <v>0.0254</v>
      </c>
      <c r="AO119" s="22" t="n">
        <v>0.0214</v>
      </c>
      <c r="AP119" s="22" t="n">
        <v>0.0201</v>
      </c>
      <c r="AQ119" s="22" t="n">
        <v>0.0061</v>
      </c>
      <c r="AR119" s="22" t="n">
        <v>0.0466</v>
      </c>
      <c r="AS119" s="22" t="n">
        <v>0.0445</v>
      </c>
      <c r="AT119" s="22" t="n">
        <v>0.0768</v>
      </c>
      <c r="AU119" s="22" t="n">
        <v>0.044</v>
      </c>
      <c r="AV119" s="22" t="n">
        <v>0.0166</v>
      </c>
    </row>
    <row r="120" customFormat="false" ht="15" hidden="false" customHeight="false" outlineLevel="0" collapsed="false">
      <c r="A120" s="22" t="s">
        <v>340</v>
      </c>
      <c r="B120" s="22" t="s">
        <v>3</v>
      </c>
      <c r="C120" s="22" t="s">
        <v>340</v>
      </c>
      <c r="D120" s="22" t="n">
        <v>18060</v>
      </c>
      <c r="E120" s="22" t="s">
        <v>132</v>
      </c>
      <c r="F120" s="22" t="s">
        <v>135</v>
      </c>
      <c r="G120" s="22" t="s">
        <v>131</v>
      </c>
      <c r="H120" s="22" t="s">
        <v>131</v>
      </c>
      <c r="I120" s="22"/>
      <c r="J120" s="22"/>
      <c r="K120" s="22"/>
      <c r="L120" s="22"/>
      <c r="M120" s="22"/>
      <c r="N120" s="22" t="n">
        <v>-0.1035</v>
      </c>
      <c r="O120" s="22"/>
      <c r="P120" s="22"/>
      <c r="Q120" s="22" t="n">
        <v>-0.0066</v>
      </c>
      <c r="R120" s="22" t="n">
        <v>0.0514</v>
      </c>
      <c r="S120" s="22" t="n">
        <v>0.0081</v>
      </c>
      <c r="T120" s="22" t="n">
        <v>0.0027</v>
      </c>
      <c r="U120" s="22" t="n">
        <v>0.0418</v>
      </c>
      <c r="V120" s="22" t="n">
        <v>0.0567</v>
      </c>
      <c r="W120" s="22" t="n">
        <v>0.0016</v>
      </c>
      <c r="X120" s="22" t="n">
        <v>0.0175</v>
      </c>
      <c r="Y120" s="22" t="n">
        <v>0.0055</v>
      </c>
      <c r="Z120" s="22" t="n">
        <v>0.0163</v>
      </c>
      <c r="AA120" s="22" t="n">
        <v>0.0339</v>
      </c>
      <c r="AB120" s="22" t="n">
        <v>0.0459</v>
      </c>
      <c r="AC120" s="22" t="n">
        <v>0.0309</v>
      </c>
      <c r="AD120" s="22" t="n">
        <v>0.0258</v>
      </c>
      <c r="AE120" s="22" t="n">
        <v>0.0342</v>
      </c>
      <c r="AF120" s="22"/>
      <c r="AG120" s="22"/>
      <c r="AH120" s="22"/>
      <c r="AI120" s="22"/>
      <c r="AJ120" s="22"/>
      <c r="AK120" s="22" t="n">
        <v>0.1648</v>
      </c>
      <c r="AL120" s="22" t="n">
        <v>0.1288</v>
      </c>
      <c r="AM120" s="22" t="n">
        <v>0.0443</v>
      </c>
      <c r="AN120" s="22" t="n">
        <v>-0.0895</v>
      </c>
      <c r="AO120" s="22" t="n">
        <v>-0.0003</v>
      </c>
      <c r="AP120" s="22" t="n">
        <v>0.0393</v>
      </c>
      <c r="AQ120" s="22" t="n">
        <v>0.048</v>
      </c>
      <c r="AR120" s="22" t="n">
        <v>0.0536</v>
      </c>
      <c r="AS120" s="22" t="n">
        <v>0.0226</v>
      </c>
      <c r="AT120" s="22" t="n">
        <v>0.0189</v>
      </c>
      <c r="AU120" s="22" t="n">
        <v>0.0889</v>
      </c>
      <c r="AV120" s="22" t="n">
        <v>0.0821</v>
      </c>
    </row>
    <row r="121" customFormat="false" ht="15" hidden="false" customHeight="false" outlineLevel="0" collapsed="false">
      <c r="A121" s="22" t="s">
        <v>341</v>
      </c>
      <c r="B121" s="22" t="s">
        <v>3</v>
      </c>
      <c r="C121" s="22" t="s">
        <v>341</v>
      </c>
      <c r="D121" s="22" t="n">
        <v>18100</v>
      </c>
      <c r="E121" s="22" t="s">
        <v>132</v>
      </c>
      <c r="F121" s="22" t="s">
        <v>135</v>
      </c>
      <c r="G121" s="22" t="s">
        <v>131</v>
      </c>
      <c r="H121" s="22" t="s">
        <v>131</v>
      </c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</row>
    <row r="122" customFormat="false" ht="15" hidden="false" customHeight="false" outlineLevel="0" collapsed="false">
      <c r="A122" s="22" t="s">
        <v>29</v>
      </c>
      <c r="B122" s="22" t="s">
        <v>3</v>
      </c>
      <c r="C122" s="22" t="s">
        <v>29</v>
      </c>
      <c r="D122" s="22" t="n">
        <v>18140</v>
      </c>
      <c r="E122" s="22" t="s">
        <v>132</v>
      </c>
      <c r="F122" s="22" t="s">
        <v>135</v>
      </c>
      <c r="G122" s="22" t="s">
        <v>131</v>
      </c>
      <c r="H122" s="22" t="s">
        <v>131</v>
      </c>
      <c r="I122" s="22" t="n">
        <v>0.0513</v>
      </c>
      <c r="J122" s="22" t="n">
        <v>0.0455</v>
      </c>
      <c r="K122" s="22" t="n">
        <v>0.0437</v>
      </c>
      <c r="L122" s="22" t="n">
        <v>0.0423</v>
      </c>
      <c r="M122" s="22" t="n">
        <v>0.0443</v>
      </c>
      <c r="N122" s="22" t="n">
        <v>0.0517</v>
      </c>
      <c r="O122" s="22" t="n">
        <v>0.0583</v>
      </c>
      <c r="P122" s="22" t="n">
        <v>0.0606</v>
      </c>
      <c r="Q122" s="22" t="n">
        <v>0.0575</v>
      </c>
      <c r="R122" s="22" t="n">
        <v>0.0518</v>
      </c>
      <c r="S122" s="22" t="n">
        <v>0.0428</v>
      </c>
      <c r="T122" s="22" t="n">
        <v>0.0424</v>
      </c>
      <c r="U122" s="22" t="n">
        <v>0.0484</v>
      </c>
      <c r="V122" s="22" t="n">
        <v>0.0476</v>
      </c>
      <c r="W122" s="22" t="n">
        <v>0.0486</v>
      </c>
      <c r="X122" s="22" t="n">
        <v>0.0411</v>
      </c>
      <c r="Y122" s="22" t="n">
        <v>0.0487</v>
      </c>
      <c r="Z122" s="22" t="n">
        <v>0.0358</v>
      </c>
      <c r="AA122" s="22" t="n">
        <v>0.0478</v>
      </c>
      <c r="AB122" s="22" t="n">
        <v>0.0512</v>
      </c>
      <c r="AC122" s="22" t="n">
        <v>0.0437</v>
      </c>
      <c r="AD122" s="22" t="n">
        <v>0.0692</v>
      </c>
      <c r="AE122" s="22" t="n">
        <v>0.1</v>
      </c>
      <c r="AF122" s="22" t="n">
        <v>0.1127</v>
      </c>
      <c r="AG122" s="22" t="n">
        <v>0.1227</v>
      </c>
      <c r="AH122" s="22" t="n">
        <v>0.1473</v>
      </c>
      <c r="AI122" s="22" t="n">
        <v>0.126</v>
      </c>
      <c r="AJ122" s="22" t="n">
        <v>0.1098</v>
      </c>
      <c r="AK122" s="22" t="n">
        <v>0.0974</v>
      </c>
      <c r="AL122" s="22" t="n">
        <v>0.0656</v>
      </c>
      <c r="AM122" s="22" t="n">
        <v>0.0381</v>
      </c>
      <c r="AN122" s="22" t="n">
        <v>0.0329</v>
      </c>
      <c r="AO122" s="22" t="n">
        <v>0.0295</v>
      </c>
      <c r="AP122" s="22" t="n">
        <v>0.0285</v>
      </c>
      <c r="AQ122" s="22" t="n">
        <v>0.0299</v>
      </c>
      <c r="AR122" s="22" t="n">
        <v>0.026</v>
      </c>
      <c r="AS122" s="22" t="n">
        <v>0.0373</v>
      </c>
      <c r="AT122" s="22" t="n">
        <v>0.0417</v>
      </c>
      <c r="AU122" s="22" t="n">
        <v>0.038</v>
      </c>
      <c r="AV122" s="22" t="n">
        <v>0.0261</v>
      </c>
    </row>
    <row r="123" customFormat="false" ht="15" hidden="false" customHeight="false" outlineLevel="0" collapsed="false">
      <c r="A123" s="22" t="s">
        <v>342</v>
      </c>
      <c r="B123" s="22" t="s">
        <v>3</v>
      </c>
      <c r="C123" s="22" t="s">
        <v>342</v>
      </c>
      <c r="D123" s="22" t="n">
        <v>18260</v>
      </c>
      <c r="E123" s="22" t="s">
        <v>132</v>
      </c>
      <c r="F123" s="22" t="s">
        <v>135</v>
      </c>
      <c r="G123" s="22" t="s">
        <v>131</v>
      </c>
      <c r="H123" s="22" t="s">
        <v>131</v>
      </c>
      <c r="I123" s="22"/>
      <c r="J123" s="22"/>
      <c r="K123" s="22" t="n">
        <v>0.0007</v>
      </c>
      <c r="L123" s="22" t="n">
        <v>-0.085</v>
      </c>
      <c r="M123" s="22" t="n">
        <v>0.0248</v>
      </c>
      <c r="N123" s="22" t="n">
        <v>0.0004</v>
      </c>
      <c r="O123" s="22" t="n">
        <v>0.1511</v>
      </c>
      <c r="P123" s="22" t="n">
        <v>0.1313</v>
      </c>
      <c r="Q123" s="22" t="n">
        <v>0.1136</v>
      </c>
      <c r="R123" s="22" t="n">
        <v>0.0883</v>
      </c>
      <c r="S123" s="22" t="n">
        <v>0.0838</v>
      </c>
      <c r="T123" s="22" t="n">
        <v>0.0824</v>
      </c>
      <c r="U123" s="22" t="n">
        <v>0.0013</v>
      </c>
      <c r="V123" s="22" t="n">
        <v>0.0263</v>
      </c>
      <c r="W123" s="22" t="n">
        <v>0.1158</v>
      </c>
      <c r="X123" s="22" t="n">
        <v>0.1348</v>
      </c>
      <c r="Y123" s="22" t="n">
        <v>0.134</v>
      </c>
      <c r="Z123" s="22" t="n">
        <v>0.1271</v>
      </c>
      <c r="AA123" s="22" t="n">
        <v>-0.0176</v>
      </c>
      <c r="AB123" s="22" t="n">
        <v>-0.0227</v>
      </c>
      <c r="AC123" s="22" t="n">
        <v>-0.0165</v>
      </c>
      <c r="AD123" s="22" t="n">
        <v>-0.0236</v>
      </c>
      <c r="AE123" s="22" t="n">
        <v>0.0261</v>
      </c>
      <c r="AF123" s="22" t="n">
        <v>0.0207</v>
      </c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</row>
    <row r="124" customFormat="false" ht="15" hidden="false" customHeight="false" outlineLevel="0" collapsed="false">
      <c r="A124" s="22" t="s">
        <v>343</v>
      </c>
      <c r="B124" s="22" t="s">
        <v>3</v>
      </c>
      <c r="C124" s="22" t="s">
        <v>343</v>
      </c>
      <c r="D124" s="22" t="n">
        <v>18380</v>
      </c>
      <c r="E124" s="22" t="s">
        <v>132</v>
      </c>
      <c r="F124" s="22" t="s">
        <v>135</v>
      </c>
      <c r="G124" s="22" t="s">
        <v>131</v>
      </c>
      <c r="H124" s="22" t="s">
        <v>131</v>
      </c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</row>
    <row r="125" customFormat="false" ht="15" hidden="false" customHeight="false" outlineLevel="0" collapsed="false">
      <c r="A125" s="22" t="s">
        <v>344</v>
      </c>
      <c r="B125" s="22" t="s">
        <v>3</v>
      </c>
      <c r="C125" s="22" t="s">
        <v>344</v>
      </c>
      <c r="D125" s="22" t="n">
        <v>18500</v>
      </c>
      <c r="E125" s="22" t="s">
        <v>132</v>
      </c>
      <c r="F125" s="22" t="s">
        <v>135</v>
      </c>
      <c r="G125" s="22" t="s">
        <v>131</v>
      </c>
      <c r="H125" s="22" t="s">
        <v>131</v>
      </c>
      <c r="I125" s="22"/>
      <c r="J125" s="22"/>
      <c r="K125" s="22"/>
      <c r="L125" s="22"/>
      <c r="M125" s="22" t="n">
        <v>-0.364</v>
      </c>
      <c r="N125" s="22" t="n">
        <v>-0.3213</v>
      </c>
      <c r="O125" s="22" t="n">
        <v>-0.3048</v>
      </c>
      <c r="P125" s="22" t="n">
        <v>-0.1467</v>
      </c>
      <c r="Q125" s="22" t="n">
        <v>0.0882</v>
      </c>
      <c r="R125" s="22"/>
      <c r="S125" s="22"/>
      <c r="T125" s="22"/>
      <c r="U125" s="22" t="n">
        <v>-0.0285</v>
      </c>
      <c r="V125" s="22" t="n">
        <v>0.1201</v>
      </c>
      <c r="W125" s="22"/>
      <c r="X125" s="22" t="n">
        <v>0.2274</v>
      </c>
      <c r="Y125" s="22" t="n">
        <v>0.1718</v>
      </c>
      <c r="Z125" s="22" t="n">
        <v>0.1117</v>
      </c>
      <c r="AA125" s="22" t="n">
        <v>0.0283</v>
      </c>
      <c r="AB125" s="22"/>
      <c r="AC125" s="22"/>
      <c r="AD125" s="22"/>
      <c r="AE125" s="22" t="n">
        <v>0.0568</v>
      </c>
      <c r="AF125" s="22" t="n">
        <v>0.1523</v>
      </c>
      <c r="AG125" s="22" t="n">
        <v>0.1357</v>
      </c>
      <c r="AH125" s="22" t="n">
        <v>0.1334</v>
      </c>
      <c r="AI125" s="22" t="n">
        <v>0.0636</v>
      </c>
      <c r="AJ125" s="22" t="n">
        <v>0.0295</v>
      </c>
      <c r="AK125" s="22" t="n">
        <v>0.0217</v>
      </c>
      <c r="AL125" s="22" t="n">
        <v>-0.0012</v>
      </c>
      <c r="AM125" s="22" t="n">
        <v>-0.002</v>
      </c>
      <c r="AN125" s="22" t="n">
        <v>0.0144</v>
      </c>
      <c r="AO125" s="22" t="n">
        <v>0.0145</v>
      </c>
      <c r="AP125" s="22" t="n">
        <v>0.042</v>
      </c>
      <c r="AQ125" s="22" t="n">
        <v>0.0662</v>
      </c>
      <c r="AR125" s="22" t="n">
        <v>0.0632</v>
      </c>
      <c r="AS125" s="22" t="n">
        <v>0.0987</v>
      </c>
      <c r="AT125" s="22" t="n">
        <v>0.0984</v>
      </c>
      <c r="AU125" s="22" t="n">
        <v>0.0583</v>
      </c>
      <c r="AV125" s="22" t="n">
        <v>0.0653</v>
      </c>
    </row>
    <row r="126" customFormat="false" ht="15" hidden="false" customHeight="false" outlineLevel="0" collapsed="false">
      <c r="A126" s="22" t="s">
        <v>155</v>
      </c>
      <c r="B126" s="22" t="s">
        <v>3</v>
      </c>
      <c r="C126" s="22" t="s">
        <v>155</v>
      </c>
      <c r="D126" s="22" t="n">
        <v>18580</v>
      </c>
      <c r="E126" s="22" t="s">
        <v>132</v>
      </c>
      <c r="F126" s="22" t="s">
        <v>135</v>
      </c>
      <c r="G126" s="22" t="s">
        <v>131</v>
      </c>
      <c r="H126" s="22" t="s">
        <v>131</v>
      </c>
      <c r="I126" s="22" t="n">
        <v>0.0118</v>
      </c>
      <c r="J126" s="22" t="n">
        <v>0.0113</v>
      </c>
      <c r="K126" s="22" t="n">
        <v>-0.0021</v>
      </c>
      <c r="L126" s="22" t="n">
        <v>-0.0277</v>
      </c>
      <c r="M126" s="22" t="n">
        <v>-0.0354</v>
      </c>
      <c r="N126" s="22" t="n">
        <v>-0.0309</v>
      </c>
      <c r="O126" s="22" t="n">
        <v>0.0001</v>
      </c>
      <c r="P126" s="22" t="n">
        <v>0.0338</v>
      </c>
      <c r="Q126" s="22" t="n">
        <v>0.0426</v>
      </c>
      <c r="R126" s="22" t="n">
        <v>0.0555</v>
      </c>
      <c r="S126" s="22" t="n">
        <v>0.0529</v>
      </c>
      <c r="T126" s="22" t="n">
        <v>0.014</v>
      </c>
      <c r="U126" s="22" t="n">
        <v>0.0229</v>
      </c>
      <c r="V126" s="22" t="n">
        <v>0.0317</v>
      </c>
      <c r="W126" s="22" t="n">
        <v>0.02</v>
      </c>
      <c r="X126" s="22" t="n">
        <v>0.0496</v>
      </c>
      <c r="Y126" s="22" t="n">
        <v>0.0355</v>
      </c>
      <c r="Z126" s="22" t="n">
        <v>0.0188</v>
      </c>
      <c r="AA126" s="22" t="n">
        <v>0.0263</v>
      </c>
      <c r="AB126" s="22" t="n">
        <v>0.0189</v>
      </c>
      <c r="AC126" s="22" t="n">
        <v>0.0397</v>
      </c>
      <c r="AD126" s="22" t="n">
        <v>0.0402</v>
      </c>
      <c r="AE126" s="22" t="n">
        <v>0.0711</v>
      </c>
      <c r="AF126" s="22" t="n">
        <v>0.0811</v>
      </c>
      <c r="AG126" s="22" t="n">
        <v>0.079</v>
      </c>
      <c r="AH126" s="22" t="n">
        <v>0.0833</v>
      </c>
      <c r="AI126" s="22" t="n">
        <v>0.063</v>
      </c>
      <c r="AJ126" s="22" t="n">
        <v>0.0486</v>
      </c>
      <c r="AK126" s="22" t="n">
        <v>0.0489</v>
      </c>
      <c r="AL126" s="22" t="n">
        <v>0.0445</v>
      </c>
      <c r="AM126" s="22" t="n">
        <v>0.0118</v>
      </c>
      <c r="AN126" s="22" t="n">
        <v>0</v>
      </c>
      <c r="AO126" s="22" t="n">
        <v>-0.0015</v>
      </c>
      <c r="AP126" s="22" t="n">
        <v>0.0027</v>
      </c>
      <c r="AQ126" s="22" t="n">
        <v>-0.0009</v>
      </c>
      <c r="AR126" s="22" t="n">
        <v>0.0041</v>
      </c>
      <c r="AS126" s="22" t="n">
        <v>0.0079</v>
      </c>
      <c r="AT126" s="22" t="n">
        <v>-0.0137</v>
      </c>
      <c r="AU126" s="22" t="n">
        <v>-0.0012</v>
      </c>
      <c r="AV126" s="22" t="n">
        <v>-0.0021</v>
      </c>
    </row>
    <row r="127" customFormat="false" ht="15" hidden="false" customHeight="false" outlineLevel="0" collapsed="false">
      <c r="A127" s="22" t="s">
        <v>345</v>
      </c>
      <c r="B127" s="22" t="s">
        <v>3</v>
      </c>
      <c r="C127" s="22" t="s">
        <v>345</v>
      </c>
      <c r="D127" s="22" t="n">
        <v>18620</v>
      </c>
      <c r="E127" s="22" t="s">
        <v>132</v>
      </c>
      <c r="F127" s="22" t="s">
        <v>135</v>
      </c>
      <c r="G127" s="22" t="s">
        <v>131</v>
      </c>
      <c r="H127" s="22" t="s">
        <v>131</v>
      </c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</row>
    <row r="128" customFormat="false" ht="15" hidden="false" customHeight="false" outlineLevel="0" collapsed="false">
      <c r="A128" s="22" t="s">
        <v>346</v>
      </c>
      <c r="B128" s="22" t="s">
        <v>3</v>
      </c>
      <c r="C128" s="22" t="s">
        <v>346</v>
      </c>
      <c r="D128" s="22" t="n">
        <v>18700</v>
      </c>
      <c r="E128" s="22" t="s">
        <v>132</v>
      </c>
      <c r="F128" s="22" t="s">
        <v>135</v>
      </c>
      <c r="G128" s="22" t="s">
        <v>131</v>
      </c>
      <c r="H128" s="22" t="s">
        <v>131</v>
      </c>
      <c r="I128" s="22" t="n">
        <v>0.0796</v>
      </c>
      <c r="J128" s="22" t="n">
        <v>0.0865</v>
      </c>
      <c r="K128" s="22" t="n">
        <v>0.0892</v>
      </c>
      <c r="L128" s="22" t="n">
        <v>0.0563</v>
      </c>
      <c r="M128" s="22" t="n">
        <v>0.0489</v>
      </c>
      <c r="N128" s="22" t="n">
        <v>0.0639</v>
      </c>
      <c r="O128" s="22" t="n">
        <v>0.0483</v>
      </c>
      <c r="P128" s="22" t="n">
        <v>0.0694</v>
      </c>
      <c r="Q128" s="22" t="n">
        <v>0.0487</v>
      </c>
      <c r="R128" s="22" t="n">
        <v>0.0314</v>
      </c>
      <c r="S128" s="22" t="n">
        <v>0.0462</v>
      </c>
      <c r="T128" s="22" t="n">
        <v>0.0518</v>
      </c>
      <c r="U128" s="22" t="n">
        <v>0.051</v>
      </c>
      <c r="V128" s="22" t="n">
        <v>0.0434</v>
      </c>
      <c r="W128" s="22" t="n">
        <v>0.032</v>
      </c>
      <c r="X128" s="22" t="n">
        <v>0.0273</v>
      </c>
      <c r="Y128" s="22" t="n">
        <v>0.0182</v>
      </c>
      <c r="Z128" s="22" t="n">
        <v>-0.0038</v>
      </c>
      <c r="AA128" s="22" t="n">
        <v>0.0031</v>
      </c>
      <c r="AB128" s="22" t="n">
        <v>0.0401</v>
      </c>
      <c r="AC128" s="22" t="n">
        <v>0.0577</v>
      </c>
      <c r="AD128" s="22" t="n">
        <v>0.0944</v>
      </c>
      <c r="AE128" s="22" t="n">
        <v>0.12</v>
      </c>
      <c r="AF128" s="22" t="n">
        <v>0.1431</v>
      </c>
      <c r="AG128" s="22" t="n">
        <v>0.168</v>
      </c>
      <c r="AH128" s="22" t="n">
        <v>0.1853</v>
      </c>
      <c r="AI128" s="22" t="n">
        <v>0.2064</v>
      </c>
      <c r="AJ128" s="22" t="n">
        <v>0.1563</v>
      </c>
      <c r="AK128" s="22" t="n">
        <v>0.109</v>
      </c>
      <c r="AL128" s="22" t="n">
        <v>0.0889</v>
      </c>
      <c r="AM128" s="22" t="n">
        <v>0.0369</v>
      </c>
      <c r="AN128" s="22" t="n">
        <v>0.0377</v>
      </c>
      <c r="AO128" s="22" t="n">
        <v>0.0535</v>
      </c>
      <c r="AP128" s="22" t="n">
        <v>0.0191</v>
      </c>
      <c r="AQ128" s="22" t="n">
        <v>0.0299</v>
      </c>
      <c r="AR128" s="22" t="n">
        <v>0.0132</v>
      </c>
      <c r="AS128" s="22" t="n">
        <v>-0.0188</v>
      </c>
      <c r="AT128" s="22" t="n">
        <v>0.0155</v>
      </c>
      <c r="AU128" s="22" t="n">
        <v>0.0109</v>
      </c>
      <c r="AV128" s="22" t="n">
        <v>-0.0164</v>
      </c>
    </row>
    <row r="129" customFormat="false" ht="15" hidden="false" customHeight="false" outlineLevel="0" collapsed="false">
      <c r="A129" s="22" t="s">
        <v>347</v>
      </c>
      <c r="B129" s="22" t="s">
        <v>3</v>
      </c>
      <c r="C129" s="22" t="s">
        <v>347</v>
      </c>
      <c r="D129" s="22" t="n">
        <v>18820</v>
      </c>
      <c r="E129" s="22" t="s">
        <v>132</v>
      </c>
      <c r="F129" s="22" t="s">
        <v>135</v>
      </c>
      <c r="G129" s="22" t="s">
        <v>131</v>
      </c>
      <c r="H129" s="22" t="s">
        <v>131</v>
      </c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 t="n">
        <v>0.1184</v>
      </c>
      <c r="AL129" s="22" t="n">
        <v>0.0768</v>
      </c>
      <c r="AM129" s="22" t="n">
        <v>0.0717</v>
      </c>
      <c r="AN129" s="22" t="n">
        <v>0.105</v>
      </c>
      <c r="AO129" s="22" t="n">
        <v>0.1031</v>
      </c>
      <c r="AP129" s="22" t="n">
        <v>0.0749</v>
      </c>
      <c r="AQ129" s="22" t="n">
        <v>0.0492</v>
      </c>
      <c r="AR129" s="22" t="n">
        <v>0.0119</v>
      </c>
      <c r="AS129" s="22" t="n">
        <v>0.0539</v>
      </c>
      <c r="AT129" s="22"/>
      <c r="AU129" s="22"/>
      <c r="AV129" s="22"/>
    </row>
    <row r="130" customFormat="false" ht="15" hidden="false" customHeight="false" outlineLevel="0" collapsed="false">
      <c r="A130" s="22" t="s">
        <v>156</v>
      </c>
      <c r="B130" s="22" t="s">
        <v>3</v>
      </c>
      <c r="C130" s="22" t="s">
        <v>156</v>
      </c>
      <c r="D130" s="22" t="n">
        <v>18880</v>
      </c>
      <c r="E130" s="22" t="s">
        <v>132</v>
      </c>
      <c r="F130" s="22" t="s">
        <v>135</v>
      </c>
      <c r="G130" s="22" t="s">
        <v>131</v>
      </c>
      <c r="H130" s="22" t="s">
        <v>131</v>
      </c>
      <c r="I130" s="22" t="n">
        <v>0.0813</v>
      </c>
      <c r="J130" s="22" t="n">
        <v>0.0482</v>
      </c>
      <c r="K130" s="22" t="n">
        <v>0.0547</v>
      </c>
      <c r="L130" s="22" t="n">
        <v>0.0589</v>
      </c>
      <c r="M130" s="22" t="n">
        <v>0.0371</v>
      </c>
      <c r="N130" s="22" t="n">
        <v>0.0326</v>
      </c>
      <c r="O130" s="22" t="n">
        <v>0.0414</v>
      </c>
      <c r="P130" s="22" t="n">
        <v>0.0479</v>
      </c>
      <c r="Q130" s="22" t="n">
        <v>0.0261</v>
      </c>
      <c r="R130" s="22" t="n">
        <v>0.0538</v>
      </c>
      <c r="S130" s="22" t="n">
        <v>0.0971</v>
      </c>
      <c r="T130" s="22" t="n">
        <v>0.1163</v>
      </c>
      <c r="U130" s="22" t="n">
        <v>0.1441</v>
      </c>
      <c r="V130" s="22" t="n">
        <v>0.1499</v>
      </c>
      <c r="W130" s="22" t="n">
        <v>0.1161</v>
      </c>
      <c r="X130" s="22" t="n">
        <v>0.0628</v>
      </c>
      <c r="Y130" s="22" t="n">
        <v>0.0471</v>
      </c>
      <c r="Z130" s="22" t="n">
        <v>-0.0265</v>
      </c>
      <c r="AA130" s="22" t="n">
        <v>-0.0262</v>
      </c>
      <c r="AB130" s="22" t="n">
        <v>0.011</v>
      </c>
      <c r="AC130" s="22" t="n">
        <v>0.03</v>
      </c>
      <c r="AD130" s="22" t="n">
        <v>0.1768</v>
      </c>
      <c r="AE130" s="22" t="n">
        <v>0.2877</v>
      </c>
      <c r="AF130" s="22" t="n">
        <v>0.2716</v>
      </c>
      <c r="AG130" s="22" t="n">
        <v>0.275</v>
      </c>
      <c r="AH130" s="22" t="n">
        <v>0.2104</v>
      </c>
      <c r="AI130" s="22" t="n">
        <v>0.1088</v>
      </c>
      <c r="AJ130" s="22" t="n">
        <v>0.0802</v>
      </c>
      <c r="AK130" s="22" t="n">
        <v>0.044</v>
      </c>
      <c r="AL130" s="22" t="n">
        <v>0.0006</v>
      </c>
      <c r="AM130" s="22" t="n">
        <v>-0.0364</v>
      </c>
      <c r="AN130" s="22" t="n">
        <v>-0.0228</v>
      </c>
      <c r="AO130" s="22" t="n">
        <v>-0.0198</v>
      </c>
      <c r="AP130" s="22" t="n">
        <v>-0.0182</v>
      </c>
      <c r="AQ130" s="22" t="n">
        <v>0.009</v>
      </c>
      <c r="AR130" s="22" t="n">
        <v>0.0038</v>
      </c>
      <c r="AS130" s="22" t="n">
        <v>-0.0141</v>
      </c>
      <c r="AT130" s="22" t="n">
        <v>-0.0623</v>
      </c>
      <c r="AU130" s="22" t="n">
        <v>-0.0767</v>
      </c>
      <c r="AV130" s="22" t="n">
        <v>-0.0654</v>
      </c>
    </row>
    <row r="131" customFormat="false" ht="15" hidden="false" customHeight="false" outlineLevel="0" collapsed="false">
      <c r="A131" s="22" t="s">
        <v>348</v>
      </c>
      <c r="B131" s="22" t="s">
        <v>3</v>
      </c>
      <c r="C131" s="22" t="s">
        <v>348</v>
      </c>
      <c r="D131" s="22" t="n">
        <v>18980</v>
      </c>
      <c r="E131" s="22" t="s">
        <v>132</v>
      </c>
      <c r="F131" s="22" t="s">
        <v>135</v>
      </c>
      <c r="G131" s="22" t="s">
        <v>131</v>
      </c>
      <c r="H131" s="22" t="s">
        <v>131</v>
      </c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 t="n">
        <v>0.0867</v>
      </c>
      <c r="AE131" s="22" t="n">
        <v>0.0904</v>
      </c>
      <c r="AF131" s="22" t="n">
        <v>0.178</v>
      </c>
      <c r="AG131" s="22" t="n">
        <v>0.1653</v>
      </c>
      <c r="AH131" s="22" t="n">
        <v>0.0712</v>
      </c>
      <c r="AI131" s="22" t="n">
        <v>0.1449</v>
      </c>
      <c r="AJ131" s="22" t="n">
        <v>0.0788</v>
      </c>
      <c r="AK131" s="22" t="n">
        <v>0.0594</v>
      </c>
      <c r="AL131" s="22" t="n">
        <v>0.0197</v>
      </c>
      <c r="AM131" s="22" t="n">
        <v>0.0403</v>
      </c>
      <c r="AN131" s="22" t="n">
        <v>0.0562</v>
      </c>
      <c r="AO131" s="22" t="n">
        <v>0.0912</v>
      </c>
      <c r="AP131" s="22" t="n">
        <v>0.1575</v>
      </c>
      <c r="AQ131" s="22" t="n">
        <v>0.107</v>
      </c>
      <c r="AR131" s="22" t="n">
        <v>0.0431</v>
      </c>
      <c r="AS131" s="22" t="n">
        <v>0.0362</v>
      </c>
      <c r="AT131" s="22" t="n">
        <v>0.0488</v>
      </c>
      <c r="AU131" s="22" t="n">
        <v>0.0049</v>
      </c>
      <c r="AV131" s="22" t="n">
        <v>0.043</v>
      </c>
    </row>
    <row r="132" customFormat="false" ht="15" hidden="false" customHeight="false" outlineLevel="0" collapsed="false">
      <c r="A132" s="22" t="s">
        <v>78</v>
      </c>
      <c r="B132" s="22" t="s">
        <v>3</v>
      </c>
      <c r="C132" s="22" t="s">
        <v>78</v>
      </c>
      <c r="D132" s="22" t="n">
        <v>19124</v>
      </c>
      <c r="E132" s="22" t="s">
        <v>132</v>
      </c>
      <c r="F132" s="22" t="s">
        <v>135</v>
      </c>
      <c r="G132" s="22" t="s">
        <v>131</v>
      </c>
      <c r="H132" s="22" t="s">
        <v>131</v>
      </c>
      <c r="I132" s="22" t="n">
        <v>0.0741</v>
      </c>
      <c r="J132" s="22" t="n">
        <v>0.0702</v>
      </c>
      <c r="K132" s="22" t="n">
        <v>0.063</v>
      </c>
      <c r="L132" s="22" t="n">
        <v>0.0601</v>
      </c>
      <c r="M132" s="22" t="n">
        <v>0.0546</v>
      </c>
      <c r="N132" s="22" t="n">
        <v>0.0512</v>
      </c>
      <c r="O132" s="22" t="n">
        <v>0.0451</v>
      </c>
      <c r="P132" s="22" t="n">
        <v>0.0347</v>
      </c>
      <c r="Q132" s="22" t="n">
        <v>0.0272</v>
      </c>
      <c r="R132" s="22" t="n">
        <v>0.0218</v>
      </c>
      <c r="S132" s="22" t="n">
        <v>0.0242</v>
      </c>
      <c r="T132" s="22" t="n">
        <v>0.0339</v>
      </c>
      <c r="U132" s="22" t="n">
        <v>0.0435</v>
      </c>
      <c r="V132" s="22" t="n">
        <v>0.0453</v>
      </c>
      <c r="W132" s="22" t="n">
        <v>0.0494</v>
      </c>
      <c r="X132" s="22" t="n">
        <v>0.0471</v>
      </c>
      <c r="Y132" s="22" t="n">
        <v>0.044</v>
      </c>
      <c r="Z132" s="22" t="n">
        <v>0.0212</v>
      </c>
      <c r="AA132" s="22" t="n">
        <v>0.001</v>
      </c>
      <c r="AB132" s="22" t="n">
        <v>-0.0003</v>
      </c>
      <c r="AC132" s="22" t="n">
        <v>0.0031</v>
      </c>
      <c r="AD132" s="22" t="n">
        <v>0.0508</v>
      </c>
      <c r="AE132" s="22" t="n">
        <v>0.1312</v>
      </c>
      <c r="AF132" s="22" t="n">
        <v>0.1774</v>
      </c>
      <c r="AG132" s="22" t="n">
        <v>0.205</v>
      </c>
      <c r="AH132" s="22" t="n">
        <v>0.1976</v>
      </c>
      <c r="AI132" s="22" t="n">
        <v>0.1543</v>
      </c>
      <c r="AJ132" s="22" t="n">
        <v>0.1069</v>
      </c>
      <c r="AK132" s="22" t="n">
        <v>0.0684</v>
      </c>
      <c r="AL132" s="22" t="n">
        <v>0.0375</v>
      </c>
      <c r="AM132" s="22" t="n">
        <v>0.0075</v>
      </c>
      <c r="AN132" s="22" t="n">
        <v>-0.0033</v>
      </c>
      <c r="AO132" s="22" t="n">
        <v>-0.0098</v>
      </c>
      <c r="AP132" s="22" t="n">
        <v>-0.0189</v>
      </c>
      <c r="AQ132" s="22" t="n">
        <v>-0.0262</v>
      </c>
      <c r="AR132" s="22" t="n">
        <v>-0.0277</v>
      </c>
      <c r="AS132" s="22" t="n">
        <v>-0.0232</v>
      </c>
      <c r="AT132" s="22" t="n">
        <v>-0.0126</v>
      </c>
      <c r="AU132" s="22" t="n">
        <v>-0.0108</v>
      </c>
      <c r="AV132" s="22" t="n">
        <v>-0.009</v>
      </c>
    </row>
    <row r="133" customFormat="false" ht="15" hidden="false" customHeight="false" outlineLevel="0" collapsed="false">
      <c r="A133" s="22" t="s">
        <v>349</v>
      </c>
      <c r="B133" s="22" t="s">
        <v>3</v>
      </c>
      <c r="C133" s="22" t="s">
        <v>349</v>
      </c>
      <c r="D133" s="22" t="n">
        <v>19140</v>
      </c>
      <c r="E133" s="22" t="s">
        <v>132</v>
      </c>
      <c r="F133" s="22" t="s">
        <v>135</v>
      </c>
      <c r="G133" s="22" t="s">
        <v>131</v>
      </c>
      <c r="H133" s="22" t="s">
        <v>131</v>
      </c>
      <c r="I133" s="22" t="n">
        <v>0.0374</v>
      </c>
      <c r="J133" s="22" t="n">
        <v>0.0403</v>
      </c>
      <c r="K133" s="22" t="n">
        <v>0.062</v>
      </c>
      <c r="L133" s="22" t="n">
        <v>0.0558</v>
      </c>
      <c r="M133" s="22" t="n">
        <v>0.0875</v>
      </c>
      <c r="N133" s="22" t="n">
        <v>0.1252</v>
      </c>
      <c r="O133" s="22" t="n">
        <v>0.0452</v>
      </c>
      <c r="P133" s="22" t="n">
        <v>0.0427</v>
      </c>
      <c r="Q133" s="22" t="n">
        <v>0.0083</v>
      </c>
      <c r="R133" s="22" t="n">
        <v>-0.0047</v>
      </c>
      <c r="S133" s="22" t="n">
        <v>0.066</v>
      </c>
      <c r="T133" s="22" t="n">
        <v>0.0622</v>
      </c>
      <c r="U133" s="22" t="n">
        <v>0.0886</v>
      </c>
      <c r="V133" s="22" t="n">
        <v>0.0725</v>
      </c>
      <c r="W133" s="22" t="n">
        <v>0.0648</v>
      </c>
      <c r="X133" s="22" t="n">
        <v>0.0978</v>
      </c>
      <c r="Y133" s="22" t="n">
        <v>0.0495</v>
      </c>
      <c r="Z133" s="22" t="n">
        <v>0.0518</v>
      </c>
      <c r="AA133" s="22" t="n">
        <v>0.0249</v>
      </c>
      <c r="AB133" s="22" t="n">
        <v>0.0387</v>
      </c>
      <c r="AC133" s="22" t="n">
        <v>0.0736</v>
      </c>
      <c r="AD133" s="22" t="n">
        <v>0.0544</v>
      </c>
      <c r="AE133" s="22" t="n">
        <v>0.0943</v>
      </c>
      <c r="AF133" s="22" t="n">
        <v>0.0848</v>
      </c>
      <c r="AG133" s="22" t="n">
        <v>0.1045</v>
      </c>
      <c r="AH133" s="22" t="n">
        <v>0.1462</v>
      </c>
      <c r="AI133" s="22" t="n">
        <v>0.1201</v>
      </c>
      <c r="AJ133" s="22" t="n">
        <v>0.1137</v>
      </c>
      <c r="AK133" s="22" t="n">
        <v>0.106</v>
      </c>
      <c r="AL133" s="22" t="n">
        <v>0.132</v>
      </c>
      <c r="AM133" s="22" t="n">
        <v>0.1268</v>
      </c>
      <c r="AN133" s="22" t="n">
        <v>0.1165</v>
      </c>
      <c r="AO133" s="22" t="n">
        <v>0.0861</v>
      </c>
      <c r="AP133" s="22" t="n">
        <v>0.01</v>
      </c>
      <c r="AQ133" s="22" t="n">
        <v>0.0211</v>
      </c>
      <c r="AR133" s="22" t="n">
        <v>-0.008</v>
      </c>
      <c r="AS133" s="22" t="n">
        <v>-0.0072</v>
      </c>
      <c r="AT133" s="22" t="n">
        <v>0.0834</v>
      </c>
      <c r="AU133" s="22" t="n">
        <v>0.0711</v>
      </c>
      <c r="AV133" s="22" t="n">
        <v>0.0513</v>
      </c>
    </row>
    <row r="134" customFormat="false" ht="15" hidden="false" customHeight="false" outlineLevel="0" collapsed="false">
      <c r="A134" s="22" t="s">
        <v>350</v>
      </c>
      <c r="B134" s="22" t="s">
        <v>3</v>
      </c>
      <c r="C134" s="22" t="s">
        <v>350</v>
      </c>
      <c r="D134" s="22" t="n">
        <v>19340</v>
      </c>
      <c r="E134" s="22" t="s">
        <v>132</v>
      </c>
      <c r="F134" s="22" t="s">
        <v>135</v>
      </c>
      <c r="G134" s="22" t="s">
        <v>131</v>
      </c>
      <c r="H134" s="22" t="s">
        <v>131</v>
      </c>
      <c r="I134" s="22" t="n">
        <v>0.0157</v>
      </c>
      <c r="J134" s="22" t="n">
        <v>0.0439</v>
      </c>
      <c r="K134" s="22" t="n">
        <v>0.054</v>
      </c>
      <c r="L134" s="22" t="n">
        <v>0.0083</v>
      </c>
      <c r="M134" s="22" t="n">
        <v>-0.0068</v>
      </c>
      <c r="N134" s="22" t="n">
        <v>-0.0353</v>
      </c>
      <c r="O134" s="22" t="n">
        <v>-0.0092</v>
      </c>
      <c r="P134" s="22" t="n">
        <v>0.0167</v>
      </c>
      <c r="Q134" s="22" t="n">
        <v>0.0148</v>
      </c>
      <c r="R134" s="22" t="n">
        <v>0.0141</v>
      </c>
      <c r="S134" s="22" t="n">
        <v>0.0021</v>
      </c>
      <c r="T134" s="22" t="n">
        <v>-0.0045</v>
      </c>
      <c r="U134" s="22" t="n">
        <v>0.0183</v>
      </c>
      <c r="V134" s="22" t="n">
        <v>0.0171</v>
      </c>
      <c r="W134" s="22" t="n">
        <v>0.0194</v>
      </c>
      <c r="X134" s="22" t="n">
        <v>0.0415</v>
      </c>
      <c r="Y134" s="22" t="n">
        <v>0.0266</v>
      </c>
      <c r="Z134" s="22" t="n">
        <v>0.0268</v>
      </c>
      <c r="AA134" s="22" t="n">
        <v>0.0216</v>
      </c>
      <c r="AB134" s="22" t="n">
        <v>-0.0022</v>
      </c>
      <c r="AC134" s="22" t="n">
        <v>0.0208</v>
      </c>
      <c r="AD134" s="22" t="n">
        <v>0.0268</v>
      </c>
      <c r="AE134" s="22" t="n">
        <v>0.0565</v>
      </c>
      <c r="AF134" s="22" t="n">
        <v>0.0777</v>
      </c>
      <c r="AG134" s="22" t="n">
        <v>0.0812</v>
      </c>
      <c r="AH134" s="22" t="n">
        <v>0.1063</v>
      </c>
      <c r="AI134" s="22" t="n">
        <v>0.1042</v>
      </c>
      <c r="AJ134" s="22" t="n">
        <v>0.1043</v>
      </c>
      <c r="AK134" s="22" t="n">
        <v>0.0933</v>
      </c>
      <c r="AL134" s="22" t="n">
        <v>0.0675</v>
      </c>
      <c r="AM134" s="22" t="n">
        <v>0.0346</v>
      </c>
      <c r="AN134" s="22" t="n">
        <v>0.0358</v>
      </c>
      <c r="AO134" s="22" t="n">
        <v>0.056</v>
      </c>
      <c r="AP134" s="22" t="n">
        <v>0.0609</v>
      </c>
      <c r="AQ134" s="22" t="n">
        <v>0.0673</v>
      </c>
      <c r="AR134" s="22" t="n">
        <v>0.051</v>
      </c>
      <c r="AS134" s="22" t="n">
        <v>0.018</v>
      </c>
      <c r="AT134" s="22" t="n">
        <v>-0.0016</v>
      </c>
      <c r="AU134" s="22" t="n">
        <v>-0.0076</v>
      </c>
      <c r="AV134" s="22" t="n">
        <v>0.0068</v>
      </c>
    </row>
    <row r="135" customFormat="false" ht="15" hidden="false" customHeight="false" outlineLevel="0" collapsed="false">
      <c r="A135" s="22" t="s">
        <v>157</v>
      </c>
      <c r="B135" s="22" t="s">
        <v>3</v>
      </c>
      <c r="C135" s="22" t="s">
        <v>157</v>
      </c>
      <c r="D135" s="22" t="n">
        <v>19430</v>
      </c>
      <c r="E135" s="22" t="s">
        <v>132</v>
      </c>
      <c r="F135" s="22" t="s">
        <v>135</v>
      </c>
      <c r="G135" s="22" t="s">
        <v>131</v>
      </c>
      <c r="H135" s="22" t="s">
        <v>131</v>
      </c>
      <c r="I135" s="22" t="n">
        <v>0.0491</v>
      </c>
      <c r="J135" s="22" t="n">
        <v>0.0386</v>
      </c>
      <c r="K135" s="22" t="n">
        <v>0.0386</v>
      </c>
      <c r="L135" s="22" t="n">
        <v>0.0079</v>
      </c>
      <c r="M135" s="22" t="n">
        <v>-0.0008</v>
      </c>
      <c r="N135" s="22" t="n">
        <v>0.0135</v>
      </c>
      <c r="O135" s="22" t="n">
        <v>0.008</v>
      </c>
      <c r="P135" s="22" t="n">
        <v>0.0245</v>
      </c>
      <c r="Q135" s="22" t="n">
        <v>0.0268</v>
      </c>
      <c r="R135" s="22" t="n">
        <v>0.019</v>
      </c>
      <c r="S135" s="22" t="n">
        <v>0.0261</v>
      </c>
      <c r="T135" s="22" t="n">
        <v>0.0391</v>
      </c>
      <c r="U135" s="22" t="n">
        <v>0.0363</v>
      </c>
      <c r="V135" s="22" t="n">
        <v>0.0526</v>
      </c>
      <c r="W135" s="22" t="n">
        <v>0.0664</v>
      </c>
      <c r="X135" s="22" t="n">
        <v>0.0609</v>
      </c>
      <c r="Y135" s="22" t="n">
        <v>0.0693</v>
      </c>
      <c r="Z135" s="22" t="n">
        <v>0.0553</v>
      </c>
      <c r="AA135" s="22" t="n">
        <v>0.028</v>
      </c>
      <c r="AB135" s="22" t="n">
        <v>0.0327</v>
      </c>
      <c r="AC135" s="22" t="n">
        <v>0.036</v>
      </c>
      <c r="AD135" s="22" t="n">
        <v>0.0515</v>
      </c>
      <c r="AE135" s="22" t="n">
        <v>0.0989</v>
      </c>
      <c r="AF135" s="22" t="n">
        <v>0.1225</v>
      </c>
      <c r="AG135" s="22" t="n">
        <v>0.1311</v>
      </c>
      <c r="AH135" s="22" t="n">
        <v>0.1459</v>
      </c>
      <c r="AI135" s="22" t="n">
        <v>0.141</v>
      </c>
      <c r="AJ135" s="22" t="n">
        <v>0.1147</v>
      </c>
      <c r="AK135" s="22" t="n">
        <v>0.0914</v>
      </c>
      <c r="AL135" s="22" t="n">
        <v>0.0652</v>
      </c>
      <c r="AM135" s="22" t="n">
        <v>0.0425</v>
      </c>
      <c r="AN135" s="22" t="n">
        <v>0.0473</v>
      </c>
      <c r="AO135" s="22" t="n">
        <v>0.0544</v>
      </c>
      <c r="AP135" s="22" t="n">
        <v>0.0568</v>
      </c>
      <c r="AQ135" s="22" t="n">
        <v>0.0615</v>
      </c>
      <c r="AR135" s="22" t="n">
        <v>0.0558</v>
      </c>
      <c r="AS135" s="22" t="n">
        <v>0.0499</v>
      </c>
      <c r="AT135" s="22" t="n">
        <v>0.0658</v>
      </c>
      <c r="AU135" s="22" t="n">
        <v>0.0591</v>
      </c>
      <c r="AV135" s="22" t="n">
        <v>0.055</v>
      </c>
    </row>
    <row r="136" customFormat="false" ht="15" hidden="false" customHeight="false" outlineLevel="0" collapsed="false">
      <c r="A136" s="22" t="s">
        <v>351</v>
      </c>
      <c r="B136" s="22" t="s">
        <v>3</v>
      </c>
      <c r="C136" s="22" t="s">
        <v>351</v>
      </c>
      <c r="D136" s="22" t="n">
        <v>19460</v>
      </c>
      <c r="E136" s="22" t="s">
        <v>132</v>
      </c>
      <c r="F136" s="22" t="s">
        <v>135</v>
      </c>
      <c r="G136" s="22" t="s">
        <v>131</v>
      </c>
      <c r="H136" s="22" t="s">
        <v>131</v>
      </c>
      <c r="I136" s="22"/>
      <c r="J136" s="22"/>
      <c r="K136" s="22"/>
      <c r="L136" s="22"/>
      <c r="M136" s="22"/>
      <c r="N136" s="22"/>
      <c r="O136" s="22"/>
      <c r="P136" s="22" t="n">
        <v>0.0487</v>
      </c>
      <c r="Q136" s="22" t="n">
        <v>0.0289</v>
      </c>
      <c r="R136" s="22" t="n">
        <v>0.0439</v>
      </c>
      <c r="S136" s="22" t="n">
        <v>0.0518</v>
      </c>
      <c r="T136" s="22" t="n">
        <v>0.0538</v>
      </c>
      <c r="U136" s="22" t="n">
        <v>0.0679</v>
      </c>
      <c r="V136" s="22" t="n">
        <v>0.0468</v>
      </c>
      <c r="W136" s="22" t="n">
        <v>0.0167</v>
      </c>
      <c r="X136" s="22" t="n">
        <v>0.0046</v>
      </c>
      <c r="Y136" s="22" t="n">
        <v>-0.0169</v>
      </c>
      <c r="Z136" s="22" t="n">
        <v>-0.0005</v>
      </c>
      <c r="AA136" s="22" t="n">
        <v>0.0995</v>
      </c>
      <c r="AB136" s="22" t="n">
        <v>0.1169</v>
      </c>
      <c r="AC136" s="22" t="n">
        <v>0.1205</v>
      </c>
      <c r="AD136" s="22" t="n">
        <v>0.1212</v>
      </c>
      <c r="AE136" s="22" t="n">
        <v>0.0541</v>
      </c>
      <c r="AF136" s="22" t="n">
        <v>0.0857</v>
      </c>
      <c r="AG136" s="22" t="n">
        <v>0.2832</v>
      </c>
      <c r="AH136" s="22" t="n">
        <v>0.3206</v>
      </c>
      <c r="AI136" s="22" t="n">
        <v>0.3605</v>
      </c>
      <c r="AJ136" s="22" t="n">
        <v>0.3217</v>
      </c>
      <c r="AK136" s="22" t="n">
        <v>0.216</v>
      </c>
      <c r="AL136" s="22" t="n">
        <v>0.1602</v>
      </c>
      <c r="AM136" s="22" t="n">
        <v>0.1004</v>
      </c>
      <c r="AN136" s="22" t="n">
        <v>0.0331</v>
      </c>
      <c r="AO136" s="22" t="n">
        <v>-0.0427</v>
      </c>
      <c r="AP136" s="22" t="n">
        <v>-0.0306</v>
      </c>
      <c r="AQ136" s="22" t="n">
        <v>-0.0097</v>
      </c>
      <c r="AR136" s="22" t="n">
        <v>0.0577</v>
      </c>
      <c r="AS136" s="22" t="n">
        <v>0.0561</v>
      </c>
      <c r="AT136" s="22" t="n">
        <v>0.0749</v>
      </c>
      <c r="AU136" s="22" t="n">
        <v>0.01</v>
      </c>
      <c r="AV136" s="22" t="n">
        <v>-0.0211</v>
      </c>
    </row>
    <row r="137" customFormat="false" ht="15" hidden="false" customHeight="false" outlineLevel="0" collapsed="false">
      <c r="A137" s="22" t="s">
        <v>352</v>
      </c>
      <c r="B137" s="22" t="s">
        <v>3</v>
      </c>
      <c r="C137" s="22" t="s">
        <v>352</v>
      </c>
      <c r="D137" s="22" t="n">
        <v>19500</v>
      </c>
      <c r="E137" s="22" t="s">
        <v>132</v>
      </c>
      <c r="F137" s="22" t="s">
        <v>135</v>
      </c>
      <c r="G137" s="22" t="s">
        <v>131</v>
      </c>
      <c r="H137" s="22" t="s">
        <v>131</v>
      </c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 t="n">
        <v>-0.0327</v>
      </c>
      <c r="X137" s="22" t="n">
        <v>0.0011</v>
      </c>
      <c r="Y137" s="22" t="n">
        <v>-0.028</v>
      </c>
      <c r="Z137" s="22" t="n">
        <v>-0.0144</v>
      </c>
      <c r="AA137" s="22" t="n">
        <v>0.0348</v>
      </c>
      <c r="AB137" s="22" t="n">
        <v>-0.0178</v>
      </c>
      <c r="AC137" s="22"/>
      <c r="AD137" s="22"/>
      <c r="AE137" s="22"/>
      <c r="AF137" s="22" t="n">
        <v>0.0241</v>
      </c>
      <c r="AG137" s="22" t="n">
        <v>0.0775</v>
      </c>
      <c r="AH137" s="22" t="n">
        <v>0.0927</v>
      </c>
      <c r="AI137" s="22" t="n">
        <v>0.0808</v>
      </c>
      <c r="AJ137" s="22" t="n">
        <v>0.0649</v>
      </c>
      <c r="AK137" s="22" t="n">
        <v>0.0458</v>
      </c>
      <c r="AL137" s="22" t="n">
        <v>0.0426</v>
      </c>
      <c r="AM137" s="22" t="n">
        <v>0.0474</v>
      </c>
      <c r="AN137" s="22" t="n">
        <v>0.0557</v>
      </c>
      <c r="AO137" s="22" t="n">
        <v>0.1164</v>
      </c>
      <c r="AP137" s="22" t="n">
        <v>0.1076</v>
      </c>
      <c r="AQ137" s="22" t="n">
        <v>0.1017</v>
      </c>
      <c r="AR137" s="22" t="n">
        <v>0.0869</v>
      </c>
      <c r="AS137" s="22" t="n">
        <v>0.0271</v>
      </c>
      <c r="AT137" s="22" t="n">
        <v>0.0002</v>
      </c>
      <c r="AU137" s="22" t="n">
        <v>-0.0039</v>
      </c>
      <c r="AV137" s="22" t="n">
        <v>-0.0101</v>
      </c>
    </row>
    <row r="138" customFormat="false" ht="15" hidden="false" customHeight="false" outlineLevel="0" collapsed="false">
      <c r="A138" s="22" t="s">
        <v>353</v>
      </c>
      <c r="B138" s="22" t="s">
        <v>3</v>
      </c>
      <c r="C138" s="22" t="s">
        <v>353</v>
      </c>
      <c r="D138" s="22" t="n">
        <v>19620</v>
      </c>
      <c r="E138" s="22" t="s">
        <v>132</v>
      </c>
      <c r="F138" s="22" t="s">
        <v>135</v>
      </c>
      <c r="G138" s="22" t="s">
        <v>131</v>
      </c>
      <c r="H138" s="22" t="s">
        <v>131</v>
      </c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</row>
    <row r="139" customFormat="false" ht="15" hidden="false" customHeight="false" outlineLevel="0" collapsed="false">
      <c r="A139" s="22" t="s">
        <v>158</v>
      </c>
      <c r="B139" s="22" t="s">
        <v>3</v>
      </c>
      <c r="C139" s="22" t="s">
        <v>158</v>
      </c>
      <c r="D139" s="22" t="n">
        <v>19660</v>
      </c>
      <c r="E139" s="22" t="s">
        <v>132</v>
      </c>
      <c r="F139" s="22" t="s">
        <v>135</v>
      </c>
      <c r="G139" s="22" t="s">
        <v>131</v>
      </c>
      <c r="H139" s="22" t="s">
        <v>131</v>
      </c>
      <c r="I139" s="22" t="n">
        <v>0.0572</v>
      </c>
      <c r="J139" s="22" t="n">
        <v>0.0568</v>
      </c>
      <c r="K139" s="22" t="n">
        <v>0.0409</v>
      </c>
      <c r="L139" s="22" t="n">
        <v>0.0505</v>
      </c>
      <c r="M139" s="22" t="n">
        <v>0.0517</v>
      </c>
      <c r="N139" s="22" t="n">
        <v>0.0533</v>
      </c>
      <c r="O139" s="22" t="n">
        <v>0.0419</v>
      </c>
      <c r="P139" s="22" t="n">
        <v>0.0365</v>
      </c>
      <c r="Q139" s="22" t="n">
        <v>0.0347</v>
      </c>
      <c r="R139" s="22" t="n">
        <v>0.039</v>
      </c>
      <c r="S139" s="22" t="n">
        <v>0.0672</v>
      </c>
      <c r="T139" s="22" t="n">
        <v>0.0693</v>
      </c>
      <c r="U139" s="22" t="n">
        <v>0.0792</v>
      </c>
      <c r="V139" s="22" t="n">
        <v>0.0656</v>
      </c>
      <c r="W139" s="22" t="n">
        <v>0.0363</v>
      </c>
      <c r="X139" s="22" t="n">
        <v>0.0246</v>
      </c>
      <c r="Y139" s="22" t="n">
        <v>0.0205</v>
      </c>
      <c r="Z139" s="22" t="n">
        <v>-0.0021</v>
      </c>
      <c r="AA139" s="22" t="n">
        <v>0.0179</v>
      </c>
      <c r="AB139" s="22" t="n">
        <v>0.0291</v>
      </c>
      <c r="AC139" s="22" t="n">
        <v>0.0275</v>
      </c>
      <c r="AD139" s="22" t="n">
        <v>0.0776</v>
      </c>
      <c r="AE139" s="22" t="n">
        <v>0.1717</v>
      </c>
      <c r="AF139" s="22" t="n">
        <v>0.2405</v>
      </c>
      <c r="AG139" s="22" t="n">
        <v>0.2702</v>
      </c>
      <c r="AH139" s="22" t="n">
        <v>0.3094</v>
      </c>
      <c r="AI139" s="22" t="n">
        <v>0.2199</v>
      </c>
      <c r="AJ139" s="22" t="n">
        <v>0.1397</v>
      </c>
      <c r="AK139" s="22" t="n">
        <v>0.1154</v>
      </c>
      <c r="AL139" s="22" t="n">
        <v>0.0431</v>
      </c>
      <c r="AM139" s="22" t="n">
        <v>-0.0073</v>
      </c>
      <c r="AN139" s="22" t="n">
        <v>-0.0425</v>
      </c>
      <c r="AO139" s="22" t="n">
        <v>-0.064</v>
      </c>
      <c r="AP139" s="22" t="n">
        <v>-0.0627</v>
      </c>
      <c r="AQ139" s="22" t="n">
        <v>-0.0519</v>
      </c>
      <c r="AR139" s="22" t="n">
        <v>-0.0209</v>
      </c>
      <c r="AS139" s="22" t="n">
        <v>-0.0076</v>
      </c>
      <c r="AT139" s="22" t="n">
        <v>-0.0011</v>
      </c>
      <c r="AU139" s="22" t="n">
        <v>-0.0058</v>
      </c>
      <c r="AV139" s="22" t="n">
        <v>-0.0213</v>
      </c>
    </row>
    <row r="140" customFormat="false" ht="15" hidden="false" customHeight="false" outlineLevel="0" collapsed="false">
      <c r="A140" s="22" t="s">
        <v>85</v>
      </c>
      <c r="B140" s="22" t="s">
        <v>3</v>
      </c>
      <c r="C140" s="22" t="s">
        <v>85</v>
      </c>
      <c r="D140" s="22" t="n">
        <v>19740</v>
      </c>
      <c r="E140" s="22" t="s">
        <v>132</v>
      </c>
      <c r="F140" s="22" t="s">
        <v>135</v>
      </c>
      <c r="G140" s="22" t="s">
        <v>131</v>
      </c>
      <c r="H140" s="22" t="s">
        <v>131</v>
      </c>
      <c r="I140" s="22" t="n">
        <v>0.0616</v>
      </c>
      <c r="J140" s="22" t="n">
        <v>0.0603</v>
      </c>
      <c r="K140" s="22" t="n">
        <v>0.0438</v>
      </c>
      <c r="L140" s="22" t="n">
        <v>0.0387</v>
      </c>
      <c r="M140" s="22" t="n">
        <v>0.0438</v>
      </c>
      <c r="N140" s="22" t="n">
        <v>0.0433</v>
      </c>
      <c r="O140" s="22" t="n">
        <v>0.0455</v>
      </c>
      <c r="P140" s="22" t="n">
        <v>0.0421</v>
      </c>
      <c r="Q140" s="22" t="n">
        <v>0.0354</v>
      </c>
      <c r="R140" s="22" t="n">
        <v>0.0263</v>
      </c>
      <c r="S140" s="22" t="n">
        <v>0.0292</v>
      </c>
      <c r="T140" s="22" t="n">
        <v>0.0421</v>
      </c>
      <c r="U140" s="22" t="n">
        <v>0.0496</v>
      </c>
      <c r="V140" s="22" t="n">
        <v>0.0461</v>
      </c>
      <c r="W140" s="22" t="n">
        <v>0.0434</v>
      </c>
      <c r="X140" s="22" t="n">
        <v>0.0312</v>
      </c>
      <c r="Y140" s="22" t="n">
        <v>0.0276</v>
      </c>
      <c r="Z140" s="22" t="n">
        <v>-0.0094</v>
      </c>
      <c r="AA140" s="22" t="n">
        <v>-0.0166</v>
      </c>
      <c r="AB140" s="22" t="n">
        <v>-0.0059</v>
      </c>
      <c r="AC140" s="22" t="n">
        <v>-0.0058</v>
      </c>
      <c r="AD140" s="22" t="n">
        <v>0.0602</v>
      </c>
      <c r="AE140" s="22" t="n">
        <v>0.1377</v>
      </c>
      <c r="AF140" s="22" t="n">
        <v>0.1687</v>
      </c>
      <c r="AG140" s="22" t="n">
        <v>0.1767</v>
      </c>
      <c r="AH140" s="22" t="n">
        <v>0.1575</v>
      </c>
      <c r="AI140" s="22" t="n">
        <v>0.0957</v>
      </c>
      <c r="AJ140" s="22" t="n">
        <v>0.0585</v>
      </c>
      <c r="AK140" s="22" t="n">
        <v>0.0443</v>
      </c>
      <c r="AL140" s="22" t="n">
        <v>0.0227</v>
      </c>
      <c r="AM140" s="22" t="n">
        <v>0.0123</v>
      </c>
      <c r="AN140" s="22" t="n">
        <v>0.0132</v>
      </c>
      <c r="AO140" s="22" t="n">
        <v>0.0106</v>
      </c>
      <c r="AP140" s="22" t="n">
        <v>0.0061</v>
      </c>
      <c r="AQ140" s="22" t="n">
        <v>-0.0027</v>
      </c>
      <c r="AR140" s="22" t="n">
        <v>-0.0318</v>
      </c>
      <c r="AS140" s="22" t="n">
        <v>-0.0403</v>
      </c>
      <c r="AT140" s="22" t="n">
        <v>-0.0424</v>
      </c>
      <c r="AU140" s="22" t="n">
        <v>-0.0633</v>
      </c>
      <c r="AV140" s="22" t="n">
        <v>-0.0593</v>
      </c>
    </row>
    <row r="141" customFormat="false" ht="15" hidden="false" customHeight="false" outlineLevel="0" collapsed="false">
      <c r="A141" s="22" t="s">
        <v>354</v>
      </c>
      <c r="B141" s="22" t="s">
        <v>3</v>
      </c>
      <c r="C141" s="22" t="s">
        <v>354</v>
      </c>
      <c r="D141" s="22" t="n">
        <v>19760</v>
      </c>
      <c r="E141" s="22" t="s">
        <v>132</v>
      </c>
      <c r="F141" s="22" t="s">
        <v>135</v>
      </c>
      <c r="G141" s="22" t="s">
        <v>131</v>
      </c>
      <c r="H141" s="22" t="s">
        <v>131</v>
      </c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</row>
    <row r="142" customFormat="false" ht="15" hidden="false" customHeight="false" outlineLevel="0" collapsed="false">
      <c r="A142" s="22" t="s">
        <v>76</v>
      </c>
      <c r="B142" s="22" t="s">
        <v>3</v>
      </c>
      <c r="C142" s="22" t="s">
        <v>76</v>
      </c>
      <c r="D142" s="22" t="n">
        <v>19780</v>
      </c>
      <c r="E142" s="22" t="s">
        <v>132</v>
      </c>
      <c r="F142" s="22" t="s">
        <v>135</v>
      </c>
      <c r="G142" s="22" t="s">
        <v>131</v>
      </c>
      <c r="H142" s="22" t="s">
        <v>131</v>
      </c>
      <c r="I142" s="22" t="n">
        <v>0.0261</v>
      </c>
      <c r="J142" s="22" t="n">
        <v>0.0466</v>
      </c>
      <c r="K142" s="22" t="n">
        <v>0.0665</v>
      </c>
      <c r="L142" s="22" t="n">
        <v>0.0401</v>
      </c>
      <c r="M142" s="22" t="n">
        <v>0.0448</v>
      </c>
      <c r="N142" s="22" t="n">
        <v>0.024</v>
      </c>
      <c r="O142" s="22" t="n">
        <v>0.019</v>
      </c>
      <c r="P142" s="22" t="n">
        <v>0.0347</v>
      </c>
      <c r="Q142" s="22" t="n">
        <v>0.0131</v>
      </c>
      <c r="R142" s="22" t="n">
        <v>0.036</v>
      </c>
      <c r="S142" s="22" t="n">
        <v>0.0192</v>
      </c>
      <c r="T142" s="22" t="n">
        <v>0.0166</v>
      </c>
      <c r="U142" s="22" t="n">
        <v>0.0279</v>
      </c>
      <c r="V142" s="22" t="n">
        <v>0.024</v>
      </c>
      <c r="W142" s="22" t="n">
        <v>0.0505</v>
      </c>
      <c r="X142" s="22" t="n">
        <v>0.0507</v>
      </c>
      <c r="Y142" s="22" t="n">
        <v>0.0472</v>
      </c>
      <c r="Z142" s="22" t="n">
        <v>0.0171</v>
      </c>
      <c r="AA142" s="22" t="n">
        <v>0.0031</v>
      </c>
      <c r="AB142" s="22" t="n">
        <v>-0.001</v>
      </c>
      <c r="AC142" s="22" t="n">
        <v>0.0081</v>
      </c>
      <c r="AD142" s="22" t="n">
        <v>0.0292</v>
      </c>
      <c r="AE142" s="22" t="n">
        <v>0.0532</v>
      </c>
      <c r="AF142" s="22" t="n">
        <v>0.0727</v>
      </c>
      <c r="AG142" s="22" t="n">
        <v>0.0712</v>
      </c>
      <c r="AH142" s="22" t="n">
        <v>0.0891</v>
      </c>
      <c r="AI142" s="22" t="n">
        <v>0.0868</v>
      </c>
      <c r="AJ142" s="22" t="n">
        <v>0.0887</v>
      </c>
      <c r="AK142" s="22" t="n">
        <v>0.0901</v>
      </c>
      <c r="AL142" s="22" t="n">
        <v>0.0679</v>
      </c>
      <c r="AM142" s="22" t="n">
        <v>0.0475</v>
      </c>
      <c r="AN142" s="22" t="n">
        <v>0.0331</v>
      </c>
      <c r="AO142" s="22" t="n">
        <v>0.0295</v>
      </c>
      <c r="AP142" s="22" t="n">
        <v>0.034</v>
      </c>
      <c r="AQ142" s="22" t="n">
        <v>0.0355</v>
      </c>
      <c r="AR142" s="22" t="n">
        <v>0.0303</v>
      </c>
      <c r="AS142" s="22" t="n">
        <v>0.0212</v>
      </c>
      <c r="AT142" s="22" t="n">
        <v>0.0271</v>
      </c>
      <c r="AU142" s="22" t="n">
        <v>0.0074</v>
      </c>
      <c r="AV142" s="22" t="n">
        <v>-0.0063</v>
      </c>
    </row>
    <row r="143" customFormat="false" ht="15" hidden="false" customHeight="false" outlineLevel="0" collapsed="false">
      <c r="A143" s="22" t="s">
        <v>159</v>
      </c>
      <c r="B143" s="22" t="s">
        <v>3</v>
      </c>
      <c r="C143" s="22" t="s">
        <v>159</v>
      </c>
      <c r="D143" s="22" t="n">
        <v>19820</v>
      </c>
      <c r="E143" s="22" t="s">
        <v>132</v>
      </c>
      <c r="F143" s="22" t="s">
        <v>135</v>
      </c>
      <c r="G143" s="22" t="s">
        <v>131</v>
      </c>
      <c r="H143" s="22" t="s">
        <v>131</v>
      </c>
      <c r="I143" s="22" t="n">
        <v>0.0488</v>
      </c>
      <c r="J143" s="22" t="n">
        <v>0.0519</v>
      </c>
      <c r="K143" s="22" t="n">
        <v>0.0478</v>
      </c>
      <c r="L143" s="22" t="n">
        <v>0.053</v>
      </c>
      <c r="M143" s="22" t="n">
        <v>0.037</v>
      </c>
      <c r="N143" s="22" t="n">
        <v>0.0376</v>
      </c>
      <c r="O143" s="22" t="n">
        <v>0.0367</v>
      </c>
      <c r="P143" s="22" t="n">
        <v>0.0264</v>
      </c>
      <c r="Q143" s="22" t="n">
        <v>0.0348</v>
      </c>
      <c r="R143" s="22" t="n">
        <v>0.0333</v>
      </c>
      <c r="S143" s="22" t="n">
        <v>0.0321</v>
      </c>
      <c r="T143" s="22" t="n">
        <v>0.0353</v>
      </c>
      <c r="U143" s="22" t="n">
        <v>0.028</v>
      </c>
      <c r="V143" s="22" t="n">
        <v>0.0318</v>
      </c>
      <c r="W143" s="22" t="n">
        <v>0.0368</v>
      </c>
      <c r="X143" s="22" t="n">
        <v>0.0312</v>
      </c>
      <c r="Y143" s="22" t="n">
        <v>0.0434</v>
      </c>
      <c r="Z143" s="22" t="n">
        <v>0.0361</v>
      </c>
      <c r="AA143" s="22" t="n">
        <v>0.0441</v>
      </c>
      <c r="AB143" s="22" t="n">
        <v>0.0608</v>
      </c>
      <c r="AC143" s="22" t="n">
        <v>0.0554</v>
      </c>
      <c r="AD143" s="22" t="n">
        <v>0.0738</v>
      </c>
      <c r="AE143" s="22" t="n">
        <v>0.0871</v>
      </c>
      <c r="AF143" s="22" t="n">
        <v>0.0995</v>
      </c>
      <c r="AG143" s="22" t="n">
        <v>0.1198</v>
      </c>
      <c r="AH143" s="22" t="n">
        <v>0.1286</v>
      </c>
      <c r="AI143" s="22" t="n">
        <v>0.1102</v>
      </c>
      <c r="AJ143" s="22" t="n">
        <v>0.0863</v>
      </c>
      <c r="AK143" s="22" t="n">
        <v>0.0584</v>
      </c>
      <c r="AL143" s="22" t="n">
        <v>0.0357</v>
      </c>
      <c r="AM143" s="22" t="n">
        <v>0.0231</v>
      </c>
      <c r="AN143" s="22" t="n">
        <v>0.0181</v>
      </c>
      <c r="AO143" s="22" t="n">
        <v>0.022</v>
      </c>
      <c r="AP143" s="22" t="n">
        <v>0.0211</v>
      </c>
      <c r="AQ143" s="22" t="n">
        <v>0.0242</v>
      </c>
      <c r="AR143" s="22" t="n">
        <v>0.0318</v>
      </c>
      <c r="AS143" s="22" t="n">
        <v>0.0371</v>
      </c>
      <c r="AT143" s="22" t="n">
        <v>0.0453</v>
      </c>
      <c r="AU143" s="22" t="n">
        <v>0.0526</v>
      </c>
      <c r="AV143" s="22" t="n">
        <v>0.0416</v>
      </c>
    </row>
    <row r="144" customFormat="false" ht="15" hidden="false" customHeight="false" outlineLevel="0" collapsed="false">
      <c r="A144" s="22" t="s">
        <v>355</v>
      </c>
      <c r="B144" s="22" t="s">
        <v>3</v>
      </c>
      <c r="C144" s="22" t="s">
        <v>355</v>
      </c>
      <c r="D144" s="22" t="n">
        <v>19860</v>
      </c>
      <c r="E144" s="22" t="s">
        <v>132</v>
      </c>
      <c r="F144" s="22" t="s">
        <v>135</v>
      </c>
      <c r="G144" s="22" t="s">
        <v>131</v>
      </c>
      <c r="H144" s="22" t="s">
        <v>131</v>
      </c>
      <c r="I144" s="22"/>
      <c r="J144" s="22"/>
      <c r="K144" s="22"/>
      <c r="L144" s="22"/>
      <c r="M144" s="22"/>
      <c r="N144" s="22" t="n">
        <v>-0.425</v>
      </c>
      <c r="O144" s="22" t="n">
        <v>-0.024</v>
      </c>
      <c r="P144" s="22" t="n">
        <v>0.0615</v>
      </c>
      <c r="Q144" s="22" t="n">
        <v>0.038</v>
      </c>
      <c r="R144" s="22" t="n">
        <v>0.1275</v>
      </c>
      <c r="S144" s="22" t="n">
        <v>0.0719</v>
      </c>
      <c r="T144" s="22" t="n">
        <v>0.0716</v>
      </c>
      <c r="U144" s="22" t="n">
        <v>0.0975</v>
      </c>
      <c r="V144" s="22" t="n">
        <v>0.1244</v>
      </c>
      <c r="W144" s="22" t="n">
        <v>0.1377</v>
      </c>
      <c r="X144" s="22" t="n">
        <v>0.1306</v>
      </c>
      <c r="Y144" s="22" t="n">
        <v>0.1085</v>
      </c>
      <c r="Z144" s="22" t="n">
        <v>-0.0325</v>
      </c>
      <c r="AA144" s="22" t="n">
        <v>-0.1038</v>
      </c>
      <c r="AB144" s="22" t="n">
        <v>-0.0654</v>
      </c>
      <c r="AC144" s="22" t="n">
        <v>-0.1645</v>
      </c>
      <c r="AD144" s="22" t="n">
        <v>-0.0888</v>
      </c>
      <c r="AE144" s="22" t="n">
        <v>0.0016</v>
      </c>
      <c r="AF144" s="22" t="n">
        <v>-0.0446</v>
      </c>
      <c r="AG144" s="22" t="n">
        <v>0.1566</v>
      </c>
      <c r="AH144" s="22" t="n">
        <v>0.1606</v>
      </c>
      <c r="AI144" s="22" t="n">
        <v>0.1626</v>
      </c>
      <c r="AJ144" s="22" t="n">
        <v>0.147</v>
      </c>
      <c r="AK144" s="22" t="n">
        <v>0.0766</v>
      </c>
      <c r="AL144" s="22" t="n">
        <v>0.0687</v>
      </c>
      <c r="AM144" s="22" t="n">
        <v>0.0531</v>
      </c>
      <c r="AN144" s="22" t="n">
        <v>0.1011</v>
      </c>
      <c r="AO144" s="22" t="n">
        <v>0.0939</v>
      </c>
      <c r="AP144" s="22" t="n">
        <v>0.1077</v>
      </c>
      <c r="AQ144" s="22" t="n">
        <v>0.0848</v>
      </c>
      <c r="AR144" s="22" t="n">
        <v>0.0677</v>
      </c>
      <c r="AS144" s="22" t="n">
        <v>0.0708</v>
      </c>
      <c r="AT144" s="22" t="n">
        <v>0.0625</v>
      </c>
      <c r="AU144" s="22" t="n">
        <v>0.0486</v>
      </c>
      <c r="AV144" s="22" t="n">
        <v>0.0351</v>
      </c>
    </row>
    <row r="145" customFormat="false" ht="15" hidden="false" customHeight="false" outlineLevel="0" collapsed="false">
      <c r="A145" s="22" t="s">
        <v>356</v>
      </c>
      <c r="B145" s="22" t="s">
        <v>3</v>
      </c>
      <c r="C145" s="22" t="s">
        <v>356</v>
      </c>
      <c r="D145" s="22" t="n">
        <v>20020</v>
      </c>
      <c r="E145" s="22" t="s">
        <v>132</v>
      </c>
      <c r="F145" s="22" t="s">
        <v>135</v>
      </c>
      <c r="G145" s="22" t="s">
        <v>131</v>
      </c>
      <c r="H145" s="22" t="s">
        <v>131</v>
      </c>
      <c r="I145" s="22"/>
      <c r="J145" s="22"/>
      <c r="K145" s="22" t="n">
        <v>-0.1995</v>
      </c>
      <c r="L145" s="22" t="n">
        <v>-0.2133</v>
      </c>
      <c r="M145" s="22" t="n">
        <v>-0.2417</v>
      </c>
      <c r="N145" s="22" t="n">
        <v>-0.0381</v>
      </c>
      <c r="O145" s="22" t="n">
        <v>-0.0529</v>
      </c>
      <c r="P145" s="22" t="n">
        <v>0.0461</v>
      </c>
      <c r="Q145" s="22" t="n">
        <v>0.0943</v>
      </c>
      <c r="R145" s="22" t="n">
        <v>0.0807</v>
      </c>
      <c r="S145" s="22" t="n">
        <v>0.0859</v>
      </c>
      <c r="T145" s="22" t="n">
        <v>0.0466</v>
      </c>
      <c r="U145" s="22" t="n">
        <v>0.014</v>
      </c>
      <c r="V145" s="22" t="n">
        <v>0.0507</v>
      </c>
      <c r="W145" s="22" t="n">
        <v>0.0758</v>
      </c>
      <c r="X145" s="22" t="n">
        <v>0.0247</v>
      </c>
      <c r="Y145" s="22" t="n">
        <v>0.0159</v>
      </c>
      <c r="Z145" s="22" t="n">
        <v>0.0012</v>
      </c>
      <c r="AA145" s="22" t="n">
        <v>0.0149</v>
      </c>
      <c r="AB145" s="22" t="n">
        <v>0.048</v>
      </c>
      <c r="AC145" s="22" t="n">
        <v>0.0602</v>
      </c>
      <c r="AD145" s="22" t="n">
        <v>0.0869</v>
      </c>
      <c r="AE145" s="22" t="n">
        <v>0.0814</v>
      </c>
      <c r="AF145" s="22" t="n">
        <v>0.0944</v>
      </c>
      <c r="AG145" s="22" t="n">
        <v>0.1171</v>
      </c>
      <c r="AH145" s="22" t="n">
        <v>0.1135</v>
      </c>
      <c r="AI145" s="22" t="n">
        <v>0.1117</v>
      </c>
      <c r="AJ145" s="22" t="n">
        <v>0.0936</v>
      </c>
      <c r="AK145" s="22" t="n">
        <v>0.0854</v>
      </c>
      <c r="AL145" s="22" t="n">
        <v>0.0583</v>
      </c>
      <c r="AM145" s="22" t="n">
        <v>0.0535</v>
      </c>
      <c r="AN145" s="22" t="n">
        <v>0.0422</v>
      </c>
      <c r="AO145" s="22" t="n">
        <v>0.0263</v>
      </c>
      <c r="AP145" s="22" t="n">
        <v>0.0477</v>
      </c>
      <c r="AQ145" s="22" t="n">
        <v>0.0213</v>
      </c>
      <c r="AR145" s="22" t="n">
        <v>0.0226</v>
      </c>
      <c r="AS145" s="22" t="n">
        <v>0.033</v>
      </c>
      <c r="AT145" s="22" t="n">
        <v>0.0303</v>
      </c>
      <c r="AU145" s="22" t="n">
        <v>0.0458</v>
      </c>
      <c r="AV145" s="22" t="n">
        <v>0.0328</v>
      </c>
    </row>
    <row r="146" customFormat="false" ht="15" hidden="false" customHeight="false" outlineLevel="0" collapsed="false">
      <c r="A146" s="22" t="s">
        <v>357</v>
      </c>
      <c r="B146" s="22" t="s">
        <v>3</v>
      </c>
      <c r="C146" s="22" t="s">
        <v>357</v>
      </c>
      <c r="D146" s="22" t="n">
        <v>20100</v>
      </c>
      <c r="E146" s="22" t="s">
        <v>132</v>
      </c>
      <c r="F146" s="22" t="s">
        <v>135</v>
      </c>
      <c r="G146" s="22" t="s">
        <v>131</v>
      </c>
      <c r="H146" s="22" t="s">
        <v>131</v>
      </c>
      <c r="I146" s="22" t="n">
        <v>0.0771</v>
      </c>
      <c r="J146" s="22" t="n">
        <v>0.0514</v>
      </c>
      <c r="K146" s="22" t="n">
        <v>0.0235</v>
      </c>
      <c r="L146" s="22" t="n">
        <v>0.0244</v>
      </c>
      <c r="M146" s="22" t="n">
        <v>0.01</v>
      </c>
      <c r="N146" s="22" t="n">
        <v>0.0132</v>
      </c>
      <c r="O146" s="22" t="n">
        <v>0.0183</v>
      </c>
      <c r="P146" s="22" t="n">
        <v>0.0074</v>
      </c>
      <c r="Q146" s="22" t="n">
        <v>0.0287</v>
      </c>
      <c r="R146" s="22" t="n">
        <v>0.0481</v>
      </c>
      <c r="S146" s="22" t="n">
        <v>0.0517</v>
      </c>
      <c r="T146" s="22" t="n">
        <v>0.055</v>
      </c>
      <c r="U146" s="22" t="n">
        <v>0.0601</v>
      </c>
      <c r="V146" s="22" t="n">
        <v>0.0545</v>
      </c>
      <c r="W146" s="22" t="n">
        <v>0.0317</v>
      </c>
      <c r="X146" s="22" t="n">
        <v>0.02</v>
      </c>
      <c r="Y146" s="22" t="n">
        <v>0.0235</v>
      </c>
      <c r="Z146" s="22" t="n">
        <v>0.0372</v>
      </c>
      <c r="AA146" s="22" t="n">
        <v>0.0833</v>
      </c>
      <c r="AB146" s="22" t="n">
        <v>0.1133</v>
      </c>
      <c r="AC146" s="22" t="n">
        <v>0.0841</v>
      </c>
      <c r="AD146" s="22" t="n">
        <v>0.0739</v>
      </c>
      <c r="AE146" s="22" t="n">
        <v>0.1253</v>
      </c>
      <c r="AF146" s="22" t="n">
        <v>0.1504</v>
      </c>
      <c r="AG146" s="22" t="n">
        <v>0.143</v>
      </c>
      <c r="AH146" s="22" t="n">
        <v>0.138</v>
      </c>
      <c r="AI146" s="22" t="n">
        <v>0.0926</v>
      </c>
      <c r="AJ146" s="22" t="n">
        <v>0.0495</v>
      </c>
      <c r="AK146" s="22" t="n">
        <v>0.0751</v>
      </c>
      <c r="AL146" s="22" t="n">
        <v>0.0866</v>
      </c>
      <c r="AM146" s="22" t="n">
        <v>0.0494</v>
      </c>
      <c r="AN146" s="22" t="n">
        <v>0.086</v>
      </c>
      <c r="AO146" s="22" t="n">
        <v>0.0778</v>
      </c>
      <c r="AP146" s="22" t="n">
        <v>0.0429</v>
      </c>
      <c r="AQ146" s="22" t="n">
        <v>0.0226</v>
      </c>
      <c r="AR146" s="22" t="n">
        <v>-0.0022</v>
      </c>
      <c r="AS146" s="22" t="n">
        <v>-0.0192</v>
      </c>
      <c r="AT146" s="22" t="n">
        <v>-0.0239</v>
      </c>
      <c r="AU146" s="22" t="n">
        <v>0.0324</v>
      </c>
      <c r="AV146" s="22" t="n">
        <v>0.0151</v>
      </c>
    </row>
    <row r="147" customFormat="false" ht="15" hidden="false" customHeight="false" outlineLevel="0" collapsed="false">
      <c r="A147" s="22" t="s">
        <v>358</v>
      </c>
      <c r="B147" s="22" t="s">
        <v>3</v>
      </c>
      <c r="C147" s="22" t="s">
        <v>358</v>
      </c>
      <c r="D147" s="22" t="n">
        <v>20260</v>
      </c>
      <c r="E147" s="22" t="s">
        <v>132</v>
      </c>
      <c r="F147" s="22" t="s">
        <v>135</v>
      </c>
      <c r="G147" s="22" t="s">
        <v>131</v>
      </c>
      <c r="H147" s="22" t="s">
        <v>131</v>
      </c>
      <c r="I147" s="22" t="n">
        <v>-0.0232</v>
      </c>
      <c r="J147" s="22" t="n">
        <v>-0.0715</v>
      </c>
      <c r="K147" s="22" t="n">
        <v>-0.0258</v>
      </c>
      <c r="L147" s="22" t="n">
        <v>0.052</v>
      </c>
      <c r="M147" s="22" t="n">
        <v>0.016</v>
      </c>
      <c r="N147" s="22" t="n">
        <v>0.0671</v>
      </c>
      <c r="O147" s="22" t="n">
        <v>0.1264</v>
      </c>
      <c r="P147" s="22" t="n">
        <v>0.1587</v>
      </c>
      <c r="Q147" s="22" t="n">
        <v>0.1049</v>
      </c>
      <c r="R147" s="22" t="n">
        <v>0.0946</v>
      </c>
      <c r="S147" s="22" t="n">
        <v>0.1013</v>
      </c>
      <c r="T147" s="22" t="n">
        <v>-0.007</v>
      </c>
      <c r="U147" s="22" t="n">
        <v>0.0122</v>
      </c>
      <c r="V147" s="22" t="n">
        <v>0.0223</v>
      </c>
      <c r="W147" s="22" t="n">
        <v>0.0448</v>
      </c>
      <c r="X147" s="22" t="n">
        <v>0.0391</v>
      </c>
      <c r="Y147" s="22" t="n">
        <v>0.0375</v>
      </c>
      <c r="Z147" s="22" t="n">
        <v>0.0261</v>
      </c>
      <c r="AA147" s="22" t="n">
        <v>0.0091</v>
      </c>
      <c r="AB147" s="22" t="n">
        <v>0.0192</v>
      </c>
      <c r="AC147" s="22" t="n">
        <v>0.0291</v>
      </c>
      <c r="AD147" s="22" t="n">
        <v>0.0305</v>
      </c>
      <c r="AE147" s="22" t="n">
        <v>0.0702</v>
      </c>
      <c r="AF147" s="22" t="n">
        <v>0.0876</v>
      </c>
      <c r="AG147" s="22" t="n">
        <v>0.1205</v>
      </c>
      <c r="AH147" s="22" t="n">
        <v>0.1491</v>
      </c>
      <c r="AI147" s="22" t="n">
        <v>0.1122</v>
      </c>
      <c r="AJ147" s="22" t="n">
        <v>0.0678</v>
      </c>
      <c r="AK147" s="22" t="n">
        <v>0.028</v>
      </c>
      <c r="AL147" s="22" t="n">
        <v>-0.0645</v>
      </c>
      <c r="AM147" s="22" t="n">
        <v>-0.0789</v>
      </c>
      <c r="AN147" s="22" t="n">
        <v>-0.0607</v>
      </c>
      <c r="AO147" s="22" t="n">
        <v>-0.037</v>
      </c>
      <c r="AP147" s="22" t="n">
        <v>0.0341</v>
      </c>
      <c r="AQ147" s="22" t="n">
        <v>0.0402</v>
      </c>
      <c r="AR147" s="22" t="n">
        <v>0.073</v>
      </c>
      <c r="AS147" s="22" t="n">
        <v>0.0592</v>
      </c>
      <c r="AT147" s="22" t="n">
        <v>0.142</v>
      </c>
      <c r="AU147" s="22" t="n">
        <v>0.1676</v>
      </c>
      <c r="AV147" s="22" t="n">
        <v>0.1407</v>
      </c>
    </row>
    <row r="148" customFormat="false" ht="15" hidden="false" customHeight="false" outlineLevel="0" collapsed="false">
      <c r="A148" s="22" t="s">
        <v>359</v>
      </c>
      <c r="B148" s="22" t="s">
        <v>3</v>
      </c>
      <c r="C148" s="22" t="s">
        <v>359</v>
      </c>
      <c r="D148" s="22" t="n">
        <v>20420</v>
      </c>
      <c r="E148" s="22" t="s">
        <v>132</v>
      </c>
      <c r="F148" s="22" t="s">
        <v>135</v>
      </c>
      <c r="G148" s="22" t="s">
        <v>131</v>
      </c>
      <c r="H148" s="22" t="s">
        <v>131</v>
      </c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 t="n">
        <v>0.0771</v>
      </c>
      <c r="Y148" s="22" t="n">
        <v>0.0954</v>
      </c>
      <c r="Z148" s="22" t="n">
        <v>0.0459</v>
      </c>
      <c r="AA148" s="22" t="n">
        <v>0.0879</v>
      </c>
      <c r="AB148" s="22" t="n">
        <v>0.1004</v>
      </c>
      <c r="AC148" s="22" t="n">
        <v>0.1636</v>
      </c>
      <c r="AD148" s="22" t="n">
        <v>0.363</v>
      </c>
      <c r="AE148" s="22" t="n">
        <v>0.4339</v>
      </c>
      <c r="AF148" s="22" t="n">
        <v>0.2737</v>
      </c>
      <c r="AG148" s="22" t="n">
        <v>0.2151</v>
      </c>
      <c r="AH148" s="22" t="n">
        <v>0.1425</v>
      </c>
      <c r="AI148" s="22" t="n">
        <v>-0.0148</v>
      </c>
      <c r="AJ148" s="22" t="n">
        <v>-0.0075</v>
      </c>
      <c r="AK148" s="22" t="n">
        <v>-0.0469</v>
      </c>
      <c r="AL148" s="22" t="n">
        <v>-0.0415</v>
      </c>
      <c r="AM148" s="22" t="n">
        <v>0.0409</v>
      </c>
      <c r="AN148" s="22" t="n">
        <v>0.0236</v>
      </c>
      <c r="AO148" s="22" t="n">
        <v>0.0438</v>
      </c>
      <c r="AP148" s="22" t="n">
        <v>0.0411</v>
      </c>
      <c r="AQ148" s="22" t="n">
        <v>-0.0633</v>
      </c>
      <c r="AR148" s="22" t="n">
        <v>-0.0174</v>
      </c>
      <c r="AS148" s="22" t="n">
        <v>-0.0203</v>
      </c>
      <c r="AT148" s="22" t="n">
        <v>-0.07</v>
      </c>
      <c r="AU148" s="22" t="n">
        <v>-0.0156</v>
      </c>
      <c r="AV148" s="22" t="n">
        <v>-0.0335</v>
      </c>
    </row>
    <row r="149" customFormat="false" ht="15" hidden="false" customHeight="false" outlineLevel="0" collapsed="false">
      <c r="A149" s="22" t="s">
        <v>360</v>
      </c>
      <c r="B149" s="22" t="s">
        <v>3</v>
      </c>
      <c r="C149" s="22" t="s">
        <v>360</v>
      </c>
      <c r="D149" s="22" t="n">
        <v>20460</v>
      </c>
      <c r="E149" s="22" t="s">
        <v>132</v>
      </c>
      <c r="F149" s="22" t="s">
        <v>135</v>
      </c>
      <c r="G149" s="22" t="s">
        <v>131</v>
      </c>
      <c r="H149" s="22" t="s">
        <v>131</v>
      </c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 customFormat="false" ht="15" hidden="false" customHeight="false" outlineLevel="0" collapsed="false">
      <c r="A150" s="22" t="s">
        <v>361</v>
      </c>
      <c r="B150" s="22" t="s">
        <v>3</v>
      </c>
      <c r="C150" s="22" t="s">
        <v>361</v>
      </c>
      <c r="D150" s="22" t="n">
        <v>20580</v>
      </c>
      <c r="E150" s="22" t="s">
        <v>132</v>
      </c>
      <c r="F150" s="22" t="s">
        <v>135</v>
      </c>
      <c r="G150" s="22" t="s">
        <v>131</v>
      </c>
      <c r="H150" s="22" t="s">
        <v>131</v>
      </c>
      <c r="I150" s="22"/>
      <c r="J150" s="22"/>
      <c r="K150" s="22"/>
      <c r="L150" s="22"/>
      <c r="M150" s="22" t="n">
        <v>-0.2129</v>
      </c>
      <c r="N150" s="22" t="n">
        <v>-0.1782</v>
      </c>
      <c r="O150" s="22" t="n">
        <v>-0.0057</v>
      </c>
      <c r="P150" s="22" t="n">
        <v>0.1106</v>
      </c>
      <c r="Q150" s="22" t="n">
        <v>0.1749</v>
      </c>
      <c r="R150" s="22" t="n">
        <v>0.253</v>
      </c>
      <c r="S150" s="22" t="n">
        <v>0.0598</v>
      </c>
      <c r="T150" s="22" t="n">
        <v>-0.0257</v>
      </c>
      <c r="U150" s="22" t="n">
        <v>-0.0691</v>
      </c>
      <c r="V150" s="22" t="n">
        <v>-0.0399</v>
      </c>
      <c r="W150" s="22" t="n">
        <v>-0.0005</v>
      </c>
      <c r="X150" s="22" t="n">
        <v>0.0676</v>
      </c>
      <c r="Y150" s="22" t="n">
        <v>0.1193</v>
      </c>
      <c r="Z150" s="22" t="n">
        <v>0.0295</v>
      </c>
      <c r="AA150" s="22" t="n">
        <v>-0.0172</v>
      </c>
      <c r="AB150" s="22" t="n">
        <v>-0.0541</v>
      </c>
      <c r="AC150" s="22" t="n">
        <v>-0.0463</v>
      </c>
      <c r="AD150" s="22" t="n">
        <v>-0.0225</v>
      </c>
      <c r="AE150" s="22" t="n">
        <v>0.1368</v>
      </c>
      <c r="AF150" s="22" t="n">
        <v>0.1586</v>
      </c>
      <c r="AG150" s="22" t="n">
        <v>0.1513</v>
      </c>
      <c r="AH150" s="22" t="n">
        <v>0.2009</v>
      </c>
      <c r="AI150" s="22" t="n">
        <v>0.142</v>
      </c>
      <c r="AJ150" s="22" t="n">
        <v>0.1849</v>
      </c>
      <c r="AK150" s="22" t="n">
        <v>0.2597</v>
      </c>
      <c r="AL150" s="22" t="n">
        <v>0.2696</v>
      </c>
      <c r="AM150" s="22" t="n">
        <v>0.1425</v>
      </c>
      <c r="AN150" s="22" t="n">
        <v>0.0742</v>
      </c>
      <c r="AO150" s="22" t="n">
        <v>0.1117</v>
      </c>
      <c r="AP150" s="22" t="n">
        <v>0.1058</v>
      </c>
      <c r="AQ150" s="22" t="n">
        <v>0.0894</v>
      </c>
      <c r="AR150" s="22" t="n">
        <v>0.108</v>
      </c>
      <c r="AS150" s="22" t="n">
        <v>-0.0251</v>
      </c>
      <c r="AT150" s="22" t="n">
        <v>-0.0537</v>
      </c>
      <c r="AU150" s="22" t="n">
        <v>-0.2063</v>
      </c>
      <c r="AV150" s="22" t="n">
        <v>-0.2413</v>
      </c>
    </row>
    <row r="151" customFormat="false" ht="15" hidden="false" customHeight="false" outlineLevel="0" collapsed="false">
      <c r="A151" s="22" t="s">
        <v>362</v>
      </c>
      <c r="B151" s="22" t="s">
        <v>3</v>
      </c>
      <c r="C151" s="22" t="s">
        <v>362</v>
      </c>
      <c r="D151" s="22" t="n">
        <v>20660</v>
      </c>
      <c r="E151" s="22" t="s">
        <v>132</v>
      </c>
      <c r="F151" s="22" t="s">
        <v>135</v>
      </c>
      <c r="G151" s="22" t="s">
        <v>131</v>
      </c>
      <c r="H151" s="22" t="s">
        <v>131</v>
      </c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</row>
    <row r="152" customFormat="false" ht="15" hidden="false" customHeight="false" outlineLevel="0" collapsed="false">
      <c r="A152" s="22" t="s">
        <v>363</v>
      </c>
      <c r="B152" s="22" t="s">
        <v>3</v>
      </c>
      <c r="C152" s="22" t="s">
        <v>363</v>
      </c>
      <c r="D152" s="22" t="n">
        <v>20700</v>
      </c>
      <c r="E152" s="22" t="s">
        <v>132</v>
      </c>
      <c r="F152" s="22" t="s">
        <v>135</v>
      </c>
      <c r="G152" s="22" t="s">
        <v>131</v>
      </c>
      <c r="H152" s="22" t="s">
        <v>131</v>
      </c>
      <c r="I152" s="22" t="n">
        <v>0.083</v>
      </c>
      <c r="J152" s="22" t="n">
        <v>0.0241</v>
      </c>
      <c r="K152" s="22" t="n">
        <v>0.0048</v>
      </c>
      <c r="L152" s="22" t="n">
        <v>0.0116</v>
      </c>
      <c r="M152" s="22" t="n">
        <v>0.0081</v>
      </c>
      <c r="N152" s="22" t="n">
        <v>0.0057</v>
      </c>
      <c r="O152" s="22" t="n">
        <v>-0.0072</v>
      </c>
      <c r="P152" s="22" t="n">
        <v>0.0367</v>
      </c>
      <c r="Q152" s="22" t="n">
        <v>0.1123</v>
      </c>
      <c r="R152" s="22" t="n">
        <v>0.1329</v>
      </c>
      <c r="S152" s="22" t="n">
        <v>0.1422</v>
      </c>
      <c r="T152" s="22" t="n">
        <v>0.051</v>
      </c>
      <c r="U152" s="22" t="n">
        <v>-0.0171</v>
      </c>
      <c r="V152" s="22" t="n">
        <v>-0.0167</v>
      </c>
      <c r="W152" s="22" t="n">
        <v>-0.0108</v>
      </c>
      <c r="X152" s="22" t="n">
        <v>0.0141</v>
      </c>
      <c r="Y152" s="22" t="n">
        <v>0.1144</v>
      </c>
      <c r="Z152" s="22" t="n">
        <v>0.1311</v>
      </c>
      <c r="AA152" s="22" t="n">
        <v>0.1281</v>
      </c>
      <c r="AB152" s="22" t="n">
        <v>0.102</v>
      </c>
      <c r="AC152" s="22" t="n">
        <v>0.0404</v>
      </c>
      <c r="AD152" s="22" t="n">
        <v>0.0754</v>
      </c>
      <c r="AE152" s="22" t="n">
        <v>0.0746</v>
      </c>
      <c r="AF152" s="22" t="n">
        <v>0.117</v>
      </c>
      <c r="AG152" s="22" t="n">
        <v>0.2587</v>
      </c>
      <c r="AH152" s="22" t="n">
        <v>0.1745</v>
      </c>
      <c r="AI152" s="22" t="n">
        <v>0.1781</v>
      </c>
      <c r="AJ152" s="22" t="n">
        <v>0.1767</v>
      </c>
      <c r="AK152" s="22" t="n">
        <v>-0.013</v>
      </c>
      <c r="AL152" s="22" t="n">
        <v>0.0005</v>
      </c>
      <c r="AM152" s="22" t="n">
        <v>-0.028</v>
      </c>
      <c r="AN152" s="22" t="n">
        <v>-0.0418</v>
      </c>
      <c r="AO152" s="22" t="n">
        <v>0.0034</v>
      </c>
      <c r="AP152" s="22" t="n">
        <v>-0.0433</v>
      </c>
      <c r="AQ152" s="22" t="n">
        <v>-0.0293</v>
      </c>
      <c r="AR152" s="22" t="n">
        <v>-0.0346</v>
      </c>
      <c r="AS152" s="22" t="n">
        <v>-0.0271</v>
      </c>
      <c r="AT152" s="22" t="n">
        <v>0.0293</v>
      </c>
      <c r="AU152" s="22" t="n">
        <v>0.0253</v>
      </c>
      <c r="AV152" s="22" t="n">
        <v>0.0191</v>
      </c>
    </row>
    <row r="153" customFormat="false" ht="15" hidden="false" customHeight="false" outlineLevel="0" collapsed="false">
      <c r="A153" s="22" t="s">
        <v>364</v>
      </c>
      <c r="B153" s="22" t="s">
        <v>3</v>
      </c>
      <c r="C153" s="22" t="s">
        <v>364</v>
      </c>
      <c r="D153" s="22" t="n">
        <v>20740</v>
      </c>
      <c r="E153" s="22" t="s">
        <v>132</v>
      </c>
      <c r="F153" s="22" t="s">
        <v>135</v>
      </c>
      <c r="G153" s="22" t="s">
        <v>131</v>
      </c>
      <c r="H153" s="22" t="s">
        <v>131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 t="n">
        <v>0.4515</v>
      </c>
      <c r="AF153" s="22" t="n">
        <v>0.2894</v>
      </c>
      <c r="AG153" s="22" t="n">
        <v>0.3086</v>
      </c>
      <c r="AH153" s="22" t="n">
        <v>0.3109</v>
      </c>
      <c r="AI153" s="22" t="n">
        <v>0.0664</v>
      </c>
      <c r="AJ153" s="22" t="n">
        <v>0.0939</v>
      </c>
      <c r="AK153" s="22" t="n">
        <v>0.1519</v>
      </c>
      <c r="AL153" s="22" t="n">
        <v>0.1173</v>
      </c>
      <c r="AM153" s="22" t="n">
        <v>0.0735</v>
      </c>
      <c r="AN153" s="22" t="n">
        <v>0.0404</v>
      </c>
      <c r="AO153" s="22" t="n">
        <v>0.0015</v>
      </c>
      <c r="AP153" s="22" t="n">
        <v>0.0305</v>
      </c>
      <c r="AQ153" s="22" t="n">
        <v>0.06</v>
      </c>
      <c r="AR153" s="22" t="n">
        <v>0.0631</v>
      </c>
      <c r="AS153" s="22" t="n">
        <v>0.0405</v>
      </c>
      <c r="AT153" s="22" t="n">
        <v>0.1462</v>
      </c>
      <c r="AU153" s="22" t="n">
        <v>0.0845</v>
      </c>
      <c r="AV153" s="22" t="n">
        <v>0.0534</v>
      </c>
    </row>
    <row r="154" customFormat="false" ht="15" hidden="false" customHeight="false" outlineLevel="0" collapsed="false">
      <c r="A154" s="22" t="s">
        <v>365</v>
      </c>
      <c r="B154" s="22" t="s">
        <v>3</v>
      </c>
      <c r="C154" s="22" t="s">
        <v>365</v>
      </c>
      <c r="D154" s="22" t="n">
        <v>20780</v>
      </c>
      <c r="E154" s="22" t="s">
        <v>132</v>
      </c>
      <c r="F154" s="22" t="s">
        <v>135</v>
      </c>
      <c r="G154" s="22" t="s">
        <v>131</v>
      </c>
      <c r="H154" s="22" t="s">
        <v>131</v>
      </c>
      <c r="I154" s="22" t="n">
        <v>-0.3409</v>
      </c>
      <c r="J154" s="22" t="n">
        <v>-0.2547</v>
      </c>
      <c r="K154" s="22" t="n">
        <v>-0.2502</v>
      </c>
      <c r="L154" s="22" t="n">
        <v>0.0462</v>
      </c>
      <c r="M154" s="22" t="n">
        <v>-0.0046</v>
      </c>
      <c r="N154" s="22" t="n">
        <v>-0.0045</v>
      </c>
      <c r="O154" s="22" t="n">
        <v>0.0116</v>
      </c>
      <c r="P154" s="22" t="n">
        <v>0.0277</v>
      </c>
      <c r="Q154" s="22" t="n">
        <v>0.08</v>
      </c>
      <c r="R154" s="22" t="n">
        <v>0.0704</v>
      </c>
      <c r="S154" s="22" t="n">
        <v>0.1247</v>
      </c>
      <c r="T154" s="22" t="n">
        <v>0.1652</v>
      </c>
      <c r="U154" s="22" t="n">
        <v>0.1259</v>
      </c>
      <c r="V154" s="22"/>
      <c r="W154" s="22" t="n">
        <v>0.045</v>
      </c>
      <c r="X154" s="22" t="n">
        <v>0.0353</v>
      </c>
      <c r="Y154" s="22" t="n">
        <v>0.0673</v>
      </c>
      <c r="Z154" s="22" t="n">
        <v>0.2135</v>
      </c>
      <c r="AA154" s="22" t="n">
        <v>0.0651</v>
      </c>
      <c r="AB154" s="22" t="n">
        <v>-0.0407</v>
      </c>
      <c r="AC154" s="22" t="n">
        <v>0.048</v>
      </c>
      <c r="AD154" s="22" t="n">
        <v>0.0216</v>
      </c>
      <c r="AE154" s="22" t="n">
        <v>0.0873</v>
      </c>
      <c r="AF154" s="22" t="n">
        <v>0.2232</v>
      </c>
      <c r="AG154" s="22" t="n">
        <v>0.0656</v>
      </c>
      <c r="AH154" s="22" t="n">
        <v>0.1622</v>
      </c>
      <c r="AI154" s="22" t="n">
        <v>0.1576</v>
      </c>
      <c r="AJ154" s="22" t="n">
        <v>0.0698</v>
      </c>
      <c r="AK154" s="22" t="n">
        <v>0.1413</v>
      </c>
      <c r="AL154" s="22" t="n">
        <v>0.0573</v>
      </c>
      <c r="AM154" s="22" t="n">
        <v>0.0575</v>
      </c>
      <c r="AN154" s="22" t="n">
        <v>0.1089</v>
      </c>
      <c r="AO154" s="22" t="n">
        <v>0.1415</v>
      </c>
      <c r="AP154" s="22" t="n">
        <v>0.1472</v>
      </c>
      <c r="AQ154" s="22" t="n">
        <v>0.1131</v>
      </c>
      <c r="AR154" s="22" t="n">
        <v>0.0886</v>
      </c>
      <c r="AS154" s="22" t="n">
        <v>0.0241</v>
      </c>
      <c r="AT154" s="22" t="n">
        <v>-0.002</v>
      </c>
      <c r="AU154" s="22" t="n">
        <v>0.1583</v>
      </c>
      <c r="AV154" s="22" t="n">
        <v>0.1696</v>
      </c>
    </row>
    <row r="155" customFormat="false" ht="15" hidden="false" customHeight="false" outlineLevel="0" collapsed="false">
      <c r="A155" s="22" t="s">
        <v>366</v>
      </c>
      <c r="B155" s="22" t="s">
        <v>3</v>
      </c>
      <c r="C155" s="22" t="s">
        <v>366</v>
      </c>
      <c r="D155" s="22" t="n">
        <v>20900</v>
      </c>
      <c r="E155" s="22" t="s">
        <v>132</v>
      </c>
      <c r="F155" s="22" t="s">
        <v>135</v>
      </c>
      <c r="G155" s="22" t="s">
        <v>131</v>
      </c>
      <c r="H155" s="22" t="s">
        <v>131</v>
      </c>
      <c r="I155" s="22"/>
      <c r="J155" s="22"/>
      <c r="K155" s="22"/>
      <c r="L155" s="22"/>
      <c r="M155" s="22"/>
      <c r="N155" s="22" t="n">
        <v>0.0567</v>
      </c>
      <c r="O155" s="22" t="n">
        <v>-0.1323</v>
      </c>
      <c r="P155" s="22"/>
      <c r="Q155" s="22"/>
      <c r="R155" s="22"/>
      <c r="S155" s="22"/>
      <c r="T155" s="22"/>
      <c r="U155" s="22"/>
      <c r="V155" s="22" t="n">
        <v>0.0753</v>
      </c>
      <c r="W155" s="22" t="n">
        <v>0.0751</v>
      </c>
      <c r="X155" s="22" t="n">
        <v>0.0771</v>
      </c>
      <c r="Y155" s="22" t="n">
        <v>0.0601</v>
      </c>
      <c r="Z155" s="22" t="n">
        <v>-0.0046</v>
      </c>
      <c r="AA155" s="22" t="n">
        <v>0.0047</v>
      </c>
      <c r="AB155" s="22" t="n">
        <v>-0.0003</v>
      </c>
      <c r="AC155" s="22" t="n">
        <v>0.0135</v>
      </c>
      <c r="AD155" s="22" t="n">
        <v>0.0387</v>
      </c>
      <c r="AE155" s="22" t="n">
        <v>0.0323</v>
      </c>
      <c r="AF155" s="22" t="n">
        <v>0.1016</v>
      </c>
      <c r="AG155" s="22" t="n">
        <v>0.1592</v>
      </c>
      <c r="AH155" s="22" t="n">
        <v>0.1619</v>
      </c>
      <c r="AI155" s="22" t="n">
        <v>0.1475</v>
      </c>
      <c r="AJ155" s="22" t="n">
        <v>0.1169</v>
      </c>
      <c r="AK155" s="22" t="n">
        <v>0.0675</v>
      </c>
      <c r="AL155" s="22" t="n">
        <v>0.0728</v>
      </c>
      <c r="AM155" s="22" t="n">
        <v>0.0838</v>
      </c>
      <c r="AN155" s="22" t="n">
        <v>0.043</v>
      </c>
      <c r="AO155" s="22" t="n">
        <v>0.0338</v>
      </c>
      <c r="AP155" s="22" t="n">
        <v>0.006</v>
      </c>
      <c r="AQ155" s="22" t="n">
        <v>0.0107</v>
      </c>
      <c r="AR155" s="22" t="n">
        <v>0.0035</v>
      </c>
      <c r="AS155" s="22" t="n">
        <v>0.004</v>
      </c>
      <c r="AT155" s="22"/>
      <c r="AU155" s="22"/>
      <c r="AV155" s="22"/>
    </row>
    <row r="156" customFormat="false" ht="15" hidden="false" customHeight="false" outlineLevel="0" collapsed="false">
      <c r="A156" s="22" t="s">
        <v>367</v>
      </c>
      <c r="B156" s="22" t="s">
        <v>3</v>
      </c>
      <c r="C156" s="22" t="s">
        <v>367</v>
      </c>
      <c r="D156" s="22" t="n">
        <v>20940</v>
      </c>
      <c r="E156" s="22" t="s">
        <v>132</v>
      </c>
      <c r="F156" s="22" t="s">
        <v>135</v>
      </c>
      <c r="G156" s="22" t="s">
        <v>131</v>
      </c>
      <c r="H156" s="22" t="s">
        <v>131</v>
      </c>
      <c r="I156" s="22"/>
      <c r="J156" s="22"/>
      <c r="K156" s="22"/>
      <c r="L156" s="22"/>
      <c r="M156" s="22"/>
      <c r="N156" s="22"/>
      <c r="O156" s="22" t="n">
        <v>1.1636</v>
      </c>
      <c r="P156" s="22" t="n">
        <v>0.1233</v>
      </c>
      <c r="Q156" s="22" t="n">
        <v>-0.0812</v>
      </c>
      <c r="R156" s="22" t="n">
        <v>-0.0543</v>
      </c>
      <c r="S156" s="22" t="n">
        <v>0.0004</v>
      </c>
      <c r="T156" s="22" t="n">
        <v>0.017</v>
      </c>
      <c r="U156" s="22" t="n">
        <v>0.0476</v>
      </c>
      <c r="V156" s="22" t="n">
        <v>0.0442</v>
      </c>
      <c r="W156" s="22" t="n">
        <v>0.0547</v>
      </c>
      <c r="X156" s="22" t="n">
        <v>0.0918</v>
      </c>
      <c r="Y156" s="22"/>
      <c r="Z156" s="22"/>
      <c r="AA156" s="22"/>
      <c r="AB156" s="22"/>
      <c r="AC156" s="22"/>
      <c r="AD156" s="22"/>
      <c r="AE156" s="22"/>
      <c r="AF156" s="22" t="n">
        <v>0.0763</v>
      </c>
      <c r="AG156" s="22" t="n">
        <v>0.1085</v>
      </c>
      <c r="AH156" s="22" t="n">
        <v>0.1211</v>
      </c>
      <c r="AI156" s="22" t="n">
        <v>0.1468</v>
      </c>
      <c r="AJ156" s="22" t="n">
        <v>0.134</v>
      </c>
      <c r="AK156" s="22" t="n">
        <v>0.1316</v>
      </c>
      <c r="AL156" s="22" t="n">
        <v>0.1139</v>
      </c>
      <c r="AM156" s="22" t="n">
        <v>0.0761</v>
      </c>
      <c r="AN156" s="22" t="n">
        <v>0.0588</v>
      </c>
      <c r="AO156" s="22" t="n">
        <v>0.0801</v>
      </c>
      <c r="AP156" s="22" t="n">
        <v>0.09</v>
      </c>
      <c r="AQ156" s="22" t="n">
        <v>0.0798</v>
      </c>
      <c r="AR156" s="22" t="n">
        <v>0.0776</v>
      </c>
      <c r="AS156" s="22" t="n">
        <v>0.0336</v>
      </c>
      <c r="AT156" s="22" t="n">
        <v>-0.014</v>
      </c>
      <c r="AU156" s="22" t="n">
        <v>0.0134</v>
      </c>
      <c r="AV156" s="22" t="n">
        <v>0.018</v>
      </c>
    </row>
    <row r="157" customFormat="false" ht="15" hidden="false" customHeight="false" outlineLevel="0" collapsed="false">
      <c r="A157" s="22" t="s">
        <v>368</v>
      </c>
      <c r="B157" s="22" t="s">
        <v>3</v>
      </c>
      <c r="C157" s="22" t="s">
        <v>368</v>
      </c>
      <c r="D157" s="22" t="n">
        <v>20980</v>
      </c>
      <c r="E157" s="22" t="s">
        <v>132</v>
      </c>
      <c r="F157" s="22" t="s">
        <v>135</v>
      </c>
      <c r="G157" s="22" t="s">
        <v>131</v>
      </c>
      <c r="H157" s="22" t="s">
        <v>131</v>
      </c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</row>
    <row r="158" customFormat="false" ht="15" hidden="false" customHeight="false" outlineLevel="0" collapsed="false">
      <c r="A158" s="22" t="s">
        <v>369</v>
      </c>
      <c r="B158" s="22" t="s">
        <v>3</v>
      </c>
      <c r="C158" s="22" t="s">
        <v>369</v>
      </c>
      <c r="D158" s="22" t="n">
        <v>21020</v>
      </c>
      <c r="E158" s="22" t="s">
        <v>132</v>
      </c>
      <c r="F158" s="22" t="s">
        <v>135</v>
      </c>
      <c r="G158" s="22" t="s">
        <v>131</v>
      </c>
      <c r="H158" s="22" t="s">
        <v>131</v>
      </c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 t="n">
        <v>0.1784</v>
      </c>
      <c r="AH158" s="22" t="n">
        <v>0.1854</v>
      </c>
      <c r="AI158" s="22" t="n">
        <v>0.1731</v>
      </c>
      <c r="AJ158" s="22" t="n">
        <v>0.1657</v>
      </c>
      <c r="AK158" s="22" t="n">
        <v>0.1315</v>
      </c>
      <c r="AL158" s="22" t="n">
        <v>0.0928</v>
      </c>
      <c r="AM158" s="22" t="n">
        <v>0.0412</v>
      </c>
      <c r="AN158" s="22" t="n">
        <v>0.0059</v>
      </c>
      <c r="AO158" s="22" t="n">
        <v>0.0353</v>
      </c>
      <c r="AP158" s="22" t="n">
        <v>0.0448</v>
      </c>
      <c r="AQ158" s="22" t="n">
        <v>0.0887</v>
      </c>
      <c r="AR158" s="22" t="n">
        <v>0.1149</v>
      </c>
      <c r="AS158" s="22" t="n">
        <v>0.0686</v>
      </c>
      <c r="AT158" s="22" t="n">
        <v>0.0678</v>
      </c>
      <c r="AU158" s="22" t="n">
        <v>0.027</v>
      </c>
      <c r="AV158" s="22" t="n">
        <v>0.0134</v>
      </c>
    </row>
    <row r="159" customFormat="false" ht="15" hidden="false" customHeight="false" outlineLevel="0" collapsed="false">
      <c r="A159" s="22" t="s">
        <v>370</v>
      </c>
      <c r="B159" s="22" t="s">
        <v>3</v>
      </c>
      <c r="C159" s="22" t="s">
        <v>370</v>
      </c>
      <c r="D159" s="22" t="n">
        <v>21060</v>
      </c>
      <c r="E159" s="22" t="s">
        <v>132</v>
      </c>
      <c r="F159" s="22" t="s">
        <v>135</v>
      </c>
      <c r="G159" s="22" t="s">
        <v>131</v>
      </c>
      <c r="H159" s="22" t="s">
        <v>131</v>
      </c>
      <c r="I159" s="22" t="n">
        <v>-0.0413</v>
      </c>
      <c r="J159" s="22" t="n">
        <v>-0.029</v>
      </c>
      <c r="K159" s="22" t="n">
        <v>-0.0202</v>
      </c>
      <c r="L159" s="22" t="n">
        <v>-0.0182</v>
      </c>
      <c r="M159" s="22" t="n">
        <v>0.0547</v>
      </c>
      <c r="N159" s="22" t="n">
        <v>0.0666</v>
      </c>
      <c r="O159" s="22" t="n">
        <v>0.0593</v>
      </c>
      <c r="P159" s="22" t="n">
        <v>0.0665</v>
      </c>
      <c r="Q159" s="22" t="n">
        <v>0.0378</v>
      </c>
      <c r="R159" s="22" t="n">
        <v>0.032</v>
      </c>
      <c r="S159" s="22" t="n">
        <v>0.023</v>
      </c>
      <c r="T159" s="22" t="n">
        <v>0.022</v>
      </c>
      <c r="U159" s="22" t="n">
        <v>0.0236</v>
      </c>
      <c r="V159" s="22" t="n">
        <v>0.0274</v>
      </c>
      <c r="W159" s="22" t="n">
        <v>0.0367</v>
      </c>
      <c r="X159" s="22" t="n">
        <v>0.0538</v>
      </c>
      <c r="Y159" s="22" t="n">
        <v>0.0429</v>
      </c>
      <c r="Z159" s="22" t="n">
        <v>0.0443</v>
      </c>
      <c r="AA159" s="22" t="n">
        <v>0.0509</v>
      </c>
      <c r="AB159" s="22" t="n">
        <v>0.0456</v>
      </c>
      <c r="AC159" s="22" t="n">
        <v>0.0615</v>
      </c>
      <c r="AD159" s="22" t="n">
        <v>0.0893</v>
      </c>
      <c r="AE159" s="22" t="n">
        <v>0.0949</v>
      </c>
      <c r="AF159" s="22" t="n">
        <v>0.0785</v>
      </c>
      <c r="AG159" s="22" t="n">
        <v>0.0749</v>
      </c>
      <c r="AH159" s="22" t="n">
        <v>0.0629</v>
      </c>
      <c r="AI159" s="22" t="n">
        <v>0.0573</v>
      </c>
      <c r="AJ159" s="22" t="n">
        <v>0.0768</v>
      </c>
      <c r="AK159" s="22" t="n">
        <v>0.1427</v>
      </c>
      <c r="AL159" s="22" t="n">
        <v>0.1704</v>
      </c>
      <c r="AM159" s="22" t="n">
        <v>0.1511</v>
      </c>
      <c r="AN159" s="22" t="n">
        <v>0.1402</v>
      </c>
      <c r="AO159" s="22" t="n">
        <v>0.0407</v>
      </c>
      <c r="AP159" s="22" t="n">
        <v>0.0908</v>
      </c>
      <c r="AQ159" s="22" t="n">
        <v>0.1068</v>
      </c>
      <c r="AR159" s="22" t="n">
        <v>0.1009</v>
      </c>
      <c r="AS159" s="22" t="n">
        <v>0.0466</v>
      </c>
      <c r="AT159" s="22" t="n">
        <v>-0.0685</v>
      </c>
      <c r="AU159" s="22" t="n">
        <v>-0.0403</v>
      </c>
      <c r="AV159" s="22" t="n">
        <v>-0.0467</v>
      </c>
    </row>
    <row r="160" customFormat="false" ht="15" hidden="false" customHeight="false" outlineLevel="0" collapsed="false">
      <c r="A160" s="22" t="s">
        <v>371</v>
      </c>
      <c r="B160" s="22" t="s">
        <v>3</v>
      </c>
      <c r="C160" s="22" t="s">
        <v>371</v>
      </c>
      <c r="D160" s="22" t="n">
        <v>21120</v>
      </c>
      <c r="E160" s="22" t="s">
        <v>132</v>
      </c>
      <c r="F160" s="22" t="s">
        <v>135</v>
      </c>
      <c r="G160" s="22" t="s">
        <v>131</v>
      </c>
      <c r="H160" s="22" t="s">
        <v>131</v>
      </c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</row>
    <row r="161" customFormat="false" ht="15" hidden="false" customHeight="false" outlineLevel="0" collapsed="false">
      <c r="A161" s="22" t="s">
        <v>372</v>
      </c>
      <c r="B161" s="22" t="s">
        <v>3</v>
      </c>
      <c r="C161" s="22" t="s">
        <v>372</v>
      </c>
      <c r="D161" s="22" t="n">
        <v>21140</v>
      </c>
      <c r="E161" s="22" t="s">
        <v>132</v>
      </c>
      <c r="F161" s="22" t="s">
        <v>135</v>
      </c>
      <c r="G161" s="22" t="s">
        <v>131</v>
      </c>
      <c r="H161" s="22" t="s">
        <v>131</v>
      </c>
      <c r="I161" s="22" t="n">
        <v>0.1039</v>
      </c>
      <c r="J161" s="22" t="n">
        <v>0.0463</v>
      </c>
      <c r="K161" s="22" t="n">
        <v>0.0465</v>
      </c>
      <c r="L161" s="22" t="n">
        <v>0.0736</v>
      </c>
      <c r="M161" s="22" t="n">
        <v>0.0624</v>
      </c>
      <c r="N161" s="22" t="n">
        <v>0.0578</v>
      </c>
      <c r="O161" s="22" t="n">
        <v>0.0666</v>
      </c>
      <c r="P161" s="22" t="n">
        <v>0.0414</v>
      </c>
      <c r="Q161" s="22" t="n">
        <v>0.0495</v>
      </c>
      <c r="R161" s="22" t="n">
        <v>0.0469</v>
      </c>
      <c r="S161" s="22" t="n">
        <v>0.0496</v>
      </c>
      <c r="T161" s="22" t="n">
        <v>0.0483</v>
      </c>
      <c r="U161" s="22" t="n">
        <v>0.0411</v>
      </c>
      <c r="V161" s="22" t="n">
        <v>0.0313</v>
      </c>
      <c r="W161" s="22" t="n">
        <v>0.0654</v>
      </c>
      <c r="X161" s="22" t="n">
        <v>0.059</v>
      </c>
      <c r="Y161" s="22" t="n">
        <v>0.0593</v>
      </c>
      <c r="Z161" s="22" t="n">
        <v>0.0473</v>
      </c>
      <c r="AA161" s="22" t="n">
        <v>0.0382</v>
      </c>
      <c r="AB161" s="22" t="n">
        <v>0.0434</v>
      </c>
      <c r="AC161" s="22" t="n">
        <v>0.0828</v>
      </c>
      <c r="AD161" s="22" t="n">
        <v>0.1296</v>
      </c>
      <c r="AE161" s="22" t="n">
        <v>0.1688</v>
      </c>
      <c r="AF161" s="22" t="n">
        <v>0.2053</v>
      </c>
      <c r="AG161" s="22" t="n">
        <v>0.1923</v>
      </c>
      <c r="AH161" s="22" t="n">
        <v>0.2136</v>
      </c>
      <c r="AI161" s="22" t="n">
        <v>0.1997</v>
      </c>
      <c r="AJ161" s="22" t="n">
        <v>0.1104</v>
      </c>
      <c r="AK161" s="22" t="n">
        <v>0.0693</v>
      </c>
      <c r="AL161" s="22" t="n">
        <v>0.0156</v>
      </c>
      <c r="AM161" s="22" t="n">
        <v>-0.0429</v>
      </c>
      <c r="AN161" s="22" t="n">
        <v>-0.0238</v>
      </c>
      <c r="AO161" s="22" t="n">
        <v>-0.0299</v>
      </c>
      <c r="AP161" s="22" t="n">
        <v>-0.0182</v>
      </c>
      <c r="AQ161" s="22" t="n">
        <v>0.0166</v>
      </c>
      <c r="AR161" s="22" t="n">
        <v>0.0503</v>
      </c>
      <c r="AS161" s="22" t="n">
        <v>0.0716</v>
      </c>
      <c r="AT161" s="22" t="n">
        <v>0.0881</v>
      </c>
      <c r="AU161" s="22" t="n">
        <v>0.0966</v>
      </c>
      <c r="AV161" s="22" t="n">
        <v>0.0625</v>
      </c>
    </row>
    <row r="162" customFormat="false" ht="15" hidden="false" customHeight="false" outlineLevel="0" collapsed="false">
      <c r="A162" s="22" t="s">
        <v>373</v>
      </c>
      <c r="B162" s="22" t="s">
        <v>3</v>
      </c>
      <c r="C162" s="22" t="s">
        <v>373</v>
      </c>
      <c r="D162" s="22" t="n">
        <v>21220</v>
      </c>
      <c r="E162" s="22" t="s">
        <v>132</v>
      </c>
      <c r="F162" s="22" t="s">
        <v>135</v>
      </c>
      <c r="G162" s="22" t="s">
        <v>131</v>
      </c>
      <c r="H162" s="22" t="s">
        <v>131</v>
      </c>
      <c r="I162" s="22" t="n">
        <v>-0.1004</v>
      </c>
      <c r="J162" s="22" t="n">
        <v>-0.07</v>
      </c>
      <c r="K162" s="22"/>
      <c r="L162" s="22"/>
      <c r="M162" s="22"/>
      <c r="N162" s="22" t="n">
        <v>0.0211</v>
      </c>
      <c r="O162" s="22" t="n">
        <v>-0.0983</v>
      </c>
      <c r="P162" s="22" t="n">
        <v>-0.1903</v>
      </c>
      <c r="Q162" s="22" t="n">
        <v>-0.1397</v>
      </c>
      <c r="R162" s="22" t="n">
        <v>0.1025</v>
      </c>
      <c r="S162" s="22" t="n">
        <v>0.062</v>
      </c>
      <c r="T162" s="22" t="n">
        <v>0.0455</v>
      </c>
      <c r="U162" s="22" t="n">
        <v>0.0299</v>
      </c>
      <c r="V162" s="22" t="n">
        <v>0.0198</v>
      </c>
      <c r="W162" s="22" t="n">
        <v>-0.0015</v>
      </c>
      <c r="X162" s="22" t="n">
        <v>-0.0085</v>
      </c>
      <c r="Y162" s="22" t="n">
        <v>0.0398</v>
      </c>
      <c r="Z162" s="22" t="n">
        <v>0.0511</v>
      </c>
      <c r="AA162" s="22" t="n">
        <v>0.0489</v>
      </c>
      <c r="AB162" s="22" t="n">
        <v>0.0657</v>
      </c>
      <c r="AC162" s="22" t="n">
        <v>0.039</v>
      </c>
      <c r="AD162" s="22" t="n">
        <v>0.0321</v>
      </c>
      <c r="AE162" s="22" t="n">
        <v>0.0286</v>
      </c>
      <c r="AF162" s="22"/>
      <c r="AG162" s="22"/>
      <c r="AH162" s="22"/>
      <c r="AI162" s="22"/>
      <c r="AJ162" s="22" t="n">
        <v>0.069</v>
      </c>
      <c r="AK162" s="22" t="n">
        <v>0.0416</v>
      </c>
      <c r="AL162" s="22" t="n">
        <v>0.0295</v>
      </c>
      <c r="AM162" s="22" t="n">
        <v>-0.019</v>
      </c>
      <c r="AN162" s="22" t="n">
        <v>0.0534</v>
      </c>
      <c r="AO162" s="22" t="n">
        <v>0.0152</v>
      </c>
      <c r="AP162" s="22" t="n">
        <v>0.021</v>
      </c>
      <c r="AQ162" s="22" t="n">
        <v>0.0062</v>
      </c>
      <c r="AR162" s="22" t="n">
        <v>0.0091</v>
      </c>
      <c r="AS162" s="22" t="n">
        <v>0.0166</v>
      </c>
      <c r="AT162" s="22" t="n">
        <v>-0.0029</v>
      </c>
      <c r="AU162" s="22" t="n">
        <v>0.0246</v>
      </c>
      <c r="AV162" s="22" t="n">
        <v>0.0249</v>
      </c>
    </row>
    <row r="163" customFormat="false" ht="15" hidden="false" customHeight="false" outlineLevel="0" collapsed="false">
      <c r="A163" s="22" t="s">
        <v>374</v>
      </c>
      <c r="B163" s="22" t="s">
        <v>3</v>
      </c>
      <c r="C163" s="22" t="s">
        <v>374</v>
      </c>
      <c r="D163" s="22" t="n">
        <v>21260</v>
      </c>
      <c r="E163" s="22" t="s">
        <v>132</v>
      </c>
      <c r="F163" s="22" t="s">
        <v>135</v>
      </c>
      <c r="G163" s="22" t="s">
        <v>131</v>
      </c>
      <c r="H163" s="22" t="s">
        <v>131</v>
      </c>
      <c r="I163" s="22"/>
      <c r="J163" s="22"/>
      <c r="K163" s="22"/>
      <c r="L163" s="22"/>
      <c r="M163" s="22" t="n">
        <v>0.0707</v>
      </c>
      <c r="N163" s="22" t="n">
        <v>0.055</v>
      </c>
      <c r="O163" s="22" t="n">
        <v>0.0609</v>
      </c>
      <c r="P163" s="22" t="n">
        <v>0.0759</v>
      </c>
      <c r="Q163" s="22" t="n">
        <v>0.0651</v>
      </c>
      <c r="R163" s="22" t="n">
        <v>0.065</v>
      </c>
      <c r="S163" s="22"/>
      <c r="T163" s="22" t="n">
        <v>0.0576</v>
      </c>
      <c r="U163" s="22" t="n">
        <v>0.0493</v>
      </c>
      <c r="V163" s="22"/>
      <c r="W163" s="22"/>
      <c r="X163" s="22"/>
      <c r="Y163" s="22"/>
      <c r="Z163" s="22" t="n">
        <v>0.0186</v>
      </c>
      <c r="AA163" s="22"/>
      <c r="AB163" s="22" t="n">
        <v>0.2297</v>
      </c>
      <c r="AC163" s="22" t="n">
        <v>0.1517</v>
      </c>
      <c r="AD163" s="22" t="n">
        <v>0.2037</v>
      </c>
      <c r="AE163" s="22" t="n">
        <v>0.2908</v>
      </c>
      <c r="AF163" s="22" t="n">
        <v>0.0326</v>
      </c>
      <c r="AG163" s="22" t="n">
        <v>0.0595</v>
      </c>
      <c r="AH163" s="22" t="n">
        <v>0.0399</v>
      </c>
      <c r="AI163" s="22" t="n">
        <v>0.0738</v>
      </c>
      <c r="AJ163" s="22" t="n">
        <v>0.0658</v>
      </c>
      <c r="AK163" s="22" t="n">
        <v>0.0342</v>
      </c>
      <c r="AL163" s="22" t="n">
        <v>0.0324</v>
      </c>
      <c r="AM163" s="22" t="n">
        <v>-0.0735</v>
      </c>
      <c r="AN163" s="22" t="n">
        <v>-0.0104</v>
      </c>
      <c r="AO163" s="22" t="n">
        <v>0.0656</v>
      </c>
      <c r="AP163" s="22"/>
      <c r="AQ163" s="22"/>
      <c r="AR163" s="22"/>
      <c r="AS163" s="22"/>
      <c r="AT163" s="22"/>
      <c r="AU163" s="22"/>
      <c r="AV163" s="22"/>
    </row>
    <row r="164" customFormat="false" ht="15" hidden="false" customHeight="false" outlineLevel="0" collapsed="false">
      <c r="A164" s="22" t="s">
        <v>375</v>
      </c>
      <c r="B164" s="22" t="s">
        <v>3</v>
      </c>
      <c r="C164" s="22" t="s">
        <v>375</v>
      </c>
      <c r="D164" s="22" t="n">
        <v>21300</v>
      </c>
      <c r="E164" s="22" t="s">
        <v>132</v>
      </c>
      <c r="F164" s="22" t="s">
        <v>135</v>
      </c>
      <c r="G164" s="22" t="s">
        <v>131</v>
      </c>
      <c r="H164" s="22" t="s">
        <v>131</v>
      </c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</row>
    <row r="165" customFormat="false" ht="15" hidden="false" customHeight="false" outlineLevel="0" collapsed="false">
      <c r="A165" s="22" t="s">
        <v>160</v>
      </c>
      <c r="B165" s="22" t="s">
        <v>3</v>
      </c>
      <c r="C165" s="22" t="s">
        <v>160</v>
      </c>
      <c r="D165" s="22" t="n">
        <v>21340</v>
      </c>
      <c r="E165" s="22" t="s">
        <v>132</v>
      </c>
      <c r="F165" s="22" t="s">
        <v>135</v>
      </c>
      <c r="G165" s="22" t="s">
        <v>131</v>
      </c>
      <c r="H165" s="22" t="s">
        <v>131</v>
      </c>
      <c r="I165" s="22" t="n">
        <v>-0.0016</v>
      </c>
      <c r="J165" s="22" t="n">
        <v>0.002</v>
      </c>
      <c r="K165" s="22" t="n">
        <v>0.0019</v>
      </c>
      <c r="L165" s="22" t="n">
        <v>0.0131</v>
      </c>
      <c r="M165" s="22" t="n">
        <v>0.0037</v>
      </c>
      <c r="N165" s="22" t="n">
        <v>0.0134</v>
      </c>
      <c r="O165" s="22" t="n">
        <v>0.0183</v>
      </c>
      <c r="P165" s="22" t="n">
        <v>0.0099</v>
      </c>
      <c r="Q165" s="22" t="n">
        <v>0.0268</v>
      </c>
      <c r="R165" s="22" t="n">
        <v>0.0301</v>
      </c>
      <c r="S165" s="22" t="n">
        <v>0.0397</v>
      </c>
      <c r="T165" s="22" t="n">
        <v>0.0364</v>
      </c>
      <c r="U165" s="22" t="n">
        <v>0.0327</v>
      </c>
      <c r="V165" s="22" t="n">
        <v>0.0336</v>
      </c>
      <c r="W165" s="22" t="n">
        <v>0.0326</v>
      </c>
      <c r="X165" s="22" t="n">
        <v>0.0467</v>
      </c>
      <c r="Y165" s="22" t="n">
        <v>0.0519</v>
      </c>
      <c r="Z165" s="22" t="n">
        <v>0.0218</v>
      </c>
      <c r="AA165" s="22" t="n">
        <v>0.0181</v>
      </c>
      <c r="AB165" s="22" t="n">
        <v>0.0235</v>
      </c>
      <c r="AC165" s="22" t="n">
        <v>0.0171</v>
      </c>
      <c r="AD165" s="22" t="n">
        <v>0.0528</v>
      </c>
      <c r="AE165" s="22" t="n">
        <v>0.097</v>
      </c>
      <c r="AF165" s="22" t="n">
        <v>0.1302</v>
      </c>
      <c r="AG165" s="22" t="n">
        <v>0.1488</v>
      </c>
      <c r="AH165" s="22" t="n">
        <v>0.1462</v>
      </c>
      <c r="AI165" s="22" t="n">
        <v>0.1243</v>
      </c>
      <c r="AJ165" s="22" t="n">
        <v>0.1015</v>
      </c>
      <c r="AK165" s="22" t="n">
        <v>0.0909</v>
      </c>
      <c r="AL165" s="22" t="n">
        <v>0.0816</v>
      </c>
      <c r="AM165" s="22" t="n">
        <v>0.042</v>
      </c>
      <c r="AN165" s="22" t="n">
        <v>0.0162</v>
      </c>
      <c r="AO165" s="22" t="n">
        <v>0.0197</v>
      </c>
      <c r="AP165" s="22" t="n">
        <v>0.0356</v>
      </c>
      <c r="AQ165" s="22" t="n">
        <v>0.039</v>
      </c>
      <c r="AR165" s="22" t="n">
        <v>0.0329</v>
      </c>
      <c r="AS165" s="22" t="n">
        <v>0.0232</v>
      </c>
      <c r="AT165" s="22" t="n">
        <v>0.0064</v>
      </c>
      <c r="AU165" s="22" t="n">
        <v>0.0267</v>
      </c>
      <c r="AV165" s="22" t="n">
        <v>0.0366</v>
      </c>
    </row>
    <row r="166" customFormat="false" ht="15" hidden="false" customHeight="false" outlineLevel="0" collapsed="false">
      <c r="A166" s="22" t="s">
        <v>376</v>
      </c>
      <c r="B166" s="22" t="s">
        <v>3</v>
      </c>
      <c r="C166" s="22" t="s">
        <v>376</v>
      </c>
      <c r="D166" s="22" t="n">
        <v>21380</v>
      </c>
      <c r="E166" s="22" t="s">
        <v>132</v>
      </c>
      <c r="F166" s="22" t="s">
        <v>135</v>
      </c>
      <c r="G166" s="22" t="s">
        <v>131</v>
      </c>
      <c r="H166" s="22" t="s">
        <v>131</v>
      </c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 t="n">
        <v>0.3368</v>
      </c>
      <c r="AJ166" s="22" t="n">
        <v>0.0001</v>
      </c>
      <c r="AK166" s="22" t="n">
        <v>-0.0062</v>
      </c>
      <c r="AL166" s="22" t="n">
        <v>-0.0105</v>
      </c>
      <c r="AM166" s="22" t="n">
        <v>-0.0253</v>
      </c>
      <c r="AN166" s="22" t="n">
        <v>0.0137</v>
      </c>
      <c r="AO166" s="22" t="n">
        <v>0.0011</v>
      </c>
      <c r="AP166" s="22" t="n">
        <v>0.0086</v>
      </c>
      <c r="AQ166" s="22" t="n">
        <v>0.022</v>
      </c>
      <c r="AR166" s="22" t="n">
        <v>0.0827</v>
      </c>
      <c r="AS166" s="22" t="n">
        <v>0.0843</v>
      </c>
      <c r="AT166" s="22" t="n">
        <v>0.07</v>
      </c>
      <c r="AU166" s="22" t="n">
        <v>0.0697</v>
      </c>
      <c r="AV166" s="22" t="n">
        <v>0.007</v>
      </c>
    </row>
    <row r="167" customFormat="false" ht="15" hidden="false" customHeight="false" outlineLevel="0" collapsed="false">
      <c r="A167" s="22" t="s">
        <v>377</v>
      </c>
      <c r="B167" s="22" t="s">
        <v>3</v>
      </c>
      <c r="C167" s="22" t="s">
        <v>377</v>
      </c>
      <c r="D167" s="22" t="n">
        <v>21420</v>
      </c>
      <c r="E167" s="22" t="s">
        <v>132</v>
      </c>
      <c r="F167" s="22" t="s">
        <v>135</v>
      </c>
      <c r="G167" s="22" t="s">
        <v>131</v>
      </c>
      <c r="H167" s="22" t="s">
        <v>131</v>
      </c>
      <c r="I167" s="22"/>
      <c r="J167" s="22"/>
      <c r="K167" s="22"/>
      <c r="L167" s="22"/>
      <c r="M167" s="22"/>
      <c r="N167" s="22"/>
      <c r="O167" s="22"/>
      <c r="P167" s="22" t="n">
        <v>0.1133</v>
      </c>
      <c r="Q167" s="22" t="n">
        <v>0.1544</v>
      </c>
      <c r="R167" s="22" t="n">
        <v>0.0931</v>
      </c>
      <c r="S167" s="22" t="n">
        <v>0.169</v>
      </c>
      <c r="T167" s="22" t="n">
        <v>0.0632</v>
      </c>
      <c r="U167" s="22" t="n">
        <v>0.0216</v>
      </c>
      <c r="V167" s="22" t="n">
        <v>0.0545</v>
      </c>
      <c r="W167" s="22" t="n">
        <v>0.0235</v>
      </c>
      <c r="X167" s="22" t="n">
        <v>-0.052</v>
      </c>
      <c r="Y167" s="22" t="n">
        <v>-0.022</v>
      </c>
      <c r="Z167" s="22" t="n">
        <v>-0.0171</v>
      </c>
      <c r="AA167" s="22" t="n">
        <v>-0.0302</v>
      </c>
      <c r="AB167" s="22" t="n">
        <v>0.0055</v>
      </c>
      <c r="AC167" s="22" t="n">
        <v>0.005</v>
      </c>
      <c r="AD167" s="22" t="n">
        <v>0.0069</v>
      </c>
      <c r="AE167" s="22" t="n">
        <v>-0.001</v>
      </c>
      <c r="AF167" s="22" t="n">
        <v>0.0229</v>
      </c>
      <c r="AG167" s="22" t="n">
        <v>0.0333</v>
      </c>
      <c r="AH167" s="22" t="n">
        <v>0.0322</v>
      </c>
      <c r="AI167" s="22" t="n">
        <v>0.0389</v>
      </c>
      <c r="AJ167" s="22" t="n">
        <v>0.0358</v>
      </c>
      <c r="AK167" s="22" t="n">
        <v>0.0219</v>
      </c>
      <c r="AL167" s="22" t="n">
        <v>0.0212</v>
      </c>
      <c r="AM167" s="22" t="n">
        <v>0.017</v>
      </c>
      <c r="AN167" s="22" t="n">
        <v>0.0278</v>
      </c>
      <c r="AO167" s="22" t="n">
        <v>0.0287</v>
      </c>
      <c r="AP167" s="22" t="n">
        <v>0.0248</v>
      </c>
      <c r="AQ167" s="22" t="n">
        <v>0.0108</v>
      </c>
      <c r="AR167" s="22" t="n">
        <v>-0.0067</v>
      </c>
      <c r="AS167" s="22" t="n">
        <v>0</v>
      </c>
      <c r="AT167" s="22" t="n">
        <v>0.0038</v>
      </c>
      <c r="AU167" s="22" t="n">
        <v>0.0046</v>
      </c>
      <c r="AV167" s="22" t="n">
        <v>0.0067</v>
      </c>
    </row>
    <row r="168" customFormat="false" ht="15" hidden="false" customHeight="false" outlineLevel="0" collapsed="false">
      <c r="A168" s="22" t="s">
        <v>378</v>
      </c>
      <c r="B168" s="22" t="s">
        <v>3</v>
      </c>
      <c r="C168" s="22" t="s">
        <v>378</v>
      </c>
      <c r="D168" s="22" t="n">
        <v>21460</v>
      </c>
      <c r="E168" s="22" t="s">
        <v>132</v>
      </c>
      <c r="F168" s="22" t="s">
        <v>135</v>
      </c>
      <c r="G168" s="22" t="s">
        <v>131</v>
      </c>
      <c r="H168" s="22" t="s">
        <v>131</v>
      </c>
      <c r="I168" s="22" t="n">
        <v>0.0225</v>
      </c>
      <c r="J168" s="22" t="n">
        <v>0.0034</v>
      </c>
      <c r="K168" s="22" t="n">
        <v>0.0214</v>
      </c>
      <c r="L168" s="22" t="n">
        <v>0.0336</v>
      </c>
      <c r="M168" s="22" t="n">
        <v>0.0232</v>
      </c>
      <c r="N168" s="22" t="n">
        <v>0.0183</v>
      </c>
      <c r="O168" s="22" t="n">
        <v>0.0036</v>
      </c>
      <c r="P168" s="22" t="n">
        <v>-0.0014</v>
      </c>
      <c r="Q168" s="22" t="n">
        <v>-0.0285</v>
      </c>
      <c r="R168" s="22" t="n">
        <v>-0.0386</v>
      </c>
      <c r="S168" s="22" t="n">
        <v>-0.0166</v>
      </c>
      <c r="T168" s="22" t="n">
        <v>0.0152</v>
      </c>
      <c r="U168" s="22" t="n">
        <v>0.0516</v>
      </c>
      <c r="V168" s="22" t="n">
        <v>0.068</v>
      </c>
      <c r="W168" s="22"/>
      <c r="X168" s="22"/>
      <c r="Y168" s="22"/>
      <c r="Z168" s="22"/>
      <c r="AA168" s="22"/>
      <c r="AB168" s="22"/>
      <c r="AC168" s="22"/>
      <c r="AD168" s="22"/>
      <c r="AE168" s="22"/>
      <c r="AF168" s="22" t="n">
        <v>0.1666</v>
      </c>
      <c r="AG168" s="22" t="n">
        <v>0.1752</v>
      </c>
      <c r="AH168" s="22" t="n">
        <v>0.1426</v>
      </c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</row>
    <row r="169" customFormat="false" ht="15" hidden="false" customHeight="false" outlineLevel="0" collapsed="false">
      <c r="A169" s="22" t="s">
        <v>379</v>
      </c>
      <c r="B169" s="22" t="s">
        <v>3</v>
      </c>
      <c r="C169" s="22" t="s">
        <v>379</v>
      </c>
      <c r="D169" s="22" t="n">
        <v>21500</v>
      </c>
      <c r="E169" s="22" t="s">
        <v>132</v>
      </c>
      <c r="F169" s="22" t="s">
        <v>135</v>
      </c>
      <c r="G169" s="22" t="s">
        <v>131</v>
      </c>
      <c r="H169" s="22" t="s">
        <v>131</v>
      </c>
      <c r="I169" s="22" t="n">
        <v>-0.0694</v>
      </c>
      <c r="J169" s="22" t="n">
        <v>0.0509</v>
      </c>
      <c r="K169" s="22" t="n">
        <v>0.1031</v>
      </c>
      <c r="L169" s="22" t="n">
        <v>0.0562</v>
      </c>
      <c r="M169" s="22" t="n">
        <v>0.0181</v>
      </c>
      <c r="N169" s="22" t="n">
        <v>-0.038</v>
      </c>
      <c r="O169" s="22" t="n">
        <v>-0.0833</v>
      </c>
      <c r="P169" s="22" t="n">
        <v>-0.0437</v>
      </c>
      <c r="Q169" s="22" t="n">
        <v>-0.0129</v>
      </c>
      <c r="R169" s="22" t="n">
        <v>0.0002</v>
      </c>
      <c r="S169" s="22" t="n">
        <v>-0.003</v>
      </c>
      <c r="T169" s="22"/>
      <c r="U169" s="22"/>
      <c r="V169" s="22"/>
      <c r="W169" s="22"/>
      <c r="X169" s="22" t="n">
        <v>0.0318</v>
      </c>
      <c r="Y169" s="22" t="n">
        <v>0.0688</v>
      </c>
      <c r="Z169" s="22" t="n">
        <v>0.0678</v>
      </c>
      <c r="AA169" s="22" t="n">
        <v>0.0562</v>
      </c>
      <c r="AB169" s="22" t="n">
        <v>0.0613</v>
      </c>
      <c r="AC169" s="22" t="n">
        <v>0.1938</v>
      </c>
      <c r="AD169" s="22" t="n">
        <v>0.176</v>
      </c>
      <c r="AE169" s="22" t="n">
        <v>0.1972</v>
      </c>
      <c r="AF169" s="22" t="n">
        <v>0.105</v>
      </c>
      <c r="AG169" s="22" t="n">
        <v>-0.055</v>
      </c>
      <c r="AH169" s="22" t="n">
        <v>-0.0367</v>
      </c>
      <c r="AI169" s="22" t="n">
        <v>0.0589</v>
      </c>
      <c r="AJ169" s="22" t="n">
        <v>0.2062</v>
      </c>
      <c r="AK169" s="22" t="n">
        <v>0.2247</v>
      </c>
      <c r="AL169" s="22" t="n">
        <v>0.2045</v>
      </c>
      <c r="AM169" s="22" t="n">
        <v>0.0929</v>
      </c>
      <c r="AN169" s="22" t="n">
        <v>0.0808</v>
      </c>
      <c r="AO169" s="22" t="n">
        <v>0.0647</v>
      </c>
      <c r="AP169" s="22" t="n">
        <v>0.057</v>
      </c>
      <c r="AQ169" s="22" t="n">
        <v>0.0727</v>
      </c>
      <c r="AR169" s="22" t="n">
        <v>0.0672</v>
      </c>
      <c r="AS169" s="22" t="n">
        <v>0.07</v>
      </c>
      <c r="AT169" s="22" t="n">
        <v>0.0982</v>
      </c>
      <c r="AU169" s="22" t="n">
        <v>0.0819</v>
      </c>
      <c r="AV169" s="22" t="n">
        <v>0.0414</v>
      </c>
    </row>
    <row r="170" customFormat="false" ht="15" hidden="false" customHeight="false" outlineLevel="0" collapsed="false">
      <c r="A170" s="22" t="s">
        <v>161</v>
      </c>
      <c r="B170" s="22" t="s">
        <v>3</v>
      </c>
      <c r="C170" s="22" t="s">
        <v>161</v>
      </c>
      <c r="D170" s="22" t="n">
        <v>21660</v>
      </c>
      <c r="E170" s="22" t="s">
        <v>132</v>
      </c>
      <c r="F170" s="22" t="s">
        <v>135</v>
      </c>
      <c r="G170" s="22" t="s">
        <v>131</v>
      </c>
      <c r="H170" s="22" t="s">
        <v>131</v>
      </c>
      <c r="I170" s="22" t="n">
        <v>0.0825</v>
      </c>
      <c r="J170" s="22" t="n">
        <v>0.1096</v>
      </c>
      <c r="K170" s="22" t="n">
        <v>0.0961</v>
      </c>
      <c r="L170" s="22" t="n">
        <v>0.0875</v>
      </c>
      <c r="M170" s="22" t="n">
        <v>0.0737</v>
      </c>
      <c r="N170" s="22" t="n">
        <v>0.0604</v>
      </c>
      <c r="O170" s="22" t="n">
        <v>0.092</v>
      </c>
      <c r="P170" s="22" t="n">
        <v>0.0766</v>
      </c>
      <c r="Q170" s="22" t="n">
        <v>0.0643</v>
      </c>
      <c r="R170" s="22" t="n">
        <v>0.0662</v>
      </c>
      <c r="S170" s="22" t="n">
        <v>0.0564</v>
      </c>
      <c r="T170" s="22" t="n">
        <v>0.0731</v>
      </c>
      <c r="U170" s="22" t="n">
        <v>0.0626</v>
      </c>
      <c r="V170" s="22" t="n">
        <v>0.0351</v>
      </c>
      <c r="W170" s="22" t="n">
        <v>0.0502</v>
      </c>
      <c r="X170" s="22" t="n">
        <v>0.0349</v>
      </c>
      <c r="Y170" s="22" t="n">
        <v>0.0454</v>
      </c>
      <c r="Z170" s="22" t="n">
        <v>0.0352</v>
      </c>
      <c r="AA170" s="22" t="n">
        <v>0.0096</v>
      </c>
      <c r="AB170" s="22" t="n">
        <v>0.0378</v>
      </c>
      <c r="AC170" s="22" t="n">
        <v>0.0513</v>
      </c>
      <c r="AD170" s="22" t="n">
        <v>0.0888</v>
      </c>
      <c r="AE170" s="22" t="n">
        <v>0.1125</v>
      </c>
      <c r="AF170" s="22" t="n">
        <v>0.1345</v>
      </c>
      <c r="AG170" s="22" t="n">
        <v>0.1661</v>
      </c>
      <c r="AH170" s="22" t="n">
        <v>0.1782</v>
      </c>
      <c r="AI170" s="22" t="n">
        <v>0.1801</v>
      </c>
      <c r="AJ170" s="22" t="n">
        <v>0.1198</v>
      </c>
      <c r="AK170" s="22" t="n">
        <v>0.0767</v>
      </c>
      <c r="AL170" s="22" t="n">
        <v>0.0345</v>
      </c>
      <c r="AM170" s="22" t="n">
        <v>-0.0012</v>
      </c>
      <c r="AN170" s="22" t="n">
        <v>0.0166</v>
      </c>
      <c r="AO170" s="22" t="n">
        <v>0.0242</v>
      </c>
      <c r="AP170" s="22" t="n">
        <v>0.0219</v>
      </c>
      <c r="AQ170" s="22" t="n">
        <v>0.0344</v>
      </c>
      <c r="AR170" s="22" t="n">
        <v>0.0073</v>
      </c>
      <c r="AS170" s="22" t="n">
        <v>0.0075</v>
      </c>
      <c r="AT170" s="22" t="n">
        <v>0.0288</v>
      </c>
      <c r="AU170" s="22" t="n">
        <v>0.0245</v>
      </c>
      <c r="AV170" s="22" t="n">
        <v>0.0276</v>
      </c>
    </row>
    <row r="171" customFormat="false" ht="15" hidden="false" customHeight="false" outlineLevel="0" collapsed="false">
      <c r="A171" s="22" t="s">
        <v>380</v>
      </c>
      <c r="B171" s="22" t="s">
        <v>3</v>
      </c>
      <c r="C171" s="22" t="s">
        <v>380</v>
      </c>
      <c r="D171" s="22" t="n">
        <v>21780</v>
      </c>
      <c r="E171" s="22" t="s">
        <v>132</v>
      </c>
      <c r="F171" s="22" t="s">
        <v>135</v>
      </c>
      <c r="G171" s="22" t="s">
        <v>131</v>
      </c>
      <c r="H171" s="22" t="s">
        <v>131</v>
      </c>
      <c r="I171" s="22" t="n">
        <v>0.0504</v>
      </c>
      <c r="J171" s="22" t="n">
        <v>0.0451</v>
      </c>
      <c r="K171" s="22" t="n">
        <v>0.0327</v>
      </c>
      <c r="L171" s="22" t="n">
        <v>0.0258</v>
      </c>
      <c r="M171" s="22" t="n">
        <v>0.0026</v>
      </c>
      <c r="N171" s="22" t="n">
        <v>0.0115</v>
      </c>
      <c r="O171" s="22" t="n">
        <v>0.0311</v>
      </c>
      <c r="P171" s="22" t="n">
        <v>0.0271</v>
      </c>
      <c r="Q171" s="22" t="n">
        <v>0.0478</v>
      </c>
      <c r="R171" s="22" t="n">
        <v>0.0368</v>
      </c>
      <c r="S171" s="22" t="n">
        <v>0.0298</v>
      </c>
      <c r="T171" s="22" t="n">
        <v>0.0315</v>
      </c>
      <c r="U171" s="22" t="n">
        <v>0.0159</v>
      </c>
      <c r="V171" s="22" t="n">
        <v>0.0243</v>
      </c>
      <c r="W171" s="22" t="n">
        <v>0.0311</v>
      </c>
      <c r="X171" s="22" t="n">
        <v>0.0256</v>
      </c>
      <c r="Y171" s="22" t="n">
        <v>0.0267</v>
      </c>
      <c r="Z171" s="22" t="n">
        <v>-0.0011</v>
      </c>
      <c r="AA171" s="22" t="n">
        <v>0.0076</v>
      </c>
      <c r="AB171" s="22" t="n">
        <v>0.0153</v>
      </c>
      <c r="AC171" s="22" t="n">
        <v>0.0216</v>
      </c>
      <c r="AD171" s="22" t="n">
        <v>0.0359</v>
      </c>
      <c r="AE171" s="22" t="n">
        <v>0.0696</v>
      </c>
      <c r="AF171" s="22" t="n">
        <v>0.0898</v>
      </c>
      <c r="AG171" s="22" t="n">
        <v>0.0909</v>
      </c>
      <c r="AH171" s="22" t="n">
        <v>0.1246</v>
      </c>
      <c r="AI171" s="22" t="n">
        <v>0.0951</v>
      </c>
      <c r="AJ171" s="22" t="n">
        <v>0.0675</v>
      </c>
      <c r="AK171" s="22" t="n">
        <v>0.0714</v>
      </c>
      <c r="AL171" s="22" t="n">
        <v>0.0506</v>
      </c>
      <c r="AM171" s="22" t="n">
        <v>0.04</v>
      </c>
      <c r="AN171" s="22" t="n">
        <v>0.0849</v>
      </c>
      <c r="AO171" s="22" t="n">
        <v>0.0643</v>
      </c>
      <c r="AP171" s="22" t="n">
        <v>0.0536</v>
      </c>
      <c r="AQ171" s="22" t="n">
        <v>0.0718</v>
      </c>
      <c r="AR171" s="22" t="n">
        <v>0.0391</v>
      </c>
      <c r="AS171" s="22" t="n">
        <v>0.0456</v>
      </c>
      <c r="AT171" s="22" t="n">
        <v>0.0547</v>
      </c>
      <c r="AU171" s="22" t="n">
        <v>0.0639</v>
      </c>
      <c r="AV171" s="22" t="n">
        <v>0.0786</v>
      </c>
    </row>
    <row r="172" customFormat="false" ht="15" hidden="false" customHeight="false" outlineLevel="0" collapsed="false">
      <c r="A172" s="22" t="s">
        <v>381</v>
      </c>
      <c r="B172" s="22" t="s">
        <v>3</v>
      </c>
      <c r="C172" s="22" t="s">
        <v>381</v>
      </c>
      <c r="D172" s="22" t="n">
        <v>21820</v>
      </c>
      <c r="E172" s="22" t="s">
        <v>132</v>
      </c>
      <c r="F172" s="22" t="s">
        <v>135</v>
      </c>
      <c r="G172" s="22" t="s">
        <v>131</v>
      </c>
      <c r="H172" s="22" t="s">
        <v>131</v>
      </c>
      <c r="I172" s="22"/>
      <c r="J172" s="22"/>
      <c r="K172" s="22"/>
      <c r="L172" s="22"/>
      <c r="M172" s="22"/>
      <c r="N172" s="22"/>
      <c r="O172" s="22"/>
      <c r="P172" s="22"/>
      <c r="Q172" s="22" t="n">
        <v>0.0243</v>
      </c>
      <c r="R172" s="22" t="n">
        <v>0.002</v>
      </c>
      <c r="S172" s="22" t="n">
        <v>-0.0039</v>
      </c>
      <c r="T172" s="22" t="n">
        <v>0.0078</v>
      </c>
      <c r="U172" s="22" t="n">
        <v>-0.0797</v>
      </c>
      <c r="V172" s="22" t="n">
        <v>-0.0063</v>
      </c>
      <c r="W172" s="22"/>
      <c r="X172" s="22"/>
      <c r="Y172" s="22"/>
      <c r="Z172" s="22" t="n">
        <v>0.0043</v>
      </c>
      <c r="AA172" s="22" t="n">
        <v>0.1032</v>
      </c>
      <c r="AB172" s="22" t="n">
        <v>0.1206</v>
      </c>
      <c r="AC172" s="22" t="n">
        <v>0.0973</v>
      </c>
      <c r="AD172" s="22" t="n">
        <v>0.0526</v>
      </c>
      <c r="AE172" s="22" t="n">
        <v>0.0886</v>
      </c>
      <c r="AF172" s="22" t="n">
        <v>0.2979</v>
      </c>
      <c r="AG172" s="22" t="n">
        <v>0.3297</v>
      </c>
      <c r="AH172" s="22" t="n">
        <v>0.4117</v>
      </c>
      <c r="AI172" s="22" t="n">
        <v>0.3659</v>
      </c>
      <c r="AJ172" s="22" t="n">
        <v>0.1702</v>
      </c>
      <c r="AK172" s="22" t="n">
        <v>0.1423</v>
      </c>
      <c r="AL172" s="22" t="n">
        <v>0.0646</v>
      </c>
      <c r="AM172" s="22" t="n">
        <v>0.0663</v>
      </c>
      <c r="AN172" s="22" t="n">
        <v>0.0131</v>
      </c>
      <c r="AO172" s="22" t="n">
        <v>-0.0138</v>
      </c>
      <c r="AP172" s="22" t="n">
        <v>0.0143</v>
      </c>
      <c r="AQ172" s="22" t="n">
        <v>-0.0267</v>
      </c>
      <c r="AR172" s="22" t="n">
        <v>-0.0095</v>
      </c>
      <c r="AS172" s="22" t="n">
        <v>0.0235</v>
      </c>
      <c r="AT172" s="22"/>
      <c r="AU172" s="22"/>
      <c r="AV172" s="22"/>
    </row>
    <row r="173" customFormat="false" ht="15" hidden="false" customHeight="false" outlineLevel="0" collapsed="false">
      <c r="A173" s="22" t="s">
        <v>382</v>
      </c>
      <c r="B173" s="22" t="s">
        <v>3</v>
      </c>
      <c r="C173" s="22" t="s">
        <v>382</v>
      </c>
      <c r="D173" s="22" t="n">
        <v>21900</v>
      </c>
      <c r="E173" s="22" t="s">
        <v>132</v>
      </c>
      <c r="F173" s="22" t="s">
        <v>135</v>
      </c>
      <c r="G173" s="22" t="s">
        <v>131</v>
      </c>
      <c r="H173" s="22" t="s">
        <v>131</v>
      </c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</row>
    <row r="174" customFormat="false" ht="15" hidden="false" customHeight="false" outlineLevel="0" collapsed="false">
      <c r="A174" s="22" t="s">
        <v>162</v>
      </c>
      <c r="B174" s="22" t="s">
        <v>3</v>
      </c>
      <c r="C174" s="22" t="s">
        <v>162</v>
      </c>
      <c r="D174" s="22" t="n">
        <v>22020</v>
      </c>
      <c r="E174" s="22" t="s">
        <v>132</v>
      </c>
      <c r="F174" s="22" t="s">
        <v>135</v>
      </c>
      <c r="G174" s="22" t="s">
        <v>131</v>
      </c>
      <c r="H174" s="22" t="s">
        <v>131</v>
      </c>
      <c r="I174" s="22" t="n">
        <v>0.0503</v>
      </c>
      <c r="J174" s="22" t="n">
        <v>0.0439</v>
      </c>
      <c r="K174" s="22" t="n">
        <v>0.0492</v>
      </c>
      <c r="L174" s="22" t="n">
        <v>0.0069</v>
      </c>
      <c r="M174" s="22" t="n">
        <v>0.0402</v>
      </c>
      <c r="N174" s="22" t="n">
        <v>0.0587</v>
      </c>
      <c r="O174" s="22" t="n">
        <v>0.0353</v>
      </c>
      <c r="P174" s="22" t="n">
        <v>0.0486</v>
      </c>
      <c r="Q174" s="22" t="n">
        <v>0.0138</v>
      </c>
      <c r="R174" s="22" t="n">
        <v>0.0327</v>
      </c>
      <c r="S174" s="22" t="n">
        <v>0.0526</v>
      </c>
      <c r="T174" s="22" t="n">
        <v>0.0421</v>
      </c>
      <c r="U174" s="22" t="n">
        <v>0.0243</v>
      </c>
      <c r="V174" s="22" t="n">
        <v>0.0078</v>
      </c>
      <c r="W174" s="22" t="n">
        <v>-0.0058</v>
      </c>
      <c r="X174" s="22" t="n">
        <v>-0.012</v>
      </c>
      <c r="Y174" s="22" t="n">
        <v>-0.0047</v>
      </c>
      <c r="Z174" s="22" t="n">
        <v>-0.0184</v>
      </c>
      <c r="AA174" s="22" t="n">
        <v>0.0044</v>
      </c>
      <c r="AB174" s="22" t="n">
        <v>0.0183</v>
      </c>
      <c r="AC174" s="22" t="n">
        <v>0.02</v>
      </c>
      <c r="AD174" s="22" t="n">
        <v>0.03</v>
      </c>
      <c r="AE174" s="22" t="n">
        <v>0.0297</v>
      </c>
      <c r="AF174" s="22" t="n">
        <v>0.0432</v>
      </c>
      <c r="AG174" s="22" t="n">
        <v>0.0576</v>
      </c>
      <c r="AH174" s="22" t="n">
        <v>0.1121</v>
      </c>
      <c r="AI174" s="22" t="n">
        <v>0.1193</v>
      </c>
      <c r="AJ174" s="22" t="n">
        <v>0.1209</v>
      </c>
      <c r="AK174" s="22" t="n">
        <v>0.123</v>
      </c>
      <c r="AL174" s="22" t="n">
        <v>0.0816</v>
      </c>
      <c r="AM174" s="22" t="n">
        <v>0.074</v>
      </c>
      <c r="AN174" s="22" t="n">
        <v>0.078</v>
      </c>
      <c r="AO174" s="22" t="n">
        <v>0.0621</v>
      </c>
      <c r="AP174" s="22" t="n">
        <v>0.0494</v>
      </c>
      <c r="AQ174" s="22" t="n">
        <v>0.0417</v>
      </c>
      <c r="AR174" s="22" t="n">
        <v>0.0146</v>
      </c>
      <c r="AS174" s="22" t="n">
        <v>0.0253</v>
      </c>
      <c r="AT174" s="22" t="n">
        <v>0.0764</v>
      </c>
      <c r="AU174" s="22" t="n">
        <v>0.0652</v>
      </c>
      <c r="AV174" s="22" t="n">
        <v>0.0659</v>
      </c>
    </row>
    <row r="175" customFormat="false" ht="15" hidden="false" customHeight="false" outlineLevel="0" collapsed="false">
      <c r="A175" s="22" t="s">
        <v>383</v>
      </c>
      <c r="B175" s="22" t="s">
        <v>3</v>
      </c>
      <c r="C175" s="22" t="s">
        <v>383</v>
      </c>
      <c r="D175" s="22" t="n">
        <v>22060</v>
      </c>
      <c r="E175" s="22" t="s">
        <v>132</v>
      </c>
      <c r="F175" s="22" t="s">
        <v>135</v>
      </c>
      <c r="G175" s="22" t="s">
        <v>131</v>
      </c>
      <c r="H175" s="22" t="s">
        <v>131</v>
      </c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 t="n">
        <v>0.0689</v>
      </c>
      <c r="AV175" s="22" t="n">
        <v>0.1444</v>
      </c>
    </row>
    <row r="176" customFormat="false" ht="15" hidden="false" customHeight="false" outlineLevel="0" collapsed="false">
      <c r="A176" s="22" t="s">
        <v>384</v>
      </c>
      <c r="B176" s="22" t="s">
        <v>3</v>
      </c>
      <c r="C176" s="22" t="s">
        <v>384</v>
      </c>
      <c r="D176" s="22" t="n">
        <v>22100</v>
      </c>
      <c r="E176" s="22" t="s">
        <v>132</v>
      </c>
      <c r="F176" s="22" t="s">
        <v>135</v>
      </c>
      <c r="G176" s="22" t="s">
        <v>131</v>
      </c>
      <c r="H176" s="22" t="s">
        <v>131</v>
      </c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</row>
    <row r="177" customFormat="false" ht="15" hidden="false" customHeight="false" outlineLevel="0" collapsed="false">
      <c r="A177" s="22" t="s">
        <v>163</v>
      </c>
      <c r="B177" s="22" t="s">
        <v>3</v>
      </c>
      <c r="C177" s="22" t="s">
        <v>163</v>
      </c>
      <c r="D177" s="22" t="n">
        <v>22180</v>
      </c>
      <c r="E177" s="22" t="s">
        <v>132</v>
      </c>
      <c r="F177" s="22" t="s">
        <v>135</v>
      </c>
      <c r="G177" s="22" t="s">
        <v>131</v>
      </c>
      <c r="H177" s="22" t="s">
        <v>131</v>
      </c>
      <c r="I177" s="22" t="n">
        <v>0.0196</v>
      </c>
      <c r="J177" s="22" t="n">
        <v>0.0351</v>
      </c>
      <c r="K177" s="22" t="n">
        <v>0.0261</v>
      </c>
      <c r="L177" s="22" t="n">
        <v>0.0203</v>
      </c>
      <c r="M177" s="22" t="n">
        <v>0.0072</v>
      </c>
      <c r="N177" s="22" t="n">
        <v>0.0001</v>
      </c>
      <c r="O177" s="22" t="n">
        <v>0.0056</v>
      </c>
      <c r="P177" s="22" t="n">
        <v>0.003</v>
      </c>
      <c r="Q177" s="22" t="n">
        <v>0.0343</v>
      </c>
      <c r="R177" s="22" t="n">
        <v>0.0611</v>
      </c>
      <c r="S177" s="22" t="n">
        <v>0.0487</v>
      </c>
      <c r="T177" s="22" t="n">
        <v>0.048</v>
      </c>
      <c r="U177" s="22" t="n">
        <v>0.0331</v>
      </c>
      <c r="V177" s="22" t="n">
        <v>0.0276</v>
      </c>
      <c r="W177" s="22" t="n">
        <v>0.031</v>
      </c>
      <c r="X177" s="22" t="n">
        <v>0.041</v>
      </c>
      <c r="Y177" s="22" t="n">
        <v>0.0371</v>
      </c>
      <c r="Z177" s="22" t="n">
        <v>0.0398</v>
      </c>
      <c r="AA177" s="22" t="n">
        <v>0.0721</v>
      </c>
      <c r="AB177" s="22" t="n">
        <v>0.0915</v>
      </c>
      <c r="AC177" s="22" t="n">
        <v>0.1059</v>
      </c>
      <c r="AD177" s="22" t="n">
        <v>0.1214</v>
      </c>
      <c r="AE177" s="22" t="n">
        <v>0.1627</v>
      </c>
      <c r="AF177" s="22" t="n">
        <v>0.1499</v>
      </c>
      <c r="AG177" s="22" t="n">
        <v>0.1432</v>
      </c>
      <c r="AH177" s="22" t="n">
        <v>0.1595</v>
      </c>
      <c r="AI177" s="22" t="n">
        <v>0.1218</v>
      </c>
      <c r="AJ177" s="22" t="n">
        <v>0.1273</v>
      </c>
      <c r="AK177" s="22" t="n">
        <v>0.1168</v>
      </c>
      <c r="AL177" s="22" t="n">
        <v>0.0591</v>
      </c>
      <c r="AM177" s="22" t="n">
        <v>0.0202</v>
      </c>
      <c r="AN177" s="22" t="n">
        <v>-0.0117</v>
      </c>
      <c r="AO177" s="22" t="n">
        <v>-0.0154</v>
      </c>
      <c r="AP177" s="22" t="n">
        <v>-0.0006</v>
      </c>
      <c r="AQ177" s="22" t="n">
        <v>0.0098</v>
      </c>
      <c r="AR177" s="22" t="n">
        <v>0.0252</v>
      </c>
      <c r="AS177" s="22" t="n">
        <v>0.0195</v>
      </c>
      <c r="AT177" s="22" t="n">
        <v>0.0029</v>
      </c>
      <c r="AU177" s="22" t="n">
        <v>0.0071</v>
      </c>
      <c r="AV177" s="22" t="n">
        <v>0.002</v>
      </c>
    </row>
    <row r="178" customFormat="false" ht="15" hidden="false" customHeight="false" outlineLevel="0" collapsed="false">
      <c r="A178" s="22" t="s">
        <v>36</v>
      </c>
      <c r="B178" s="22" t="s">
        <v>3</v>
      </c>
      <c r="C178" s="22" t="s">
        <v>36</v>
      </c>
      <c r="D178" s="22" t="n">
        <v>22220</v>
      </c>
      <c r="E178" s="22" t="s">
        <v>132</v>
      </c>
      <c r="F178" s="22" t="s">
        <v>135</v>
      </c>
      <c r="G178" s="22" t="s">
        <v>131</v>
      </c>
      <c r="H178" s="22" t="s">
        <v>131</v>
      </c>
      <c r="I178" s="22" t="n">
        <v>0.0479</v>
      </c>
      <c r="J178" s="22" t="n">
        <v>0.0382</v>
      </c>
      <c r="K178" s="22" t="n">
        <v>0.0657</v>
      </c>
      <c r="L178" s="22" t="n">
        <v>0.0542</v>
      </c>
      <c r="M178" s="22" t="n">
        <v>0.0152</v>
      </c>
      <c r="N178" s="22" t="n">
        <v>0.0001</v>
      </c>
      <c r="O178" s="22" t="n">
        <v>0.0004</v>
      </c>
      <c r="P178" s="22" t="n">
        <v>-0.0092</v>
      </c>
      <c r="Q178" s="22" t="n">
        <v>0.008</v>
      </c>
      <c r="R178" s="22" t="n">
        <v>0.0369</v>
      </c>
      <c r="S178" s="22" t="n">
        <v>0.0831</v>
      </c>
      <c r="T178" s="22" t="n">
        <v>0.0916</v>
      </c>
      <c r="U178" s="22" t="n">
        <v>0.093</v>
      </c>
      <c r="V178" s="22" t="n">
        <v>0.0994</v>
      </c>
      <c r="W178" s="22" t="n">
        <v>0.0591</v>
      </c>
      <c r="X178" s="22" t="n">
        <v>0.0518</v>
      </c>
      <c r="Y178" s="22" t="n">
        <v>0.0436</v>
      </c>
      <c r="Z178" s="22" t="n">
        <v>-0.002</v>
      </c>
      <c r="AA178" s="22" t="n">
        <v>0.0148</v>
      </c>
      <c r="AB178" s="22" t="n">
        <v>0.021</v>
      </c>
      <c r="AC178" s="22" t="n">
        <v>0.0319</v>
      </c>
      <c r="AD178" s="22" t="n">
        <v>0.076</v>
      </c>
      <c r="AE178" s="22" t="n">
        <v>0.0797</v>
      </c>
      <c r="AF178" s="22" t="n">
        <v>0.1031</v>
      </c>
      <c r="AG178" s="22" t="n">
        <v>0.118</v>
      </c>
      <c r="AH178" s="22" t="n">
        <v>0.1708</v>
      </c>
      <c r="AI178" s="22" t="n">
        <v>0.2127</v>
      </c>
      <c r="AJ178" s="22" t="n">
        <v>0.2173</v>
      </c>
      <c r="AK178" s="22" t="n">
        <v>0.1995</v>
      </c>
      <c r="AL178" s="22" t="n">
        <v>0.1724</v>
      </c>
      <c r="AM178" s="22" t="n">
        <v>0.1219</v>
      </c>
      <c r="AN178" s="22" t="n">
        <v>0.0969</v>
      </c>
      <c r="AO178" s="22" t="n">
        <v>0.0956</v>
      </c>
      <c r="AP178" s="22" t="n">
        <v>0.0449</v>
      </c>
      <c r="AQ178" s="22" t="n">
        <v>0.0229</v>
      </c>
      <c r="AR178" s="22" t="n">
        <v>0.0215</v>
      </c>
      <c r="AS178" s="22" t="n">
        <v>0.024</v>
      </c>
      <c r="AT178" s="22" t="n">
        <v>0.0458</v>
      </c>
      <c r="AU178" s="22" t="n">
        <v>0.0578</v>
      </c>
      <c r="AV178" s="22" t="n">
        <v>0.0491</v>
      </c>
    </row>
    <row r="179" customFormat="false" ht="15" hidden="false" customHeight="false" outlineLevel="0" collapsed="false">
      <c r="A179" s="22" t="s">
        <v>385</v>
      </c>
      <c r="B179" s="22" t="s">
        <v>3</v>
      </c>
      <c r="C179" s="22" t="s">
        <v>385</v>
      </c>
      <c r="D179" s="22" t="n">
        <v>22260</v>
      </c>
      <c r="E179" s="22" t="s">
        <v>132</v>
      </c>
      <c r="F179" s="22" t="s">
        <v>135</v>
      </c>
      <c r="G179" s="22" t="s">
        <v>131</v>
      </c>
      <c r="H179" s="22" t="s">
        <v>131</v>
      </c>
      <c r="I179" s="22"/>
      <c r="J179" s="22"/>
      <c r="K179" s="22"/>
      <c r="L179" s="22"/>
      <c r="M179" s="22"/>
      <c r="N179" s="22"/>
      <c r="O179" s="22" t="n">
        <v>0.0744</v>
      </c>
      <c r="P179" s="22" t="n">
        <v>0.1064</v>
      </c>
      <c r="Q179" s="22" t="n">
        <v>-0.0008</v>
      </c>
      <c r="R179" s="22" t="n">
        <v>-0.0277</v>
      </c>
      <c r="S179" s="22" t="n">
        <v>0.0202</v>
      </c>
      <c r="T179" s="22" t="n">
        <v>0.0319</v>
      </c>
      <c r="U179" s="22" t="n">
        <v>0.0333</v>
      </c>
      <c r="V179" s="22" t="n">
        <v>-0.0071</v>
      </c>
      <c r="W179" s="22" t="n">
        <v>-0.0056</v>
      </c>
      <c r="X179" s="22" t="n">
        <v>0.0255</v>
      </c>
      <c r="Y179" s="22" t="n">
        <v>0.011</v>
      </c>
      <c r="Z179" s="22" t="n">
        <v>0.0288</v>
      </c>
      <c r="AA179" s="22" t="n">
        <v>0.0181</v>
      </c>
      <c r="AB179" s="22" t="n">
        <v>0.0009</v>
      </c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</row>
    <row r="180" customFormat="false" ht="15" hidden="false" customHeight="false" outlineLevel="0" collapsed="false">
      <c r="A180" s="22" t="s">
        <v>386</v>
      </c>
      <c r="B180" s="22" t="s">
        <v>3</v>
      </c>
      <c r="C180" s="22" t="s">
        <v>386</v>
      </c>
      <c r="D180" s="22" t="n">
        <v>22300</v>
      </c>
      <c r="E180" s="22" t="s">
        <v>132</v>
      </c>
      <c r="F180" s="22" t="s">
        <v>135</v>
      </c>
      <c r="G180" s="22" t="s">
        <v>131</v>
      </c>
      <c r="H180" s="22" t="s">
        <v>131</v>
      </c>
      <c r="I180" s="22"/>
      <c r="J180" s="22" t="n">
        <v>-0.0652</v>
      </c>
      <c r="K180" s="22"/>
      <c r="L180" s="22" t="n">
        <v>0.0902</v>
      </c>
      <c r="M180" s="22" t="n">
        <v>-0.0101</v>
      </c>
      <c r="N180" s="22" t="n">
        <v>0.3046</v>
      </c>
      <c r="O180" s="22" t="n">
        <v>0.0067</v>
      </c>
      <c r="P180" s="22" t="n">
        <v>-0.0578</v>
      </c>
      <c r="Q180" s="22" t="n">
        <v>0.0177</v>
      </c>
      <c r="R180" s="22" t="n">
        <v>-0.197</v>
      </c>
      <c r="S180" s="22" t="n">
        <v>0.0115</v>
      </c>
      <c r="T180" s="22" t="n">
        <v>0.0177</v>
      </c>
      <c r="U180" s="22" t="n">
        <v>0.0294</v>
      </c>
      <c r="V180" s="22" t="n">
        <v>0.089</v>
      </c>
      <c r="W180" s="22" t="n">
        <v>0.0202</v>
      </c>
      <c r="X180" s="22" t="n">
        <v>0.107</v>
      </c>
      <c r="Y180" s="22"/>
      <c r="Z180" s="22" t="n">
        <v>0.1599</v>
      </c>
      <c r="AA180" s="22" t="n">
        <v>0.2307</v>
      </c>
      <c r="AB180" s="22" t="n">
        <v>0.1566</v>
      </c>
      <c r="AC180" s="22" t="n">
        <v>0.1912</v>
      </c>
      <c r="AD180" s="22" t="n">
        <v>0.1021</v>
      </c>
      <c r="AE180" s="22" t="n">
        <v>0.047</v>
      </c>
      <c r="AF180" s="22" t="n">
        <v>0.0287</v>
      </c>
      <c r="AG180" s="22" t="n">
        <v>0.02</v>
      </c>
      <c r="AH180" s="22" t="n">
        <v>0.1646</v>
      </c>
      <c r="AI180" s="22" t="n">
        <v>0.3438</v>
      </c>
      <c r="AJ180" s="22" t="n">
        <v>0.3116</v>
      </c>
      <c r="AK180" s="22" t="n">
        <v>0.2798</v>
      </c>
      <c r="AL180" s="22" t="n">
        <v>0.1529</v>
      </c>
      <c r="AM180" s="22" t="n">
        <v>0.03</v>
      </c>
      <c r="AN180" s="22" t="n">
        <v>0.0541</v>
      </c>
      <c r="AO180" s="22" t="n">
        <v>0.1068</v>
      </c>
      <c r="AP180" s="22" t="n">
        <v>0.069</v>
      </c>
      <c r="AQ180" s="22" t="n">
        <v>0.0376</v>
      </c>
      <c r="AR180" s="22" t="n">
        <v>0.017</v>
      </c>
      <c r="AS180" s="22" t="n">
        <v>0.0134</v>
      </c>
      <c r="AT180" s="22" t="n">
        <v>0.0083</v>
      </c>
      <c r="AU180" s="22" t="n">
        <v>0.0058</v>
      </c>
      <c r="AV180" s="22"/>
    </row>
    <row r="181" customFormat="false" ht="15" hidden="false" customHeight="false" outlineLevel="0" collapsed="false">
      <c r="A181" s="22" t="s">
        <v>387</v>
      </c>
      <c r="B181" s="22" t="s">
        <v>3</v>
      </c>
      <c r="C181" s="22" t="s">
        <v>387</v>
      </c>
      <c r="D181" s="22" t="n">
        <v>22380</v>
      </c>
      <c r="E181" s="22" t="s">
        <v>132</v>
      </c>
      <c r="F181" s="22" t="s">
        <v>135</v>
      </c>
      <c r="G181" s="22" t="s">
        <v>131</v>
      </c>
      <c r="H181" s="22" t="s">
        <v>131</v>
      </c>
      <c r="I181" s="22" t="n">
        <v>0.1217</v>
      </c>
      <c r="J181" s="22" t="n">
        <v>0.1146</v>
      </c>
      <c r="K181" s="22" t="n">
        <v>0.1432</v>
      </c>
      <c r="L181" s="22" t="n">
        <v>0.1246</v>
      </c>
      <c r="M181" s="22" t="n">
        <v>0.1145</v>
      </c>
      <c r="N181" s="22" t="n">
        <v>0.0992</v>
      </c>
      <c r="O181" s="22" t="n">
        <v>0.0188</v>
      </c>
      <c r="P181" s="22" t="n">
        <v>-0.0094</v>
      </c>
      <c r="Q181" s="22" t="n">
        <v>-0.0072</v>
      </c>
      <c r="R181" s="22" t="n">
        <v>0.0167</v>
      </c>
      <c r="S181" s="22" t="n">
        <v>0.0152</v>
      </c>
      <c r="T181" s="22" t="n">
        <v>0.0207</v>
      </c>
      <c r="U181" s="22" t="n">
        <v>0.0267</v>
      </c>
      <c r="V181" s="22" t="n">
        <v>0.0001</v>
      </c>
      <c r="W181" s="22" t="n">
        <v>0.0264</v>
      </c>
      <c r="X181" s="22" t="n">
        <v>0.0213</v>
      </c>
      <c r="Y181" s="22" t="n">
        <v>0.0234</v>
      </c>
      <c r="Z181" s="22" t="n">
        <v>-0.0036</v>
      </c>
      <c r="AA181" s="22" t="n">
        <v>0.0048</v>
      </c>
      <c r="AB181" s="22" t="n">
        <v>0.0278</v>
      </c>
      <c r="AC181" s="22" t="n">
        <v>0.0557</v>
      </c>
      <c r="AD181" s="22" t="n">
        <v>0.1394</v>
      </c>
      <c r="AE181" s="22" t="n">
        <v>0.189</v>
      </c>
      <c r="AF181" s="22" t="n">
        <v>0.2107</v>
      </c>
      <c r="AG181" s="22" t="n">
        <v>0.1838</v>
      </c>
      <c r="AH181" s="22" t="n">
        <v>0.1577</v>
      </c>
      <c r="AI181" s="22" t="n">
        <v>0.1252</v>
      </c>
      <c r="AJ181" s="22" t="n">
        <v>0.0813</v>
      </c>
      <c r="AK181" s="22" t="n">
        <v>0.0768</v>
      </c>
      <c r="AL181" s="22" t="n">
        <v>0.0698</v>
      </c>
      <c r="AM181" s="22" t="n">
        <v>0.0477</v>
      </c>
      <c r="AN181" s="22" t="n">
        <v>0.0155</v>
      </c>
      <c r="AO181" s="22" t="n">
        <v>0.0051</v>
      </c>
      <c r="AP181" s="22" t="n">
        <v>-0.0068</v>
      </c>
      <c r="AQ181" s="22" t="n">
        <v>-0.0088</v>
      </c>
      <c r="AR181" s="22" t="n">
        <v>-0.0074</v>
      </c>
      <c r="AS181" s="22" t="n">
        <v>-0.0104</v>
      </c>
      <c r="AT181" s="22" t="n">
        <v>0.0185</v>
      </c>
      <c r="AU181" s="22" t="n">
        <v>-0.015</v>
      </c>
      <c r="AV181" s="22" t="n">
        <v>-0.0268</v>
      </c>
    </row>
    <row r="182" customFormat="false" ht="15" hidden="false" customHeight="false" outlineLevel="0" collapsed="false">
      <c r="A182" s="22" t="s">
        <v>164</v>
      </c>
      <c r="B182" s="22" t="s">
        <v>3</v>
      </c>
      <c r="C182" s="22" t="s">
        <v>164</v>
      </c>
      <c r="D182" s="22" t="n">
        <v>22420</v>
      </c>
      <c r="E182" s="22" t="s">
        <v>132</v>
      </c>
      <c r="F182" s="22" t="s">
        <v>135</v>
      </c>
      <c r="G182" s="22" t="s">
        <v>131</v>
      </c>
      <c r="H182" s="22" t="s">
        <v>131</v>
      </c>
      <c r="I182" s="22" t="n">
        <v>0.0397</v>
      </c>
      <c r="J182" s="22" t="n">
        <v>0.0504</v>
      </c>
      <c r="K182" s="22" t="n">
        <v>0.0516</v>
      </c>
      <c r="L182" s="22" t="n">
        <v>0.0536</v>
      </c>
      <c r="M182" s="22" t="n">
        <v>0.0522</v>
      </c>
      <c r="N182" s="22" t="n">
        <v>0.0419</v>
      </c>
      <c r="O182" s="22" t="n">
        <v>0.0272</v>
      </c>
      <c r="P182" s="22" t="n">
        <v>0.0287</v>
      </c>
      <c r="Q182" s="22" t="n">
        <v>0.0224</v>
      </c>
      <c r="R182" s="22" t="n">
        <v>0.0255</v>
      </c>
      <c r="S182" s="22" t="n">
        <v>0.0216</v>
      </c>
      <c r="T182" s="22" t="n">
        <v>0.0354</v>
      </c>
      <c r="U182" s="22" t="n">
        <v>0.0354</v>
      </c>
      <c r="V182" s="22" t="n">
        <v>0.0348</v>
      </c>
      <c r="W182" s="22" t="n">
        <v>0.0644</v>
      </c>
      <c r="X182" s="22" t="n">
        <v>0.0518</v>
      </c>
      <c r="Y182" s="22" t="n">
        <v>0.0407</v>
      </c>
      <c r="Z182" s="22" t="n">
        <v>0.0374</v>
      </c>
      <c r="AA182" s="22" t="n">
        <v>0.0452</v>
      </c>
      <c r="AB182" s="22" t="n">
        <v>0.072</v>
      </c>
      <c r="AC182" s="22" t="n">
        <v>0.0916</v>
      </c>
      <c r="AD182" s="22" t="n">
        <v>0.1126</v>
      </c>
      <c r="AE182" s="22" t="n">
        <v>0.115</v>
      </c>
      <c r="AF182" s="22" t="n">
        <v>0.108</v>
      </c>
      <c r="AG182" s="22" t="n">
        <v>0.1086</v>
      </c>
      <c r="AH182" s="22" t="n">
        <v>0.1115</v>
      </c>
      <c r="AI182" s="22" t="n">
        <v>0.1103</v>
      </c>
      <c r="AJ182" s="22" t="n">
        <v>0.0881</v>
      </c>
      <c r="AK182" s="22" t="n">
        <v>0.0653</v>
      </c>
      <c r="AL182" s="22" t="n">
        <v>0.0431</v>
      </c>
      <c r="AM182" s="22" t="n">
        <v>0.0302</v>
      </c>
      <c r="AN182" s="22" t="n">
        <v>0.0411</v>
      </c>
      <c r="AO182" s="22" t="n">
        <v>0.0627</v>
      </c>
      <c r="AP182" s="22" t="n">
        <v>0.0582</v>
      </c>
      <c r="AQ182" s="22" t="n">
        <v>0.0405</v>
      </c>
      <c r="AR182" s="22" t="n">
        <v>0.0363</v>
      </c>
      <c r="AS182" s="22" t="n">
        <v>0.0261</v>
      </c>
      <c r="AT182" s="22" t="n">
        <v>0.0435</v>
      </c>
      <c r="AU182" s="22" t="n">
        <v>0.0323</v>
      </c>
      <c r="AV182" s="22" t="n">
        <v>0.0294</v>
      </c>
    </row>
    <row r="183" customFormat="false" ht="15" hidden="false" customHeight="false" outlineLevel="0" collapsed="false">
      <c r="A183" s="22" t="s">
        <v>388</v>
      </c>
      <c r="B183" s="22" t="s">
        <v>3</v>
      </c>
      <c r="C183" s="22" t="s">
        <v>388</v>
      </c>
      <c r="D183" s="22" t="n">
        <v>22520</v>
      </c>
      <c r="E183" s="22" t="s">
        <v>132</v>
      </c>
      <c r="F183" s="22" t="s">
        <v>135</v>
      </c>
      <c r="G183" s="22" t="s">
        <v>131</v>
      </c>
      <c r="H183" s="22" t="s">
        <v>131</v>
      </c>
      <c r="I183" s="22" t="n">
        <v>-0.0065</v>
      </c>
      <c r="J183" s="22" t="n">
        <v>-0.0065</v>
      </c>
      <c r="K183" s="22" t="n">
        <v>0.0031</v>
      </c>
      <c r="L183" s="22" t="n">
        <v>-0.1591</v>
      </c>
      <c r="M183" s="22" t="n">
        <v>-0.1684</v>
      </c>
      <c r="N183" s="22" t="n">
        <v>-0.1635</v>
      </c>
      <c r="O183" s="22" t="n">
        <v>-0.1539</v>
      </c>
      <c r="P183" s="22" t="n">
        <v>0.0125</v>
      </c>
      <c r="Q183" s="22" t="n">
        <v>0.021</v>
      </c>
      <c r="R183" s="22" t="n">
        <v>0.02</v>
      </c>
      <c r="S183" s="22" t="n">
        <v>0.0189</v>
      </c>
      <c r="T183" s="22" t="n">
        <v>0.0257</v>
      </c>
      <c r="U183" s="22" t="n">
        <v>0.0321</v>
      </c>
      <c r="V183" s="22" t="n">
        <v>0.0335</v>
      </c>
      <c r="W183" s="22" t="n">
        <v>0.0221</v>
      </c>
      <c r="X183" s="22" t="n">
        <v>0.0127</v>
      </c>
      <c r="Y183" s="22" t="n">
        <v>0.0137</v>
      </c>
      <c r="Z183" s="22" t="n">
        <v>0.0148</v>
      </c>
      <c r="AA183" s="22" t="n">
        <v>0.0725</v>
      </c>
      <c r="AB183" s="22" t="n">
        <v>0.0683</v>
      </c>
      <c r="AC183" s="22" t="n">
        <v>0.0731</v>
      </c>
      <c r="AD183" s="22" t="n">
        <v>0.0842</v>
      </c>
      <c r="AE183" s="22" t="n">
        <v>0.0612</v>
      </c>
      <c r="AF183" s="22" t="n">
        <v>0.0864</v>
      </c>
      <c r="AG183" s="22" t="n">
        <v>0.1122</v>
      </c>
      <c r="AH183" s="22" t="n">
        <v>0.0998</v>
      </c>
      <c r="AI183" s="22" t="n">
        <v>0.1332</v>
      </c>
      <c r="AJ183" s="22" t="n">
        <v>0.1366</v>
      </c>
      <c r="AK183" s="22" t="n">
        <v>0.0891</v>
      </c>
      <c r="AL183" s="22" t="n">
        <v>0.1156</v>
      </c>
      <c r="AM183" s="22" t="n">
        <v>0.0935</v>
      </c>
      <c r="AN183" s="22" t="n">
        <v>0.0657</v>
      </c>
      <c r="AO183" s="22" t="n">
        <v>0.105</v>
      </c>
      <c r="AP183" s="22" t="n">
        <v>0.0831</v>
      </c>
      <c r="AQ183" s="22" t="n">
        <v>0.0394</v>
      </c>
      <c r="AR183" s="22" t="n">
        <v>0.0655</v>
      </c>
      <c r="AS183" s="22" t="n">
        <v>0.0177</v>
      </c>
      <c r="AT183" s="22" t="n">
        <v>0.0172</v>
      </c>
      <c r="AU183" s="22" t="n">
        <v>0.0357</v>
      </c>
      <c r="AV183" s="22" t="n">
        <v>0.0398</v>
      </c>
    </row>
    <row r="184" customFormat="false" ht="15" hidden="false" customHeight="false" outlineLevel="0" collapsed="false">
      <c r="A184" s="22" t="s">
        <v>389</v>
      </c>
      <c r="B184" s="22" t="s">
        <v>3</v>
      </c>
      <c r="C184" s="22" t="s">
        <v>389</v>
      </c>
      <c r="D184" s="22" t="n">
        <v>22500</v>
      </c>
      <c r="E184" s="22" t="s">
        <v>132</v>
      </c>
      <c r="F184" s="22" t="s">
        <v>135</v>
      </c>
      <c r="G184" s="22" t="s">
        <v>131</v>
      </c>
      <c r="H184" s="22" t="s">
        <v>131</v>
      </c>
      <c r="I184" s="22" t="n">
        <v>0.0352</v>
      </c>
      <c r="J184" s="22" t="n">
        <v>0.0405</v>
      </c>
      <c r="K184" s="22" t="n">
        <v>0.058</v>
      </c>
      <c r="L184" s="22" t="n">
        <v>0.0424</v>
      </c>
      <c r="M184" s="22" t="n">
        <v>0.0522</v>
      </c>
      <c r="N184" s="22" t="n">
        <v>0.0409</v>
      </c>
      <c r="O184" s="22" t="n">
        <v>0.0669</v>
      </c>
      <c r="P184" s="22" t="n">
        <v>0.0263</v>
      </c>
      <c r="Q184" s="22" t="n">
        <v>0.0108</v>
      </c>
      <c r="R184" s="22" t="n">
        <v>0.0096</v>
      </c>
      <c r="S184" s="22" t="n">
        <v>-0.0232</v>
      </c>
      <c r="T184" s="22" t="n">
        <v>0.0471</v>
      </c>
      <c r="U184" s="22" t="n">
        <v>0.0684</v>
      </c>
      <c r="V184" s="22" t="n">
        <v>0.0738</v>
      </c>
      <c r="W184" s="22" t="n">
        <v>0.0434</v>
      </c>
      <c r="X184" s="22" t="n">
        <v>0.0098</v>
      </c>
      <c r="Y184" s="22" t="n">
        <v>-0.0096</v>
      </c>
      <c r="Z184" s="22" t="n">
        <v>-0.0169</v>
      </c>
      <c r="AA184" s="22" t="n">
        <v>0.0546</v>
      </c>
      <c r="AB184" s="22" t="n">
        <v>0.0765</v>
      </c>
      <c r="AC184" s="22" t="n">
        <v>0.0769</v>
      </c>
      <c r="AD184" s="22" t="n">
        <v>0.0961</v>
      </c>
      <c r="AE184" s="22" t="n">
        <v>0.0664</v>
      </c>
      <c r="AF184" s="22" t="n">
        <v>0.0524</v>
      </c>
      <c r="AG184" s="22" t="n">
        <v>0.0597</v>
      </c>
      <c r="AH184" s="22" t="n">
        <v>0.0673</v>
      </c>
      <c r="AI184" s="22" t="n">
        <v>0.0714</v>
      </c>
      <c r="AJ184" s="22" t="n">
        <v>0.104</v>
      </c>
      <c r="AK184" s="22" t="n">
        <v>0.1359</v>
      </c>
      <c r="AL184" s="22" t="n">
        <v>0.1134</v>
      </c>
      <c r="AM184" s="22" t="n">
        <v>0.0605</v>
      </c>
      <c r="AN184" s="22" t="n">
        <v>0.0608</v>
      </c>
      <c r="AO184" s="22" t="n">
        <v>0.0109</v>
      </c>
      <c r="AP184" s="22" t="n">
        <v>0.0247</v>
      </c>
      <c r="AQ184" s="22" t="n">
        <v>0.0711</v>
      </c>
      <c r="AR184" s="22" t="n">
        <v>0.0202</v>
      </c>
      <c r="AS184" s="22" t="n">
        <v>0.0444</v>
      </c>
      <c r="AT184" s="22" t="n">
        <v>0.0386</v>
      </c>
      <c r="AU184" s="22" t="n">
        <v>0.0019</v>
      </c>
      <c r="AV184" s="22" t="n">
        <v>-0.0033</v>
      </c>
    </row>
    <row r="185" customFormat="false" ht="15" hidden="false" customHeight="false" outlineLevel="0" collapsed="false">
      <c r="A185" s="22" t="s">
        <v>390</v>
      </c>
      <c r="B185" s="22" t="s">
        <v>3</v>
      </c>
      <c r="C185" s="22" t="s">
        <v>390</v>
      </c>
      <c r="D185" s="22" t="n">
        <v>22540</v>
      </c>
      <c r="E185" s="22" t="s">
        <v>132</v>
      </c>
      <c r="F185" s="22" t="s">
        <v>135</v>
      </c>
      <c r="G185" s="22" t="s">
        <v>131</v>
      </c>
      <c r="H185" s="22" t="s">
        <v>131</v>
      </c>
      <c r="I185" s="22"/>
      <c r="J185" s="22"/>
      <c r="K185" s="22"/>
      <c r="L185" s="22"/>
      <c r="M185" s="22" t="n">
        <v>-0.0758</v>
      </c>
      <c r="N185" s="22" t="n">
        <v>-0.0742</v>
      </c>
      <c r="O185" s="22" t="n">
        <v>-0.1017</v>
      </c>
      <c r="P185" s="22" t="n">
        <v>-0.1152</v>
      </c>
      <c r="Q185" s="22" t="n">
        <v>0.0363</v>
      </c>
      <c r="R185" s="22" t="n">
        <v>0.0204</v>
      </c>
      <c r="S185" s="22" t="n">
        <v>0.0385</v>
      </c>
      <c r="T185" s="22" t="n">
        <v>0.0473</v>
      </c>
      <c r="U185" s="22" t="n">
        <v>0.0165</v>
      </c>
      <c r="V185" s="22" t="n">
        <v>0.0265</v>
      </c>
      <c r="W185" s="22" t="n">
        <v>0.0611</v>
      </c>
      <c r="X185" s="22" t="n">
        <v>0.0608</v>
      </c>
      <c r="Y185" s="22" t="n">
        <v>0.0522</v>
      </c>
      <c r="Z185" s="22" t="n">
        <v>0.0404</v>
      </c>
      <c r="AA185" s="22" t="n">
        <v>0.0035</v>
      </c>
      <c r="AB185" s="22" t="n">
        <v>0.0691</v>
      </c>
      <c r="AC185" s="22" t="n">
        <v>0.1716</v>
      </c>
      <c r="AD185" s="22" t="n">
        <v>0.2402</v>
      </c>
      <c r="AE185" s="22" t="n">
        <v>0.3027</v>
      </c>
      <c r="AF185" s="22" t="n">
        <v>0.1565</v>
      </c>
      <c r="AG185" s="22" t="n">
        <v>0.063</v>
      </c>
      <c r="AH185" s="22" t="n">
        <v>0.04</v>
      </c>
      <c r="AI185" s="22" t="n">
        <v>0.0262</v>
      </c>
      <c r="AJ185" s="22" t="n">
        <v>0.0599</v>
      </c>
      <c r="AK185" s="22" t="n">
        <v>0.0099</v>
      </c>
      <c r="AL185" s="22" t="n">
        <v>-0.0069</v>
      </c>
      <c r="AM185" s="22" t="n">
        <v>0.1087</v>
      </c>
      <c r="AN185" s="22" t="n">
        <v>0.0974</v>
      </c>
      <c r="AO185" s="22" t="n">
        <v>0.0975</v>
      </c>
      <c r="AP185" s="22" t="n">
        <v>0.1456</v>
      </c>
      <c r="AQ185" s="22" t="n">
        <v>0.125</v>
      </c>
      <c r="AR185" s="22" t="n">
        <v>0.1927</v>
      </c>
      <c r="AS185" s="22" t="n">
        <v>0.153</v>
      </c>
      <c r="AT185" s="22" t="n">
        <v>0.1371</v>
      </c>
      <c r="AU185" s="22" t="n">
        <v>0.0589</v>
      </c>
      <c r="AV185" s="22" t="n">
        <v>0.0057</v>
      </c>
    </row>
    <row r="186" customFormat="false" ht="15" hidden="false" customHeight="false" outlineLevel="0" collapsed="false">
      <c r="A186" s="22" t="s">
        <v>391</v>
      </c>
      <c r="B186" s="22" t="s">
        <v>3</v>
      </c>
      <c r="C186" s="22" t="s">
        <v>391</v>
      </c>
      <c r="D186" s="22" t="n">
        <v>22620</v>
      </c>
      <c r="E186" s="22" t="s">
        <v>132</v>
      </c>
      <c r="F186" s="22" t="s">
        <v>135</v>
      </c>
      <c r="G186" s="22" t="s">
        <v>131</v>
      </c>
      <c r="H186" s="22" t="s">
        <v>131</v>
      </c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</row>
    <row r="187" customFormat="false" ht="15" hidden="false" customHeight="false" outlineLevel="0" collapsed="false">
      <c r="A187" s="22" t="s">
        <v>49</v>
      </c>
      <c r="B187" s="22" t="s">
        <v>3</v>
      </c>
      <c r="C187" s="22" t="s">
        <v>49</v>
      </c>
      <c r="D187" s="22" t="n">
        <v>22660</v>
      </c>
      <c r="E187" s="22" t="s">
        <v>132</v>
      </c>
      <c r="F187" s="22" t="s">
        <v>135</v>
      </c>
      <c r="G187" s="22" t="s">
        <v>131</v>
      </c>
      <c r="H187" s="22" t="s">
        <v>131</v>
      </c>
      <c r="I187" s="22" t="n">
        <v>0.0095</v>
      </c>
      <c r="J187" s="22" t="n">
        <v>0.0069</v>
      </c>
      <c r="K187" s="22" t="n">
        <v>0.0034</v>
      </c>
      <c r="L187" s="22" t="n">
        <v>-0.0106</v>
      </c>
      <c r="M187" s="22" t="n">
        <v>-0.0196</v>
      </c>
      <c r="N187" s="22" t="n">
        <v>0.0165</v>
      </c>
      <c r="O187" s="22" t="n">
        <v>0.0486</v>
      </c>
      <c r="P187" s="22" t="n">
        <v>0.0729</v>
      </c>
      <c r="Q187" s="22" t="n">
        <v>0.0742</v>
      </c>
      <c r="R187" s="22" t="n">
        <v>0.0477</v>
      </c>
      <c r="S187" s="22" t="n">
        <v>0.0195</v>
      </c>
      <c r="T187" s="22" t="n">
        <v>0.0047</v>
      </c>
      <c r="U187" s="22" t="n">
        <v>0.0141</v>
      </c>
      <c r="V187" s="22" t="n">
        <v>0.0017</v>
      </c>
      <c r="W187" s="22" t="n">
        <v>0.0138</v>
      </c>
      <c r="X187" s="22" t="n">
        <v>0.038</v>
      </c>
      <c r="Y187" s="22" t="n">
        <v>0.0311</v>
      </c>
      <c r="Z187" s="22" t="n">
        <v>0.0026</v>
      </c>
      <c r="AA187" s="22" t="n">
        <v>0.0101</v>
      </c>
      <c r="AB187" s="22" t="n">
        <v>-0.0212</v>
      </c>
      <c r="AC187" s="22" t="n">
        <v>-0.0136</v>
      </c>
      <c r="AD187" s="22" t="n">
        <v>0.0773</v>
      </c>
      <c r="AE187" s="22" t="n">
        <v>0.1351</v>
      </c>
      <c r="AF187" s="22" t="n">
        <v>0.1808</v>
      </c>
      <c r="AG187" s="22" t="n">
        <v>0.1844</v>
      </c>
      <c r="AH187" s="22" t="n">
        <v>0.1411</v>
      </c>
      <c r="AI187" s="22" t="n">
        <v>0.1114</v>
      </c>
      <c r="AJ187" s="22" t="n">
        <v>0.0853</v>
      </c>
      <c r="AK187" s="22" t="n">
        <v>0.0757</v>
      </c>
      <c r="AL187" s="22" t="n">
        <v>0.058</v>
      </c>
      <c r="AM187" s="22" t="n">
        <v>0.0221</v>
      </c>
      <c r="AN187" s="22" t="n">
        <v>0.012</v>
      </c>
      <c r="AO187" s="22" t="n">
        <v>0.0047</v>
      </c>
      <c r="AP187" s="22" t="n">
        <v>0.0225</v>
      </c>
      <c r="AQ187" s="22" t="n">
        <v>0.0181</v>
      </c>
      <c r="AR187" s="22" t="n">
        <v>-0.0102</v>
      </c>
      <c r="AS187" s="22" t="n">
        <v>-0.004</v>
      </c>
      <c r="AT187" s="22" t="n">
        <v>0.0284</v>
      </c>
      <c r="AU187" s="22" t="n">
        <v>0.0042</v>
      </c>
      <c r="AV187" s="22" t="n">
        <v>0.0022</v>
      </c>
    </row>
    <row r="188" customFormat="false" ht="15" hidden="false" customHeight="false" outlineLevel="0" collapsed="false">
      <c r="A188" s="22" t="s">
        <v>392</v>
      </c>
      <c r="B188" s="22" t="s">
        <v>3</v>
      </c>
      <c r="C188" s="22" t="s">
        <v>392</v>
      </c>
      <c r="D188" s="22" t="n">
        <v>22700</v>
      </c>
      <c r="E188" s="22" t="s">
        <v>132</v>
      </c>
      <c r="F188" s="22" t="s">
        <v>135</v>
      </c>
      <c r="G188" s="22" t="s">
        <v>131</v>
      </c>
      <c r="H188" s="22" t="s">
        <v>131</v>
      </c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 t="n">
        <v>0.1263</v>
      </c>
      <c r="AV188" s="22" t="n">
        <v>0.0249</v>
      </c>
    </row>
    <row r="189" customFormat="false" ht="15" hidden="false" customHeight="false" outlineLevel="0" collapsed="false">
      <c r="A189" s="22" t="s">
        <v>54</v>
      </c>
      <c r="B189" s="22" t="s">
        <v>3</v>
      </c>
      <c r="C189" s="22" t="s">
        <v>54</v>
      </c>
      <c r="D189" s="22" t="n">
        <v>22744</v>
      </c>
      <c r="E189" s="22" t="s">
        <v>132</v>
      </c>
      <c r="F189" s="22" t="s">
        <v>135</v>
      </c>
      <c r="G189" s="22" t="s">
        <v>131</v>
      </c>
      <c r="H189" s="22" t="s">
        <v>131</v>
      </c>
      <c r="I189" s="22" t="n">
        <v>0.0686</v>
      </c>
      <c r="J189" s="22" t="n">
        <v>0.0574</v>
      </c>
      <c r="K189" s="22" t="n">
        <v>0.0299</v>
      </c>
      <c r="L189" s="22" t="n">
        <v>0.0187</v>
      </c>
      <c r="M189" s="22" t="n">
        <v>0.0178</v>
      </c>
      <c r="N189" s="22" t="n">
        <v>0.018</v>
      </c>
      <c r="O189" s="22" t="n">
        <v>0.0194</v>
      </c>
      <c r="P189" s="22" t="n">
        <v>0.0162</v>
      </c>
      <c r="Q189" s="22" t="n">
        <v>0.0256</v>
      </c>
      <c r="R189" s="22" t="n">
        <v>0.0348</v>
      </c>
      <c r="S189" s="22" t="n">
        <v>0.037</v>
      </c>
      <c r="T189" s="22" t="n">
        <v>0.0603</v>
      </c>
      <c r="U189" s="22" t="n">
        <v>0.0542</v>
      </c>
      <c r="V189" s="22" t="n">
        <v>0.0488</v>
      </c>
      <c r="W189" s="22" t="n">
        <v>0.0487</v>
      </c>
      <c r="X189" s="22" t="n">
        <v>0.0295</v>
      </c>
      <c r="Y189" s="22" t="n">
        <v>0.0276</v>
      </c>
      <c r="Z189" s="22" t="n">
        <v>-0.0015</v>
      </c>
      <c r="AA189" s="22" t="n">
        <v>-0.0077</v>
      </c>
      <c r="AB189" s="22" t="n">
        <v>0.0069</v>
      </c>
      <c r="AC189" s="22" t="n">
        <v>0.0274</v>
      </c>
      <c r="AD189" s="22" t="n">
        <v>0.1034</v>
      </c>
      <c r="AE189" s="22" t="n">
        <v>0.2159</v>
      </c>
      <c r="AF189" s="22" t="n">
        <v>0.283</v>
      </c>
      <c r="AG189" s="22" t="n">
        <v>0.3118</v>
      </c>
      <c r="AH189" s="22" t="n">
        <v>0.2986</v>
      </c>
      <c r="AI189" s="22" t="n">
        <v>0.1981</v>
      </c>
      <c r="AJ189" s="22" t="n">
        <v>0.1159</v>
      </c>
      <c r="AK189" s="22" t="n">
        <v>0.0712</v>
      </c>
      <c r="AL189" s="22" t="n">
        <v>0.0382</v>
      </c>
      <c r="AM189" s="22" t="n">
        <v>0.0172</v>
      </c>
      <c r="AN189" s="22" t="n">
        <v>0.0051</v>
      </c>
      <c r="AO189" s="22" t="n">
        <v>0.0048</v>
      </c>
      <c r="AP189" s="22" t="n">
        <v>-0.003</v>
      </c>
      <c r="AQ189" s="22" t="n">
        <v>-0.0104</v>
      </c>
      <c r="AR189" s="22" t="n">
        <v>-0.0052</v>
      </c>
      <c r="AS189" s="22" t="n">
        <v>-0.0054</v>
      </c>
      <c r="AT189" s="22" t="n">
        <v>0.0065</v>
      </c>
      <c r="AU189" s="22" t="n">
        <v>0.0185</v>
      </c>
      <c r="AV189" s="22" t="n">
        <v>0.0158</v>
      </c>
    </row>
    <row r="190" customFormat="false" ht="15" hidden="false" customHeight="false" outlineLevel="0" collapsed="false">
      <c r="A190" s="22" t="s">
        <v>393</v>
      </c>
      <c r="B190" s="22" t="s">
        <v>3</v>
      </c>
      <c r="C190" s="22" t="s">
        <v>393</v>
      </c>
      <c r="D190" s="22" t="n">
        <v>22780</v>
      </c>
      <c r="E190" s="22" t="s">
        <v>132</v>
      </c>
      <c r="F190" s="22" t="s">
        <v>135</v>
      </c>
      <c r="G190" s="22" t="s">
        <v>131</v>
      </c>
      <c r="H190" s="22" t="s">
        <v>131</v>
      </c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</row>
    <row r="191" customFormat="false" ht="15" hidden="false" customHeight="false" outlineLevel="0" collapsed="false">
      <c r="A191" s="22" t="s">
        <v>394</v>
      </c>
      <c r="B191" s="22" t="s">
        <v>3</v>
      </c>
      <c r="C191" s="22" t="s">
        <v>394</v>
      </c>
      <c r="D191" s="22" t="n">
        <v>22900</v>
      </c>
      <c r="E191" s="22" t="s">
        <v>132</v>
      </c>
      <c r="F191" s="22" t="s">
        <v>135</v>
      </c>
      <c r="G191" s="22" t="s">
        <v>131</v>
      </c>
      <c r="H191" s="22" t="s">
        <v>131</v>
      </c>
      <c r="I191" s="22" t="n">
        <v>0.1745</v>
      </c>
      <c r="J191" s="22" t="n">
        <v>0.1361</v>
      </c>
      <c r="K191" s="22" t="n">
        <v>-0.1247</v>
      </c>
      <c r="L191" s="22" t="n">
        <v>-0.154</v>
      </c>
      <c r="M191" s="22" t="n">
        <v>-0.1809</v>
      </c>
      <c r="N191" s="22" t="n">
        <v>-0.1665</v>
      </c>
      <c r="O191" s="22" t="n">
        <v>0.0033</v>
      </c>
      <c r="P191" s="22" t="n">
        <v>0.0099</v>
      </c>
      <c r="Q191" s="22" t="n">
        <v>0.0079</v>
      </c>
      <c r="R191" s="22" t="n">
        <v>-0.0083</v>
      </c>
      <c r="S191" s="22" t="n">
        <v>-0.0024</v>
      </c>
      <c r="T191" s="22" t="n">
        <v>0.0051</v>
      </c>
      <c r="U191" s="22" t="n">
        <v>0.013</v>
      </c>
      <c r="V191" s="22" t="n">
        <v>0.0813</v>
      </c>
      <c r="W191" s="22" t="n">
        <v>0.0938</v>
      </c>
      <c r="X191" s="22" t="n">
        <v>0.0817</v>
      </c>
      <c r="Y191" s="22" t="n">
        <v>0.0865</v>
      </c>
      <c r="Z191" s="22" t="n">
        <v>0.0183</v>
      </c>
      <c r="AA191" s="22" t="n">
        <v>0.0078</v>
      </c>
      <c r="AB191" s="22" t="n">
        <v>0.0111</v>
      </c>
      <c r="AC191" s="22" t="n">
        <v>0.0161</v>
      </c>
      <c r="AD191" s="22" t="n">
        <v>0.0265</v>
      </c>
      <c r="AE191" s="22" t="n">
        <v>0.0473</v>
      </c>
      <c r="AF191" s="22" t="n">
        <v>0.016</v>
      </c>
      <c r="AG191" s="22" t="n">
        <v>0.0024</v>
      </c>
      <c r="AH191" s="22" t="n">
        <v>0.0404</v>
      </c>
      <c r="AI191" s="22" t="n">
        <v>0.0759</v>
      </c>
      <c r="AJ191" s="22" t="n">
        <v>0.1495</v>
      </c>
      <c r="AK191" s="22" t="n">
        <v>0.1649</v>
      </c>
      <c r="AL191" s="22" t="n">
        <v>0.1124</v>
      </c>
      <c r="AM191" s="22" t="n">
        <v>0.1124</v>
      </c>
      <c r="AN191" s="22" t="n">
        <v>0.0911</v>
      </c>
      <c r="AO191" s="22" t="n">
        <v>0.0836</v>
      </c>
      <c r="AP191" s="22" t="n">
        <v>0.0911</v>
      </c>
      <c r="AQ191" s="22" t="n">
        <v>0.0163</v>
      </c>
      <c r="AR191" s="22" t="n">
        <v>-0.0042</v>
      </c>
      <c r="AS191" s="22" t="n">
        <v>-0.0026</v>
      </c>
      <c r="AT191" s="22" t="n">
        <v>0.0266</v>
      </c>
      <c r="AU191" s="22" t="n">
        <v>0.1855</v>
      </c>
      <c r="AV191" s="22" t="n">
        <v>0.195</v>
      </c>
    </row>
    <row r="192" customFormat="false" ht="15" hidden="false" customHeight="false" outlineLevel="0" collapsed="false">
      <c r="A192" s="22" t="s">
        <v>165</v>
      </c>
      <c r="B192" s="22" t="s">
        <v>3</v>
      </c>
      <c r="C192" s="22" t="s">
        <v>165</v>
      </c>
      <c r="D192" s="22" t="n">
        <v>23060</v>
      </c>
      <c r="E192" s="22" t="s">
        <v>132</v>
      </c>
      <c r="F192" s="22" t="s">
        <v>135</v>
      </c>
      <c r="G192" s="22" t="s">
        <v>131</v>
      </c>
      <c r="H192" s="22" t="s">
        <v>131</v>
      </c>
      <c r="I192" s="22" t="n">
        <v>0.063</v>
      </c>
      <c r="J192" s="22" t="n">
        <v>0.0763</v>
      </c>
      <c r="K192" s="22" t="n">
        <v>0.0792</v>
      </c>
      <c r="L192" s="22" t="n">
        <v>0.0718</v>
      </c>
      <c r="M192" s="22" t="n">
        <v>0.0461</v>
      </c>
      <c r="N192" s="22" t="n">
        <v>0.0273</v>
      </c>
      <c r="O192" s="22" t="n">
        <v>0.0205</v>
      </c>
      <c r="P192" s="22" t="n">
        <v>0.0188</v>
      </c>
      <c r="Q192" s="22" t="n">
        <v>0.0285</v>
      </c>
      <c r="R192" s="22" t="n">
        <v>0.0438</v>
      </c>
      <c r="S192" s="22" t="n">
        <v>0.0407</v>
      </c>
      <c r="T192" s="22" t="n">
        <v>0.0499</v>
      </c>
      <c r="U192" s="22" t="n">
        <v>0.0543</v>
      </c>
      <c r="V192" s="22" t="n">
        <v>0.0516</v>
      </c>
      <c r="W192" s="22" t="n">
        <v>0.0669</v>
      </c>
      <c r="X192" s="22" t="n">
        <v>0.0676</v>
      </c>
      <c r="Y192" s="22" t="n">
        <v>0.0761</v>
      </c>
      <c r="Z192" s="22" t="n">
        <v>0.0516</v>
      </c>
      <c r="AA192" s="22" t="n">
        <v>0.0374</v>
      </c>
      <c r="AB192" s="22" t="n">
        <v>0.0384</v>
      </c>
      <c r="AC192" s="22" t="n">
        <v>0.0463</v>
      </c>
      <c r="AD192" s="22" t="n">
        <v>0.0891</v>
      </c>
      <c r="AE192" s="22" t="n">
        <v>0.1353</v>
      </c>
      <c r="AF192" s="22" t="n">
        <v>0.1496</v>
      </c>
      <c r="AG192" s="22" t="n">
        <v>0.1561</v>
      </c>
      <c r="AH192" s="22" t="n">
        <v>0.1585</v>
      </c>
      <c r="AI192" s="22" t="n">
        <v>0.1226</v>
      </c>
      <c r="AJ192" s="22" t="n">
        <v>0.1051</v>
      </c>
      <c r="AK192" s="22" t="n">
        <v>0.0769</v>
      </c>
      <c r="AL192" s="22" t="n">
        <v>0.0309</v>
      </c>
      <c r="AM192" s="22" t="n">
        <v>0.0178</v>
      </c>
      <c r="AN192" s="22" t="n">
        <v>0.0253</v>
      </c>
      <c r="AO192" s="22" t="n">
        <v>0.0283</v>
      </c>
      <c r="AP192" s="22" t="n">
        <v>0.0296</v>
      </c>
      <c r="AQ192" s="22" t="n">
        <v>0.0587</v>
      </c>
      <c r="AR192" s="22" t="n">
        <v>0.0441</v>
      </c>
      <c r="AS192" s="22" t="n">
        <v>0.0429</v>
      </c>
      <c r="AT192" s="22" t="n">
        <v>0.0658</v>
      </c>
      <c r="AU192" s="22" t="n">
        <v>0.0447</v>
      </c>
      <c r="AV192" s="22" t="n">
        <v>0.0363</v>
      </c>
    </row>
    <row r="193" customFormat="false" ht="15" hidden="false" customHeight="false" outlineLevel="0" collapsed="false">
      <c r="A193" s="22" t="s">
        <v>71</v>
      </c>
      <c r="B193" s="22" t="s">
        <v>3</v>
      </c>
      <c r="C193" s="22" t="s">
        <v>71</v>
      </c>
      <c r="D193" s="22" t="n">
        <v>223104</v>
      </c>
      <c r="E193" s="22" t="s">
        <v>132</v>
      </c>
      <c r="F193" s="22" t="s">
        <v>135</v>
      </c>
      <c r="G193" s="22" t="s">
        <v>131</v>
      </c>
      <c r="H193" s="22" t="s">
        <v>131</v>
      </c>
      <c r="I193" s="22" t="n">
        <v>0.0731</v>
      </c>
      <c r="J193" s="22" t="n">
        <v>0.076</v>
      </c>
      <c r="K193" s="22" t="n">
        <v>0.0691</v>
      </c>
      <c r="L193" s="22" t="n">
        <v>0.065</v>
      </c>
      <c r="M193" s="22" t="n">
        <v>0.0556</v>
      </c>
      <c r="N193" s="22" t="n">
        <v>0.0458</v>
      </c>
      <c r="O193" s="22" t="n">
        <v>0.0409</v>
      </c>
      <c r="P193" s="22" t="n">
        <v>0.0393</v>
      </c>
      <c r="Q193" s="22" t="n">
        <v>0.0454</v>
      </c>
      <c r="R193" s="22" t="n">
        <v>0.0425</v>
      </c>
      <c r="S193" s="22" t="n">
        <v>0.0467</v>
      </c>
      <c r="T193" s="22" t="n">
        <v>0.0488</v>
      </c>
      <c r="U193" s="22" t="n">
        <v>0.0487</v>
      </c>
      <c r="V193" s="22" t="n">
        <v>0.048</v>
      </c>
      <c r="W193" s="22" t="n">
        <v>0.044</v>
      </c>
      <c r="X193" s="22" t="n">
        <v>0.0391</v>
      </c>
      <c r="Y193" s="22" t="n">
        <v>0.0421</v>
      </c>
      <c r="Z193" s="22" t="n">
        <v>0.0245</v>
      </c>
      <c r="AA193" s="22" t="n">
        <v>0.0274</v>
      </c>
      <c r="AB193" s="22" t="n">
        <v>0.0275</v>
      </c>
      <c r="AC193" s="22" t="n">
        <v>0.0298</v>
      </c>
      <c r="AD193" s="22" t="n">
        <v>0.0721</v>
      </c>
      <c r="AE193" s="22" t="n">
        <v>0.1111</v>
      </c>
      <c r="AF193" s="22" t="n">
        <v>0.1587</v>
      </c>
      <c r="AG193" s="22" t="n">
        <v>0.1856</v>
      </c>
      <c r="AH193" s="22" t="n">
        <v>0.1796</v>
      </c>
      <c r="AI193" s="22" t="n">
        <v>0.1489</v>
      </c>
      <c r="AJ193" s="22" t="n">
        <v>0.0978</v>
      </c>
      <c r="AK193" s="22" t="n">
        <v>0.0617</v>
      </c>
      <c r="AL193" s="22" t="n">
        <v>0.0326</v>
      </c>
      <c r="AM193" s="22" t="n">
        <v>0.0072</v>
      </c>
      <c r="AN193" s="22" t="n">
        <v>-0.0083</v>
      </c>
      <c r="AO193" s="22" t="n">
        <v>-0.014</v>
      </c>
      <c r="AP193" s="22" t="n">
        <v>-0.0182</v>
      </c>
      <c r="AQ193" s="22" t="n">
        <v>-0.0209</v>
      </c>
      <c r="AR193" s="22" t="n">
        <v>-0.0177</v>
      </c>
      <c r="AS193" s="22" t="n">
        <v>-0.0138</v>
      </c>
      <c r="AT193" s="22" t="n">
        <v>-0.0063</v>
      </c>
      <c r="AU193" s="22" t="n">
        <v>-0.0029</v>
      </c>
      <c r="AV193" s="22" t="n">
        <v>-0.0061</v>
      </c>
    </row>
    <row r="194" customFormat="false" ht="15" hidden="false" customHeight="false" outlineLevel="0" collapsed="false">
      <c r="A194" s="22" t="s">
        <v>395</v>
      </c>
      <c r="B194" s="22" t="s">
        <v>3</v>
      </c>
      <c r="C194" s="22" t="s">
        <v>395</v>
      </c>
      <c r="D194" s="22" t="n">
        <v>23140</v>
      </c>
      <c r="E194" s="22" t="s">
        <v>132</v>
      </c>
      <c r="F194" s="22" t="s">
        <v>135</v>
      </c>
      <c r="G194" s="22" t="s">
        <v>131</v>
      </c>
      <c r="H194" s="22" t="s">
        <v>131</v>
      </c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n">
        <v>0.1237</v>
      </c>
      <c r="W194" s="22" t="n">
        <v>0.1156</v>
      </c>
      <c r="X194" s="22" t="n">
        <v>0.1061</v>
      </c>
      <c r="Y194" s="22" t="n">
        <v>0.1105</v>
      </c>
      <c r="Z194" s="22" t="n">
        <v>0.006</v>
      </c>
      <c r="AA194" s="22" t="n">
        <v>0.0081</v>
      </c>
      <c r="AB194" s="22" t="n">
        <v>0.0146</v>
      </c>
      <c r="AC194" s="22" t="n">
        <v>0.0345</v>
      </c>
      <c r="AD194" s="22" t="n">
        <v>0.0394</v>
      </c>
      <c r="AE194" s="22" t="n">
        <v>0.1003</v>
      </c>
      <c r="AF194" s="22" t="n">
        <v>0.0845</v>
      </c>
      <c r="AG194" s="22" t="n">
        <v>0.0392</v>
      </c>
      <c r="AH194" s="22" t="n">
        <v>0.0602</v>
      </c>
      <c r="AI194" s="22" t="n">
        <v>0.0164</v>
      </c>
      <c r="AJ194" s="22" t="n">
        <v>0.0375</v>
      </c>
      <c r="AK194" s="22" t="n">
        <v>0.0539</v>
      </c>
      <c r="AL194" s="22" t="n">
        <v>0.0226</v>
      </c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</row>
    <row r="195" customFormat="false" ht="15" hidden="false" customHeight="false" outlineLevel="0" collapsed="false">
      <c r="A195" s="22" t="s">
        <v>396</v>
      </c>
      <c r="B195" s="22" t="s">
        <v>3</v>
      </c>
      <c r="C195" s="22" t="s">
        <v>396</v>
      </c>
      <c r="D195" s="22" t="n">
        <v>23240</v>
      </c>
      <c r="E195" s="22" t="s">
        <v>132</v>
      </c>
      <c r="F195" s="22" t="s">
        <v>135</v>
      </c>
      <c r="G195" s="22" t="s">
        <v>131</v>
      </c>
      <c r="H195" s="22" t="s">
        <v>131</v>
      </c>
      <c r="I195" s="22"/>
      <c r="J195" s="22"/>
      <c r="K195" s="22"/>
      <c r="L195" s="22"/>
      <c r="M195" s="22"/>
      <c r="N195" s="22" t="n">
        <v>0.106</v>
      </c>
      <c r="O195" s="22" t="n">
        <v>-0.1135</v>
      </c>
      <c r="P195" s="22" t="n">
        <v>-0.1573</v>
      </c>
      <c r="Q195" s="22" t="n">
        <v>-0.1842</v>
      </c>
      <c r="R195" s="22" t="n">
        <v>-0.0142</v>
      </c>
      <c r="S195" s="22" t="n">
        <v>0.042</v>
      </c>
      <c r="T195" s="22"/>
      <c r="U195" s="22"/>
      <c r="V195" s="22"/>
      <c r="W195" s="22"/>
      <c r="X195" s="22"/>
      <c r="Y195" s="22"/>
      <c r="Z195" s="22"/>
      <c r="AA195" s="22"/>
      <c r="AB195" s="22"/>
      <c r="AC195" s="22" t="n">
        <v>-0.1486</v>
      </c>
      <c r="AD195" s="22" t="n">
        <v>-0.1808</v>
      </c>
      <c r="AE195" s="22"/>
      <c r="AF195" s="22"/>
      <c r="AG195" s="22"/>
      <c r="AH195" s="22"/>
      <c r="AI195" s="22" t="n">
        <v>0.2815</v>
      </c>
      <c r="AJ195" s="22" t="n">
        <v>0.258</v>
      </c>
      <c r="AK195" s="22" t="n">
        <v>0.2573</v>
      </c>
      <c r="AL195" s="22" t="n">
        <v>0.1789</v>
      </c>
      <c r="AM195" s="22" t="n">
        <v>-0.0117</v>
      </c>
      <c r="AN195" s="22" t="n">
        <v>0.0126</v>
      </c>
      <c r="AO195" s="22" t="n">
        <v>0.0044</v>
      </c>
      <c r="AP195" s="22" t="n">
        <v>-0.0094</v>
      </c>
      <c r="AQ195" s="22" t="n">
        <v>-0.0328</v>
      </c>
      <c r="AR195" s="22" t="n">
        <v>-0.0651</v>
      </c>
      <c r="AS195" s="22" t="n">
        <v>-0.1021</v>
      </c>
      <c r="AT195" s="22" t="n">
        <v>0.0181</v>
      </c>
      <c r="AU195" s="22" t="n">
        <v>0.0162</v>
      </c>
      <c r="AV195" s="22" t="n">
        <v>0.0209</v>
      </c>
    </row>
    <row r="196" customFormat="false" ht="15" hidden="false" customHeight="false" outlineLevel="0" collapsed="false">
      <c r="A196" s="22" t="s">
        <v>397</v>
      </c>
      <c r="B196" s="22" t="s">
        <v>3</v>
      </c>
      <c r="C196" s="22" t="s">
        <v>397</v>
      </c>
      <c r="D196" s="22" t="n">
        <v>23380</v>
      </c>
      <c r="E196" s="22" t="s">
        <v>132</v>
      </c>
      <c r="F196" s="22" t="s">
        <v>135</v>
      </c>
      <c r="G196" s="22" t="s">
        <v>131</v>
      </c>
      <c r="H196" s="22" t="s">
        <v>131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</row>
    <row r="197" customFormat="false" ht="15" hidden="false" customHeight="false" outlineLevel="0" collapsed="false">
      <c r="A197" s="22" t="s">
        <v>166</v>
      </c>
      <c r="B197" s="22" t="s">
        <v>3</v>
      </c>
      <c r="C197" s="22" t="s">
        <v>166</v>
      </c>
      <c r="D197" s="22" t="n">
        <v>23420</v>
      </c>
      <c r="E197" s="22" t="s">
        <v>132</v>
      </c>
      <c r="F197" s="22" t="s">
        <v>135</v>
      </c>
      <c r="G197" s="22" t="s">
        <v>131</v>
      </c>
      <c r="H197" s="22" t="s">
        <v>131</v>
      </c>
      <c r="I197" s="22" t="n">
        <v>0.0517</v>
      </c>
      <c r="J197" s="22" t="n">
        <v>0.0749</v>
      </c>
      <c r="K197" s="22" t="n">
        <v>0.0784</v>
      </c>
      <c r="L197" s="22" t="n">
        <v>0.0816</v>
      </c>
      <c r="M197" s="22" t="n">
        <v>0.0743</v>
      </c>
      <c r="N197" s="22" t="n">
        <v>0.0692</v>
      </c>
      <c r="O197" s="22" t="n">
        <v>0.0618</v>
      </c>
      <c r="P197" s="22" t="n">
        <v>0.0525</v>
      </c>
      <c r="Q197" s="22" t="n">
        <v>0.0498</v>
      </c>
      <c r="R197" s="22" t="n">
        <v>0.0434</v>
      </c>
      <c r="S197" s="22" t="n">
        <v>0.042</v>
      </c>
      <c r="T197" s="22" t="n">
        <v>0.0425</v>
      </c>
      <c r="U197" s="22" t="n">
        <v>0.0587</v>
      </c>
      <c r="V197" s="22" t="n">
        <v>0.0553</v>
      </c>
      <c r="W197" s="22" t="n">
        <v>0.0687</v>
      </c>
      <c r="X197" s="22" t="n">
        <v>0.0715</v>
      </c>
      <c r="Y197" s="22" t="n">
        <v>0.0626</v>
      </c>
      <c r="Z197" s="22" t="n">
        <v>0.0643</v>
      </c>
      <c r="AA197" s="22" t="n">
        <v>0.0517</v>
      </c>
      <c r="AB197" s="22" t="n">
        <v>0.0834</v>
      </c>
      <c r="AC197" s="22" t="n">
        <v>0.0986</v>
      </c>
      <c r="AD197" s="22" t="n">
        <v>0.1253</v>
      </c>
      <c r="AE197" s="22" t="n">
        <v>0.1746</v>
      </c>
      <c r="AF197" s="22" t="n">
        <v>0.1639</v>
      </c>
      <c r="AG197" s="22" t="n">
        <v>0.1647</v>
      </c>
      <c r="AH197" s="22" t="n">
        <v>0.1562</v>
      </c>
      <c r="AI197" s="22" t="n">
        <v>0.1273</v>
      </c>
      <c r="AJ197" s="22" t="n">
        <v>0.1003</v>
      </c>
      <c r="AK197" s="22" t="n">
        <v>0.0732</v>
      </c>
      <c r="AL197" s="22" t="n">
        <v>0.0608</v>
      </c>
      <c r="AM197" s="22" t="n">
        <v>0.0399</v>
      </c>
      <c r="AN197" s="22" t="n">
        <v>0.0349</v>
      </c>
      <c r="AO197" s="22" t="n">
        <v>0.0384</v>
      </c>
      <c r="AP197" s="22" t="n">
        <v>0.0276</v>
      </c>
      <c r="AQ197" s="22" t="n">
        <v>0.0294</v>
      </c>
      <c r="AR197" s="22" t="n">
        <v>0.0215</v>
      </c>
      <c r="AS197" s="22" t="n">
        <v>0.0138</v>
      </c>
      <c r="AT197" s="22" t="n">
        <v>0.0238</v>
      </c>
      <c r="AU197" s="22" t="n">
        <v>0.0448</v>
      </c>
      <c r="AV197" s="22" t="n">
        <v>0.048</v>
      </c>
    </row>
    <row r="198" customFormat="false" ht="15" hidden="false" customHeight="false" outlineLevel="0" collapsed="false">
      <c r="A198" s="22" t="s">
        <v>398</v>
      </c>
      <c r="B198" s="22" t="s">
        <v>3</v>
      </c>
      <c r="C198" s="22" t="s">
        <v>398</v>
      </c>
      <c r="D198" s="22" t="n">
        <v>23460</v>
      </c>
      <c r="E198" s="22" t="s">
        <v>132</v>
      </c>
      <c r="F198" s="22" t="s">
        <v>135</v>
      </c>
      <c r="G198" s="22" t="s">
        <v>131</v>
      </c>
      <c r="H198" s="22" t="s">
        <v>131</v>
      </c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</row>
    <row r="199" customFormat="false" ht="15" hidden="false" customHeight="false" outlineLevel="0" collapsed="false">
      <c r="A199" s="22" t="s">
        <v>399</v>
      </c>
      <c r="B199" s="22" t="s">
        <v>3</v>
      </c>
      <c r="C199" s="22" t="s">
        <v>399</v>
      </c>
      <c r="D199" s="22" t="n">
        <v>23500</v>
      </c>
      <c r="E199" s="22" t="s">
        <v>132</v>
      </c>
      <c r="F199" s="22" t="s">
        <v>135</v>
      </c>
      <c r="G199" s="22" t="s">
        <v>131</v>
      </c>
      <c r="H199" s="22" t="s">
        <v>131</v>
      </c>
      <c r="I199" s="22"/>
      <c r="J199" s="22"/>
      <c r="K199" s="22"/>
      <c r="L199" s="22"/>
      <c r="M199" s="22"/>
      <c r="N199" s="22" t="n">
        <v>-0.2206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</row>
    <row r="200" customFormat="false" ht="15" hidden="false" customHeight="false" outlineLevel="0" collapsed="false">
      <c r="A200" s="22" t="s">
        <v>167</v>
      </c>
      <c r="B200" s="22" t="s">
        <v>3</v>
      </c>
      <c r="C200" s="22" t="s">
        <v>167</v>
      </c>
      <c r="D200" s="22" t="n">
        <v>23540</v>
      </c>
      <c r="E200" s="22" t="s">
        <v>132</v>
      </c>
      <c r="F200" s="22" t="s">
        <v>135</v>
      </c>
      <c r="G200" s="22" t="s">
        <v>131</v>
      </c>
      <c r="H200" s="22" t="s">
        <v>131</v>
      </c>
      <c r="I200" s="22" t="n">
        <v>0.0413</v>
      </c>
      <c r="J200" s="22" t="n">
        <v>0.0325</v>
      </c>
      <c r="K200" s="22" t="n">
        <v>0.0419</v>
      </c>
      <c r="L200" s="22" t="n">
        <v>0.0319</v>
      </c>
      <c r="M200" s="22" t="n">
        <v>0.0005</v>
      </c>
      <c r="N200" s="22" t="n">
        <v>0.0148</v>
      </c>
      <c r="O200" s="22" t="n">
        <v>0.0132</v>
      </c>
      <c r="P200" s="22" t="n">
        <v>0.0301</v>
      </c>
      <c r="Q200" s="22" t="n">
        <v>0.0638</v>
      </c>
      <c r="R200" s="22" t="n">
        <v>0.0681</v>
      </c>
      <c r="S200" s="22" t="n">
        <v>0.0795</v>
      </c>
      <c r="T200" s="22" t="n">
        <v>0.0733</v>
      </c>
      <c r="U200" s="22" t="n">
        <v>0.0426</v>
      </c>
      <c r="V200" s="22" t="n">
        <v>0.0569</v>
      </c>
      <c r="W200" s="22" t="n">
        <v>0.0628</v>
      </c>
      <c r="X200" s="22" t="n">
        <v>0.0504</v>
      </c>
      <c r="Y200" s="22" t="n">
        <v>0.0772</v>
      </c>
      <c r="Z200" s="22" t="n">
        <v>0.0442</v>
      </c>
      <c r="AA200" s="22" t="n">
        <v>0.0177</v>
      </c>
      <c r="AB200" s="22" t="n">
        <v>0.007</v>
      </c>
      <c r="AC200" s="22" t="n">
        <v>0.0205</v>
      </c>
      <c r="AD200" s="22" t="n">
        <v>0.0458</v>
      </c>
      <c r="AE200" s="22" t="n">
        <v>0.1038</v>
      </c>
      <c r="AF200" s="22" t="n">
        <v>0.2006</v>
      </c>
      <c r="AG200" s="22" t="n">
        <v>0.2177</v>
      </c>
      <c r="AH200" s="22" t="n">
        <v>0.2203</v>
      </c>
      <c r="AI200" s="22" t="n">
        <v>0.1742</v>
      </c>
      <c r="AJ200" s="22" t="n">
        <v>0.0965</v>
      </c>
      <c r="AK200" s="22" t="n">
        <v>0.067</v>
      </c>
      <c r="AL200" s="22" t="n">
        <v>0.0662</v>
      </c>
      <c r="AM200" s="22" t="n">
        <v>0.0381</v>
      </c>
      <c r="AN200" s="22" t="n">
        <v>0.0183</v>
      </c>
      <c r="AO200" s="22" t="n">
        <v>0.0135</v>
      </c>
      <c r="AP200" s="22" t="n">
        <v>-0.0087</v>
      </c>
      <c r="AQ200" s="22" t="n">
        <v>0.0139</v>
      </c>
      <c r="AR200" s="22" t="n">
        <v>0.0004</v>
      </c>
      <c r="AS200" s="22" t="n">
        <v>0.0041</v>
      </c>
      <c r="AT200" s="22" t="n">
        <v>0.0186</v>
      </c>
      <c r="AU200" s="22" t="n">
        <v>0.0002</v>
      </c>
      <c r="AV200" s="22" t="n">
        <v>0.014</v>
      </c>
    </row>
    <row r="201" customFormat="false" ht="15" hidden="false" customHeight="false" outlineLevel="0" collapsed="false">
      <c r="A201" s="22" t="s">
        <v>400</v>
      </c>
      <c r="B201" s="22" t="s">
        <v>3</v>
      </c>
      <c r="C201" s="22" t="s">
        <v>400</v>
      </c>
      <c r="D201" s="22" t="n">
        <v>23580</v>
      </c>
      <c r="E201" s="22" t="s">
        <v>132</v>
      </c>
      <c r="F201" s="22" t="s">
        <v>135</v>
      </c>
      <c r="G201" s="22" t="s">
        <v>131</v>
      </c>
      <c r="H201" s="22" t="s">
        <v>131</v>
      </c>
      <c r="I201" s="22" t="n">
        <v>0.0957</v>
      </c>
      <c r="J201" s="22" t="n">
        <v>0.0887</v>
      </c>
      <c r="K201" s="22" t="n">
        <v>0.0377</v>
      </c>
      <c r="L201" s="22" t="n">
        <v>0.0126</v>
      </c>
      <c r="M201" s="22" t="n">
        <v>0.0527</v>
      </c>
      <c r="N201" s="22" t="n">
        <v>0.0741</v>
      </c>
      <c r="O201" s="22" t="n">
        <v>0.0887</v>
      </c>
      <c r="P201" s="22" t="n">
        <v>0.0667</v>
      </c>
      <c r="Q201" s="22" t="n">
        <v>0.0138</v>
      </c>
      <c r="R201" s="22" t="n">
        <v>-0.004</v>
      </c>
      <c r="S201" s="22" t="n">
        <v>-0.014</v>
      </c>
      <c r="T201" s="22" t="n">
        <v>0.0351</v>
      </c>
      <c r="U201" s="22" t="n">
        <v>0.0304</v>
      </c>
      <c r="V201" s="22" t="n">
        <v>0.019</v>
      </c>
      <c r="W201" s="22" t="n">
        <v>0.0704</v>
      </c>
      <c r="X201" s="22" t="n">
        <v>0.0919</v>
      </c>
      <c r="Y201" s="22" t="n">
        <v>0.0808</v>
      </c>
      <c r="Z201" s="22" t="n">
        <v>0.0665</v>
      </c>
      <c r="AA201" s="22" t="n">
        <v>0.0545</v>
      </c>
      <c r="AB201" s="22" t="n">
        <v>0.0387</v>
      </c>
      <c r="AC201" s="22" t="n">
        <v>0.0841</v>
      </c>
      <c r="AD201" s="22" t="n">
        <v>0.1737</v>
      </c>
      <c r="AE201" s="22" t="n">
        <v>0.2176</v>
      </c>
      <c r="AF201" s="22" t="n">
        <v>0.2742</v>
      </c>
      <c r="AG201" s="22" t="n">
        <v>0.286</v>
      </c>
      <c r="AH201" s="22" t="n">
        <v>0.2139</v>
      </c>
      <c r="AI201" s="22" t="n">
        <v>0.1537</v>
      </c>
      <c r="AJ201" s="22" t="n">
        <v>0.0842</v>
      </c>
      <c r="AK201" s="22" t="n">
        <v>0.0518</v>
      </c>
      <c r="AL201" s="22" t="n">
        <v>0.0244</v>
      </c>
      <c r="AM201" s="22" t="n">
        <v>-0.0018</v>
      </c>
      <c r="AN201" s="22" t="n">
        <v>-0.0163</v>
      </c>
      <c r="AO201" s="22" t="n">
        <v>-0.0103</v>
      </c>
      <c r="AP201" s="22" t="n">
        <v>-0.0085</v>
      </c>
      <c r="AQ201" s="22" t="n">
        <v>-0.0128</v>
      </c>
      <c r="AR201" s="22" t="n">
        <v>-0.0442</v>
      </c>
      <c r="AS201" s="22" t="n">
        <v>-0.0392</v>
      </c>
      <c r="AT201" s="22" t="n">
        <v>-0.0387</v>
      </c>
      <c r="AU201" s="22" t="n">
        <v>-0.0477</v>
      </c>
      <c r="AV201" s="22" t="n">
        <v>-0.019</v>
      </c>
    </row>
    <row r="202" customFormat="false" ht="15" hidden="false" customHeight="false" outlineLevel="0" collapsed="false">
      <c r="A202" s="22" t="s">
        <v>401</v>
      </c>
      <c r="B202" s="22" t="s">
        <v>3</v>
      </c>
      <c r="C202" s="22" t="s">
        <v>401</v>
      </c>
      <c r="D202" s="22" t="n">
        <v>23620</v>
      </c>
      <c r="E202" s="22" t="s">
        <v>132</v>
      </c>
      <c r="F202" s="22" t="s">
        <v>135</v>
      </c>
      <c r="G202" s="22" t="s">
        <v>131</v>
      </c>
      <c r="H202" s="22" t="s">
        <v>131</v>
      </c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</row>
    <row r="203" customFormat="false" ht="15" hidden="false" customHeight="false" outlineLevel="0" collapsed="false">
      <c r="A203" s="22" t="s">
        <v>402</v>
      </c>
      <c r="B203" s="22" t="s">
        <v>3</v>
      </c>
      <c r="C203" s="22" t="s">
        <v>402</v>
      </c>
      <c r="D203" s="22" t="n">
        <v>23940</v>
      </c>
      <c r="E203" s="22" t="s">
        <v>132</v>
      </c>
      <c r="F203" s="22" t="s">
        <v>135</v>
      </c>
      <c r="G203" s="22" t="s">
        <v>131</v>
      </c>
      <c r="H203" s="22" t="s">
        <v>131</v>
      </c>
      <c r="I203" s="22" t="n">
        <v>-0.1118</v>
      </c>
      <c r="J203" s="22" t="n">
        <v>-0.1687</v>
      </c>
      <c r="K203" s="22"/>
      <c r="L203" s="22"/>
      <c r="M203" s="22" t="n">
        <v>-0.0567</v>
      </c>
      <c r="N203" s="22" t="n">
        <v>-0.1596</v>
      </c>
      <c r="O203" s="22"/>
      <c r="P203" s="22"/>
      <c r="Q203" s="22" t="n">
        <v>-0.037</v>
      </c>
      <c r="R203" s="22" t="n">
        <v>0.1534</v>
      </c>
      <c r="S203" s="22" t="n">
        <v>0.0951</v>
      </c>
      <c r="T203" s="22" t="n">
        <v>0.1099</v>
      </c>
      <c r="U203" s="22" t="n">
        <v>0.0244</v>
      </c>
      <c r="V203" s="22" t="n">
        <v>0.0323</v>
      </c>
      <c r="W203" s="22" t="n">
        <v>0.066</v>
      </c>
      <c r="X203" s="22" t="n">
        <v>0.0436</v>
      </c>
      <c r="Y203" s="22" t="n">
        <v>0.0238</v>
      </c>
      <c r="Z203" s="22" t="n">
        <v>-0.0027</v>
      </c>
      <c r="AA203" s="22" t="n">
        <v>-0.0127</v>
      </c>
      <c r="AB203" s="22" t="n">
        <v>-0.0203</v>
      </c>
      <c r="AC203" s="22" t="n">
        <v>-0.0114</v>
      </c>
      <c r="AD203" s="22" t="n">
        <v>0.0007</v>
      </c>
      <c r="AE203" s="22" t="n">
        <v>0.0599</v>
      </c>
      <c r="AF203" s="22" t="n">
        <v>0.0964</v>
      </c>
      <c r="AG203" s="22" t="n">
        <v>0.1645</v>
      </c>
      <c r="AH203" s="22" t="n">
        <v>0.1941</v>
      </c>
      <c r="AI203" s="22" t="n">
        <v>0.1706</v>
      </c>
      <c r="AJ203" s="22" t="n">
        <v>0.1832</v>
      </c>
      <c r="AK203" s="22" t="n">
        <v>0.1144</v>
      </c>
      <c r="AL203" s="22" t="n">
        <v>0.113</v>
      </c>
      <c r="AM203" s="22" t="n">
        <v>0.1031</v>
      </c>
      <c r="AN203" s="22" t="n">
        <v>0.0951</v>
      </c>
      <c r="AO203" s="22" t="n">
        <v>0.0906</v>
      </c>
      <c r="AP203" s="22" t="n">
        <v>0.0442</v>
      </c>
      <c r="AQ203" s="22" t="n">
        <v>0.0534</v>
      </c>
      <c r="AR203" s="22" t="n">
        <v>0.0416</v>
      </c>
      <c r="AS203" s="22" t="n">
        <v>0.0274</v>
      </c>
      <c r="AT203" s="22" t="n">
        <v>0.0103</v>
      </c>
      <c r="AU203" s="22" t="n">
        <v>-0.021</v>
      </c>
      <c r="AV203" s="22" t="n">
        <v>0.0169</v>
      </c>
    </row>
    <row r="204" customFormat="false" ht="15" hidden="false" customHeight="false" outlineLevel="0" collapsed="false">
      <c r="A204" s="22" t="s">
        <v>403</v>
      </c>
      <c r="B204" s="22" t="s">
        <v>3</v>
      </c>
      <c r="C204" s="22" t="s">
        <v>403</v>
      </c>
      <c r="D204" s="22" t="n">
        <v>24020</v>
      </c>
      <c r="E204" s="22" t="s">
        <v>132</v>
      </c>
      <c r="F204" s="22" t="s">
        <v>135</v>
      </c>
      <c r="G204" s="22" t="s">
        <v>131</v>
      </c>
      <c r="H204" s="22" t="s">
        <v>131</v>
      </c>
      <c r="I204" s="22"/>
      <c r="J204" s="22"/>
      <c r="K204" s="22"/>
      <c r="L204" s="22"/>
      <c r="M204" s="22"/>
      <c r="N204" s="22"/>
      <c r="O204" s="22"/>
      <c r="P204" s="22" t="n">
        <v>0.1081</v>
      </c>
      <c r="Q204" s="22" t="n">
        <v>0.0976</v>
      </c>
      <c r="R204" s="22" t="n">
        <v>0.0685</v>
      </c>
      <c r="S204" s="22" t="n">
        <v>-0.0863</v>
      </c>
      <c r="T204" s="22" t="n">
        <v>-0.144</v>
      </c>
      <c r="U204" s="22" t="n">
        <v>-0.1318</v>
      </c>
      <c r="V204" s="22" t="n">
        <v>-0.1169</v>
      </c>
      <c r="W204" s="22" t="n">
        <v>0.0332</v>
      </c>
      <c r="X204" s="22" t="n">
        <v>0.0087</v>
      </c>
      <c r="Y204" s="22" t="n">
        <v>0.0108</v>
      </c>
      <c r="Z204" s="22" t="n">
        <v>0.0109</v>
      </c>
      <c r="AA204" s="22" t="n">
        <v>0.0054</v>
      </c>
      <c r="AB204" s="22" t="n">
        <v>-0.0766</v>
      </c>
      <c r="AC204" s="22" t="n">
        <v>-0.0856</v>
      </c>
      <c r="AD204" s="22" t="n">
        <v>-0.0766</v>
      </c>
      <c r="AE204" s="22" t="n">
        <v>-0.0682</v>
      </c>
      <c r="AF204" s="22" t="n">
        <v>0.0329</v>
      </c>
      <c r="AG204" s="22" t="n">
        <v>0.0446</v>
      </c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</row>
    <row r="205" customFormat="false" ht="15" hidden="false" customHeight="false" outlineLevel="0" collapsed="false">
      <c r="A205" s="22" t="s">
        <v>404</v>
      </c>
      <c r="B205" s="22" t="s">
        <v>3</v>
      </c>
      <c r="C205" s="22" t="s">
        <v>404</v>
      </c>
      <c r="D205" s="22" t="n">
        <v>24140</v>
      </c>
      <c r="E205" s="22" t="s">
        <v>132</v>
      </c>
      <c r="F205" s="22" t="s">
        <v>135</v>
      </c>
      <c r="G205" s="22" t="s">
        <v>131</v>
      </c>
      <c r="H205" s="22" t="s">
        <v>131</v>
      </c>
      <c r="I205" s="22" t="n">
        <v>0.0391</v>
      </c>
      <c r="J205" s="22" t="n">
        <v>0.048</v>
      </c>
      <c r="K205" s="22" t="n">
        <v>0.0898</v>
      </c>
      <c r="L205" s="22" t="n">
        <v>0.0925</v>
      </c>
      <c r="M205" s="22" t="n">
        <v>0.0586</v>
      </c>
      <c r="N205" s="22" t="n">
        <v>0.0456</v>
      </c>
      <c r="O205" s="22" t="n">
        <v>0.0119</v>
      </c>
      <c r="P205" s="22" t="n">
        <v>-0.0173</v>
      </c>
      <c r="Q205" s="22" t="n">
        <v>0.0421</v>
      </c>
      <c r="R205" s="22" t="n">
        <v>0.1481</v>
      </c>
      <c r="S205" s="22" t="n">
        <v>0.1507</v>
      </c>
      <c r="T205" s="22" t="n">
        <v>0.193</v>
      </c>
      <c r="U205" s="22" t="n">
        <v>0.1365</v>
      </c>
      <c r="V205" s="22" t="n">
        <v>0.001</v>
      </c>
      <c r="W205" s="22" t="n">
        <v>0.0013</v>
      </c>
      <c r="X205" s="22" t="n">
        <v>-0.0142</v>
      </c>
      <c r="Y205" s="22" t="n">
        <v>-0.0339</v>
      </c>
      <c r="Z205" s="22" t="n">
        <v>-0.0399</v>
      </c>
      <c r="AA205" s="22" t="n">
        <v>0.0147</v>
      </c>
      <c r="AB205" s="22" t="n">
        <v>0.0014</v>
      </c>
      <c r="AC205" s="22" t="n">
        <v>0.0356</v>
      </c>
      <c r="AD205" s="22" t="n">
        <v>0.0982</v>
      </c>
      <c r="AE205" s="22" t="n">
        <v>0.0877</v>
      </c>
      <c r="AF205" s="22" t="n">
        <v>0.1023</v>
      </c>
      <c r="AG205" s="22" t="n">
        <v>0.0853</v>
      </c>
      <c r="AH205" s="22" t="n">
        <v>0.0876</v>
      </c>
      <c r="AI205" s="22" t="n">
        <v>0.0661</v>
      </c>
      <c r="AJ205" s="22" t="n">
        <v>0.0964</v>
      </c>
      <c r="AK205" s="22" t="n">
        <v>0.1371</v>
      </c>
      <c r="AL205" s="22" t="n">
        <v>0.1306</v>
      </c>
      <c r="AM205" s="22" t="n">
        <v>0.1177</v>
      </c>
      <c r="AN205" s="22" t="n">
        <v>0.0985</v>
      </c>
      <c r="AO205" s="22" t="n">
        <v>0.0377</v>
      </c>
      <c r="AP205" s="22" t="n">
        <v>0.0032</v>
      </c>
      <c r="AQ205" s="22" t="n">
        <v>-0.0242</v>
      </c>
      <c r="AR205" s="22" t="n">
        <v>0.0042</v>
      </c>
      <c r="AS205" s="22" t="n">
        <v>0.0194</v>
      </c>
      <c r="AT205" s="22" t="n">
        <v>0.0231</v>
      </c>
      <c r="AU205" s="22" t="n">
        <v>0.042</v>
      </c>
      <c r="AV205" s="22" t="n">
        <v>-0.0014</v>
      </c>
    </row>
    <row r="206" customFormat="false" ht="15" hidden="false" customHeight="false" outlineLevel="0" collapsed="false">
      <c r="A206" s="22" t="s">
        <v>405</v>
      </c>
      <c r="B206" s="22" t="s">
        <v>3</v>
      </c>
      <c r="C206" s="22" t="s">
        <v>405</v>
      </c>
      <c r="D206" s="22" t="n">
        <v>24220</v>
      </c>
      <c r="E206" s="22" t="s">
        <v>132</v>
      </c>
      <c r="F206" s="22" t="s">
        <v>135</v>
      </c>
      <c r="G206" s="22" t="s">
        <v>131</v>
      </c>
      <c r="H206" s="22" t="s">
        <v>131</v>
      </c>
      <c r="I206" s="22" t="n">
        <v>0.0505</v>
      </c>
      <c r="J206" s="22" t="n">
        <v>0.04</v>
      </c>
      <c r="K206" s="22" t="n">
        <v>-0.0259</v>
      </c>
      <c r="L206" s="22" t="n">
        <v>-0.0793</v>
      </c>
      <c r="M206" s="22" t="n">
        <v>0.0101</v>
      </c>
      <c r="N206" s="22" t="n">
        <v>0.0126</v>
      </c>
      <c r="O206" s="22" t="n">
        <v>0.0593</v>
      </c>
      <c r="P206" s="22" t="n">
        <v>0.0925</v>
      </c>
      <c r="Q206" s="22" t="n">
        <v>-0.0091</v>
      </c>
      <c r="R206" s="22" t="n">
        <v>-0.0214</v>
      </c>
      <c r="S206" s="22" t="n">
        <v>0.0022</v>
      </c>
      <c r="T206" s="22" t="n">
        <v>0.007</v>
      </c>
      <c r="U206" s="22" t="n">
        <v>0.0101</v>
      </c>
      <c r="V206" s="22" t="n">
        <v>0.0119</v>
      </c>
      <c r="W206" s="22" t="n">
        <v>0.0034</v>
      </c>
      <c r="X206" s="22" t="n">
        <v>0.0047</v>
      </c>
      <c r="Y206" s="22" t="n">
        <v>0.0173</v>
      </c>
      <c r="Z206" s="22" t="n">
        <v>-0.0065</v>
      </c>
      <c r="AA206" s="22" t="n">
        <v>0.0319</v>
      </c>
      <c r="AB206" s="22" t="n">
        <v>0.0229</v>
      </c>
      <c r="AC206" s="22" t="n">
        <v>0.0187</v>
      </c>
      <c r="AD206" s="22" t="n">
        <v>0.0342</v>
      </c>
      <c r="AE206" s="22" t="n">
        <v>0.0089</v>
      </c>
      <c r="AF206" s="22" t="n">
        <v>0.0138</v>
      </c>
      <c r="AG206" s="22" t="n">
        <v>0.0181</v>
      </c>
      <c r="AH206" s="22" t="n">
        <v>0.0355</v>
      </c>
      <c r="AI206" s="22" t="n">
        <v>0.0484</v>
      </c>
      <c r="AJ206" s="22" t="n">
        <v>0.0575</v>
      </c>
      <c r="AK206" s="22" t="n">
        <v>0.0642</v>
      </c>
      <c r="AL206" s="22" t="n">
        <v>0.0547</v>
      </c>
      <c r="AM206" s="22" t="n">
        <v>0.0344</v>
      </c>
      <c r="AN206" s="22" t="n">
        <v>0.054</v>
      </c>
      <c r="AO206" s="22" t="n">
        <v>0.0534</v>
      </c>
      <c r="AP206" s="22" t="n">
        <v>0.0613</v>
      </c>
      <c r="AQ206" s="22" t="n">
        <v>0.0805</v>
      </c>
      <c r="AR206" s="22" t="n">
        <v>0.0815</v>
      </c>
      <c r="AS206" s="22" t="n">
        <v>0.0933</v>
      </c>
      <c r="AT206" s="22" t="n">
        <v>0.098</v>
      </c>
      <c r="AU206" s="22" t="n">
        <v>0.1106</v>
      </c>
      <c r="AV206" s="22" t="n">
        <v>0.0834</v>
      </c>
    </row>
    <row r="207" customFormat="false" ht="15" hidden="false" customHeight="false" outlineLevel="0" collapsed="false">
      <c r="A207" s="22" t="s">
        <v>406</v>
      </c>
      <c r="B207" s="22" t="s">
        <v>3</v>
      </c>
      <c r="C207" s="22" t="s">
        <v>406</v>
      </c>
      <c r="D207" s="22" t="n">
        <v>24260</v>
      </c>
      <c r="E207" s="22" t="s">
        <v>132</v>
      </c>
      <c r="F207" s="22" t="s">
        <v>135</v>
      </c>
      <c r="G207" s="22" t="s">
        <v>131</v>
      </c>
      <c r="H207" s="22" t="s">
        <v>131</v>
      </c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 t="n">
        <v>-0.1243</v>
      </c>
      <c r="X207" s="22" t="n">
        <v>-0.0812</v>
      </c>
      <c r="Y207" s="22"/>
      <c r="Z207" s="22" t="n">
        <v>-0.004</v>
      </c>
      <c r="AA207" s="22" t="n">
        <v>0.0228</v>
      </c>
      <c r="AB207" s="22" t="n">
        <v>0.0152</v>
      </c>
      <c r="AC207" s="22" t="n">
        <v>-0.0177</v>
      </c>
      <c r="AD207" s="22" t="n">
        <v>0.0249</v>
      </c>
      <c r="AE207" s="22" t="n">
        <v>0.0377</v>
      </c>
      <c r="AF207" s="22" t="n">
        <v>0.0316</v>
      </c>
      <c r="AG207" s="22" t="n">
        <v>0.0679</v>
      </c>
      <c r="AH207" s="22" t="n">
        <v>0.0684</v>
      </c>
      <c r="AI207" s="22" t="n">
        <v>0.1099</v>
      </c>
      <c r="AJ207" s="22" t="n">
        <v>0.086</v>
      </c>
      <c r="AK207" s="22" t="n">
        <v>0.0893</v>
      </c>
      <c r="AL207" s="22" t="n">
        <v>0.1586</v>
      </c>
      <c r="AM207" s="22" t="n">
        <v>0.1116</v>
      </c>
      <c r="AN207" s="22" t="n">
        <v>0.1629</v>
      </c>
      <c r="AO207" s="22" t="n">
        <v>0.225</v>
      </c>
      <c r="AP207" s="22" t="n">
        <v>0.141</v>
      </c>
      <c r="AQ207" s="22" t="n">
        <v>0.1429</v>
      </c>
      <c r="AR207" s="22" t="n">
        <v>0.127</v>
      </c>
      <c r="AS207" s="22" t="n">
        <v>0.0307</v>
      </c>
      <c r="AT207" s="22" t="n">
        <v>0.0394</v>
      </c>
      <c r="AU207" s="22" t="n">
        <v>0.0364</v>
      </c>
      <c r="AV207" s="22" t="n">
        <v>0.0053</v>
      </c>
    </row>
    <row r="208" customFormat="false" ht="15" hidden="false" customHeight="false" outlineLevel="0" collapsed="false">
      <c r="A208" s="22" t="s">
        <v>407</v>
      </c>
      <c r="B208" s="22" t="s">
        <v>3</v>
      </c>
      <c r="C208" s="22" t="s">
        <v>407</v>
      </c>
      <c r="D208" s="22" t="n">
        <v>24300</v>
      </c>
      <c r="E208" s="22" t="s">
        <v>132</v>
      </c>
      <c r="F208" s="22" t="s">
        <v>135</v>
      </c>
      <c r="G208" s="22" t="s">
        <v>131</v>
      </c>
      <c r="H208" s="22" t="s">
        <v>131</v>
      </c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 t="n">
        <v>0.0986</v>
      </c>
      <c r="AS208" s="22" t="n">
        <v>0.0851</v>
      </c>
      <c r="AT208" s="22" t="n">
        <v>0.1152</v>
      </c>
      <c r="AU208" s="22" t="n">
        <v>0.1465</v>
      </c>
      <c r="AV208" s="22" t="n">
        <v>0.0758</v>
      </c>
    </row>
    <row r="209" customFormat="false" ht="15" hidden="false" customHeight="false" outlineLevel="0" collapsed="false">
      <c r="A209" s="22" t="s">
        <v>168</v>
      </c>
      <c r="B209" s="22" t="s">
        <v>3</v>
      </c>
      <c r="C209" s="22" t="s">
        <v>168</v>
      </c>
      <c r="D209" s="22" t="n">
        <v>324340</v>
      </c>
      <c r="E209" s="22" t="s">
        <v>132</v>
      </c>
      <c r="F209" s="22" t="s">
        <v>135</v>
      </c>
      <c r="G209" s="22" t="s">
        <v>131</v>
      </c>
      <c r="H209" s="22" t="s">
        <v>131</v>
      </c>
      <c r="I209" s="22" t="n">
        <v>0.059</v>
      </c>
      <c r="J209" s="22" t="n">
        <v>0.0771</v>
      </c>
      <c r="K209" s="22" t="n">
        <v>0.077</v>
      </c>
      <c r="L209" s="22" t="n">
        <v>0.0687</v>
      </c>
      <c r="M209" s="22" t="n">
        <v>0.0693</v>
      </c>
      <c r="N209" s="22" t="n">
        <v>0.0518</v>
      </c>
      <c r="O209" s="22" t="n">
        <v>0.0513</v>
      </c>
      <c r="P209" s="22" t="n">
        <v>0.0578</v>
      </c>
      <c r="Q209" s="22" t="n">
        <v>0.0437</v>
      </c>
      <c r="R209" s="22" t="n">
        <v>0.0442</v>
      </c>
      <c r="S209" s="22" t="n">
        <v>0.0358</v>
      </c>
      <c r="T209" s="22" t="n">
        <v>0.0395</v>
      </c>
      <c r="U209" s="22" t="n">
        <v>0.047</v>
      </c>
      <c r="V209" s="22" t="n">
        <v>0.0491</v>
      </c>
      <c r="W209" s="22" t="n">
        <v>0.0674</v>
      </c>
      <c r="X209" s="22" t="n">
        <v>0.0579</v>
      </c>
      <c r="Y209" s="22" t="n">
        <v>0.0667</v>
      </c>
      <c r="Z209" s="22" t="n">
        <v>0.0479</v>
      </c>
      <c r="AA209" s="22" t="n">
        <v>0.0441</v>
      </c>
      <c r="AB209" s="22" t="n">
        <v>0.077</v>
      </c>
      <c r="AC209" s="22" t="n">
        <v>0.0713</v>
      </c>
      <c r="AD209" s="22" t="n">
        <v>0.1017</v>
      </c>
      <c r="AE209" s="22" t="n">
        <v>0.1304</v>
      </c>
      <c r="AF209" s="22" t="n">
        <v>0.1273</v>
      </c>
      <c r="AG209" s="22" t="n">
        <v>0.1276</v>
      </c>
      <c r="AH209" s="22" t="n">
        <v>0.1326</v>
      </c>
      <c r="AI209" s="22" t="n">
        <v>0.1175</v>
      </c>
      <c r="AJ209" s="22" t="n">
        <v>0.0801</v>
      </c>
      <c r="AK209" s="22" t="n">
        <v>0.071</v>
      </c>
      <c r="AL209" s="22" t="n">
        <v>0.0597</v>
      </c>
      <c r="AM209" s="22" t="n">
        <v>0.0441</v>
      </c>
      <c r="AN209" s="22" t="n">
        <v>0.0515</v>
      </c>
      <c r="AO209" s="22" t="n">
        <v>0.0564</v>
      </c>
      <c r="AP209" s="22" t="n">
        <v>0.0477</v>
      </c>
      <c r="AQ209" s="22" t="n">
        <v>0.0403</v>
      </c>
      <c r="AR209" s="22" t="n">
        <v>0.0435</v>
      </c>
      <c r="AS209" s="22" t="n">
        <v>0.044</v>
      </c>
      <c r="AT209" s="22" t="n">
        <v>0.0465</v>
      </c>
      <c r="AU209" s="22" t="n">
        <v>0.0464</v>
      </c>
      <c r="AV209" s="22" t="n">
        <v>0.035</v>
      </c>
    </row>
    <row r="210" customFormat="false" ht="15" hidden="false" customHeight="false" outlineLevel="0" collapsed="false">
      <c r="A210" s="22" t="s">
        <v>408</v>
      </c>
      <c r="B210" s="22" t="s">
        <v>3</v>
      </c>
      <c r="C210" s="22" t="s">
        <v>408</v>
      </c>
      <c r="D210" s="22" t="n">
        <v>24420</v>
      </c>
      <c r="E210" s="22" t="s">
        <v>132</v>
      </c>
      <c r="F210" s="22" t="s">
        <v>135</v>
      </c>
      <c r="G210" s="22" t="s">
        <v>131</v>
      </c>
      <c r="H210" s="22" t="s">
        <v>131</v>
      </c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</row>
    <row r="211" customFormat="false" ht="15" hidden="false" customHeight="false" outlineLevel="0" collapsed="false">
      <c r="A211" s="22" t="s">
        <v>409</v>
      </c>
      <c r="B211" s="22" t="s">
        <v>3</v>
      </c>
      <c r="C211" s="22" t="s">
        <v>409</v>
      </c>
      <c r="D211" s="22" t="n">
        <v>24500</v>
      </c>
      <c r="E211" s="22" t="s">
        <v>132</v>
      </c>
      <c r="F211" s="22" t="s">
        <v>135</v>
      </c>
      <c r="G211" s="22" t="s">
        <v>131</v>
      </c>
      <c r="H211" s="22" t="s">
        <v>131</v>
      </c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 t="n">
        <v>0.0534</v>
      </c>
      <c r="AP211" s="22" t="n">
        <v>0.0414</v>
      </c>
      <c r="AQ211" s="22" t="n">
        <v>0.0375</v>
      </c>
      <c r="AR211" s="22" t="n">
        <v>0.1797</v>
      </c>
      <c r="AS211" s="22" t="n">
        <v>0.1679</v>
      </c>
      <c r="AT211" s="22" t="n">
        <v>0.0985</v>
      </c>
      <c r="AU211" s="22" t="n">
        <v>0.1073</v>
      </c>
      <c r="AV211" s="22" t="n">
        <v>0.0792</v>
      </c>
    </row>
    <row r="212" customFormat="false" ht="15" hidden="false" customHeight="false" outlineLevel="0" collapsed="false">
      <c r="A212" s="22" t="s">
        <v>410</v>
      </c>
      <c r="B212" s="22" t="s">
        <v>3</v>
      </c>
      <c r="C212" s="22" t="s">
        <v>410</v>
      </c>
      <c r="D212" s="22" t="n">
        <v>24540</v>
      </c>
      <c r="E212" s="22" t="s">
        <v>132</v>
      </c>
      <c r="F212" s="22" t="s">
        <v>135</v>
      </c>
      <c r="G212" s="22" t="s">
        <v>131</v>
      </c>
      <c r="H212" s="22" t="s">
        <v>131</v>
      </c>
      <c r="I212" s="22" t="n">
        <v>0.0374</v>
      </c>
      <c r="J212" s="22" t="n">
        <v>-0.0011</v>
      </c>
      <c r="K212" s="22" t="n">
        <v>-0.0032</v>
      </c>
      <c r="L212" s="22" t="n">
        <v>0.0756</v>
      </c>
      <c r="M212" s="22" t="n">
        <v>0.052</v>
      </c>
      <c r="N212" s="22" t="n">
        <v>0.0917</v>
      </c>
      <c r="O212" s="22" t="n">
        <v>0.1382</v>
      </c>
      <c r="P212" s="22" t="n">
        <v>0.061</v>
      </c>
      <c r="Q212" s="22" t="n">
        <v>0.0662</v>
      </c>
      <c r="R212" s="22" t="n">
        <v>0.0624</v>
      </c>
      <c r="S212" s="22" t="n">
        <v>0.0424</v>
      </c>
      <c r="T212" s="22" t="n">
        <v>0.0453</v>
      </c>
      <c r="U212" s="22" t="n">
        <v>0.0555</v>
      </c>
      <c r="V212" s="22" t="n">
        <v>0.0748</v>
      </c>
      <c r="W212" s="22" t="n">
        <v>0.0916</v>
      </c>
      <c r="X212" s="22" t="n">
        <v>0.1029</v>
      </c>
      <c r="Y212" s="22" t="n">
        <v>0.0894</v>
      </c>
      <c r="Z212" s="22" t="n">
        <v>0.0481</v>
      </c>
      <c r="AA212" s="22" t="n">
        <v>0.013</v>
      </c>
      <c r="AB212" s="22" t="n">
        <v>0.0076</v>
      </c>
      <c r="AC212" s="22" t="n">
        <v>0.0255</v>
      </c>
      <c r="AD212" s="22" t="n">
        <v>0.0548</v>
      </c>
      <c r="AE212" s="22" t="n">
        <v>0.1102</v>
      </c>
      <c r="AF212" s="22" t="n">
        <v>0.1397</v>
      </c>
      <c r="AG212" s="22" t="n">
        <v>0.1496</v>
      </c>
      <c r="AH212" s="22" t="n">
        <v>0.1488</v>
      </c>
      <c r="AI212" s="22" t="n">
        <v>0.1139</v>
      </c>
      <c r="AJ212" s="22" t="n">
        <v>0.0785</v>
      </c>
      <c r="AK212" s="22" t="n">
        <v>0.0461</v>
      </c>
      <c r="AL212" s="22" t="n">
        <v>0.0196</v>
      </c>
      <c r="AM212" s="22" t="n">
        <v>0.0016</v>
      </c>
      <c r="AN212" s="22" t="n">
        <v>0.0167</v>
      </c>
      <c r="AO212" s="22" t="n">
        <v>0.0107</v>
      </c>
      <c r="AP212" s="22" t="n">
        <v>0.0122</v>
      </c>
      <c r="AQ212" s="22" t="n">
        <v>0.0165</v>
      </c>
      <c r="AR212" s="22" t="n">
        <v>-0.0162</v>
      </c>
      <c r="AS212" s="22" t="n">
        <v>-0.0163</v>
      </c>
      <c r="AT212" s="22" t="n">
        <v>0.0112</v>
      </c>
      <c r="AU212" s="22" t="n">
        <v>0.0109</v>
      </c>
      <c r="AV212" s="22" t="n">
        <v>-0.0075</v>
      </c>
    </row>
    <row r="213" customFormat="false" ht="15" hidden="false" customHeight="false" outlineLevel="0" collapsed="false">
      <c r="A213" s="22" t="s">
        <v>411</v>
      </c>
      <c r="B213" s="22" t="s">
        <v>3</v>
      </c>
      <c r="C213" s="22" t="s">
        <v>411</v>
      </c>
      <c r="D213" s="22" t="n">
        <v>24580</v>
      </c>
      <c r="E213" s="22" t="s">
        <v>132</v>
      </c>
      <c r="F213" s="22" t="s">
        <v>135</v>
      </c>
      <c r="G213" s="22" t="s">
        <v>131</v>
      </c>
      <c r="H213" s="22" t="s">
        <v>131</v>
      </c>
      <c r="I213" s="22" t="n">
        <v>0.1088</v>
      </c>
      <c r="J213" s="22" t="n">
        <v>0.013</v>
      </c>
      <c r="K213" s="22" t="n">
        <v>0.0301</v>
      </c>
      <c r="L213" s="22" t="n">
        <v>0.0729</v>
      </c>
      <c r="M213" s="22" t="n">
        <v>0.0854</v>
      </c>
      <c r="N213" s="22" t="n">
        <v>0.0924</v>
      </c>
      <c r="O213" s="22" t="n">
        <v>0.0666</v>
      </c>
      <c r="P213" s="22" t="n">
        <v>0.0038</v>
      </c>
      <c r="Q213" s="22" t="n">
        <v>0.0248</v>
      </c>
      <c r="R213" s="22" t="n">
        <v>0.0475</v>
      </c>
      <c r="S213" s="22" t="n">
        <v>0.0361</v>
      </c>
      <c r="T213" s="22" t="n">
        <v>0.0413</v>
      </c>
      <c r="U213" s="22" t="n">
        <v>0.0484</v>
      </c>
      <c r="V213" s="22" t="n">
        <v>0.0628</v>
      </c>
      <c r="W213" s="22" t="n">
        <v>0.0755</v>
      </c>
      <c r="X213" s="22" t="n">
        <v>0.07</v>
      </c>
      <c r="Y213" s="22" t="n">
        <v>0.0351</v>
      </c>
      <c r="Z213" s="22" t="n">
        <v>0.0163</v>
      </c>
      <c r="AA213" s="22" t="n">
        <v>-0.0181</v>
      </c>
      <c r="AB213" s="22" t="n">
        <v>-0.0388</v>
      </c>
      <c r="AC213" s="22" t="n">
        <v>-0.0065</v>
      </c>
      <c r="AD213" s="22" t="n">
        <v>0.0551</v>
      </c>
      <c r="AE213" s="22" t="n">
        <v>0.1027</v>
      </c>
      <c r="AF213" s="22" t="n">
        <v>0.1449</v>
      </c>
      <c r="AG213" s="22" t="n">
        <v>0.155</v>
      </c>
      <c r="AH213" s="22" t="n">
        <v>0.1037</v>
      </c>
      <c r="AI213" s="22" t="n">
        <v>0.0883</v>
      </c>
      <c r="AJ213" s="22" t="n">
        <v>0.0593</v>
      </c>
      <c r="AK213" s="22" t="n">
        <v>0.0335</v>
      </c>
      <c r="AL213" s="22" t="n">
        <v>0.0212</v>
      </c>
      <c r="AM213" s="22" t="n">
        <v>0.1131</v>
      </c>
      <c r="AN213" s="22" t="n">
        <v>0.0979</v>
      </c>
      <c r="AO213" s="22" t="n">
        <v>0.0789</v>
      </c>
      <c r="AP213" s="22" t="n">
        <v>0.2</v>
      </c>
      <c r="AQ213" s="22" t="n">
        <v>0.1186</v>
      </c>
      <c r="AR213" s="22" t="n">
        <v>0.1684</v>
      </c>
      <c r="AS213" s="22" t="n">
        <v>0.2143</v>
      </c>
      <c r="AT213" s="22" t="n">
        <v>0.0956</v>
      </c>
      <c r="AU213" s="22" t="n">
        <v>0.0793</v>
      </c>
      <c r="AV213" s="22" t="n">
        <v>0.0433</v>
      </c>
    </row>
    <row r="214" customFormat="false" ht="15" hidden="false" customHeight="false" outlineLevel="0" collapsed="false">
      <c r="A214" s="22" t="s">
        <v>47</v>
      </c>
      <c r="B214" s="22" t="s">
        <v>3</v>
      </c>
      <c r="C214" s="22" t="s">
        <v>47</v>
      </c>
      <c r="D214" s="22" t="n">
        <v>324660</v>
      </c>
      <c r="E214" s="22" t="s">
        <v>132</v>
      </c>
      <c r="F214" s="22" t="s">
        <v>135</v>
      </c>
      <c r="G214" s="22" t="s">
        <v>131</v>
      </c>
      <c r="H214" s="22" t="s">
        <v>131</v>
      </c>
      <c r="I214" s="22" t="n">
        <v>0.0468</v>
      </c>
      <c r="J214" s="22" t="n">
        <v>0.045</v>
      </c>
      <c r="K214" s="22" t="n">
        <v>0.0452</v>
      </c>
      <c r="L214" s="22" t="n">
        <v>0.047</v>
      </c>
      <c r="M214" s="22" t="n">
        <v>0.0362</v>
      </c>
      <c r="N214" s="22" t="n">
        <v>0.0515</v>
      </c>
      <c r="O214" s="22" t="n">
        <v>0.045</v>
      </c>
      <c r="P214" s="22" t="n">
        <v>0.0331</v>
      </c>
      <c r="Q214" s="22" t="n">
        <v>0.0426</v>
      </c>
      <c r="R214" s="22" t="n">
        <v>0.0416</v>
      </c>
      <c r="S214" s="22" t="n">
        <v>0.0481</v>
      </c>
      <c r="T214" s="22" t="n">
        <v>0.0614</v>
      </c>
      <c r="U214" s="22" t="n">
        <v>0.0691</v>
      </c>
      <c r="V214" s="22" t="n">
        <v>0.0653</v>
      </c>
      <c r="W214" s="22" t="n">
        <v>0.074</v>
      </c>
      <c r="X214" s="22" t="n">
        <v>0.0698</v>
      </c>
      <c r="Y214" s="22" t="n">
        <v>0.0515</v>
      </c>
      <c r="Z214" s="22" t="n">
        <v>0.0407</v>
      </c>
      <c r="AA214" s="22" t="n">
        <v>0.0399</v>
      </c>
      <c r="AB214" s="22" t="n">
        <v>0.0562</v>
      </c>
      <c r="AC214" s="22" t="n">
        <v>0.07</v>
      </c>
      <c r="AD214" s="22" t="n">
        <v>0.1031</v>
      </c>
      <c r="AE214" s="22" t="n">
        <v>0.1481</v>
      </c>
      <c r="AF214" s="22" t="n">
        <v>0.1889</v>
      </c>
      <c r="AG214" s="22" t="n">
        <v>0.1986</v>
      </c>
      <c r="AH214" s="22" t="n">
        <v>0.2008</v>
      </c>
      <c r="AI214" s="22" t="n">
        <v>0.153</v>
      </c>
      <c r="AJ214" s="22" t="n">
        <v>0.0866</v>
      </c>
      <c r="AK214" s="22" t="n">
        <v>0.0595</v>
      </c>
      <c r="AL214" s="22" t="n">
        <v>0.0243</v>
      </c>
      <c r="AM214" s="22" t="n">
        <v>0.0104</v>
      </c>
      <c r="AN214" s="22" t="n">
        <v>0.012</v>
      </c>
      <c r="AO214" s="22" t="n">
        <v>0.0215</v>
      </c>
      <c r="AP214" s="22" t="n">
        <v>0.0376</v>
      </c>
      <c r="AQ214" s="22" t="n">
        <v>0.0276</v>
      </c>
      <c r="AR214" s="22" t="n">
        <v>0.0182</v>
      </c>
      <c r="AS214" s="22" t="n">
        <v>0.011</v>
      </c>
      <c r="AT214" s="22" t="n">
        <v>-0.0018</v>
      </c>
      <c r="AU214" s="22" t="n">
        <v>0.0016</v>
      </c>
      <c r="AV214" s="22" t="n">
        <v>0.0038</v>
      </c>
    </row>
    <row r="215" customFormat="false" ht="15" hidden="false" customHeight="false" outlineLevel="0" collapsed="false">
      <c r="A215" s="22" t="s">
        <v>412</v>
      </c>
      <c r="B215" s="22" t="s">
        <v>3</v>
      </c>
      <c r="C215" s="22" t="s">
        <v>412</v>
      </c>
      <c r="D215" s="22" t="n">
        <v>24700</v>
      </c>
      <c r="E215" s="22" t="s">
        <v>132</v>
      </c>
      <c r="F215" s="22" t="s">
        <v>135</v>
      </c>
      <c r="G215" s="22" t="s">
        <v>131</v>
      </c>
      <c r="H215" s="22" t="s">
        <v>131</v>
      </c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</row>
    <row r="216" customFormat="false" ht="15" hidden="false" customHeight="false" outlineLevel="0" collapsed="false">
      <c r="A216" s="22" t="s">
        <v>413</v>
      </c>
      <c r="B216" s="22" t="s">
        <v>3</v>
      </c>
      <c r="C216" s="22" t="s">
        <v>413</v>
      </c>
      <c r="D216" s="22" t="n">
        <v>24740</v>
      </c>
      <c r="E216" s="22" t="s">
        <v>132</v>
      </c>
      <c r="F216" s="22" t="s">
        <v>135</v>
      </c>
      <c r="G216" s="22" t="s">
        <v>131</v>
      </c>
      <c r="H216" s="22" t="s">
        <v>131</v>
      </c>
      <c r="I216" s="22"/>
      <c r="J216" s="22"/>
      <c r="K216" s="22"/>
      <c r="L216" s="22" t="n">
        <v>0.0097</v>
      </c>
      <c r="M216" s="22" t="n">
        <v>0.0265</v>
      </c>
      <c r="N216" s="22" t="n">
        <v>0.0956</v>
      </c>
      <c r="O216" s="22" t="n">
        <v>-0.0802</v>
      </c>
      <c r="P216" s="22" t="n">
        <v>0.017</v>
      </c>
      <c r="Q216" s="22" t="n">
        <v>-0.0111</v>
      </c>
      <c r="R216" s="22" t="n">
        <v>-0.0169</v>
      </c>
      <c r="S216" s="22" t="n">
        <v>0.0099</v>
      </c>
      <c r="T216" s="22" t="n">
        <v>0.0072</v>
      </c>
      <c r="U216" s="22" t="n">
        <v>0.0242</v>
      </c>
      <c r="V216" s="22" t="n">
        <v>0.0316</v>
      </c>
      <c r="W216" s="22" t="n">
        <v>0.029</v>
      </c>
      <c r="X216" s="22" t="n">
        <v>0.0363</v>
      </c>
      <c r="Y216" s="22" t="n">
        <v>0.0348</v>
      </c>
      <c r="Z216" s="22" t="n">
        <v>0.0165</v>
      </c>
      <c r="AA216" s="22" t="n">
        <v>-0.0019</v>
      </c>
      <c r="AB216" s="22" t="n">
        <v>-0.0115</v>
      </c>
      <c r="AC216" s="22" t="n">
        <v>-0.0079</v>
      </c>
      <c r="AD216" s="22" t="n">
        <v>0.0192</v>
      </c>
      <c r="AE216" s="22" t="n">
        <v>0.0702</v>
      </c>
      <c r="AF216" s="22" t="n">
        <v>0.115</v>
      </c>
      <c r="AG216" s="22" t="n">
        <v>0.1154</v>
      </c>
      <c r="AH216" s="22" t="n">
        <v>0.092</v>
      </c>
      <c r="AI216" s="22" t="n">
        <v>0.0699</v>
      </c>
      <c r="AJ216" s="22" t="n">
        <v>0.0418</v>
      </c>
      <c r="AK216" s="22" t="n">
        <v>0.0507</v>
      </c>
      <c r="AL216" s="22" t="n">
        <v>0.0413</v>
      </c>
      <c r="AM216" s="22" t="n">
        <v>0.048</v>
      </c>
      <c r="AN216" s="22" t="n">
        <v>0.0407</v>
      </c>
      <c r="AO216" s="22" t="n">
        <v>0.0197</v>
      </c>
      <c r="AP216" s="22" t="n">
        <v>0.036</v>
      </c>
      <c r="AQ216" s="22" t="n">
        <v>0.0341</v>
      </c>
      <c r="AR216" s="22" t="n">
        <v>0.0486</v>
      </c>
      <c r="AS216" s="22" t="n">
        <v>0.0459</v>
      </c>
      <c r="AT216" s="22" t="n">
        <v>0.0561</v>
      </c>
      <c r="AU216" s="22" t="n">
        <v>0.0539</v>
      </c>
      <c r="AV216" s="22" t="n">
        <v>0.0302</v>
      </c>
    </row>
    <row r="217" customFormat="false" ht="15" hidden="false" customHeight="false" outlineLevel="0" collapsed="false">
      <c r="A217" s="22" t="s">
        <v>414</v>
      </c>
      <c r="B217" s="22" t="s">
        <v>3</v>
      </c>
      <c r="C217" s="22" t="s">
        <v>414</v>
      </c>
      <c r="D217" s="22" t="n">
        <v>24780</v>
      </c>
      <c r="E217" s="22" t="s">
        <v>132</v>
      </c>
      <c r="F217" s="22" t="s">
        <v>135</v>
      </c>
      <c r="G217" s="22" t="s">
        <v>131</v>
      </c>
      <c r="H217" s="22" t="s">
        <v>131</v>
      </c>
      <c r="I217" s="22" t="n">
        <v>0.0797</v>
      </c>
      <c r="J217" s="22" t="n">
        <v>0.0705</v>
      </c>
      <c r="K217" s="22" t="n">
        <v>0.0626</v>
      </c>
      <c r="L217" s="22" t="n">
        <v>0.0184</v>
      </c>
      <c r="M217" s="22" t="n">
        <v>0.0289</v>
      </c>
      <c r="N217" s="22" t="n">
        <v>0.0111</v>
      </c>
      <c r="O217" s="22" t="n">
        <v>-0.0098</v>
      </c>
      <c r="P217" s="22" t="n">
        <v>0.0161</v>
      </c>
      <c r="Q217" s="22" t="n">
        <v>0.0112</v>
      </c>
      <c r="R217" s="22" t="n">
        <v>0.0379</v>
      </c>
      <c r="S217" s="22" t="n">
        <v>0.0176</v>
      </c>
      <c r="T217" s="22" t="n">
        <v>0.0068</v>
      </c>
      <c r="U217" s="22" t="n">
        <v>0.0061</v>
      </c>
      <c r="V217" s="22" t="n">
        <v>0.0443</v>
      </c>
      <c r="W217" s="22" t="n">
        <v>0.0792</v>
      </c>
      <c r="X217" s="22" t="n">
        <v>0.0873</v>
      </c>
      <c r="Y217" s="22" t="n">
        <v>0.0624</v>
      </c>
      <c r="Z217" s="22" t="n">
        <v>0.0176</v>
      </c>
      <c r="AA217" s="22" t="n">
        <v>0.0005</v>
      </c>
      <c r="AB217" s="22" t="n">
        <v>0.0169</v>
      </c>
      <c r="AC217" s="22" t="n">
        <v>0.0398</v>
      </c>
      <c r="AD217" s="22" t="n">
        <v>0.0648</v>
      </c>
      <c r="AE217" s="22" t="n">
        <v>0.1019</v>
      </c>
      <c r="AF217" s="22" t="n">
        <v>0.1483</v>
      </c>
      <c r="AG217" s="22" t="n">
        <v>0.1728</v>
      </c>
      <c r="AH217" s="22" t="n">
        <v>0.1806</v>
      </c>
      <c r="AI217" s="22" t="n">
        <v>0.1725</v>
      </c>
      <c r="AJ217" s="22" t="n">
        <v>0.1535</v>
      </c>
      <c r="AK217" s="22" t="n">
        <v>0.1326</v>
      </c>
      <c r="AL217" s="22" t="n">
        <v>0.0872</v>
      </c>
      <c r="AM217" s="22" t="n">
        <v>0.0707</v>
      </c>
      <c r="AN217" s="22" t="n">
        <v>0.047</v>
      </c>
      <c r="AO217" s="22" t="n">
        <v>0.0353</v>
      </c>
      <c r="AP217" s="22" t="n">
        <v>0.0471</v>
      </c>
      <c r="AQ217" s="22" t="n">
        <v>0.0547</v>
      </c>
      <c r="AR217" s="22" t="n">
        <v>0.0396</v>
      </c>
      <c r="AS217" s="22" t="n">
        <v>0.0393</v>
      </c>
      <c r="AT217" s="22" t="n">
        <v>0.0264</v>
      </c>
      <c r="AU217" s="22" t="n">
        <v>0.0382</v>
      </c>
      <c r="AV217" s="22" t="n">
        <v>0.0455</v>
      </c>
    </row>
    <row r="218" customFormat="false" ht="15" hidden="false" customHeight="false" outlineLevel="0" collapsed="false">
      <c r="A218" s="22" t="s">
        <v>80</v>
      </c>
      <c r="B218" s="22" t="s">
        <v>3</v>
      </c>
      <c r="C218" s="22" t="s">
        <v>80</v>
      </c>
      <c r="D218" s="22" t="n">
        <v>224860</v>
      </c>
      <c r="E218" s="22" t="s">
        <v>132</v>
      </c>
      <c r="F218" s="22" t="s">
        <v>135</v>
      </c>
      <c r="G218" s="22" t="s">
        <v>131</v>
      </c>
      <c r="H218" s="22" t="s">
        <v>131</v>
      </c>
      <c r="I218" s="22" t="n">
        <v>0.0586</v>
      </c>
      <c r="J218" s="22" t="n">
        <v>0.0532</v>
      </c>
      <c r="K218" s="22" t="n">
        <v>0.0318</v>
      </c>
      <c r="L218" s="22" t="n">
        <v>0.0326</v>
      </c>
      <c r="M218" s="22" t="n">
        <v>0.0285</v>
      </c>
      <c r="N218" s="22" t="n">
        <v>0.0295</v>
      </c>
      <c r="O218" s="22" t="n">
        <v>0.0385</v>
      </c>
      <c r="P218" s="22" t="n">
        <v>0.0256</v>
      </c>
      <c r="Q218" s="22" t="n">
        <v>0.0445</v>
      </c>
      <c r="R218" s="22" t="n">
        <v>0.0407</v>
      </c>
      <c r="S218" s="22" t="n">
        <v>0.0618</v>
      </c>
      <c r="T218" s="22" t="n">
        <v>0.075</v>
      </c>
      <c r="U218" s="22" t="n">
        <v>0.0623</v>
      </c>
      <c r="V218" s="22" t="n">
        <v>0.0667</v>
      </c>
      <c r="W218" s="22" t="n">
        <v>0.0445</v>
      </c>
      <c r="X218" s="22" t="n">
        <v>0.0397</v>
      </c>
      <c r="Y218" s="22" t="n">
        <v>0.0356</v>
      </c>
      <c r="Z218" s="22" t="n">
        <v>-0.001</v>
      </c>
      <c r="AA218" s="22" t="n">
        <v>0.0025</v>
      </c>
      <c r="AB218" s="22" t="n">
        <v>0.0169</v>
      </c>
      <c r="AC218" s="22" t="n">
        <v>0.0261</v>
      </c>
      <c r="AD218" s="22" t="n">
        <v>0.0814</v>
      </c>
      <c r="AE218" s="22" t="n">
        <v>0.1436</v>
      </c>
      <c r="AF218" s="22" t="n">
        <v>0.1683</v>
      </c>
      <c r="AG218" s="22" t="n">
        <v>0.1802</v>
      </c>
      <c r="AH218" s="22" t="n">
        <v>0.191</v>
      </c>
      <c r="AI218" s="22" t="n">
        <v>0.1496</v>
      </c>
      <c r="AJ218" s="22" t="n">
        <v>0.1315</v>
      </c>
      <c r="AK218" s="22" t="n">
        <v>0.0996</v>
      </c>
      <c r="AL218" s="22" t="n">
        <v>0.057</v>
      </c>
      <c r="AM218" s="22" t="n">
        <v>0.0246</v>
      </c>
      <c r="AN218" s="22" t="n">
        <v>0.0071</v>
      </c>
      <c r="AO218" s="22" t="n">
        <v>-0.0013</v>
      </c>
      <c r="AP218" s="22" t="n">
        <v>-0.0029</v>
      </c>
      <c r="AQ218" s="22" t="n">
        <v>0.003</v>
      </c>
      <c r="AR218" s="22" t="n">
        <v>0.0083</v>
      </c>
      <c r="AS218" s="22" t="n">
        <v>0.038</v>
      </c>
      <c r="AT218" s="22" t="n">
        <v>0.0387</v>
      </c>
      <c r="AU218" s="22" t="n">
        <v>0.0291</v>
      </c>
      <c r="AV218" s="22" t="n">
        <v>0.0128</v>
      </c>
    </row>
    <row r="219" customFormat="false" ht="15" hidden="false" customHeight="false" outlineLevel="0" collapsed="false">
      <c r="A219" s="22" t="s">
        <v>415</v>
      </c>
      <c r="B219" s="22" t="s">
        <v>3</v>
      </c>
      <c r="C219" s="22" t="s">
        <v>415</v>
      </c>
      <c r="D219" s="22" t="n">
        <v>24940</v>
      </c>
      <c r="E219" s="22" t="s">
        <v>132</v>
      </c>
      <c r="F219" s="22" t="s">
        <v>135</v>
      </c>
      <c r="G219" s="22" t="s">
        <v>131</v>
      </c>
      <c r="H219" s="22" t="s">
        <v>131</v>
      </c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</row>
    <row r="220" customFormat="false" ht="15" hidden="false" customHeight="false" outlineLevel="0" collapsed="false">
      <c r="A220" s="22" t="s">
        <v>416</v>
      </c>
      <c r="B220" s="22" t="s">
        <v>3</v>
      </c>
      <c r="C220" s="22" t="s">
        <v>416</v>
      </c>
      <c r="D220" s="22" t="n">
        <v>25060</v>
      </c>
      <c r="E220" s="22" t="s">
        <v>132</v>
      </c>
      <c r="F220" s="22" t="s">
        <v>135</v>
      </c>
      <c r="G220" s="22" t="s">
        <v>131</v>
      </c>
      <c r="H220" s="22" t="s">
        <v>131</v>
      </c>
      <c r="I220" s="22" t="n">
        <v>0.0051</v>
      </c>
      <c r="J220" s="22" t="n">
        <v>0.0074</v>
      </c>
      <c r="K220" s="22" t="n">
        <v>0.0274</v>
      </c>
      <c r="L220" s="22" t="n">
        <v>0.0346</v>
      </c>
      <c r="M220" s="22" t="n">
        <v>0.0331</v>
      </c>
      <c r="N220" s="22" t="n">
        <v>0.0318</v>
      </c>
      <c r="O220" s="22" t="n">
        <v>0.0244</v>
      </c>
      <c r="P220" s="22" t="n">
        <v>0.0168</v>
      </c>
      <c r="Q220" s="22" t="n">
        <v>0.033</v>
      </c>
      <c r="R220" s="22" t="n">
        <v>0.0444</v>
      </c>
      <c r="S220" s="22" t="n">
        <v>0.0271</v>
      </c>
      <c r="T220" s="22" t="n">
        <v>0.0372</v>
      </c>
      <c r="U220" s="22" t="n">
        <v>0.0309</v>
      </c>
      <c r="V220" s="22" t="n">
        <v>0.0426</v>
      </c>
      <c r="W220" s="22" t="n">
        <v>0.0639</v>
      </c>
      <c r="X220" s="22" t="n">
        <v>0.0551</v>
      </c>
      <c r="Y220" s="22" t="n">
        <v>0.0457</v>
      </c>
      <c r="Z220" s="22" t="n">
        <v>0.0302</v>
      </c>
      <c r="AA220" s="22" t="n">
        <v>0.0167</v>
      </c>
      <c r="AB220" s="22" t="n">
        <v>0.0328</v>
      </c>
      <c r="AC220" s="22" t="n">
        <v>0.0401</v>
      </c>
      <c r="AD220" s="22" t="n">
        <v>0.042</v>
      </c>
      <c r="AE220" s="22" t="n">
        <v>0.0864</v>
      </c>
      <c r="AF220" s="22" t="n">
        <v>0.1057</v>
      </c>
      <c r="AG220" s="22" t="n">
        <v>0.1097</v>
      </c>
      <c r="AH220" s="22" t="n">
        <v>0.1267</v>
      </c>
      <c r="AI220" s="22" t="n">
        <v>0.1568</v>
      </c>
      <c r="AJ220" s="22" t="n">
        <v>0.1588</v>
      </c>
      <c r="AK220" s="22" t="n">
        <v>0.1383</v>
      </c>
      <c r="AL220" s="22" t="n">
        <v>0.1191</v>
      </c>
      <c r="AM220" s="22" t="n">
        <v>0.0753</v>
      </c>
      <c r="AN220" s="22" t="n">
        <v>0.0458</v>
      </c>
      <c r="AO220" s="22" t="n">
        <v>0.0408</v>
      </c>
      <c r="AP220" s="22" t="n">
        <v>0.0447</v>
      </c>
      <c r="AQ220" s="22" t="n">
        <v>0.0336</v>
      </c>
      <c r="AR220" s="22" t="n">
        <v>0.0224</v>
      </c>
      <c r="AS220" s="22" t="n">
        <v>0.0416</v>
      </c>
      <c r="AT220" s="22" t="n">
        <v>0.0438</v>
      </c>
      <c r="AU220" s="22" t="n">
        <v>0.0447</v>
      </c>
      <c r="AV220" s="22" t="n">
        <v>0.0587</v>
      </c>
    </row>
    <row r="221" customFormat="false" ht="15" hidden="false" customHeight="false" outlineLevel="0" collapsed="false">
      <c r="A221" s="22" t="s">
        <v>417</v>
      </c>
      <c r="B221" s="22" t="s">
        <v>3</v>
      </c>
      <c r="C221" s="22" t="s">
        <v>417</v>
      </c>
      <c r="D221" s="22" t="n">
        <v>25100</v>
      </c>
      <c r="E221" s="22" t="s">
        <v>132</v>
      </c>
      <c r="F221" s="22" t="s">
        <v>135</v>
      </c>
      <c r="G221" s="22" t="s">
        <v>131</v>
      </c>
      <c r="H221" s="22" t="s">
        <v>131</v>
      </c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</row>
    <row r="222" customFormat="false" ht="15" hidden="false" customHeight="false" outlineLevel="0" collapsed="false">
      <c r="A222" s="22" t="s">
        <v>418</v>
      </c>
      <c r="B222" s="22" t="s">
        <v>3</v>
      </c>
      <c r="C222" s="22" t="s">
        <v>418</v>
      </c>
      <c r="D222" s="22" t="n">
        <v>25180</v>
      </c>
      <c r="E222" s="22" t="s">
        <v>132</v>
      </c>
      <c r="F222" s="22" t="s">
        <v>135</v>
      </c>
      <c r="G222" s="22" t="s">
        <v>131</v>
      </c>
      <c r="H222" s="22" t="s">
        <v>131</v>
      </c>
      <c r="I222" s="22" t="n">
        <v>0.0261</v>
      </c>
      <c r="J222" s="22" t="n">
        <v>0.0153</v>
      </c>
      <c r="K222" s="22" t="n">
        <v>0.0181</v>
      </c>
      <c r="L222" s="22" t="n">
        <v>0.0362</v>
      </c>
      <c r="M222" s="22" t="n">
        <v>0.041</v>
      </c>
      <c r="N222" s="22" t="n">
        <v>0.0119</v>
      </c>
      <c r="O222" s="22" t="n">
        <v>0.0062</v>
      </c>
      <c r="P222" s="22" t="n">
        <v>-0.0143</v>
      </c>
      <c r="Q222" s="22" t="n">
        <v>-0.0049</v>
      </c>
      <c r="R222" s="22" t="n">
        <v>0.0337</v>
      </c>
      <c r="S222" s="22" t="n">
        <v>0.0397</v>
      </c>
      <c r="T222" s="22" t="n">
        <v>0.071</v>
      </c>
      <c r="U222" s="22" t="n">
        <v>0.0631</v>
      </c>
      <c r="V222" s="22" t="n">
        <v>0.0318</v>
      </c>
      <c r="W222" s="22" t="n">
        <v>0.0373</v>
      </c>
      <c r="X222" s="22" t="n">
        <v>0.0066</v>
      </c>
      <c r="Y222" s="22" t="n">
        <v>0.0064</v>
      </c>
      <c r="Z222" s="22" t="n">
        <v>0.0246</v>
      </c>
      <c r="AA222" s="22" t="n">
        <v>0.0298</v>
      </c>
      <c r="AB222" s="22" t="n">
        <v>0.0541</v>
      </c>
      <c r="AC222" s="22" t="n">
        <v>0.0632</v>
      </c>
      <c r="AD222" s="22" t="n">
        <v>0.0726</v>
      </c>
      <c r="AE222" s="22" t="n">
        <v>0.0886</v>
      </c>
      <c r="AF222" s="22" t="n">
        <v>0.0801</v>
      </c>
      <c r="AG222" s="22" t="n">
        <v>0.1175</v>
      </c>
      <c r="AH222" s="22" t="n">
        <v>0.1432</v>
      </c>
      <c r="AI222" s="22" t="n">
        <v>0.1414</v>
      </c>
      <c r="AJ222" s="22" t="n">
        <v>0.1385</v>
      </c>
      <c r="AK222" s="22" t="n">
        <v>0.0786</v>
      </c>
      <c r="AL222" s="22" t="n">
        <v>0.0579</v>
      </c>
      <c r="AM222" s="22" t="n">
        <v>0.0194</v>
      </c>
      <c r="AN222" s="22" t="n">
        <v>0.0134</v>
      </c>
      <c r="AO222" s="22" t="n">
        <v>0.0285</v>
      </c>
      <c r="AP222" s="22" t="n">
        <v>0.0471</v>
      </c>
      <c r="AQ222" s="22" t="n">
        <v>0.0728</v>
      </c>
      <c r="AR222" s="22" t="n">
        <v>0.0678</v>
      </c>
      <c r="AS222" s="22" t="n">
        <v>0.0545</v>
      </c>
      <c r="AT222" s="22" t="n">
        <v>0.0328</v>
      </c>
      <c r="AU222" s="22" t="n">
        <v>0.0331</v>
      </c>
      <c r="AV222" s="22" t="n">
        <v>0.0379</v>
      </c>
    </row>
    <row r="223" customFormat="false" ht="15" hidden="false" customHeight="false" outlineLevel="0" collapsed="false">
      <c r="A223" s="22" t="s">
        <v>419</v>
      </c>
      <c r="B223" s="22" t="s">
        <v>3</v>
      </c>
      <c r="C223" s="22" t="s">
        <v>419</v>
      </c>
      <c r="D223" s="22" t="n">
        <v>25200</v>
      </c>
      <c r="E223" s="22" t="s">
        <v>132</v>
      </c>
      <c r="F223" s="22" t="s">
        <v>135</v>
      </c>
      <c r="G223" s="22" t="s">
        <v>131</v>
      </c>
      <c r="H223" s="22" t="s">
        <v>131</v>
      </c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</row>
    <row r="224" customFormat="false" ht="15" hidden="false" customHeight="false" outlineLevel="0" collapsed="false">
      <c r="A224" s="22" t="s">
        <v>420</v>
      </c>
      <c r="B224" s="22" t="s">
        <v>3</v>
      </c>
      <c r="C224" s="22" t="s">
        <v>420</v>
      </c>
      <c r="D224" s="22" t="n">
        <v>25220</v>
      </c>
      <c r="E224" s="22" t="s">
        <v>132</v>
      </c>
      <c r="F224" s="22" t="s">
        <v>135</v>
      </c>
      <c r="G224" s="22" t="s">
        <v>131</v>
      </c>
      <c r="H224" s="22" t="s">
        <v>131</v>
      </c>
      <c r="I224" s="22"/>
      <c r="J224" s="22" t="n">
        <v>-0.0225</v>
      </c>
      <c r="K224" s="22"/>
      <c r="L224" s="22"/>
      <c r="M224" s="22"/>
      <c r="N224" s="22" t="n">
        <v>-0.0121</v>
      </c>
      <c r="O224" s="22" t="n">
        <v>-0.0199</v>
      </c>
      <c r="P224" s="22" t="n">
        <v>0.0629</v>
      </c>
      <c r="Q224" s="22" t="n">
        <v>0.0587</v>
      </c>
      <c r="R224" s="22" t="n">
        <v>0.0364</v>
      </c>
      <c r="S224" s="22" t="n">
        <v>0.038</v>
      </c>
      <c r="T224" s="22" t="n">
        <v>0.0255</v>
      </c>
      <c r="U224" s="22" t="n">
        <v>0.046</v>
      </c>
      <c r="V224" s="22" t="n">
        <v>0.0195</v>
      </c>
      <c r="W224" s="22" t="n">
        <v>0.0252</v>
      </c>
      <c r="X224" s="22" t="n">
        <v>0.0453</v>
      </c>
      <c r="Y224" s="22" t="n">
        <v>0.0019</v>
      </c>
      <c r="Z224" s="22" t="n">
        <v>0.0081</v>
      </c>
      <c r="AA224" s="22" t="n">
        <v>0.0097</v>
      </c>
      <c r="AB224" s="22" t="n">
        <v>0.134</v>
      </c>
      <c r="AC224" s="22" t="n">
        <v>0.168</v>
      </c>
      <c r="AD224" s="22" t="n">
        <v>0.2572</v>
      </c>
      <c r="AE224" s="22" t="n">
        <v>0.3961</v>
      </c>
      <c r="AF224" s="22" t="n">
        <v>0.1982</v>
      </c>
      <c r="AG224" s="22" t="n">
        <v>0.1434</v>
      </c>
      <c r="AH224" s="22" t="n">
        <v>0.1092</v>
      </c>
      <c r="AI224" s="22" t="n">
        <v>-0.0112</v>
      </c>
      <c r="AJ224" s="22" t="n">
        <v>-0.0452</v>
      </c>
      <c r="AK224" s="22" t="n">
        <v>-0.0018</v>
      </c>
      <c r="AL224" s="22" t="n">
        <v>-0.0011</v>
      </c>
      <c r="AM224" s="22" t="n">
        <v>0.01</v>
      </c>
      <c r="AN224" s="22" t="n">
        <v>-0.0116</v>
      </c>
      <c r="AO224" s="22" t="n">
        <v>-0.0132</v>
      </c>
      <c r="AP224" s="22" t="n">
        <v>0.0111</v>
      </c>
      <c r="AQ224" s="22" t="n">
        <v>0.0149</v>
      </c>
      <c r="AR224" s="22" t="n">
        <v>0.1013</v>
      </c>
      <c r="AS224" s="22" t="n">
        <v>0.0713</v>
      </c>
      <c r="AT224" s="22" t="n">
        <v>0.07</v>
      </c>
      <c r="AU224" s="22" t="n">
        <v>0.0454</v>
      </c>
      <c r="AV224" s="22" t="n">
        <v>0.0168</v>
      </c>
    </row>
    <row r="225" customFormat="false" ht="15" hidden="false" customHeight="false" outlineLevel="0" collapsed="false">
      <c r="A225" s="22" t="s">
        <v>421</v>
      </c>
      <c r="B225" s="22" t="s">
        <v>3</v>
      </c>
      <c r="C225" s="22" t="s">
        <v>421</v>
      </c>
      <c r="D225" s="22" t="n">
        <v>25260</v>
      </c>
      <c r="E225" s="22" t="s">
        <v>132</v>
      </c>
      <c r="F225" s="22" t="s">
        <v>135</v>
      </c>
      <c r="G225" s="22" t="s">
        <v>131</v>
      </c>
      <c r="H225" s="22" t="s">
        <v>131</v>
      </c>
      <c r="I225" s="22"/>
      <c r="J225" s="22"/>
      <c r="K225" s="22"/>
      <c r="L225" s="22"/>
      <c r="M225" s="22"/>
      <c r="N225" s="22" t="n">
        <v>-0.0808</v>
      </c>
      <c r="O225" s="22" t="n">
        <v>-0.1298</v>
      </c>
      <c r="P225" s="22" t="n">
        <v>-0.0302</v>
      </c>
      <c r="Q225" s="22" t="n">
        <v>-0.0022</v>
      </c>
      <c r="R225" s="22" t="n">
        <v>0.0529</v>
      </c>
      <c r="S225" s="22" t="n">
        <v>0.0655</v>
      </c>
      <c r="T225" s="22" t="n">
        <v>0.0541</v>
      </c>
      <c r="U225" s="22" t="n">
        <v>0.0485</v>
      </c>
      <c r="V225" s="22" t="n">
        <v>0.0466</v>
      </c>
      <c r="W225" s="22" t="n">
        <v>0.1027</v>
      </c>
      <c r="X225" s="22" t="n">
        <v>0.1213</v>
      </c>
      <c r="Y225" s="22" t="n">
        <v>0.1184</v>
      </c>
      <c r="Z225" s="22" t="n">
        <v>0.0722</v>
      </c>
      <c r="AA225" s="22" t="n">
        <v>0.051</v>
      </c>
      <c r="AB225" s="22" t="n">
        <v>0.1089</v>
      </c>
      <c r="AC225" s="22" t="n">
        <v>0.164</v>
      </c>
      <c r="AD225" s="22" t="n">
        <v>0.1995</v>
      </c>
      <c r="AE225" s="22" t="n">
        <v>0.2188</v>
      </c>
      <c r="AF225" s="22" t="n">
        <v>0.1191</v>
      </c>
      <c r="AG225" s="22" t="n">
        <v>0.0668</v>
      </c>
      <c r="AH225" s="22" t="n">
        <v>0.0736</v>
      </c>
      <c r="AI225" s="22" t="n">
        <v>0.0319</v>
      </c>
      <c r="AJ225" s="22" t="n">
        <v>0.0549</v>
      </c>
      <c r="AK225" s="22" t="n">
        <v>0.0255</v>
      </c>
      <c r="AL225" s="22" t="n">
        <v>-0.0065</v>
      </c>
      <c r="AM225" s="22" t="n">
        <v>-0.0238</v>
      </c>
      <c r="AN225" s="22" t="n">
        <v>0.0043</v>
      </c>
      <c r="AO225" s="22" t="n">
        <v>0.0237</v>
      </c>
      <c r="AP225" s="22" t="n">
        <v>0.0105</v>
      </c>
      <c r="AQ225" s="22" t="n">
        <v>-0.0013</v>
      </c>
      <c r="AR225" s="22" t="n">
        <v>-0.0279</v>
      </c>
      <c r="AS225" s="22" t="n">
        <v>0.0023</v>
      </c>
      <c r="AT225" s="22" t="n">
        <v>0.009</v>
      </c>
      <c r="AU225" s="22" t="n">
        <v>0.0131</v>
      </c>
      <c r="AV225" s="22" t="n">
        <v>0.0508</v>
      </c>
    </row>
    <row r="226" customFormat="false" ht="15" hidden="false" customHeight="false" outlineLevel="0" collapsed="false">
      <c r="A226" s="22" t="s">
        <v>169</v>
      </c>
      <c r="B226" s="22" t="s">
        <v>3</v>
      </c>
      <c r="C226" s="22" t="s">
        <v>169</v>
      </c>
      <c r="D226" s="22" t="n">
        <v>25420</v>
      </c>
      <c r="E226" s="22" t="s">
        <v>132</v>
      </c>
      <c r="F226" s="22" t="s">
        <v>135</v>
      </c>
      <c r="G226" s="22" t="s">
        <v>131</v>
      </c>
      <c r="H226" s="22" t="s">
        <v>131</v>
      </c>
      <c r="I226" s="22" t="n">
        <v>0.0235</v>
      </c>
      <c r="J226" s="22" t="n">
        <v>0.0527</v>
      </c>
      <c r="K226" s="22" t="n">
        <v>0.0292</v>
      </c>
      <c r="L226" s="22" t="n">
        <v>0.025</v>
      </c>
      <c r="M226" s="22" t="n">
        <v>0.0314</v>
      </c>
      <c r="N226" s="22" t="n">
        <v>0.0022</v>
      </c>
      <c r="O226" s="22" t="n">
        <v>0.0146</v>
      </c>
      <c r="P226" s="22" t="n">
        <v>0.0142</v>
      </c>
      <c r="Q226" s="22" t="n">
        <v>0.0224</v>
      </c>
      <c r="R226" s="22" t="n">
        <v>0.0174</v>
      </c>
      <c r="S226" s="22" t="n">
        <v>0.0421</v>
      </c>
      <c r="T226" s="22" t="n">
        <v>0.0373</v>
      </c>
      <c r="U226" s="22" t="n">
        <v>0.0308</v>
      </c>
      <c r="V226" s="22" t="n">
        <v>0.0447</v>
      </c>
      <c r="W226" s="22" t="n">
        <v>0.0378</v>
      </c>
      <c r="X226" s="22" t="n">
        <v>0.0428</v>
      </c>
      <c r="Y226" s="22" t="n">
        <v>0.0478</v>
      </c>
      <c r="Z226" s="22" t="n">
        <v>0.0311</v>
      </c>
      <c r="AA226" s="22" t="n">
        <v>0.0402</v>
      </c>
      <c r="AB226" s="22" t="n">
        <v>0.0601</v>
      </c>
      <c r="AC226" s="22" t="n">
        <v>0.0527</v>
      </c>
      <c r="AD226" s="22" t="n">
        <v>0.0617</v>
      </c>
      <c r="AE226" s="22" t="n">
        <v>0.0675</v>
      </c>
      <c r="AF226" s="22" t="n">
        <v>0.0855</v>
      </c>
      <c r="AG226" s="22" t="n">
        <v>0.107</v>
      </c>
      <c r="AH226" s="22" t="n">
        <v>0.1155</v>
      </c>
      <c r="AI226" s="22" t="n">
        <v>0.1084</v>
      </c>
      <c r="AJ226" s="22" t="n">
        <v>0.0796</v>
      </c>
      <c r="AK226" s="22" t="n">
        <v>0.0557</v>
      </c>
      <c r="AL226" s="22" t="n">
        <v>0.0402</v>
      </c>
      <c r="AM226" s="22" t="n">
        <v>0.0284</v>
      </c>
      <c r="AN226" s="22" t="n">
        <v>0.0248</v>
      </c>
      <c r="AO226" s="22" t="n">
        <v>0.0271</v>
      </c>
      <c r="AP226" s="22" t="n">
        <v>0.0312</v>
      </c>
      <c r="AQ226" s="22" t="n">
        <v>0.0319</v>
      </c>
      <c r="AR226" s="22" t="n">
        <v>0.0455</v>
      </c>
      <c r="AS226" s="22" t="n">
        <v>0.0519</v>
      </c>
      <c r="AT226" s="22" t="n">
        <v>0.0525</v>
      </c>
      <c r="AU226" s="22" t="n">
        <v>0.0532</v>
      </c>
      <c r="AV226" s="22" t="n">
        <v>0.0421</v>
      </c>
    </row>
    <row r="227" customFormat="false" ht="15" hidden="false" customHeight="false" outlineLevel="0" collapsed="false">
      <c r="A227" s="22" t="s">
        <v>422</v>
      </c>
      <c r="B227" s="22" t="s">
        <v>3</v>
      </c>
      <c r="C227" s="22" t="s">
        <v>422</v>
      </c>
      <c r="D227" s="22" t="n">
        <v>25460</v>
      </c>
      <c r="E227" s="22" t="s">
        <v>132</v>
      </c>
      <c r="F227" s="22" t="s">
        <v>135</v>
      </c>
      <c r="G227" s="22" t="s">
        <v>131</v>
      </c>
      <c r="H227" s="22" t="s">
        <v>131</v>
      </c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</row>
    <row r="228" customFormat="false" ht="15" hidden="false" customHeight="false" outlineLevel="0" collapsed="false">
      <c r="A228" s="22" t="s">
        <v>423</v>
      </c>
      <c r="B228" s="22" t="s">
        <v>3</v>
      </c>
      <c r="C228" s="22" t="s">
        <v>423</v>
      </c>
      <c r="D228" s="22" t="n">
        <v>25500</v>
      </c>
      <c r="E228" s="22" t="s">
        <v>132</v>
      </c>
      <c r="F228" s="22" t="s">
        <v>135</v>
      </c>
      <c r="G228" s="22" t="s">
        <v>131</v>
      </c>
      <c r="H228" s="22" t="s">
        <v>131</v>
      </c>
      <c r="I228" s="22" t="n">
        <v>0.1525</v>
      </c>
      <c r="J228" s="22" t="n">
        <v>0.1729</v>
      </c>
      <c r="K228" s="22" t="n">
        <v>0.1553</v>
      </c>
      <c r="L228" s="22" t="n">
        <v>0.0459</v>
      </c>
      <c r="M228" s="22" t="n">
        <v>0.0921</v>
      </c>
      <c r="N228" s="22" t="n">
        <v>0.1084</v>
      </c>
      <c r="O228" s="22" t="n">
        <v>0.0789</v>
      </c>
      <c r="P228" s="22" t="n">
        <v>0.082</v>
      </c>
      <c r="Q228" s="22" t="n">
        <v>0.0252</v>
      </c>
      <c r="R228" s="22" t="n">
        <v>-0.0108</v>
      </c>
      <c r="S228" s="22" t="n">
        <v>0.0329</v>
      </c>
      <c r="T228" s="22" t="n">
        <v>0.0389</v>
      </c>
      <c r="U228" s="22" t="n">
        <v>0.0406</v>
      </c>
      <c r="V228" s="22" t="n">
        <v>0.048</v>
      </c>
      <c r="W228" s="22" t="n">
        <v>0.0643</v>
      </c>
      <c r="X228" s="22" t="n">
        <v>0.0575</v>
      </c>
      <c r="Y228" s="22" t="n">
        <v>0.0561</v>
      </c>
      <c r="Z228" s="22" t="n">
        <v>0.0454</v>
      </c>
      <c r="AA228" s="22" t="n">
        <v>0.0058</v>
      </c>
      <c r="AB228" s="22" t="n">
        <v>0.0077</v>
      </c>
      <c r="AC228" s="22" t="n">
        <v>0.0294</v>
      </c>
      <c r="AD228" s="22" t="n">
        <v>0.0468</v>
      </c>
      <c r="AE228" s="22" t="n">
        <v>0.0653</v>
      </c>
      <c r="AF228" s="22" t="n">
        <v>0.0646</v>
      </c>
      <c r="AG228" s="22" t="n">
        <v>0.0739</v>
      </c>
      <c r="AH228" s="22" t="n">
        <v>0.1388</v>
      </c>
      <c r="AI228" s="22" t="n">
        <v>0.1594</v>
      </c>
      <c r="AJ228" s="22" t="n">
        <v>0.1808</v>
      </c>
      <c r="AK228" s="22" t="n">
        <v>0.1532</v>
      </c>
      <c r="AL228" s="22" t="n">
        <v>0.0936</v>
      </c>
      <c r="AM228" s="22" t="n">
        <v>0.0945</v>
      </c>
      <c r="AN228" s="22" t="n">
        <v>0.1262</v>
      </c>
      <c r="AO228" s="22" t="n">
        <v>0.1465</v>
      </c>
      <c r="AP228" s="22" t="n">
        <v>0.1431</v>
      </c>
      <c r="AQ228" s="22" t="n">
        <v>0.1468</v>
      </c>
      <c r="AR228" s="22" t="n">
        <v>0.0719</v>
      </c>
      <c r="AS228" s="22" t="n">
        <v>0.0439</v>
      </c>
      <c r="AT228" s="22" t="n">
        <v>0.0411</v>
      </c>
      <c r="AU228" s="22" t="n">
        <v>-0.0158</v>
      </c>
      <c r="AV228" s="22" t="n">
        <v>0.0346</v>
      </c>
    </row>
    <row r="229" customFormat="false" ht="15" hidden="false" customHeight="false" outlineLevel="0" collapsed="false">
      <c r="A229" s="22" t="s">
        <v>170</v>
      </c>
      <c r="B229" s="22" t="s">
        <v>3</v>
      </c>
      <c r="C229" s="22" t="s">
        <v>170</v>
      </c>
      <c r="D229" s="22" t="n">
        <v>25540</v>
      </c>
      <c r="E229" s="22" t="s">
        <v>132</v>
      </c>
      <c r="F229" s="22" t="s">
        <v>135</v>
      </c>
      <c r="G229" s="22" t="s">
        <v>131</v>
      </c>
      <c r="H229" s="22" t="s">
        <v>131</v>
      </c>
      <c r="I229" s="22" t="n">
        <v>0.0175</v>
      </c>
      <c r="J229" s="22" t="n">
        <v>0.0089</v>
      </c>
      <c r="K229" s="22" t="n">
        <v>0.0042</v>
      </c>
      <c r="L229" s="22" t="n">
        <v>0.0093</v>
      </c>
      <c r="M229" s="22" t="n">
        <v>0.03</v>
      </c>
      <c r="N229" s="22" t="n">
        <v>0.0276</v>
      </c>
      <c r="O229" s="22" t="n">
        <v>0.0305</v>
      </c>
      <c r="P229" s="22" t="n">
        <v>0.0446</v>
      </c>
      <c r="Q229" s="22" t="n">
        <v>0.022</v>
      </c>
      <c r="R229" s="22" t="n">
        <v>0.015</v>
      </c>
      <c r="S229" s="22" t="n">
        <v>0.0348</v>
      </c>
      <c r="T229" s="22" t="n">
        <v>0.0355</v>
      </c>
      <c r="U229" s="22" t="n">
        <v>0.0501</v>
      </c>
      <c r="V229" s="22" t="n">
        <v>0.0514</v>
      </c>
      <c r="W229" s="22" t="n">
        <v>0.0425</v>
      </c>
      <c r="X229" s="22" t="n">
        <v>0.0335</v>
      </c>
      <c r="Y229" s="22" t="n">
        <v>0.033</v>
      </c>
      <c r="Z229" s="22" t="n">
        <v>0.0233</v>
      </c>
      <c r="AA229" s="22" t="n">
        <v>0.0197</v>
      </c>
      <c r="AB229" s="22" t="n">
        <v>0.0367</v>
      </c>
      <c r="AC229" s="22" t="n">
        <v>0.0276</v>
      </c>
      <c r="AD229" s="22" t="n">
        <v>0.0519</v>
      </c>
      <c r="AE229" s="22" t="n">
        <v>0.1024</v>
      </c>
      <c r="AF229" s="22" t="n">
        <v>0.0939</v>
      </c>
      <c r="AG229" s="22" t="n">
        <v>0.1073</v>
      </c>
      <c r="AH229" s="22" t="n">
        <v>0.1111</v>
      </c>
      <c r="AI229" s="22" t="n">
        <v>0.1021</v>
      </c>
      <c r="AJ229" s="22" t="n">
        <v>0.093</v>
      </c>
      <c r="AK229" s="22" t="n">
        <v>0.0868</v>
      </c>
      <c r="AL229" s="22" t="n">
        <v>0.0793</v>
      </c>
      <c r="AM229" s="22" t="n">
        <v>0.0549</v>
      </c>
      <c r="AN229" s="22" t="n">
        <v>0.0587</v>
      </c>
      <c r="AO229" s="22" t="n">
        <v>0.0611</v>
      </c>
      <c r="AP229" s="22" t="n">
        <v>0.0569</v>
      </c>
      <c r="AQ229" s="22" t="n">
        <v>0.0593</v>
      </c>
      <c r="AR229" s="22" t="n">
        <v>0.0501</v>
      </c>
      <c r="AS229" s="22" t="n">
        <v>0.0498</v>
      </c>
      <c r="AT229" s="22" t="n">
        <v>0.053</v>
      </c>
      <c r="AU229" s="22" t="n">
        <v>0.0365</v>
      </c>
      <c r="AV229" s="22" t="n">
        <v>0.0303</v>
      </c>
    </row>
    <row r="230" customFormat="false" ht="15" hidden="false" customHeight="false" outlineLevel="0" collapsed="false">
      <c r="A230" s="22" t="s">
        <v>424</v>
      </c>
      <c r="B230" s="22" t="s">
        <v>3</v>
      </c>
      <c r="C230" s="22" t="s">
        <v>424</v>
      </c>
      <c r="D230" s="22" t="n">
        <v>25620</v>
      </c>
      <c r="E230" s="22" t="s">
        <v>132</v>
      </c>
      <c r="F230" s="22" t="s">
        <v>135</v>
      </c>
      <c r="G230" s="22" t="s">
        <v>131</v>
      </c>
      <c r="H230" s="22" t="s">
        <v>131</v>
      </c>
      <c r="I230" s="22" t="n">
        <v>0.0525</v>
      </c>
      <c r="J230" s="22" t="n">
        <v>0.0405</v>
      </c>
      <c r="K230" s="22" t="n">
        <v>-0.0438</v>
      </c>
      <c r="L230" s="22" t="n">
        <v>-0.0146</v>
      </c>
      <c r="M230" s="22" t="n">
        <v>-0.0216</v>
      </c>
      <c r="N230" s="22" t="n">
        <v>-0.0447</v>
      </c>
      <c r="O230" s="22" t="n">
        <v>0.0147</v>
      </c>
      <c r="P230" s="22" t="n">
        <v>0.0084</v>
      </c>
      <c r="Q230" s="22" t="n">
        <v>0.0091</v>
      </c>
      <c r="R230" s="22" t="n">
        <v>0.0211</v>
      </c>
      <c r="S230" s="22" t="n">
        <v>0.0226</v>
      </c>
      <c r="T230" s="22" t="n">
        <v>0.0161</v>
      </c>
      <c r="U230" s="22" t="n">
        <v>0.0024</v>
      </c>
      <c r="V230" s="22" t="n">
        <v>0.021</v>
      </c>
      <c r="W230" s="22" t="n">
        <v>0.0039</v>
      </c>
      <c r="X230" s="22" t="n">
        <v>-0.0002</v>
      </c>
      <c r="Y230" s="22" t="n">
        <v>0.0203</v>
      </c>
      <c r="Z230" s="22" t="n">
        <v>0.0142</v>
      </c>
      <c r="AA230" s="22" t="n">
        <v>0.0946</v>
      </c>
      <c r="AB230" s="22" t="n">
        <v>0.0959</v>
      </c>
      <c r="AC230" s="22" t="n">
        <v>0.0955</v>
      </c>
      <c r="AD230" s="22" t="n">
        <v>0.116</v>
      </c>
      <c r="AE230" s="22" t="n">
        <v>0.0827</v>
      </c>
      <c r="AF230" s="22" t="n">
        <v>0.0985</v>
      </c>
      <c r="AG230" s="22" t="n">
        <v>0.0841</v>
      </c>
      <c r="AH230" s="22" t="n">
        <v>0.1133</v>
      </c>
      <c r="AI230" s="22" t="n">
        <v>0.1096</v>
      </c>
      <c r="AJ230" s="22" t="n">
        <v>0.1344</v>
      </c>
      <c r="AK230" s="22" t="n">
        <v>0.1307</v>
      </c>
      <c r="AL230" s="22" t="n">
        <v>0.1223</v>
      </c>
      <c r="AM230" s="22" t="n">
        <v>0.0589</v>
      </c>
      <c r="AN230" s="22" t="n">
        <v>0.0326</v>
      </c>
      <c r="AO230" s="22" t="n">
        <v>0.0612</v>
      </c>
      <c r="AP230" s="22" t="n">
        <v>0.03</v>
      </c>
      <c r="AQ230" s="22" t="n">
        <v>0.0802</v>
      </c>
      <c r="AR230" s="22" t="n">
        <v>0.0679</v>
      </c>
      <c r="AS230" s="22" t="n">
        <v>0.0452</v>
      </c>
      <c r="AT230" s="22" t="n">
        <v>0.0104</v>
      </c>
      <c r="AU230" s="22" t="n">
        <v>0.0007</v>
      </c>
      <c r="AV230" s="22" t="n">
        <v>-0.0062</v>
      </c>
    </row>
    <row r="231" customFormat="false" ht="15" hidden="false" customHeight="false" outlineLevel="0" collapsed="false">
      <c r="A231" s="22" t="s">
        <v>425</v>
      </c>
      <c r="B231" s="22" t="s">
        <v>3</v>
      </c>
      <c r="C231" s="22" t="s">
        <v>425</v>
      </c>
      <c r="D231" s="22" t="n">
        <v>25700</v>
      </c>
      <c r="E231" s="22" t="s">
        <v>132</v>
      </c>
      <c r="F231" s="22" t="s">
        <v>135</v>
      </c>
      <c r="G231" s="22" t="s">
        <v>131</v>
      </c>
      <c r="H231" s="22" t="s">
        <v>131</v>
      </c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</row>
    <row r="232" customFormat="false" ht="15" hidden="false" customHeight="false" outlineLevel="0" collapsed="false">
      <c r="A232" s="22" t="s">
        <v>426</v>
      </c>
      <c r="B232" s="22" t="s">
        <v>3</v>
      </c>
      <c r="C232" s="22" t="s">
        <v>426</v>
      </c>
      <c r="D232" s="22" t="n">
        <v>25720</v>
      </c>
      <c r="E232" s="22" t="s">
        <v>132</v>
      </c>
      <c r="F232" s="22" t="s">
        <v>135</v>
      </c>
      <c r="G232" s="22" t="s">
        <v>131</v>
      </c>
      <c r="H232" s="22" t="s">
        <v>131</v>
      </c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 t="n">
        <v>0.1238</v>
      </c>
      <c r="AH232" s="22" t="n">
        <v>0.187</v>
      </c>
      <c r="AI232" s="22" t="n">
        <v>0.2052</v>
      </c>
      <c r="AJ232" s="22" t="n">
        <v>0.2312</v>
      </c>
      <c r="AK232" s="22" t="n">
        <v>0.1769</v>
      </c>
      <c r="AL232" s="22" t="n">
        <v>0.1163</v>
      </c>
      <c r="AM232" s="22" t="n">
        <v>0.0615</v>
      </c>
      <c r="AN232" s="22" t="n">
        <v>0.0821</v>
      </c>
      <c r="AO232" s="22" t="n">
        <v>0.1003</v>
      </c>
      <c r="AP232" s="22" t="n">
        <v>0.0577</v>
      </c>
      <c r="AQ232" s="22" t="n">
        <v>0.022</v>
      </c>
      <c r="AR232" s="22" t="n">
        <v>-0.0202</v>
      </c>
      <c r="AS232" s="22" t="n">
        <v>-0.0708</v>
      </c>
      <c r="AT232" s="22" t="n">
        <v>-0.0764</v>
      </c>
      <c r="AU232" s="22" t="n">
        <v>-0.0626</v>
      </c>
      <c r="AV232" s="22" t="n">
        <v>-0.0738</v>
      </c>
    </row>
    <row r="233" customFormat="false" ht="15" hidden="false" customHeight="false" outlineLevel="0" collapsed="false">
      <c r="A233" s="22" t="s">
        <v>427</v>
      </c>
      <c r="B233" s="22" t="s">
        <v>3</v>
      </c>
      <c r="C233" s="22" t="s">
        <v>427</v>
      </c>
      <c r="D233" s="22" t="n">
        <v>25740</v>
      </c>
      <c r="E233" s="22" t="s">
        <v>132</v>
      </c>
      <c r="F233" s="22" t="s">
        <v>135</v>
      </c>
      <c r="G233" s="22" t="s">
        <v>131</v>
      </c>
      <c r="H233" s="22" t="s">
        <v>131</v>
      </c>
      <c r="I233" s="22"/>
      <c r="J233" s="22"/>
      <c r="K233" s="22"/>
      <c r="L233" s="22"/>
      <c r="M233" s="22"/>
      <c r="N233" s="22"/>
      <c r="O233" s="22" t="n">
        <v>0.2154</v>
      </c>
      <c r="P233" s="22" t="n">
        <v>0.1892</v>
      </c>
      <c r="Q233" s="22" t="n">
        <v>0.0768</v>
      </c>
      <c r="R233" s="22" t="n">
        <v>0.005</v>
      </c>
      <c r="S233" s="22" t="n">
        <v>-0.0625</v>
      </c>
      <c r="T233" s="22" t="n">
        <v>-0.0443</v>
      </c>
      <c r="U233" s="22" t="n">
        <v>-0.0085</v>
      </c>
      <c r="V233" s="22" t="n">
        <v>0.0315</v>
      </c>
      <c r="W233" s="22" t="n">
        <v>0.0309</v>
      </c>
      <c r="X233" s="22" t="n">
        <v>0.0549</v>
      </c>
      <c r="Y233" s="22" t="n">
        <v>0.1136</v>
      </c>
      <c r="Z233" s="22" t="n">
        <v>0.1412</v>
      </c>
      <c r="AA233" s="22" t="n">
        <v>0.1549</v>
      </c>
      <c r="AB233" s="22" t="n">
        <v>0.1972</v>
      </c>
      <c r="AC233" s="22" t="n">
        <v>0.3108</v>
      </c>
      <c r="AD233" s="22" t="n">
        <v>0.3934</v>
      </c>
      <c r="AE233" s="22" t="n">
        <v>0.4349</v>
      </c>
      <c r="AF233" s="22" t="n">
        <v>0.3976</v>
      </c>
      <c r="AG233" s="22" t="n">
        <v>0.1927</v>
      </c>
      <c r="AH233" s="22" t="n">
        <v>0.1131</v>
      </c>
      <c r="AI233" s="22" t="n">
        <v>0.1608</v>
      </c>
      <c r="AJ233" s="22" t="n">
        <v>0.1161</v>
      </c>
      <c r="AK233" s="22" t="n">
        <v>0.112</v>
      </c>
      <c r="AL233" s="22" t="n">
        <v>0.1002</v>
      </c>
      <c r="AM233" s="22" t="n">
        <v>0.0032</v>
      </c>
      <c r="AN233" s="22" t="n">
        <v>-0.067</v>
      </c>
      <c r="AO233" s="22" t="n">
        <v>-0.0768</v>
      </c>
      <c r="AP233" s="22" t="n">
        <v>0.0006</v>
      </c>
      <c r="AQ233" s="22" t="n">
        <v>0.0393</v>
      </c>
      <c r="AR233" s="22" t="n">
        <v>0.0561</v>
      </c>
      <c r="AS233" s="22" t="n">
        <v>0.0603</v>
      </c>
      <c r="AT233" s="22" t="n">
        <v>-0.0222</v>
      </c>
      <c r="AU233" s="22" t="n">
        <v>-0.0348</v>
      </c>
      <c r="AV233" s="22" t="n">
        <v>-0.0282</v>
      </c>
    </row>
    <row r="234" customFormat="false" ht="15" hidden="false" customHeight="false" outlineLevel="0" collapsed="false">
      <c r="A234" s="22" t="s">
        <v>428</v>
      </c>
      <c r="B234" s="22" t="s">
        <v>3</v>
      </c>
      <c r="C234" s="22" t="s">
        <v>428</v>
      </c>
      <c r="D234" s="22" t="n">
        <v>25775</v>
      </c>
      <c r="E234" s="22" t="s">
        <v>132</v>
      </c>
      <c r="F234" s="22" t="s">
        <v>135</v>
      </c>
      <c r="G234" s="22" t="s">
        <v>131</v>
      </c>
      <c r="H234" s="22" t="s">
        <v>131</v>
      </c>
      <c r="I234" s="22" t="n">
        <v>-0.0312</v>
      </c>
      <c r="J234" s="22" t="n">
        <v>0.0022</v>
      </c>
      <c r="K234" s="22" t="n">
        <v>-0.0427</v>
      </c>
      <c r="L234" s="22"/>
      <c r="M234" s="22" t="n">
        <v>0.0681</v>
      </c>
      <c r="N234" s="22" t="n">
        <v>0.0709</v>
      </c>
      <c r="O234" s="22" t="n">
        <v>0.102</v>
      </c>
      <c r="P234" s="22" t="n">
        <v>0.0228</v>
      </c>
      <c r="Q234" s="22" t="n">
        <v>0.0035</v>
      </c>
      <c r="R234" s="22" t="n">
        <v>-0.0018</v>
      </c>
      <c r="S234" s="22" t="n">
        <v>0.0193</v>
      </c>
      <c r="T234" s="22" t="n">
        <v>0.0251</v>
      </c>
      <c r="U234" s="22" t="n">
        <v>0.0237</v>
      </c>
      <c r="V234" s="22" t="n">
        <v>0.037</v>
      </c>
      <c r="W234" s="22" t="n">
        <v>0.0574</v>
      </c>
      <c r="X234" s="22" t="n">
        <v>0.0654</v>
      </c>
      <c r="Y234" s="22" t="n">
        <v>0.0517</v>
      </c>
      <c r="Z234" s="22" t="n">
        <v>0.0138</v>
      </c>
      <c r="AA234" s="22" t="n">
        <v>0.0018</v>
      </c>
      <c r="AB234" s="22" t="n">
        <v>0.0278</v>
      </c>
      <c r="AC234" s="22" t="n">
        <v>0.0003</v>
      </c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</row>
    <row r="235" customFormat="false" ht="15" hidden="false" customHeight="false" outlineLevel="0" collapsed="false">
      <c r="A235" s="22" t="s">
        <v>429</v>
      </c>
      <c r="B235" s="22" t="s">
        <v>3</v>
      </c>
      <c r="C235" s="22" t="s">
        <v>429</v>
      </c>
      <c r="D235" s="22" t="n">
        <v>25780</v>
      </c>
      <c r="E235" s="22" t="s">
        <v>132</v>
      </c>
      <c r="F235" s="22" t="s">
        <v>135</v>
      </c>
      <c r="G235" s="22" t="s">
        <v>131</v>
      </c>
      <c r="H235" s="22" t="s">
        <v>131</v>
      </c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</row>
    <row r="236" customFormat="false" ht="15" hidden="false" customHeight="false" outlineLevel="0" collapsed="false">
      <c r="A236" s="22" t="s">
        <v>430</v>
      </c>
      <c r="B236" s="22" t="s">
        <v>3</v>
      </c>
      <c r="C236" s="22" t="s">
        <v>430</v>
      </c>
      <c r="D236" s="22" t="n">
        <v>25840</v>
      </c>
      <c r="E236" s="22" t="s">
        <v>132</v>
      </c>
      <c r="F236" s="22" t="s">
        <v>135</v>
      </c>
      <c r="G236" s="22" t="s">
        <v>131</v>
      </c>
      <c r="H236" s="22" t="s">
        <v>131</v>
      </c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 t="n">
        <v>0.3965</v>
      </c>
      <c r="AH236" s="22" t="n">
        <v>0.5351</v>
      </c>
      <c r="AI236" s="22" t="n">
        <v>0.5368</v>
      </c>
      <c r="AJ236" s="22" t="n">
        <v>0.1595</v>
      </c>
      <c r="AK236" s="22" t="n">
        <v>0.1737</v>
      </c>
      <c r="AL236" s="22" t="n">
        <v>0.0408</v>
      </c>
      <c r="AM236" s="22" t="n">
        <v>-0.0539</v>
      </c>
      <c r="AN236" s="22" t="n">
        <v>-0.0507</v>
      </c>
      <c r="AO236" s="22" t="n">
        <v>-0.0813</v>
      </c>
      <c r="AP236" s="22" t="n">
        <v>-0.0611</v>
      </c>
      <c r="AQ236" s="22" t="n">
        <v>0.0129</v>
      </c>
      <c r="AR236" s="22" t="n">
        <v>0.0185</v>
      </c>
      <c r="AS236" s="22" t="n">
        <v>0.0078</v>
      </c>
      <c r="AT236" s="22" t="n">
        <v>0.0888</v>
      </c>
      <c r="AU236" s="22" t="n">
        <v>0.0523</v>
      </c>
      <c r="AV236" s="22" t="n">
        <v>0.057</v>
      </c>
    </row>
    <row r="237" customFormat="false" ht="15" hidden="false" customHeight="false" outlineLevel="0" collapsed="false">
      <c r="A237" s="22" t="s">
        <v>431</v>
      </c>
      <c r="B237" s="22" t="s">
        <v>3</v>
      </c>
      <c r="C237" s="22" t="s">
        <v>431</v>
      </c>
      <c r="D237" s="22" t="n">
        <v>25860</v>
      </c>
      <c r="E237" s="22" t="s">
        <v>132</v>
      </c>
      <c r="F237" s="22" t="s">
        <v>135</v>
      </c>
      <c r="G237" s="22" t="s">
        <v>131</v>
      </c>
      <c r="H237" s="22" t="s">
        <v>131</v>
      </c>
      <c r="I237" s="22" t="n">
        <v>0.0461</v>
      </c>
      <c r="J237" s="22" t="n">
        <v>0.0172</v>
      </c>
      <c r="K237" s="22" t="n">
        <v>0.0373</v>
      </c>
      <c r="L237" s="22" t="n">
        <v>0.0849</v>
      </c>
      <c r="M237" s="22" t="n">
        <v>0.0813</v>
      </c>
      <c r="N237" s="22" t="n">
        <v>0.0949</v>
      </c>
      <c r="O237" s="22" t="n">
        <v>0.0931</v>
      </c>
      <c r="P237" s="22" t="n">
        <v>0.0096</v>
      </c>
      <c r="Q237" s="22" t="n">
        <v>0.0353</v>
      </c>
      <c r="R237" s="22" t="n">
        <v>0.0428</v>
      </c>
      <c r="S237" s="22" t="n">
        <v>0.0297</v>
      </c>
      <c r="T237" s="22" t="n">
        <v>0.0747</v>
      </c>
      <c r="U237" s="22" t="n">
        <v>0.0668</v>
      </c>
      <c r="V237" s="22" t="n">
        <v>0.055</v>
      </c>
      <c r="W237" s="22" t="n">
        <v>0.0686</v>
      </c>
      <c r="X237" s="22" t="n">
        <v>0.0504</v>
      </c>
      <c r="Y237" s="22" t="n">
        <v>0.0146</v>
      </c>
      <c r="Z237" s="22" t="n">
        <v>0.0098</v>
      </c>
      <c r="AA237" s="22" t="n">
        <v>0.0178</v>
      </c>
      <c r="AB237" s="22" t="n">
        <v>0.034</v>
      </c>
      <c r="AC237" s="22" t="n">
        <v>0.0985</v>
      </c>
      <c r="AD237" s="22" t="n">
        <v>0.1256</v>
      </c>
      <c r="AE237" s="22" t="n">
        <v>0.1756</v>
      </c>
      <c r="AF237" s="22" t="n">
        <v>0.2058</v>
      </c>
      <c r="AG237" s="22" t="n">
        <v>0.2356</v>
      </c>
      <c r="AH237" s="22" t="n">
        <v>0.2182</v>
      </c>
      <c r="AI237" s="22" t="n">
        <v>0.1711</v>
      </c>
      <c r="AJ237" s="22" t="n">
        <v>0.1532</v>
      </c>
      <c r="AK237" s="22" t="n">
        <v>0.043</v>
      </c>
      <c r="AL237" s="22" t="n">
        <v>0.0092</v>
      </c>
      <c r="AM237" s="22" t="n">
        <v>0.0173</v>
      </c>
      <c r="AN237" s="22" t="n">
        <v>0.0004</v>
      </c>
      <c r="AO237" s="22" t="n">
        <v>0.0381</v>
      </c>
      <c r="AP237" s="22" t="n">
        <v>0.0239</v>
      </c>
      <c r="AQ237" s="22" t="n">
        <v>0.0004</v>
      </c>
      <c r="AR237" s="22" t="n">
        <v>0.0714</v>
      </c>
      <c r="AS237" s="22" t="n">
        <v>0.1133</v>
      </c>
      <c r="AT237" s="22" t="n">
        <v>0.1622</v>
      </c>
      <c r="AU237" s="22" t="n">
        <v>0.1192</v>
      </c>
      <c r="AV237" s="22" t="n">
        <v>0.0544</v>
      </c>
    </row>
    <row r="238" customFormat="false" ht="15" hidden="false" customHeight="false" outlineLevel="0" collapsed="false">
      <c r="A238" s="22" t="s">
        <v>432</v>
      </c>
      <c r="B238" s="22" t="s">
        <v>3</v>
      </c>
      <c r="C238" s="22" t="s">
        <v>432</v>
      </c>
      <c r="D238" s="22" t="n">
        <v>25940</v>
      </c>
      <c r="E238" s="22" t="s">
        <v>132</v>
      </c>
      <c r="F238" s="22" t="s">
        <v>135</v>
      </c>
      <c r="G238" s="22" t="s">
        <v>131</v>
      </c>
      <c r="H238" s="22" t="s">
        <v>131</v>
      </c>
      <c r="I238" s="22" t="n">
        <v>0.085</v>
      </c>
      <c r="J238" s="22" t="n">
        <v>0.0731</v>
      </c>
      <c r="K238" s="22" t="n">
        <v>0.0441</v>
      </c>
      <c r="L238" s="22" t="n">
        <v>0.0336</v>
      </c>
      <c r="M238" s="22" t="n">
        <v>0.0226</v>
      </c>
      <c r="N238" s="22" t="n">
        <v>0.0189</v>
      </c>
      <c r="O238" s="22" t="n">
        <v>0.0724</v>
      </c>
      <c r="P238" s="22" t="n">
        <v>0.0498</v>
      </c>
      <c r="Q238" s="22" t="n">
        <v>0.0375</v>
      </c>
      <c r="R238" s="22" t="n">
        <v>0.0177</v>
      </c>
      <c r="S238" s="22" t="n">
        <v>-0.0327</v>
      </c>
      <c r="T238" s="22" t="n">
        <v>-0.0173</v>
      </c>
      <c r="U238" s="22" t="n">
        <v>0.0009</v>
      </c>
      <c r="V238" s="22" t="n">
        <v>0.04</v>
      </c>
      <c r="W238" s="22" t="n">
        <v>0.0686</v>
      </c>
      <c r="X238" s="22" t="n">
        <v>0.0827</v>
      </c>
      <c r="Y238" s="22" t="n">
        <v>0.0712</v>
      </c>
      <c r="Z238" s="22" t="n">
        <v>0.0215</v>
      </c>
      <c r="AA238" s="22" t="n">
        <v>0.0294</v>
      </c>
      <c r="AB238" s="22" t="n">
        <v>0.0311</v>
      </c>
      <c r="AC238" s="22" t="n">
        <v>0.0514</v>
      </c>
      <c r="AD238" s="22" t="n">
        <v>0.187</v>
      </c>
      <c r="AE238" s="22" t="n">
        <v>0.254</v>
      </c>
      <c r="AF238" s="22" t="n">
        <v>0.3517</v>
      </c>
      <c r="AG238" s="22" t="n">
        <v>0.3615</v>
      </c>
      <c r="AH238" s="22" t="n">
        <v>0.2747</v>
      </c>
      <c r="AI238" s="22" t="n">
        <v>0.1899</v>
      </c>
      <c r="AJ238" s="22" t="n">
        <v>0.0646</v>
      </c>
      <c r="AK238" s="22" t="n">
        <v>0.0324</v>
      </c>
      <c r="AL238" s="22" t="n">
        <v>0.0238</v>
      </c>
      <c r="AM238" s="22" t="n">
        <v>-0.0009</v>
      </c>
      <c r="AN238" s="22" t="n">
        <v>0.0071</v>
      </c>
      <c r="AO238" s="22" t="n">
        <v>0.019</v>
      </c>
      <c r="AP238" s="22" t="n">
        <v>-0.0319</v>
      </c>
      <c r="AQ238" s="22" t="n">
        <v>-0.0222</v>
      </c>
      <c r="AR238" s="22" t="n">
        <v>-0.0202</v>
      </c>
      <c r="AS238" s="22" t="n">
        <v>-0.0578</v>
      </c>
      <c r="AT238" s="22" t="n">
        <v>-0.0255</v>
      </c>
      <c r="AU238" s="22" t="n">
        <v>-0.0378</v>
      </c>
      <c r="AV238" s="22" t="n">
        <v>-0.038</v>
      </c>
    </row>
    <row r="239" customFormat="false" ht="15" hidden="false" customHeight="false" outlineLevel="0" collapsed="false">
      <c r="A239" s="22" t="s">
        <v>433</v>
      </c>
      <c r="B239" s="22" t="s">
        <v>3</v>
      </c>
      <c r="C239" s="22" t="s">
        <v>433</v>
      </c>
      <c r="D239" s="22" t="n">
        <v>25980</v>
      </c>
      <c r="E239" s="22" t="s">
        <v>132</v>
      </c>
      <c r="F239" s="22" t="s">
        <v>135</v>
      </c>
      <c r="G239" s="22" t="s">
        <v>131</v>
      </c>
      <c r="H239" s="22" t="s">
        <v>131</v>
      </c>
      <c r="I239" s="22" t="n">
        <v>-0.0007</v>
      </c>
      <c r="J239" s="22" t="n">
        <v>-0.0537</v>
      </c>
      <c r="K239" s="22" t="n">
        <v>-0.0684</v>
      </c>
      <c r="L239" s="22" t="n">
        <v>-0.059</v>
      </c>
      <c r="M239" s="22" t="n">
        <v>-0.0024</v>
      </c>
      <c r="N239" s="22" t="n">
        <v>0.0633</v>
      </c>
      <c r="O239" s="22" t="n">
        <v>0.0375</v>
      </c>
      <c r="P239" s="22" t="n">
        <v>0.0039</v>
      </c>
      <c r="Q239" s="22" t="n">
        <v>0.0225</v>
      </c>
      <c r="R239" s="22" t="n">
        <v>0.0121</v>
      </c>
      <c r="S239" s="22" t="n">
        <v>0.0429</v>
      </c>
      <c r="T239" s="22" t="n">
        <v>0.1315</v>
      </c>
      <c r="U239" s="22" t="n">
        <v>0.1264</v>
      </c>
      <c r="V239" s="22" t="n">
        <v>0.0502</v>
      </c>
      <c r="W239" s="22" t="n">
        <v>0.0247</v>
      </c>
      <c r="X239" s="22" t="n">
        <v>-0.0448</v>
      </c>
      <c r="Y239" s="22" t="n">
        <v>-0.0686</v>
      </c>
      <c r="Z239" s="22" t="n">
        <v>0.0067</v>
      </c>
      <c r="AA239" s="22" t="n">
        <v>-0.006</v>
      </c>
      <c r="AB239" s="22" t="n">
        <v>0.009</v>
      </c>
      <c r="AC239" s="22" t="n">
        <v>0.0232</v>
      </c>
      <c r="AD239" s="22" t="n">
        <v>0.065</v>
      </c>
      <c r="AE239" s="22" t="n">
        <v>0.0693</v>
      </c>
      <c r="AF239" s="22" t="n">
        <v>0.0569</v>
      </c>
      <c r="AG239" s="22" t="n">
        <v>0.0731</v>
      </c>
      <c r="AH239" s="22" t="n">
        <v>0.0374</v>
      </c>
      <c r="AI239" s="22" t="n">
        <v>0.0907</v>
      </c>
      <c r="AJ239" s="22" t="n">
        <v>0.1554</v>
      </c>
      <c r="AK239" s="22" t="n">
        <v>0.1561</v>
      </c>
      <c r="AL239" s="22" t="n">
        <v>0.1267</v>
      </c>
      <c r="AM239" s="22" t="n">
        <v>0.0698</v>
      </c>
      <c r="AN239" s="22" t="n">
        <v>-0.01</v>
      </c>
      <c r="AO239" s="22" t="n">
        <v>0.0277</v>
      </c>
      <c r="AP239" s="22" t="n">
        <v>0.0807</v>
      </c>
      <c r="AQ239" s="22" t="n">
        <v>0.1218</v>
      </c>
      <c r="AR239" s="22" t="n">
        <v>0.1501</v>
      </c>
      <c r="AS239" s="22" t="n">
        <v>0.0762</v>
      </c>
      <c r="AT239" s="22" t="n">
        <v>-0.0049</v>
      </c>
      <c r="AU239" s="22" t="n">
        <v>0.0558</v>
      </c>
      <c r="AV239" s="22" t="n">
        <v>0.0458</v>
      </c>
    </row>
    <row r="240" customFormat="false" ht="15" hidden="false" customHeight="false" outlineLevel="0" collapsed="false">
      <c r="A240" s="22" t="s">
        <v>434</v>
      </c>
      <c r="B240" s="22" t="s">
        <v>3</v>
      </c>
      <c r="C240" s="22" t="s">
        <v>434</v>
      </c>
      <c r="D240" s="22" t="n">
        <v>26020</v>
      </c>
      <c r="E240" s="22" t="s">
        <v>132</v>
      </c>
      <c r="F240" s="22" t="s">
        <v>135</v>
      </c>
      <c r="G240" s="22" t="s">
        <v>131</v>
      </c>
      <c r="H240" s="22" t="s">
        <v>131</v>
      </c>
      <c r="I240" s="22" t="n">
        <v>-0.1411</v>
      </c>
      <c r="J240" s="22" t="n">
        <v>-0.1467</v>
      </c>
      <c r="K240" s="22" t="n">
        <v>-0.1516</v>
      </c>
      <c r="L240" s="22" t="n">
        <v>-0.1341</v>
      </c>
      <c r="M240" s="22" t="n">
        <v>-0.02</v>
      </c>
      <c r="N240" s="22" t="n">
        <v>0.001</v>
      </c>
      <c r="O240" s="22" t="n">
        <v>0.035</v>
      </c>
      <c r="P240" s="22" t="n">
        <v>0.0434</v>
      </c>
      <c r="Q240" s="22" t="n">
        <v>0.048</v>
      </c>
      <c r="R240" s="22" t="n">
        <v>0.0667</v>
      </c>
      <c r="S240" s="22" t="n">
        <v>0.1132</v>
      </c>
      <c r="T240" s="22" t="n">
        <v>0.1724</v>
      </c>
      <c r="U240" s="22" t="n">
        <v>0.1813</v>
      </c>
      <c r="V240" s="22" t="n">
        <v>0.2156</v>
      </c>
      <c r="W240" s="22" t="n">
        <v>0.1582</v>
      </c>
      <c r="X240" s="22" t="n">
        <v>0.1102</v>
      </c>
      <c r="Y240" s="22" t="n">
        <v>0.1062</v>
      </c>
      <c r="Z240" s="22" t="n">
        <v>-0.0081</v>
      </c>
      <c r="AA240" s="22" t="n">
        <v>-0.08</v>
      </c>
      <c r="AB240" s="22" t="n">
        <v>-0.0901</v>
      </c>
      <c r="AC240" s="22"/>
      <c r="AD240" s="22"/>
      <c r="AE240" s="22" t="n">
        <v>-0.0353</v>
      </c>
      <c r="AF240" s="22" t="n">
        <v>-0.0311</v>
      </c>
      <c r="AG240" s="22" t="n">
        <v>0.1402</v>
      </c>
      <c r="AH240" s="22" t="n">
        <v>0.1457</v>
      </c>
      <c r="AI240" s="22" t="n">
        <v>0.0944</v>
      </c>
      <c r="AJ240" s="22" t="n">
        <v>0.0976</v>
      </c>
      <c r="AK240" s="22" t="n">
        <v>0.1059</v>
      </c>
      <c r="AL240" s="22" t="n">
        <v>0.0725</v>
      </c>
      <c r="AM240" s="22" t="n">
        <v>0.0571</v>
      </c>
      <c r="AN240" s="22" t="n">
        <v>0.0524</v>
      </c>
      <c r="AO240" s="22" t="n">
        <v>0.0433</v>
      </c>
      <c r="AP240" s="22" t="n">
        <v>0.0694</v>
      </c>
      <c r="AQ240" s="22" t="n">
        <v>0.111</v>
      </c>
      <c r="AR240" s="22" t="n">
        <v>0.1641</v>
      </c>
      <c r="AS240" s="22" t="n">
        <v>0.1712</v>
      </c>
      <c r="AT240" s="22" t="n">
        <v>0.1715</v>
      </c>
      <c r="AU240" s="22" t="n">
        <v>0.0666</v>
      </c>
      <c r="AV240" s="22" t="n">
        <v>0.0144</v>
      </c>
    </row>
    <row r="241" customFormat="false" ht="15" hidden="false" customHeight="false" outlineLevel="0" collapsed="false">
      <c r="A241" s="22" t="s">
        <v>435</v>
      </c>
      <c r="B241" s="22" t="s">
        <v>3</v>
      </c>
      <c r="C241" s="22" t="s">
        <v>435</v>
      </c>
      <c r="D241" s="22" t="n">
        <v>26300</v>
      </c>
      <c r="E241" s="22" t="s">
        <v>132</v>
      </c>
      <c r="F241" s="22" t="s">
        <v>135</v>
      </c>
      <c r="G241" s="22" t="s">
        <v>131</v>
      </c>
      <c r="H241" s="22" t="s">
        <v>131</v>
      </c>
      <c r="I241" s="22" t="n">
        <v>0.0266</v>
      </c>
      <c r="J241" s="22" t="n">
        <v>0.0422</v>
      </c>
      <c r="K241" s="22" t="n">
        <v>0.0648</v>
      </c>
      <c r="L241" s="22" t="n">
        <v>0.1185</v>
      </c>
      <c r="M241" s="22" t="n">
        <v>0.1263</v>
      </c>
      <c r="N241" s="22" t="n">
        <v>0.0959</v>
      </c>
      <c r="O241" s="22" t="n">
        <v>0.0792</v>
      </c>
      <c r="P241" s="22" t="n">
        <v>0.0034</v>
      </c>
      <c r="Q241" s="22" t="n">
        <v>-0.0065</v>
      </c>
      <c r="R241" s="22" t="n">
        <v>0.0133</v>
      </c>
      <c r="S241" s="22" t="n">
        <v>0.0125</v>
      </c>
      <c r="T241" s="22" t="n">
        <v>0.0147</v>
      </c>
      <c r="U241" s="22" t="n">
        <v>0.0229</v>
      </c>
      <c r="V241" s="22" t="n">
        <v>0.0135</v>
      </c>
      <c r="W241" s="22" t="n">
        <v>0.0148</v>
      </c>
      <c r="X241" s="22" t="n">
        <v>0.03</v>
      </c>
      <c r="Y241" s="22" t="n">
        <v>0.0201</v>
      </c>
      <c r="Z241" s="22" t="n">
        <v>0.0217</v>
      </c>
      <c r="AA241" s="22" t="n">
        <v>0.0201</v>
      </c>
      <c r="AB241" s="22" t="n">
        <v>0.0019</v>
      </c>
      <c r="AC241" s="22" t="n">
        <v>0.0233</v>
      </c>
      <c r="AD241" s="22" t="n">
        <v>0.0324</v>
      </c>
      <c r="AE241" s="22" t="n">
        <v>0.0329</v>
      </c>
      <c r="AF241" s="22" t="n">
        <v>0.0582</v>
      </c>
      <c r="AG241" s="22" t="n">
        <v>0.1029</v>
      </c>
      <c r="AH241" s="22" t="n">
        <v>0.1488</v>
      </c>
      <c r="AI241" s="22" t="n">
        <v>0.2564</v>
      </c>
      <c r="AJ241" s="22" t="n">
        <v>0.2365</v>
      </c>
      <c r="AK241" s="22" t="n">
        <v>0.1565</v>
      </c>
      <c r="AL241" s="22" t="n">
        <v>0.1299</v>
      </c>
      <c r="AM241" s="22" t="n">
        <v>0.0172</v>
      </c>
      <c r="AN241" s="22" t="n">
        <v>0.0259</v>
      </c>
      <c r="AO241" s="22" t="n">
        <v>0.0479</v>
      </c>
      <c r="AP241" s="22" t="n">
        <v>0.0296</v>
      </c>
      <c r="AQ241" s="22" t="n">
        <v>0.0584</v>
      </c>
      <c r="AR241" s="22" t="n">
        <v>0.0369</v>
      </c>
      <c r="AS241" s="22" t="n">
        <v>0.004</v>
      </c>
      <c r="AT241" s="22" t="n">
        <v>0.0265</v>
      </c>
      <c r="AU241" s="22" t="n">
        <v>0.0541</v>
      </c>
      <c r="AV241" s="22" t="n">
        <v>0.0679</v>
      </c>
    </row>
    <row r="242" customFormat="false" ht="15" hidden="false" customHeight="false" outlineLevel="0" collapsed="false">
      <c r="A242" s="22" t="s">
        <v>436</v>
      </c>
      <c r="B242" s="22" t="s">
        <v>3</v>
      </c>
      <c r="C242" s="22" t="s">
        <v>436</v>
      </c>
      <c r="D242" s="22" t="n">
        <v>26380</v>
      </c>
      <c r="E242" s="22" t="s">
        <v>132</v>
      </c>
      <c r="F242" s="22" t="s">
        <v>135</v>
      </c>
      <c r="G242" s="22" t="s">
        <v>131</v>
      </c>
      <c r="H242" s="22" t="s">
        <v>131</v>
      </c>
      <c r="I242" s="22" t="n">
        <v>-0.0589</v>
      </c>
      <c r="J242" s="22" t="n">
        <v>-0.0546</v>
      </c>
      <c r="K242" s="22" t="n">
        <v>-0.0173</v>
      </c>
      <c r="L242" s="22" t="n">
        <v>0.0715</v>
      </c>
      <c r="M242" s="22" t="n">
        <v>0.0587</v>
      </c>
      <c r="N242" s="22" t="n">
        <v>0.0642</v>
      </c>
      <c r="O242" s="22" t="n">
        <v>0.055</v>
      </c>
      <c r="P242" s="22" t="n">
        <v>-0.0114</v>
      </c>
      <c r="Q242" s="22" t="n">
        <v>0.0213</v>
      </c>
      <c r="R242" s="22" t="n">
        <v>0.0265</v>
      </c>
      <c r="S242" s="22" t="n">
        <v>0.0467</v>
      </c>
      <c r="T242" s="22" t="n">
        <v>0.0434</v>
      </c>
      <c r="U242" s="22" t="n">
        <v>-0.0264</v>
      </c>
      <c r="V242" s="22" t="n">
        <v>-0.0657</v>
      </c>
      <c r="W242" s="22" t="n">
        <v>-0.031</v>
      </c>
      <c r="X242" s="22" t="n">
        <v>-0.0321</v>
      </c>
      <c r="Y242" s="22" t="n">
        <v>-0.0008</v>
      </c>
      <c r="Z242" s="22" t="n">
        <v>0.0385</v>
      </c>
      <c r="AA242" s="22" t="n">
        <v>0.052</v>
      </c>
      <c r="AB242" s="22" t="n">
        <v>0.096</v>
      </c>
      <c r="AC242" s="22" t="n">
        <v>0.0572</v>
      </c>
      <c r="AD242" s="22" t="n">
        <v>0.0704</v>
      </c>
      <c r="AE242" s="22" t="n">
        <v>0.0465</v>
      </c>
      <c r="AF242" s="22" t="n">
        <v>-0.0375</v>
      </c>
      <c r="AG242" s="22" t="n">
        <v>0.078</v>
      </c>
      <c r="AH242" s="22" t="n">
        <v>0.095</v>
      </c>
      <c r="AI242" s="22" t="n">
        <v>0.1222</v>
      </c>
      <c r="AJ242" s="22" t="n">
        <v>0.1618</v>
      </c>
      <c r="AK242" s="22" t="n">
        <v>0.1461</v>
      </c>
      <c r="AL242" s="22" t="n">
        <v>0.1188</v>
      </c>
      <c r="AM242" s="22" t="n">
        <v>0.0631</v>
      </c>
      <c r="AN242" s="22" t="n">
        <v>0.0971</v>
      </c>
      <c r="AO242" s="22" t="n">
        <v>0.0483</v>
      </c>
      <c r="AP242" s="22" t="n">
        <v>0.0221</v>
      </c>
      <c r="AQ242" s="22" t="n">
        <v>-0.0123</v>
      </c>
      <c r="AR242" s="22" t="n">
        <v>0.0049</v>
      </c>
      <c r="AS242" s="22" t="n">
        <v>0.012</v>
      </c>
      <c r="AT242" s="22" t="n">
        <v>0.0938</v>
      </c>
      <c r="AU242" s="22" t="n">
        <v>0.1294</v>
      </c>
      <c r="AV242" s="22" t="n">
        <v>0.0888</v>
      </c>
    </row>
    <row r="243" customFormat="false" ht="15" hidden="false" customHeight="false" outlineLevel="0" collapsed="false">
      <c r="A243" s="22" t="s">
        <v>82</v>
      </c>
      <c r="B243" s="22" t="s">
        <v>3</v>
      </c>
      <c r="C243" s="22" t="s">
        <v>82</v>
      </c>
      <c r="D243" s="22" t="n">
        <v>26420</v>
      </c>
      <c r="E243" s="22" t="s">
        <v>132</v>
      </c>
      <c r="F243" s="22" t="s">
        <v>135</v>
      </c>
      <c r="G243" s="22" t="s">
        <v>131</v>
      </c>
      <c r="H243" s="22" t="s">
        <v>131</v>
      </c>
      <c r="I243" s="22" t="n">
        <v>0.0386</v>
      </c>
      <c r="J243" s="22" t="n">
        <v>0.0208</v>
      </c>
      <c r="K243" s="22" t="n">
        <v>0.0085</v>
      </c>
      <c r="L243" s="22" t="n">
        <v>-0.0042</v>
      </c>
      <c r="M243" s="22" t="n">
        <v>-0.0005</v>
      </c>
      <c r="N243" s="22" t="n">
        <v>0.0006</v>
      </c>
      <c r="O243" s="22" t="n">
        <v>0.011</v>
      </c>
      <c r="P243" s="22" t="n">
        <v>0.063</v>
      </c>
      <c r="Q243" s="22" t="n">
        <v>0.0681</v>
      </c>
      <c r="R243" s="22" t="n">
        <v>0.0762</v>
      </c>
      <c r="S243" s="22" t="n">
        <v>0.0678</v>
      </c>
      <c r="T243" s="22" t="n">
        <v>0.023</v>
      </c>
      <c r="U243" s="22" t="n">
        <v>0.0167</v>
      </c>
      <c r="V243" s="22" t="n">
        <v>0.0118</v>
      </c>
      <c r="W243" s="22" t="n">
        <v>0.0212</v>
      </c>
      <c r="X243" s="22" t="n">
        <v>0.0185</v>
      </c>
      <c r="Y243" s="22" t="n">
        <v>0.0194</v>
      </c>
      <c r="Z243" s="22" t="n">
        <v>-0.0022</v>
      </c>
      <c r="AA243" s="22" t="n">
        <v>-0.0213</v>
      </c>
      <c r="AB243" s="22" t="n">
        <v>-0.0226</v>
      </c>
      <c r="AC243" s="22" t="n">
        <v>-0.0279</v>
      </c>
      <c r="AD243" s="22" t="n">
        <v>0.022</v>
      </c>
      <c r="AE243" s="22" t="n">
        <v>0.0936</v>
      </c>
      <c r="AF243" s="22" t="n">
        <v>0.1325</v>
      </c>
      <c r="AG243" s="22" t="n">
        <v>0.1543</v>
      </c>
      <c r="AH243" s="22" t="n">
        <v>0.1415</v>
      </c>
      <c r="AI243" s="22" t="n">
        <v>0.0985</v>
      </c>
      <c r="AJ243" s="22" t="n">
        <v>0.0728</v>
      </c>
      <c r="AK243" s="22" t="n">
        <v>0.0599</v>
      </c>
      <c r="AL243" s="22" t="n">
        <v>0.0456</v>
      </c>
      <c r="AM243" s="22" t="n">
        <v>0.0278</v>
      </c>
      <c r="AN243" s="22" t="n">
        <v>0.0177</v>
      </c>
      <c r="AO243" s="22" t="n">
        <v>0.0076</v>
      </c>
      <c r="AP243" s="22" t="n">
        <v>0.0001</v>
      </c>
      <c r="AQ243" s="22" t="n">
        <v>-0.0029</v>
      </c>
      <c r="AR243" s="22" t="n">
        <v>-0.0008</v>
      </c>
      <c r="AS243" s="22" t="n">
        <v>-0.0012</v>
      </c>
      <c r="AT243" s="22" t="n">
        <v>0.0042</v>
      </c>
      <c r="AU243" s="22" t="n">
        <v>0.004</v>
      </c>
      <c r="AV243" s="22" t="n">
        <v>0.0025</v>
      </c>
    </row>
    <row r="244" customFormat="false" ht="15" hidden="false" customHeight="false" outlineLevel="0" collapsed="false">
      <c r="A244" s="22" t="s">
        <v>437</v>
      </c>
      <c r="B244" s="22" t="s">
        <v>3</v>
      </c>
      <c r="C244" s="22" t="s">
        <v>437</v>
      </c>
      <c r="D244" s="22" t="n">
        <v>26580</v>
      </c>
      <c r="E244" s="22" t="s">
        <v>132</v>
      </c>
      <c r="F244" s="22" t="s">
        <v>135</v>
      </c>
      <c r="G244" s="22" t="s">
        <v>131</v>
      </c>
      <c r="H244" s="22" t="s">
        <v>131</v>
      </c>
      <c r="I244" s="22" t="n">
        <v>0.0362</v>
      </c>
      <c r="J244" s="22" t="n">
        <v>0.0114</v>
      </c>
      <c r="K244" s="22" t="n">
        <v>0.0333</v>
      </c>
      <c r="L244" s="22" t="n">
        <v>0.0311</v>
      </c>
      <c r="M244" s="22" t="n">
        <v>0.0639</v>
      </c>
      <c r="N244" s="22" t="n">
        <v>0.0343</v>
      </c>
      <c r="O244" s="22" t="n">
        <v>-0.0133</v>
      </c>
      <c r="P244" s="22" t="n">
        <v>0.0016</v>
      </c>
      <c r="Q244" s="22" t="n">
        <v>-0.0314</v>
      </c>
      <c r="R244" s="22" t="n">
        <v>-0.0507</v>
      </c>
      <c r="S244" s="22" t="n">
        <v>-0.0174</v>
      </c>
      <c r="T244" s="22" t="n">
        <v>-0.0048</v>
      </c>
      <c r="U244" s="22" t="n">
        <v>-0.022</v>
      </c>
      <c r="V244" s="22" t="n">
        <v>0.0258</v>
      </c>
      <c r="W244" s="22" t="n">
        <v>-0.0161</v>
      </c>
      <c r="X244" s="22" t="n">
        <v>-0.0476</v>
      </c>
      <c r="Y244" s="22" t="n">
        <v>-0.0419</v>
      </c>
      <c r="Z244" s="22" t="n">
        <v>0.0039</v>
      </c>
      <c r="AA244" s="22" t="n">
        <v>0.0536</v>
      </c>
      <c r="AB244" s="22" t="n">
        <v>0.0813</v>
      </c>
      <c r="AC244" s="22" t="n">
        <v>0.0782</v>
      </c>
      <c r="AD244" s="22" t="n">
        <v>0.0121</v>
      </c>
      <c r="AE244" s="22" t="n">
        <v>0.0406</v>
      </c>
      <c r="AF244" s="22" t="n">
        <v>0.1275</v>
      </c>
      <c r="AG244" s="22" t="n">
        <v>0.1397</v>
      </c>
      <c r="AH244" s="22" t="n">
        <v>0.1621</v>
      </c>
      <c r="AI244" s="22" t="n">
        <v>0.0929</v>
      </c>
      <c r="AJ244" s="22" t="n">
        <v>0.0123</v>
      </c>
      <c r="AK244" s="22" t="n">
        <v>0.0127</v>
      </c>
      <c r="AL244" s="22" t="n">
        <v>0.0701</v>
      </c>
      <c r="AM244" s="22" t="n">
        <v>0.1154</v>
      </c>
      <c r="AN244" s="22" t="n">
        <v>0.1112</v>
      </c>
      <c r="AO244" s="22" t="n">
        <v>0.097</v>
      </c>
      <c r="AP244" s="22" t="n">
        <v>0.0278</v>
      </c>
      <c r="AQ244" s="22" t="n">
        <v>0.029</v>
      </c>
      <c r="AR244" s="22" t="n">
        <v>0.0507</v>
      </c>
      <c r="AS244" s="22" t="n">
        <v>0.0649</v>
      </c>
      <c r="AT244" s="22"/>
      <c r="AU244" s="22"/>
      <c r="AV244" s="22"/>
    </row>
    <row r="245" customFormat="false" ht="15" hidden="false" customHeight="false" outlineLevel="0" collapsed="false">
      <c r="A245" s="22" t="s">
        <v>60</v>
      </c>
      <c r="B245" s="22" t="s">
        <v>3</v>
      </c>
      <c r="C245" s="22" t="s">
        <v>60</v>
      </c>
      <c r="D245" s="22" t="n">
        <v>26620</v>
      </c>
      <c r="E245" s="22" t="s">
        <v>132</v>
      </c>
      <c r="F245" s="22" t="s">
        <v>135</v>
      </c>
      <c r="G245" s="22" t="s">
        <v>131</v>
      </c>
      <c r="H245" s="22" t="s">
        <v>131</v>
      </c>
      <c r="I245" s="22" t="n">
        <v>0.0346</v>
      </c>
      <c r="J245" s="22" t="n">
        <v>0.0438</v>
      </c>
      <c r="K245" s="22" t="n">
        <v>0.0273</v>
      </c>
      <c r="L245" s="22" t="n">
        <v>0.0257</v>
      </c>
      <c r="M245" s="22" t="n">
        <v>0.0214</v>
      </c>
      <c r="N245" s="22" t="n">
        <v>0.0262</v>
      </c>
      <c r="O245" s="22" t="n">
        <v>0.0575</v>
      </c>
      <c r="P245" s="22" t="n">
        <v>0.06</v>
      </c>
      <c r="Q245" s="22" t="n">
        <v>0.0665</v>
      </c>
      <c r="R245" s="22" t="n">
        <v>0.0631</v>
      </c>
      <c r="S245" s="22" t="n">
        <v>0.0773</v>
      </c>
      <c r="T245" s="22" t="n">
        <v>0.0877</v>
      </c>
      <c r="U245" s="22" t="n">
        <v>0.0654</v>
      </c>
      <c r="V245" s="22" t="n">
        <v>0.0736</v>
      </c>
      <c r="W245" s="22" t="n">
        <v>0.0632</v>
      </c>
      <c r="X245" s="22" t="n">
        <v>0.0696</v>
      </c>
      <c r="Y245" s="22" t="n">
        <v>0.0997</v>
      </c>
      <c r="Z245" s="22" t="n">
        <v>0.0735</v>
      </c>
      <c r="AA245" s="22" t="n">
        <v>0.0683</v>
      </c>
      <c r="AB245" s="22" t="n">
        <v>0.0777</v>
      </c>
      <c r="AC245" s="22" t="n">
        <v>0.0606</v>
      </c>
      <c r="AD245" s="22" t="n">
        <v>0.0884</v>
      </c>
      <c r="AE245" s="22" t="n">
        <v>0.1306</v>
      </c>
      <c r="AF245" s="22" t="n">
        <v>0.1369</v>
      </c>
      <c r="AG245" s="22" t="n">
        <v>0.1722</v>
      </c>
      <c r="AH245" s="22" t="n">
        <v>0.1666</v>
      </c>
      <c r="AI245" s="22" t="n">
        <v>0.1269</v>
      </c>
      <c r="AJ245" s="22" t="n">
        <v>0.0963</v>
      </c>
      <c r="AK245" s="22" t="n">
        <v>0.0615</v>
      </c>
      <c r="AL245" s="22" t="n">
        <v>0.0397</v>
      </c>
      <c r="AM245" s="22" t="n">
        <v>0.007</v>
      </c>
      <c r="AN245" s="22" t="n">
        <v>0.0084</v>
      </c>
      <c r="AO245" s="22" t="n">
        <v>-0.0087</v>
      </c>
      <c r="AP245" s="22" t="n">
        <v>-0.016</v>
      </c>
      <c r="AQ245" s="22" t="n">
        <v>-0.0258</v>
      </c>
      <c r="AR245" s="22" t="n">
        <v>-0.0318</v>
      </c>
      <c r="AS245" s="22" t="n">
        <v>-0.0203</v>
      </c>
      <c r="AT245" s="22" t="n">
        <v>-0.0029</v>
      </c>
      <c r="AU245" s="22" t="n">
        <v>0.0087</v>
      </c>
      <c r="AV245" s="22" t="n">
        <v>-0.0053</v>
      </c>
    </row>
    <row r="246" customFormat="false" ht="15" hidden="false" customHeight="false" outlineLevel="0" collapsed="false">
      <c r="A246" s="22" t="s">
        <v>438</v>
      </c>
      <c r="B246" s="22" t="s">
        <v>3</v>
      </c>
      <c r="C246" s="22" t="s">
        <v>438</v>
      </c>
      <c r="D246" s="22" t="n">
        <v>26660</v>
      </c>
      <c r="E246" s="22" t="s">
        <v>132</v>
      </c>
      <c r="F246" s="22" t="s">
        <v>135</v>
      </c>
      <c r="G246" s="22" t="s">
        <v>131</v>
      </c>
      <c r="H246" s="22" t="s">
        <v>131</v>
      </c>
      <c r="I246" s="22" t="n">
        <v>0.0646</v>
      </c>
      <c r="J246" s="22" t="n">
        <v>0.0623</v>
      </c>
      <c r="K246" s="22" t="n">
        <v>0.0654</v>
      </c>
      <c r="L246" s="22" t="n">
        <v>0.0632</v>
      </c>
      <c r="M246" s="22" t="n">
        <v>0.0453</v>
      </c>
      <c r="N246" s="22" t="n">
        <v>0.0342</v>
      </c>
      <c r="O246" s="22" t="n">
        <v>0.0372</v>
      </c>
      <c r="P246" s="22" t="n">
        <v>0.0124</v>
      </c>
      <c r="Q246" s="22" t="n">
        <v>0.0039</v>
      </c>
      <c r="R246" s="22" t="n">
        <v>-0.006</v>
      </c>
      <c r="S246" s="22" t="n">
        <v>-0.029</v>
      </c>
      <c r="T246" s="22" t="n">
        <v>0.0051</v>
      </c>
      <c r="U246" s="22" t="n">
        <v>0.0131</v>
      </c>
      <c r="V246" s="22" t="n">
        <v>0.0114</v>
      </c>
      <c r="W246" s="22" t="n">
        <v>0.0099</v>
      </c>
      <c r="X246" s="22" t="n">
        <v>-0.0095</v>
      </c>
      <c r="Y246" s="22" t="n">
        <v>0.0044</v>
      </c>
      <c r="Z246" s="22" t="n">
        <v>0.0125</v>
      </c>
      <c r="AA246" s="22" t="n">
        <v>0.0053</v>
      </c>
      <c r="AB246" s="22" t="n">
        <v>0.0034</v>
      </c>
      <c r="AC246" s="22" t="n">
        <v>0.0006</v>
      </c>
      <c r="AD246" s="22" t="n">
        <v>0.0037</v>
      </c>
      <c r="AE246" s="22" t="n">
        <v>0.0537</v>
      </c>
      <c r="AF246" s="22" t="n">
        <v>0.0702</v>
      </c>
      <c r="AG246" s="22" t="n">
        <v>0.0792</v>
      </c>
      <c r="AH246" s="22" t="n">
        <v>0.0928</v>
      </c>
      <c r="AI246" s="22" t="n">
        <v>0.0786</v>
      </c>
      <c r="AJ246" s="22" t="n">
        <v>0.0628</v>
      </c>
      <c r="AK246" s="22" t="n">
        <v>0.0789</v>
      </c>
      <c r="AL246" s="22" t="n">
        <v>0.0651</v>
      </c>
      <c r="AM246" s="22" t="n">
        <v>0.0368</v>
      </c>
      <c r="AN246" s="22" t="n">
        <v>0.0373</v>
      </c>
      <c r="AO246" s="22" t="n">
        <v>0.0129</v>
      </c>
      <c r="AP246" s="22" t="n">
        <v>0.0038</v>
      </c>
      <c r="AQ246" s="22" t="n">
        <v>0.0781</v>
      </c>
      <c r="AR246" s="22" t="n">
        <v>0.0774</v>
      </c>
      <c r="AS246" s="22" t="n">
        <v>0.0498</v>
      </c>
      <c r="AT246" s="22" t="n">
        <v>0.1509</v>
      </c>
      <c r="AU246" s="22" t="n">
        <v>0.0911</v>
      </c>
      <c r="AV246" s="22" t="n">
        <v>0.058</v>
      </c>
    </row>
    <row r="247" customFormat="false" ht="15" hidden="false" customHeight="false" outlineLevel="0" collapsed="false">
      <c r="A247" s="22" t="s">
        <v>439</v>
      </c>
      <c r="B247" s="22" t="s">
        <v>3</v>
      </c>
      <c r="C247" s="22" t="s">
        <v>439</v>
      </c>
      <c r="D247" s="22" t="n">
        <v>26740</v>
      </c>
      <c r="E247" s="22" t="s">
        <v>132</v>
      </c>
      <c r="F247" s="22" t="s">
        <v>135</v>
      </c>
      <c r="G247" s="22" t="s">
        <v>131</v>
      </c>
      <c r="H247" s="22" t="s">
        <v>131</v>
      </c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 t="n">
        <v>-0.1274</v>
      </c>
      <c r="AN247" s="22" t="n">
        <v>-0.1485</v>
      </c>
      <c r="AO247" s="22" t="n">
        <v>-0.1576</v>
      </c>
      <c r="AP247" s="22" t="n">
        <v>-0.1481</v>
      </c>
      <c r="AQ247" s="22" t="n">
        <v>0.018</v>
      </c>
      <c r="AR247" s="22" t="n">
        <v>0.0183</v>
      </c>
      <c r="AS247" s="22" t="n">
        <v>0.0377</v>
      </c>
      <c r="AT247" s="22" t="n">
        <v>0.0634</v>
      </c>
      <c r="AU247" s="22" t="n">
        <v>0.0383</v>
      </c>
      <c r="AV247" s="22" t="n">
        <v>0.0263</v>
      </c>
    </row>
    <row r="248" customFormat="false" ht="15" hidden="false" customHeight="false" outlineLevel="0" collapsed="false">
      <c r="A248" s="22" t="s">
        <v>440</v>
      </c>
      <c r="B248" s="22" t="s">
        <v>3</v>
      </c>
      <c r="C248" s="22" t="s">
        <v>440</v>
      </c>
      <c r="D248" s="22" t="n">
        <v>26780</v>
      </c>
      <c r="E248" s="22" t="s">
        <v>132</v>
      </c>
      <c r="F248" s="22" t="s">
        <v>135</v>
      </c>
      <c r="G248" s="22" t="s">
        <v>131</v>
      </c>
      <c r="H248" s="22" t="s">
        <v>131</v>
      </c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</row>
    <row r="249" customFormat="false" ht="15" hidden="false" customHeight="false" outlineLevel="0" collapsed="false">
      <c r="A249" s="22" t="s">
        <v>441</v>
      </c>
      <c r="B249" s="22" t="s">
        <v>3</v>
      </c>
      <c r="C249" s="22" t="s">
        <v>441</v>
      </c>
      <c r="D249" s="22" t="n">
        <v>26820</v>
      </c>
      <c r="E249" s="22" t="s">
        <v>132</v>
      </c>
      <c r="F249" s="22" t="s">
        <v>135</v>
      </c>
      <c r="G249" s="22" t="s">
        <v>131</v>
      </c>
      <c r="H249" s="22" t="s">
        <v>131</v>
      </c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 t="n">
        <v>0.0179</v>
      </c>
      <c r="AM249" s="22" t="n">
        <v>-0.0069</v>
      </c>
      <c r="AN249" s="22" t="n">
        <v>-0.0802</v>
      </c>
      <c r="AO249" s="22" t="n">
        <v>-0.069</v>
      </c>
      <c r="AP249" s="22" t="n">
        <v>-0.0454</v>
      </c>
      <c r="AQ249" s="22" t="n">
        <v>-0.0429</v>
      </c>
      <c r="AR249" s="22" t="n">
        <v>0.0001</v>
      </c>
      <c r="AS249" s="22" t="n">
        <v>-0.0387</v>
      </c>
      <c r="AT249" s="22" t="n">
        <v>0.0137</v>
      </c>
      <c r="AU249" s="22" t="n">
        <v>-0.0241</v>
      </c>
      <c r="AV249" s="22" t="n">
        <v>0.005</v>
      </c>
    </row>
    <row r="250" customFormat="false" ht="15" hidden="false" customHeight="false" outlineLevel="0" collapsed="false">
      <c r="A250" s="22" t="s">
        <v>442</v>
      </c>
      <c r="B250" s="22" t="s">
        <v>3</v>
      </c>
      <c r="C250" s="22" t="s">
        <v>442</v>
      </c>
      <c r="D250" s="22" t="n">
        <v>26860</v>
      </c>
      <c r="E250" s="22" t="s">
        <v>132</v>
      </c>
      <c r="F250" s="22" t="s">
        <v>135</v>
      </c>
      <c r="G250" s="22" t="s">
        <v>131</v>
      </c>
      <c r="H250" s="22" t="s">
        <v>131</v>
      </c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</row>
    <row r="251" customFormat="false" ht="15" hidden="false" customHeight="false" outlineLevel="0" collapsed="false">
      <c r="A251" s="22" t="s">
        <v>57</v>
      </c>
      <c r="B251" s="22" t="s">
        <v>3</v>
      </c>
      <c r="C251" s="22" t="s">
        <v>57</v>
      </c>
      <c r="D251" s="22" t="n">
        <v>226900</v>
      </c>
      <c r="E251" s="22" t="s">
        <v>132</v>
      </c>
      <c r="F251" s="22" t="s">
        <v>135</v>
      </c>
      <c r="G251" s="22" t="s">
        <v>131</v>
      </c>
      <c r="H251" s="22" t="s">
        <v>131</v>
      </c>
      <c r="I251" s="22" t="n">
        <v>0.033</v>
      </c>
      <c r="J251" s="22" t="n">
        <v>0.0413</v>
      </c>
      <c r="K251" s="22" t="n">
        <v>0.0473</v>
      </c>
      <c r="L251" s="22" t="n">
        <v>0.0411</v>
      </c>
      <c r="M251" s="22" t="n">
        <v>0.0425</v>
      </c>
      <c r="N251" s="22" t="n">
        <v>0.044</v>
      </c>
      <c r="O251" s="22" t="n">
        <v>0.044</v>
      </c>
      <c r="P251" s="22" t="n">
        <v>0.0442</v>
      </c>
      <c r="Q251" s="22" t="n">
        <v>0.0469</v>
      </c>
      <c r="R251" s="22" t="n">
        <v>0.0446</v>
      </c>
      <c r="S251" s="22" t="n">
        <v>0.0517</v>
      </c>
      <c r="T251" s="22" t="n">
        <v>0.0501</v>
      </c>
      <c r="U251" s="22" t="n">
        <v>0.0395</v>
      </c>
      <c r="V251" s="22" t="n">
        <v>0.0458</v>
      </c>
      <c r="W251" s="22" t="n">
        <v>0.0487</v>
      </c>
      <c r="X251" s="22" t="n">
        <v>0.0476</v>
      </c>
      <c r="Y251" s="22" t="n">
        <v>0.0544</v>
      </c>
      <c r="Z251" s="22" t="n">
        <v>0.0317</v>
      </c>
      <c r="AA251" s="22" t="n">
        <v>0.0217</v>
      </c>
      <c r="AB251" s="22" t="n">
        <v>0.0294</v>
      </c>
      <c r="AC251" s="22" t="n">
        <v>0.0296</v>
      </c>
      <c r="AD251" s="22" t="n">
        <v>0.0656</v>
      </c>
      <c r="AE251" s="22" t="n">
        <v>0.1156</v>
      </c>
      <c r="AF251" s="22" t="n">
        <v>0.1399</v>
      </c>
      <c r="AG251" s="22" t="n">
        <v>0.1563</v>
      </c>
      <c r="AH251" s="22" t="n">
        <v>0.1663</v>
      </c>
      <c r="AI251" s="22" t="n">
        <v>0.1454</v>
      </c>
      <c r="AJ251" s="22" t="n">
        <v>0.1158</v>
      </c>
      <c r="AK251" s="22" t="n">
        <v>0.0997</v>
      </c>
      <c r="AL251" s="22" t="n">
        <v>0.071</v>
      </c>
      <c r="AM251" s="22" t="n">
        <v>0.0397</v>
      </c>
      <c r="AN251" s="22" t="n">
        <v>0.0373</v>
      </c>
      <c r="AO251" s="22" t="n">
        <v>0.0332</v>
      </c>
      <c r="AP251" s="22" t="n">
        <v>0.0312</v>
      </c>
      <c r="AQ251" s="22" t="n">
        <v>0.0304</v>
      </c>
      <c r="AR251" s="22" t="n">
        <v>0.0302</v>
      </c>
      <c r="AS251" s="22" t="n">
        <v>0.0275</v>
      </c>
      <c r="AT251" s="22" t="n">
        <v>0.0209</v>
      </c>
      <c r="AU251" s="22" t="n">
        <v>0.0216</v>
      </c>
      <c r="AV251" s="22" t="n">
        <v>0.0123</v>
      </c>
    </row>
    <row r="252" customFormat="false" ht="15" hidden="false" customHeight="false" outlineLevel="0" collapsed="false">
      <c r="A252" s="22" t="s">
        <v>443</v>
      </c>
      <c r="B252" s="22" t="s">
        <v>3</v>
      </c>
      <c r="C252" s="22" t="s">
        <v>443</v>
      </c>
      <c r="D252" s="22" t="n">
        <v>26980</v>
      </c>
      <c r="E252" s="22" t="s">
        <v>132</v>
      </c>
      <c r="F252" s="22" t="s">
        <v>135</v>
      </c>
      <c r="G252" s="22" t="s">
        <v>131</v>
      </c>
      <c r="H252" s="22" t="s">
        <v>131</v>
      </c>
      <c r="I252" s="22" t="n">
        <v>0.0963</v>
      </c>
      <c r="J252" s="22" t="n">
        <v>0.0545</v>
      </c>
      <c r="K252" s="22" t="n">
        <v>0.0373</v>
      </c>
      <c r="L252" s="22" t="n">
        <v>-0.0049</v>
      </c>
      <c r="M252" s="22" t="n">
        <v>-0.0092</v>
      </c>
      <c r="N252" s="22" t="n">
        <v>0.0234</v>
      </c>
      <c r="O252" s="22" t="n">
        <v>0.0488</v>
      </c>
      <c r="P252" s="22" t="n">
        <v>0.0742</v>
      </c>
      <c r="Q252" s="22" t="n">
        <v>0.0658</v>
      </c>
      <c r="R252" s="22" t="n">
        <v>0.0449</v>
      </c>
      <c r="S252" s="22" t="n">
        <v>0.0121</v>
      </c>
      <c r="T252" s="22" t="n">
        <v>0.0648</v>
      </c>
      <c r="U252" s="22" t="n">
        <v>0.0267</v>
      </c>
      <c r="V252" s="22" t="n">
        <v>0.019</v>
      </c>
      <c r="W252" s="22" t="n">
        <v>0.0439</v>
      </c>
      <c r="X252" s="22" t="n">
        <v>-0.0175</v>
      </c>
      <c r="Y252" s="22" t="n">
        <v>0.0731</v>
      </c>
      <c r="Z252" s="22" t="n">
        <v>0.0616</v>
      </c>
      <c r="AA252" s="22" t="n">
        <v>0.0711</v>
      </c>
      <c r="AB252" s="22" t="n">
        <v>0.0729</v>
      </c>
      <c r="AC252" s="22" t="n">
        <v>0.0228</v>
      </c>
      <c r="AD252" s="22" t="n">
        <v>0.0301</v>
      </c>
      <c r="AE252" s="22" t="n">
        <v>0.0145</v>
      </c>
      <c r="AF252" s="22" t="n">
        <v>0.0157</v>
      </c>
      <c r="AG252" s="22" t="n">
        <v>0.0512</v>
      </c>
      <c r="AH252" s="22" t="n">
        <v>0.064</v>
      </c>
      <c r="AI252" s="22" t="n">
        <v>0.0781</v>
      </c>
      <c r="AJ252" s="22" t="n">
        <v>0.0883</v>
      </c>
      <c r="AK252" s="22" t="n">
        <v>0.0494</v>
      </c>
      <c r="AL252" s="22" t="n">
        <v>0.0145</v>
      </c>
      <c r="AM252" s="22" t="n">
        <v>0.0044</v>
      </c>
      <c r="AN252" s="22" t="n">
        <v>-0.0168</v>
      </c>
      <c r="AO252" s="22" t="n">
        <v>-0.0149</v>
      </c>
      <c r="AP252" s="22" t="n">
        <v>0.0124</v>
      </c>
      <c r="AQ252" s="22" t="n">
        <v>0.0239</v>
      </c>
      <c r="AR252" s="22" t="n">
        <v>0.0495</v>
      </c>
      <c r="AS252" s="22" t="n">
        <v>0.0555</v>
      </c>
      <c r="AT252" s="22" t="n">
        <v>0.0522</v>
      </c>
      <c r="AU252" s="22" t="n">
        <v>0.0232</v>
      </c>
      <c r="AV252" s="22" t="n">
        <v>0.0142</v>
      </c>
    </row>
    <row r="253" customFormat="false" ht="15" hidden="false" customHeight="false" outlineLevel="0" collapsed="false">
      <c r="A253" s="22" t="s">
        <v>444</v>
      </c>
      <c r="B253" s="22" t="s">
        <v>3</v>
      </c>
      <c r="C253" s="22" t="s">
        <v>444</v>
      </c>
      <c r="D253" s="22" t="n">
        <v>27020</v>
      </c>
      <c r="E253" s="22" t="s">
        <v>132</v>
      </c>
      <c r="F253" s="22" t="s">
        <v>135</v>
      </c>
      <c r="G253" s="22" t="s">
        <v>131</v>
      </c>
      <c r="H253" s="22" t="s">
        <v>131</v>
      </c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</row>
    <row r="254" customFormat="false" ht="15" hidden="false" customHeight="false" outlineLevel="0" collapsed="false">
      <c r="A254" s="22" t="s">
        <v>445</v>
      </c>
      <c r="B254" s="22" t="s">
        <v>3</v>
      </c>
      <c r="C254" s="22" t="s">
        <v>445</v>
      </c>
      <c r="D254" s="22" t="n">
        <v>27060</v>
      </c>
      <c r="E254" s="22" t="s">
        <v>132</v>
      </c>
      <c r="F254" s="22" t="s">
        <v>135</v>
      </c>
      <c r="G254" s="22" t="s">
        <v>131</v>
      </c>
      <c r="H254" s="22" t="s">
        <v>131</v>
      </c>
      <c r="I254" s="22"/>
      <c r="J254" s="22"/>
      <c r="K254" s="22"/>
      <c r="L254" s="22" t="n">
        <v>-0.09</v>
      </c>
      <c r="M254" s="22" t="n">
        <v>-0.0889</v>
      </c>
      <c r="N254" s="22" t="n">
        <v>-0.0789</v>
      </c>
      <c r="O254" s="22" t="n">
        <v>-0.0533</v>
      </c>
      <c r="P254" s="22" t="n">
        <v>0.0328</v>
      </c>
      <c r="Q254" s="22" t="n">
        <v>0.0116</v>
      </c>
      <c r="R254" s="22" t="n">
        <v>0.0014</v>
      </c>
      <c r="S254" s="22" t="n">
        <v>-0.006</v>
      </c>
      <c r="T254" s="22" t="n">
        <v>-0.0164</v>
      </c>
      <c r="U254" s="22" t="n">
        <v>0.0024</v>
      </c>
      <c r="V254" s="22" t="n">
        <v>-0.0069</v>
      </c>
      <c r="W254" s="22" t="n">
        <v>-0.0666</v>
      </c>
      <c r="X254" s="22" t="n">
        <v>0.125</v>
      </c>
      <c r="Y254" s="22" t="n">
        <v>0.091</v>
      </c>
      <c r="Z254" s="22" t="n">
        <v>0.1301</v>
      </c>
      <c r="AA254" s="22" t="n">
        <v>0.2165</v>
      </c>
      <c r="AB254" s="22" t="n">
        <v>0.0638</v>
      </c>
      <c r="AC254" s="22" t="n">
        <v>0.1078</v>
      </c>
      <c r="AD254" s="22" t="n">
        <v>0.1088</v>
      </c>
      <c r="AE254" s="22" t="n">
        <v>0.127</v>
      </c>
      <c r="AF254" s="22" t="n">
        <v>0.1055</v>
      </c>
      <c r="AG254" s="22" t="n">
        <v>0.1197</v>
      </c>
      <c r="AH254" s="22" t="n">
        <v>0.1966</v>
      </c>
      <c r="AI254" s="22" t="n">
        <v>0.2051</v>
      </c>
      <c r="AJ254" s="22" t="n">
        <v>0.1795</v>
      </c>
      <c r="AK254" s="22" t="n">
        <v>0.1268</v>
      </c>
      <c r="AL254" s="22" t="n">
        <v>0.0451</v>
      </c>
      <c r="AM254" s="22" t="n">
        <v>0.0183</v>
      </c>
      <c r="AN254" s="22" t="n">
        <v>0.0729</v>
      </c>
      <c r="AO254" s="22" t="n">
        <v>0.1104</v>
      </c>
      <c r="AP254" s="22" t="n">
        <v>0.1332</v>
      </c>
      <c r="AQ254" s="22" t="n">
        <v>0.1436</v>
      </c>
      <c r="AR254" s="22" t="n">
        <v>0.0706</v>
      </c>
      <c r="AS254" s="22" t="n">
        <v>0.0406</v>
      </c>
      <c r="AT254" s="22" t="n">
        <v>-0.0049</v>
      </c>
      <c r="AU254" s="22" t="n">
        <v>-0.0031</v>
      </c>
      <c r="AV254" s="22" t="n">
        <v>0.0071</v>
      </c>
    </row>
    <row r="255" customFormat="false" ht="15" hidden="false" customHeight="false" outlineLevel="0" collapsed="false">
      <c r="A255" s="22" t="s">
        <v>446</v>
      </c>
      <c r="B255" s="22" t="s">
        <v>3</v>
      </c>
      <c r="C255" s="22" t="s">
        <v>446</v>
      </c>
      <c r="D255" s="22" t="n">
        <v>27100</v>
      </c>
      <c r="E255" s="22" t="s">
        <v>132</v>
      </c>
      <c r="F255" s="22" t="s">
        <v>135</v>
      </c>
      <c r="G255" s="22" t="s">
        <v>131</v>
      </c>
      <c r="H255" s="22" t="s">
        <v>131</v>
      </c>
      <c r="I255" s="22" t="n">
        <v>0.1661</v>
      </c>
      <c r="J255" s="22" t="n">
        <v>0.1472</v>
      </c>
      <c r="K255" s="22" t="n">
        <v>-0.0473</v>
      </c>
      <c r="L255" s="22" t="n">
        <v>-0.0933</v>
      </c>
      <c r="M255" s="22" t="n">
        <v>-0.101</v>
      </c>
      <c r="N255" s="22" t="n">
        <v>-0.1148</v>
      </c>
      <c r="O255" s="22" t="n">
        <v>-0.0452</v>
      </c>
      <c r="P255" s="22" t="n">
        <v>-0.0173</v>
      </c>
      <c r="Q255" s="22" t="n">
        <v>0.0373</v>
      </c>
      <c r="R255" s="22" t="n">
        <v>0.0424</v>
      </c>
      <c r="S255" s="22" t="n">
        <v>0.0494</v>
      </c>
      <c r="T255" s="22" t="n">
        <v>0.046</v>
      </c>
      <c r="U255" s="22" t="n">
        <v>0.0321</v>
      </c>
      <c r="V255" s="22" t="n">
        <v>0.0317</v>
      </c>
      <c r="W255" s="22" t="n">
        <v>0.025</v>
      </c>
      <c r="X255" s="22" t="n">
        <v>0.0202</v>
      </c>
      <c r="Y255" s="22" t="n">
        <v>0.0362</v>
      </c>
      <c r="Z255" s="22" t="n">
        <v>0.058</v>
      </c>
      <c r="AA255" s="22" t="n">
        <v>0.0725</v>
      </c>
      <c r="AB255" s="22" t="n">
        <v>0.1321</v>
      </c>
      <c r="AC255" s="22" t="n">
        <v>0.1331</v>
      </c>
      <c r="AD255" s="22" t="n">
        <v>0.1553</v>
      </c>
      <c r="AE255" s="22" t="n">
        <v>0.1692</v>
      </c>
      <c r="AF255" s="22" t="n">
        <v>0.0944</v>
      </c>
      <c r="AG255" s="22" t="n">
        <v>0.0509</v>
      </c>
      <c r="AH255" s="22" t="n">
        <v>0.0297</v>
      </c>
      <c r="AI255" s="22" t="n">
        <v>0.0548</v>
      </c>
      <c r="AJ255" s="22" t="n">
        <v>0.078</v>
      </c>
      <c r="AK255" s="22" t="n">
        <v>0.1203</v>
      </c>
      <c r="AL255" s="22" t="n">
        <v>0.118</v>
      </c>
      <c r="AM255" s="22" t="n">
        <v>0.0428</v>
      </c>
      <c r="AN255" s="22" t="n">
        <v>0.0604</v>
      </c>
      <c r="AO255" s="22" t="n">
        <v>0.0814</v>
      </c>
      <c r="AP255" s="22" t="n">
        <v>0.06</v>
      </c>
      <c r="AQ255" s="22" t="n">
        <v>0.045</v>
      </c>
      <c r="AR255" s="22" t="n">
        <v>0.021</v>
      </c>
      <c r="AS255" s="22" t="n">
        <v>-0.0137</v>
      </c>
      <c r="AT255" s="22" t="n">
        <v>0.0203</v>
      </c>
      <c r="AU255" s="22" t="n">
        <v>0.0434</v>
      </c>
      <c r="AV255" s="22" t="n">
        <v>0.0479</v>
      </c>
    </row>
    <row r="256" customFormat="false" ht="15" hidden="false" customHeight="false" outlineLevel="0" collapsed="false">
      <c r="A256" s="22" t="s">
        <v>171</v>
      </c>
      <c r="B256" s="22" t="s">
        <v>3</v>
      </c>
      <c r="C256" s="22" t="s">
        <v>171</v>
      </c>
      <c r="D256" s="22" t="n">
        <v>27140</v>
      </c>
      <c r="E256" s="22" t="s">
        <v>132</v>
      </c>
      <c r="F256" s="22" t="s">
        <v>135</v>
      </c>
      <c r="G256" s="22" t="s">
        <v>131</v>
      </c>
      <c r="H256" s="22" t="s">
        <v>131</v>
      </c>
      <c r="I256" s="22" t="n">
        <v>0.0359</v>
      </c>
      <c r="J256" s="22" t="n">
        <v>0.0457</v>
      </c>
      <c r="K256" s="22" t="n">
        <v>0.0353</v>
      </c>
      <c r="L256" s="22" t="n">
        <v>0.0269</v>
      </c>
      <c r="M256" s="22" t="n">
        <v>0.012</v>
      </c>
      <c r="N256" s="22" t="n">
        <v>-0.0036</v>
      </c>
      <c r="O256" s="22" t="n">
        <v>0.0015</v>
      </c>
      <c r="P256" s="22" t="n">
        <v>0.0015</v>
      </c>
      <c r="Q256" s="22" t="n">
        <v>0.0142</v>
      </c>
      <c r="R256" s="22" t="n">
        <v>0.0105</v>
      </c>
      <c r="S256" s="22" t="n">
        <v>0.0231</v>
      </c>
      <c r="T256" s="22" t="n">
        <v>0.0278</v>
      </c>
      <c r="U256" s="22" t="n">
        <v>0.029</v>
      </c>
      <c r="V256" s="22" t="n">
        <v>0.0466</v>
      </c>
      <c r="W256" s="22" t="n">
        <v>0.0439</v>
      </c>
      <c r="X256" s="22" t="n">
        <v>0.0623</v>
      </c>
      <c r="Y256" s="22" t="n">
        <v>0.0614</v>
      </c>
      <c r="Z256" s="22" t="n">
        <v>0.0412</v>
      </c>
      <c r="AA256" s="22" t="n">
        <v>0.0472</v>
      </c>
      <c r="AB256" s="22" t="n">
        <v>0.0418</v>
      </c>
      <c r="AC256" s="22" t="n">
        <v>0.0343</v>
      </c>
      <c r="AD256" s="22" t="n">
        <v>0.0678</v>
      </c>
      <c r="AE256" s="22" t="n">
        <v>0.08</v>
      </c>
      <c r="AF256" s="22" t="n">
        <v>0.088</v>
      </c>
      <c r="AG256" s="22" t="n">
        <v>0.1015</v>
      </c>
      <c r="AH256" s="22" t="n">
        <v>0.1006</v>
      </c>
      <c r="AI256" s="22" t="n">
        <v>0.0967</v>
      </c>
      <c r="AJ256" s="22" t="n">
        <v>0.0867</v>
      </c>
      <c r="AK256" s="22" t="n">
        <v>0.0814</v>
      </c>
      <c r="AL256" s="22" t="n">
        <v>0.0813</v>
      </c>
      <c r="AM256" s="22" t="n">
        <v>0.0651</v>
      </c>
      <c r="AN256" s="22" t="n">
        <v>0.0377</v>
      </c>
      <c r="AO256" s="22" t="n">
        <v>0.0237</v>
      </c>
      <c r="AP256" s="22" t="n">
        <v>0.0171</v>
      </c>
      <c r="AQ256" s="22" t="n">
        <v>0.0127</v>
      </c>
      <c r="AR256" s="22" t="n">
        <v>0.0292</v>
      </c>
      <c r="AS256" s="22" t="n">
        <v>0.0336</v>
      </c>
      <c r="AT256" s="22" t="n">
        <v>0.0413</v>
      </c>
      <c r="AU256" s="22" t="n">
        <v>0.0584</v>
      </c>
      <c r="AV256" s="22" t="n">
        <v>0.0612</v>
      </c>
    </row>
    <row r="257" customFormat="false" ht="15" hidden="false" customHeight="false" outlineLevel="0" collapsed="false">
      <c r="A257" s="22" t="s">
        <v>447</v>
      </c>
      <c r="B257" s="22" t="s">
        <v>3</v>
      </c>
      <c r="C257" s="22" t="s">
        <v>447</v>
      </c>
      <c r="D257" s="22" t="n">
        <v>27180</v>
      </c>
      <c r="E257" s="22" t="s">
        <v>132</v>
      </c>
      <c r="F257" s="22" t="s">
        <v>135</v>
      </c>
      <c r="G257" s="22" t="s">
        <v>131</v>
      </c>
      <c r="H257" s="22" t="s">
        <v>131</v>
      </c>
      <c r="I257" s="22" t="n">
        <v>0.1033</v>
      </c>
      <c r="J257" s="22" t="n">
        <v>0.0163</v>
      </c>
      <c r="K257" s="22" t="n">
        <v>0.0095</v>
      </c>
      <c r="L257" s="22" t="n">
        <v>0.0316</v>
      </c>
      <c r="M257" s="22" t="n">
        <v>-0.011</v>
      </c>
      <c r="N257" s="22" t="n">
        <v>0.0247</v>
      </c>
      <c r="O257" s="22" t="n">
        <v>0.0314</v>
      </c>
      <c r="P257" s="22" t="n">
        <v>0.0238</v>
      </c>
      <c r="Q257" s="22" t="n">
        <v>0.0338</v>
      </c>
      <c r="R257" s="22" t="n">
        <v>0.0044</v>
      </c>
      <c r="S257" s="22" t="n">
        <v>-0.0045</v>
      </c>
      <c r="T257" s="22" t="n">
        <v>0.0198</v>
      </c>
      <c r="U257" s="22" t="n">
        <v>0.0195</v>
      </c>
      <c r="V257" s="22" t="n">
        <v>0.0224</v>
      </c>
      <c r="W257" s="22" t="n">
        <v>0.0165</v>
      </c>
      <c r="X257" s="22" t="n">
        <v>0.0099</v>
      </c>
      <c r="Y257" s="22" t="n">
        <v>0.0258</v>
      </c>
      <c r="Z257" s="22" t="n">
        <v>0.0525</v>
      </c>
      <c r="AA257" s="22" t="n">
        <v>0.0646</v>
      </c>
      <c r="AB257" s="22" t="n">
        <v>0.0804</v>
      </c>
      <c r="AC257" s="22" t="n">
        <v>0.0752</v>
      </c>
      <c r="AD257" s="22" t="n">
        <v>0.0786</v>
      </c>
      <c r="AE257" s="22" t="n">
        <v>0.1022</v>
      </c>
      <c r="AF257" s="22" t="n">
        <v>0.1344</v>
      </c>
      <c r="AG257" s="22" t="n">
        <v>0.159</v>
      </c>
      <c r="AH257" s="22" t="n">
        <v>0.1709</v>
      </c>
      <c r="AI257" s="22" t="n">
        <v>0.1364</v>
      </c>
      <c r="AJ257" s="22" t="n">
        <v>0.049</v>
      </c>
      <c r="AK257" s="22" t="n">
        <v>0.053</v>
      </c>
      <c r="AL257" s="22" t="n">
        <v>0.0422</v>
      </c>
      <c r="AM257" s="22" t="n">
        <v>0.0427</v>
      </c>
      <c r="AN257" s="22" t="n">
        <v>0.0665</v>
      </c>
      <c r="AO257" s="22" t="n">
        <v>0.0239</v>
      </c>
      <c r="AP257" s="22" t="n">
        <v>0.02</v>
      </c>
      <c r="AQ257" s="22" t="n">
        <v>0.0146</v>
      </c>
      <c r="AR257" s="22" t="n">
        <v>0.0347</v>
      </c>
      <c r="AS257" s="22" t="n">
        <v>0.0468</v>
      </c>
      <c r="AT257" s="22" t="n">
        <v>0.0355</v>
      </c>
      <c r="AU257" s="22" t="n">
        <v>0.0456</v>
      </c>
      <c r="AV257" s="22" t="n">
        <v>0.0167</v>
      </c>
    </row>
    <row r="258" customFormat="false" ht="15" hidden="false" customHeight="false" outlineLevel="0" collapsed="false">
      <c r="A258" s="22" t="s">
        <v>62</v>
      </c>
      <c r="B258" s="22" t="s">
        <v>3</v>
      </c>
      <c r="C258" s="22" t="s">
        <v>62</v>
      </c>
      <c r="D258" s="22" t="n">
        <v>27260</v>
      </c>
      <c r="E258" s="22" t="s">
        <v>132</v>
      </c>
      <c r="F258" s="22" t="s">
        <v>135</v>
      </c>
      <c r="G258" s="22" t="s">
        <v>131</v>
      </c>
      <c r="H258" s="22" t="s">
        <v>131</v>
      </c>
      <c r="I258" s="22" t="n">
        <v>0.0635</v>
      </c>
      <c r="J258" s="22" t="n">
        <v>0.052</v>
      </c>
      <c r="K258" s="22" t="n">
        <v>0.0468</v>
      </c>
      <c r="L258" s="22" t="n">
        <v>0.0495</v>
      </c>
      <c r="M258" s="22" t="n">
        <v>0.0471</v>
      </c>
      <c r="N258" s="22" t="n">
        <v>0.0533</v>
      </c>
      <c r="O258" s="22" t="n">
        <v>0.0587</v>
      </c>
      <c r="P258" s="22" t="n">
        <v>0.0677</v>
      </c>
      <c r="Q258" s="22" t="n">
        <v>0.0633</v>
      </c>
      <c r="R258" s="22" t="n">
        <v>0.0654</v>
      </c>
      <c r="S258" s="22" t="n">
        <v>0.069</v>
      </c>
      <c r="T258" s="22" t="n">
        <v>0.0606</v>
      </c>
      <c r="U258" s="22" t="n">
        <v>0.0639</v>
      </c>
      <c r="V258" s="22" t="n">
        <v>0.0465</v>
      </c>
      <c r="W258" s="22" t="n">
        <v>0.0391</v>
      </c>
      <c r="X258" s="22" t="n">
        <v>0.0457</v>
      </c>
      <c r="Y258" s="22" t="n">
        <v>0.0525</v>
      </c>
      <c r="Z258" s="22" t="n">
        <v>0.0363</v>
      </c>
      <c r="AA258" s="22" t="n">
        <v>0.0381</v>
      </c>
      <c r="AB258" s="22" t="n">
        <v>0.0465</v>
      </c>
      <c r="AC258" s="22" t="n">
        <v>0.047</v>
      </c>
      <c r="AD258" s="22" t="n">
        <v>0.122</v>
      </c>
      <c r="AE258" s="22" t="n">
        <v>0.2135</v>
      </c>
      <c r="AF258" s="22" t="n">
        <v>0.2536</v>
      </c>
      <c r="AG258" s="22" t="n">
        <v>0.2566</v>
      </c>
      <c r="AH258" s="22" t="n">
        <v>0.223</v>
      </c>
      <c r="AI258" s="22" t="n">
        <v>0.127</v>
      </c>
      <c r="AJ258" s="22" t="n">
        <v>0.0604</v>
      </c>
      <c r="AK258" s="22" t="n">
        <v>0.0376</v>
      </c>
      <c r="AL258" s="22" t="n">
        <v>0.0056</v>
      </c>
      <c r="AM258" s="22" t="n">
        <v>-0.0273</v>
      </c>
      <c r="AN258" s="22" t="n">
        <v>-0.0374</v>
      </c>
      <c r="AO258" s="22" t="n">
        <v>-0.0327</v>
      </c>
      <c r="AP258" s="22" t="n">
        <v>-0.0416</v>
      </c>
      <c r="AQ258" s="22" t="n">
        <v>-0.0344</v>
      </c>
      <c r="AR258" s="22" t="n">
        <v>-0.0215</v>
      </c>
      <c r="AS258" s="22" t="n">
        <v>-0.0206</v>
      </c>
      <c r="AT258" s="22" t="n">
        <v>-0.006</v>
      </c>
      <c r="AU258" s="22" t="n">
        <v>-0.0022</v>
      </c>
      <c r="AV258" s="22" t="n">
        <v>-0.004</v>
      </c>
    </row>
    <row r="259" customFormat="false" ht="15" hidden="false" customHeight="false" outlineLevel="0" collapsed="false">
      <c r="A259" s="22" t="s">
        <v>448</v>
      </c>
      <c r="B259" s="22" t="s">
        <v>3</v>
      </c>
      <c r="C259" s="22" t="s">
        <v>448</v>
      </c>
      <c r="D259" s="22" t="n">
        <v>27340</v>
      </c>
      <c r="E259" s="22" t="s">
        <v>132</v>
      </c>
      <c r="F259" s="22" t="s">
        <v>135</v>
      </c>
      <c r="G259" s="22" t="s">
        <v>131</v>
      </c>
      <c r="H259" s="22" t="s">
        <v>131</v>
      </c>
      <c r="I259" s="22" t="n">
        <v>0.0219</v>
      </c>
      <c r="J259" s="22" t="n">
        <v>0.0324</v>
      </c>
      <c r="K259" s="22" t="n">
        <v>0.0218</v>
      </c>
      <c r="L259" s="22" t="n">
        <v>0.0219</v>
      </c>
      <c r="M259" s="22" t="n">
        <v>0.0226</v>
      </c>
      <c r="N259" s="22" t="n">
        <v>0.0337</v>
      </c>
      <c r="O259" s="22" t="n">
        <v>0.036</v>
      </c>
      <c r="P259" s="22" t="n">
        <v>0.0384</v>
      </c>
      <c r="Q259" s="22" t="n">
        <v>0.0226</v>
      </c>
      <c r="R259" s="22" t="n">
        <v>0.0059</v>
      </c>
      <c r="S259" s="22" t="n">
        <v>0.0402</v>
      </c>
      <c r="T259" s="22" t="n">
        <v>0.107</v>
      </c>
      <c r="U259" s="22" t="n">
        <v>0.1416</v>
      </c>
      <c r="V259" s="22" t="n">
        <v>0.1056</v>
      </c>
      <c r="W259" s="22" t="n">
        <v>0.1731</v>
      </c>
      <c r="X259" s="22" t="n">
        <v>0.0589</v>
      </c>
      <c r="Y259" s="22" t="n">
        <v>0.077</v>
      </c>
      <c r="Z259" s="22" t="n">
        <v>0.0799</v>
      </c>
      <c r="AA259" s="22" t="n">
        <v>0.0173</v>
      </c>
      <c r="AB259" s="22" t="n">
        <v>0.094</v>
      </c>
      <c r="AC259" s="22" t="n">
        <v>0.0468</v>
      </c>
      <c r="AD259" s="22" t="n">
        <v>0.117</v>
      </c>
      <c r="AE259" s="22" t="n">
        <v>0.1405</v>
      </c>
      <c r="AF259" s="22" t="n">
        <v>0.1265</v>
      </c>
      <c r="AG259" s="22" t="n">
        <v>0.1327</v>
      </c>
      <c r="AH259" s="22" t="n">
        <v>0.1265</v>
      </c>
      <c r="AI259" s="22" t="n">
        <v>0.1412</v>
      </c>
      <c r="AJ259" s="22" t="n">
        <v>0.1503</v>
      </c>
      <c r="AK259" s="22" t="n">
        <v>0.1461</v>
      </c>
      <c r="AL259" s="22" t="n">
        <v>0.126</v>
      </c>
      <c r="AM259" s="22" t="n">
        <v>0.0674</v>
      </c>
      <c r="AN259" s="22" t="n">
        <v>0.024</v>
      </c>
      <c r="AO259" s="22" t="n">
        <v>-0.0141</v>
      </c>
      <c r="AP259" s="22" t="n">
        <v>-0.0334</v>
      </c>
      <c r="AQ259" s="22" t="n">
        <v>-0.0482</v>
      </c>
      <c r="AR259" s="22" t="n">
        <v>-0.0371</v>
      </c>
      <c r="AS259" s="22" t="n">
        <v>0.011</v>
      </c>
      <c r="AT259" s="22" t="n">
        <v>0.0307</v>
      </c>
      <c r="AU259" s="22" t="n">
        <v>0.0731</v>
      </c>
      <c r="AV259" s="22" t="n">
        <v>0.0806</v>
      </c>
    </row>
    <row r="260" customFormat="false" ht="15" hidden="false" customHeight="false" outlineLevel="0" collapsed="false">
      <c r="A260" s="22" t="s">
        <v>449</v>
      </c>
      <c r="B260" s="22" t="s">
        <v>3</v>
      </c>
      <c r="C260" s="22" t="s">
        <v>449</v>
      </c>
      <c r="D260" s="22" t="n">
        <v>27380</v>
      </c>
      <c r="E260" s="22" t="s">
        <v>132</v>
      </c>
      <c r="F260" s="22" t="s">
        <v>135</v>
      </c>
      <c r="G260" s="22" t="s">
        <v>131</v>
      </c>
      <c r="H260" s="22" t="s">
        <v>131</v>
      </c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</row>
    <row r="261" customFormat="false" ht="15" hidden="false" customHeight="false" outlineLevel="0" collapsed="false">
      <c r="A261" s="22" t="s">
        <v>450</v>
      </c>
      <c r="B261" s="22" t="s">
        <v>3</v>
      </c>
      <c r="C261" s="22" t="s">
        <v>450</v>
      </c>
      <c r="D261" s="22" t="n">
        <v>27220</v>
      </c>
      <c r="E261" s="22" t="s">
        <v>132</v>
      </c>
      <c r="F261" s="22" t="s">
        <v>135</v>
      </c>
      <c r="G261" s="22" t="s">
        <v>131</v>
      </c>
      <c r="H261" s="22" t="s">
        <v>131</v>
      </c>
      <c r="I261" s="22"/>
      <c r="J261" s="22"/>
      <c r="K261" s="22"/>
      <c r="L261" s="22"/>
      <c r="M261" s="22"/>
      <c r="N261" s="22" t="n">
        <v>0.0632</v>
      </c>
      <c r="O261" s="22" t="n">
        <v>0.0426</v>
      </c>
      <c r="P261" s="22" t="n">
        <v>0.0541</v>
      </c>
      <c r="Q261" s="22" t="n">
        <v>0.102</v>
      </c>
      <c r="R261" s="22" t="n">
        <v>0.1096</v>
      </c>
      <c r="S261" s="22" t="n">
        <v>0.1377</v>
      </c>
      <c r="T261" s="22" t="n">
        <v>0.1385</v>
      </c>
      <c r="U261" s="22" t="n">
        <v>0.0632</v>
      </c>
      <c r="V261" s="22" t="n">
        <v>0.0723</v>
      </c>
      <c r="W261" s="22" t="n">
        <v>0.0701</v>
      </c>
      <c r="X261" s="22" t="n">
        <v>0.02</v>
      </c>
      <c r="Y261" s="22" t="n">
        <v>0.0039</v>
      </c>
      <c r="Z261" s="22" t="n">
        <v>-0.0446</v>
      </c>
      <c r="AA261" s="22" t="n">
        <v>-0.0792</v>
      </c>
      <c r="AB261" s="22" t="n">
        <v>-0.0038</v>
      </c>
      <c r="AC261" s="22" t="n">
        <v>0.0952</v>
      </c>
      <c r="AD261" s="22" t="n">
        <v>0.1413</v>
      </c>
      <c r="AE261" s="22" t="n">
        <v>0.1688</v>
      </c>
      <c r="AF261" s="22" t="n">
        <v>0.1228</v>
      </c>
      <c r="AG261" s="22" t="n">
        <v>0.0521</v>
      </c>
      <c r="AH261" s="22"/>
      <c r="AI261" s="22"/>
      <c r="AJ261" s="22"/>
      <c r="AK261" s="22"/>
      <c r="AL261" s="22"/>
      <c r="AM261" s="22"/>
      <c r="AN261" s="22"/>
      <c r="AO261" s="22"/>
      <c r="AP261" s="22" t="n">
        <v>0.1559</v>
      </c>
      <c r="AQ261" s="22" t="n">
        <v>0.1498</v>
      </c>
      <c r="AR261" s="22" t="n">
        <v>0.1695</v>
      </c>
      <c r="AS261" s="22" t="n">
        <v>0.1435</v>
      </c>
      <c r="AT261" s="22" t="n">
        <v>0.0503</v>
      </c>
      <c r="AU261" s="22" t="n">
        <v>0.0427</v>
      </c>
      <c r="AV261" s="22" t="n">
        <v>-0.0141</v>
      </c>
    </row>
    <row r="262" customFormat="false" ht="15" hidden="false" customHeight="false" outlineLevel="0" collapsed="false">
      <c r="A262" s="22" t="s">
        <v>451</v>
      </c>
      <c r="B262" s="22" t="s">
        <v>3</v>
      </c>
      <c r="C262" s="22" t="s">
        <v>451</v>
      </c>
      <c r="D262" s="22" t="n">
        <v>27420</v>
      </c>
      <c r="E262" s="22" t="s">
        <v>132</v>
      </c>
      <c r="F262" s="22" t="s">
        <v>135</v>
      </c>
      <c r="G262" s="22" t="s">
        <v>131</v>
      </c>
      <c r="H262" s="22" t="s">
        <v>131</v>
      </c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</row>
    <row r="263" customFormat="false" ht="15" hidden="false" customHeight="false" outlineLevel="0" collapsed="false">
      <c r="A263" s="22" t="s">
        <v>452</v>
      </c>
      <c r="B263" s="22" t="s">
        <v>3</v>
      </c>
      <c r="C263" s="22" t="s">
        <v>452</v>
      </c>
      <c r="D263" s="22" t="n">
        <v>27500</v>
      </c>
      <c r="E263" s="22" t="s">
        <v>132</v>
      </c>
      <c r="F263" s="22" t="s">
        <v>135</v>
      </c>
      <c r="G263" s="22" t="s">
        <v>131</v>
      </c>
      <c r="H263" s="22" t="s">
        <v>131</v>
      </c>
      <c r="I263" s="22"/>
      <c r="J263" s="22"/>
      <c r="K263" s="22"/>
      <c r="L263" s="22"/>
      <c r="M263" s="22"/>
      <c r="N263" s="22"/>
      <c r="O263" s="22"/>
      <c r="P263" s="22" t="n">
        <v>0.0294</v>
      </c>
      <c r="Q263" s="22" t="n">
        <v>0.0401</v>
      </c>
      <c r="R263" s="22" t="n">
        <v>0.0452</v>
      </c>
      <c r="S263" s="22" t="n">
        <v>0.0337</v>
      </c>
      <c r="T263" s="22" t="n">
        <v>0.0353</v>
      </c>
      <c r="U263" s="22" t="n">
        <v>0.0207</v>
      </c>
      <c r="V263" s="22" t="n">
        <v>0.0086</v>
      </c>
      <c r="W263" s="22"/>
      <c r="X263" s="22"/>
      <c r="Y263" s="22"/>
      <c r="Z263" s="22"/>
      <c r="AA263" s="22"/>
      <c r="AB263" s="22"/>
      <c r="AC263" s="22"/>
      <c r="AD263" s="22"/>
      <c r="AE263" s="22"/>
      <c r="AF263" s="22" t="n">
        <v>0.2191</v>
      </c>
      <c r="AG263" s="22"/>
      <c r="AH263" s="22"/>
      <c r="AI263" s="22" t="n">
        <v>0.3646</v>
      </c>
      <c r="AJ263" s="22"/>
      <c r="AK263" s="22"/>
      <c r="AL263" s="22" t="n">
        <v>-0.0031</v>
      </c>
      <c r="AM263" s="22" t="n">
        <v>0.0807</v>
      </c>
      <c r="AN263" s="22" t="n">
        <v>0.0381</v>
      </c>
      <c r="AO263" s="22" t="n">
        <v>0.0406</v>
      </c>
      <c r="AP263" s="22" t="n">
        <v>0.1492</v>
      </c>
      <c r="AQ263" s="22" t="n">
        <v>0.091</v>
      </c>
      <c r="AR263" s="22" t="n">
        <v>0.0407</v>
      </c>
      <c r="AS263" s="22" t="n">
        <v>0.0529</v>
      </c>
      <c r="AT263" s="22" t="n">
        <v>0.0602</v>
      </c>
      <c r="AU263" s="22" t="n">
        <v>0.0208</v>
      </c>
      <c r="AV263" s="22" t="n">
        <v>0.1221</v>
      </c>
    </row>
    <row r="264" customFormat="false" ht="15" hidden="false" customHeight="false" outlineLevel="0" collapsed="false">
      <c r="A264" s="22" t="s">
        <v>453</v>
      </c>
      <c r="B264" s="22" t="s">
        <v>3</v>
      </c>
      <c r="C264" s="22" t="s">
        <v>453</v>
      </c>
      <c r="D264" s="22" t="n">
        <v>27620</v>
      </c>
      <c r="E264" s="22" t="s">
        <v>132</v>
      </c>
      <c r="F264" s="22" t="s">
        <v>135</v>
      </c>
      <c r="G264" s="22" t="s">
        <v>131</v>
      </c>
      <c r="H264" s="22" t="s">
        <v>131</v>
      </c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</row>
    <row r="265" customFormat="false" ht="15" hidden="false" customHeight="false" outlineLevel="0" collapsed="false">
      <c r="A265" s="22" t="s">
        <v>454</v>
      </c>
      <c r="B265" s="22" t="s">
        <v>3</v>
      </c>
      <c r="C265" s="22" t="s">
        <v>454</v>
      </c>
      <c r="D265" s="22" t="n">
        <v>27600</v>
      </c>
      <c r="E265" s="22" t="s">
        <v>132</v>
      </c>
      <c r="F265" s="22" t="s">
        <v>135</v>
      </c>
      <c r="G265" s="22" t="s">
        <v>131</v>
      </c>
      <c r="H265" s="22" t="s">
        <v>131</v>
      </c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 t="n">
        <v>-0.0029</v>
      </c>
      <c r="AO265" s="22" t="n">
        <v>0.0445</v>
      </c>
      <c r="AP265" s="22" t="n">
        <v>-0.0232</v>
      </c>
      <c r="AQ265" s="22" t="n">
        <v>0.0267</v>
      </c>
      <c r="AR265" s="22" t="n">
        <v>0.0339</v>
      </c>
      <c r="AS265" s="22" t="n">
        <v>0.005</v>
      </c>
      <c r="AT265" s="22" t="n">
        <v>0.0559</v>
      </c>
      <c r="AU265" s="22" t="n">
        <v>0.0086</v>
      </c>
      <c r="AV265" s="22" t="n">
        <v>-0.0373</v>
      </c>
    </row>
    <row r="266" customFormat="false" ht="15" hidden="false" customHeight="false" outlineLevel="0" collapsed="false">
      <c r="A266" s="22" t="s">
        <v>455</v>
      </c>
      <c r="B266" s="22" t="s">
        <v>3</v>
      </c>
      <c r="C266" s="22" t="s">
        <v>455</v>
      </c>
      <c r="D266" s="22" t="n">
        <v>227740</v>
      </c>
      <c r="E266" s="22" t="s">
        <v>132</v>
      </c>
      <c r="F266" s="22" t="s">
        <v>135</v>
      </c>
      <c r="G266" s="22" t="s">
        <v>131</v>
      </c>
      <c r="H266" s="22" t="s">
        <v>131</v>
      </c>
      <c r="I266" s="22" t="n">
        <v>0.0685</v>
      </c>
      <c r="J266" s="22" t="n">
        <v>0.0802</v>
      </c>
      <c r="K266" s="22" t="n">
        <v>0.038</v>
      </c>
      <c r="L266" s="22" t="n">
        <v>-0.003</v>
      </c>
      <c r="M266" s="22" t="n">
        <v>0.0023</v>
      </c>
      <c r="N266" s="22" t="n">
        <v>-0.0056</v>
      </c>
      <c r="O266" s="22" t="n">
        <v>0.0004</v>
      </c>
      <c r="P266" s="22" t="n">
        <v>0.0453</v>
      </c>
      <c r="Q266" s="22" t="n">
        <v>0.0374</v>
      </c>
      <c r="R266" s="22" t="n">
        <v>0.0115</v>
      </c>
      <c r="S266" s="22" t="n">
        <v>0.0282</v>
      </c>
      <c r="T266" s="22" t="n">
        <v>0.0077</v>
      </c>
      <c r="U266" s="22" t="n">
        <v>0.0364</v>
      </c>
      <c r="V266" s="22" t="n">
        <v>0.0651</v>
      </c>
      <c r="W266" s="22" t="n">
        <v>0.0627</v>
      </c>
      <c r="X266" s="22" t="n">
        <v>0.0447</v>
      </c>
      <c r="Y266" s="22" t="n">
        <v>0.0225</v>
      </c>
      <c r="Z266" s="22" t="n">
        <v>0.018</v>
      </c>
      <c r="AA266" s="22" t="n">
        <v>0.0348</v>
      </c>
      <c r="AB266" s="22" t="n">
        <v>0.0745</v>
      </c>
      <c r="AC266" s="22" t="n">
        <v>0.0914</v>
      </c>
      <c r="AD266" s="22" t="n">
        <v>0.1003</v>
      </c>
      <c r="AE266" s="22" t="n">
        <v>0.0933</v>
      </c>
      <c r="AF266" s="22" t="n">
        <v>0.1204</v>
      </c>
      <c r="AG266" s="22" t="n">
        <v>0.1773</v>
      </c>
      <c r="AH266" s="22" t="n">
        <v>0.2286</v>
      </c>
      <c r="AI266" s="22" t="n">
        <v>0.258</v>
      </c>
      <c r="AJ266" s="22" t="n">
        <v>0.1825</v>
      </c>
      <c r="AK266" s="22" t="n">
        <v>0.1117</v>
      </c>
      <c r="AL266" s="22" t="n">
        <v>0.0194</v>
      </c>
      <c r="AM266" s="22" t="n">
        <v>-0.0052</v>
      </c>
      <c r="AN266" s="22" t="n">
        <v>0.0369</v>
      </c>
      <c r="AO266" s="22" t="n">
        <v>0.0595</v>
      </c>
      <c r="AP266" s="22" t="n">
        <v>0.0417</v>
      </c>
      <c r="AQ266" s="22" t="n">
        <v>0.0089</v>
      </c>
      <c r="AR266" s="22" t="n">
        <v>-0.0043</v>
      </c>
      <c r="AS266" s="22" t="n">
        <v>0.0179</v>
      </c>
      <c r="AT266" s="22" t="n">
        <v>0.062</v>
      </c>
      <c r="AU266" s="22" t="n">
        <v>0.0683</v>
      </c>
      <c r="AV266" s="22" t="n">
        <v>0.039</v>
      </c>
    </row>
    <row r="267" customFormat="false" ht="15" hidden="false" customHeight="false" outlineLevel="0" collapsed="false">
      <c r="A267" s="22" t="s">
        <v>456</v>
      </c>
      <c r="B267" s="22" t="s">
        <v>3</v>
      </c>
      <c r="C267" s="22" t="s">
        <v>456</v>
      </c>
      <c r="D267" s="22" t="n">
        <v>27780</v>
      </c>
      <c r="E267" s="22" t="s">
        <v>132</v>
      </c>
      <c r="F267" s="22" t="s">
        <v>135</v>
      </c>
      <c r="G267" s="22" t="s">
        <v>131</v>
      </c>
      <c r="H267" s="22" t="s">
        <v>131</v>
      </c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</row>
    <row r="268" customFormat="false" ht="15" hidden="false" customHeight="false" outlineLevel="0" collapsed="false">
      <c r="A268" s="22" t="s">
        <v>457</v>
      </c>
      <c r="B268" s="22" t="s">
        <v>3</v>
      </c>
      <c r="C268" s="22" t="s">
        <v>457</v>
      </c>
      <c r="D268" s="22" t="n">
        <v>27860</v>
      </c>
      <c r="E268" s="22" t="s">
        <v>132</v>
      </c>
      <c r="F268" s="22" t="s">
        <v>135</v>
      </c>
      <c r="G268" s="22" t="s">
        <v>131</v>
      </c>
      <c r="H268" s="22" t="s">
        <v>131</v>
      </c>
      <c r="I268" s="22" t="n">
        <v>0.0731</v>
      </c>
      <c r="J268" s="22" t="n">
        <v>0.0626</v>
      </c>
      <c r="K268" s="22" t="n">
        <v>0.0473</v>
      </c>
      <c r="L268" s="22" t="n">
        <v>0.0243</v>
      </c>
      <c r="M268" s="22" t="n">
        <v>-0.0348</v>
      </c>
      <c r="N268" s="22" t="n">
        <v>-0.0235</v>
      </c>
      <c r="O268" s="22" t="n">
        <v>-0.0153</v>
      </c>
      <c r="P268" s="22" t="n">
        <v>-0.0188</v>
      </c>
      <c r="Q268" s="22" t="n">
        <v>-0.0139</v>
      </c>
      <c r="R268" s="22" t="n">
        <v>0.0147</v>
      </c>
      <c r="S268" s="22" t="n">
        <v>0.0308</v>
      </c>
      <c r="T268" s="22" t="n">
        <v>0.0565</v>
      </c>
      <c r="U268" s="22" t="n">
        <v>0.0692</v>
      </c>
      <c r="V268" s="22" t="n">
        <v>0.0296</v>
      </c>
      <c r="W268" s="22" t="n">
        <v>0.0635</v>
      </c>
      <c r="X268" s="22" t="n">
        <v>0.046</v>
      </c>
      <c r="Y268" s="22" t="n">
        <v>0.0179</v>
      </c>
      <c r="Z268" s="22" t="n">
        <v>0.0151</v>
      </c>
      <c r="AA268" s="22" t="n">
        <v>0.0121</v>
      </c>
      <c r="AB268" s="22" t="n">
        <v>0.0151</v>
      </c>
      <c r="AC268" s="22" t="n">
        <v>0.0448</v>
      </c>
      <c r="AD268" s="22" t="n">
        <v>0.0665</v>
      </c>
      <c r="AE268" s="22" t="n">
        <v>0.075</v>
      </c>
      <c r="AF268" s="22" t="n">
        <v>0.0727</v>
      </c>
      <c r="AG268" s="22" t="n">
        <v>0.0524</v>
      </c>
      <c r="AH268" s="22" t="n">
        <v>0.0637</v>
      </c>
      <c r="AI268" s="22" t="n">
        <v>0.1401</v>
      </c>
      <c r="AJ268" s="22" t="n">
        <v>0.1847</v>
      </c>
      <c r="AK268" s="22" t="n">
        <v>0.2002</v>
      </c>
      <c r="AL268" s="22" t="n">
        <v>0.1863</v>
      </c>
      <c r="AM268" s="22" t="n">
        <v>0.0765</v>
      </c>
      <c r="AN268" s="22" t="n">
        <v>0.0349</v>
      </c>
      <c r="AO268" s="22" t="n">
        <v>0.0245</v>
      </c>
      <c r="AP268" s="22" t="n">
        <v>0.0737</v>
      </c>
      <c r="AQ268" s="22" t="n">
        <v>0.0808</v>
      </c>
      <c r="AR268" s="22" t="n">
        <v>0.033</v>
      </c>
      <c r="AS268" s="22" t="n">
        <v>0.0277</v>
      </c>
      <c r="AT268" s="22" t="n">
        <v>0.0179</v>
      </c>
      <c r="AU268" s="22" t="n">
        <v>0.0069</v>
      </c>
      <c r="AV268" s="22" t="n">
        <v>0.0487</v>
      </c>
    </row>
    <row r="269" customFormat="false" ht="15" hidden="false" customHeight="false" outlineLevel="0" collapsed="false">
      <c r="A269" s="22" t="s">
        <v>458</v>
      </c>
      <c r="B269" s="22" t="s">
        <v>3</v>
      </c>
      <c r="C269" s="22" t="s">
        <v>458</v>
      </c>
      <c r="D269" s="22" t="n">
        <v>27900</v>
      </c>
      <c r="E269" s="22" t="s">
        <v>132</v>
      </c>
      <c r="F269" s="22" t="s">
        <v>135</v>
      </c>
      <c r="G269" s="22" t="s">
        <v>131</v>
      </c>
      <c r="H269" s="22" t="s">
        <v>131</v>
      </c>
      <c r="I269" s="22"/>
      <c r="J269" s="22"/>
      <c r="K269" s="22"/>
      <c r="L269" s="22"/>
      <c r="M269" s="22"/>
      <c r="N269" s="22"/>
      <c r="O269" s="22" t="n">
        <v>0.0064</v>
      </c>
      <c r="P269" s="22" t="n">
        <v>0.0142</v>
      </c>
      <c r="Q269" s="22" t="n">
        <v>0.0325</v>
      </c>
      <c r="R269" s="22" t="n">
        <v>0.0098</v>
      </c>
      <c r="S269" s="22" t="n">
        <v>0.0162</v>
      </c>
      <c r="T269" s="22" t="n">
        <v>0.0135</v>
      </c>
      <c r="U269" s="22" t="n">
        <v>0.0281</v>
      </c>
      <c r="V269" s="22" t="n">
        <v>0.0317</v>
      </c>
      <c r="W269" s="22" t="n">
        <v>0.0289</v>
      </c>
      <c r="X269" s="22" t="n">
        <v>0.0477</v>
      </c>
      <c r="Y269" s="22" t="n">
        <v>0.0454</v>
      </c>
      <c r="Z269" s="22" t="n">
        <v>0.0384</v>
      </c>
      <c r="AA269" s="22" t="n">
        <v>0.0506</v>
      </c>
      <c r="AB269" s="22" t="n">
        <v>0.0352</v>
      </c>
      <c r="AC269" s="22" t="n">
        <v>0.0328</v>
      </c>
      <c r="AD269" s="22" t="n">
        <v>0.0287</v>
      </c>
      <c r="AE269" s="22" t="n">
        <v>0.0321</v>
      </c>
      <c r="AF269" s="22" t="n">
        <v>0.0277</v>
      </c>
      <c r="AG269" s="22" t="n">
        <v>0.0344</v>
      </c>
      <c r="AH269" s="22" t="n">
        <v>0.0508</v>
      </c>
      <c r="AI269" s="22" t="n">
        <v>0.0413</v>
      </c>
      <c r="AJ269" s="22" t="n">
        <v>0.0642</v>
      </c>
      <c r="AK269" s="22" t="n">
        <v>0.0707</v>
      </c>
      <c r="AL269" s="22" t="n">
        <v>0.0766</v>
      </c>
      <c r="AM269" s="22" t="n">
        <v>0.095</v>
      </c>
      <c r="AN269" s="22" t="n">
        <v>0.0785</v>
      </c>
      <c r="AO269" s="22" t="n">
        <v>0.0842</v>
      </c>
      <c r="AP269" s="22" t="n">
        <v>0.0772</v>
      </c>
      <c r="AQ269" s="22" t="n">
        <v>0.0553</v>
      </c>
      <c r="AR269" s="22" t="n">
        <v>0.0583</v>
      </c>
      <c r="AS269" s="22" t="n">
        <v>0.0371</v>
      </c>
      <c r="AT269" s="22" t="n">
        <v>0.0153</v>
      </c>
      <c r="AU269" s="22" t="n">
        <v>0.103</v>
      </c>
      <c r="AV269" s="22" t="n">
        <v>0.1153</v>
      </c>
    </row>
    <row r="270" customFormat="false" ht="15" hidden="false" customHeight="false" outlineLevel="0" collapsed="false">
      <c r="A270" s="22" t="s">
        <v>459</v>
      </c>
      <c r="B270" s="22" t="s">
        <v>3</v>
      </c>
      <c r="C270" s="22" t="s">
        <v>459</v>
      </c>
      <c r="D270" s="22" t="n">
        <v>27940</v>
      </c>
      <c r="E270" s="22" t="s">
        <v>132</v>
      </c>
      <c r="F270" s="22" t="s">
        <v>135</v>
      </c>
      <c r="G270" s="22" t="s">
        <v>131</v>
      </c>
      <c r="H270" s="22" t="s">
        <v>131</v>
      </c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</row>
    <row r="271" customFormat="false" ht="15" hidden="false" customHeight="false" outlineLevel="0" collapsed="false">
      <c r="A271" s="22" t="s">
        <v>460</v>
      </c>
      <c r="B271" s="22" t="s">
        <v>3</v>
      </c>
      <c r="C271" s="22" t="s">
        <v>460</v>
      </c>
      <c r="D271" s="22" t="n">
        <v>27980</v>
      </c>
      <c r="E271" s="22" t="s">
        <v>132</v>
      </c>
      <c r="F271" s="22" t="s">
        <v>135</v>
      </c>
      <c r="G271" s="22" t="s">
        <v>131</v>
      </c>
      <c r="H271" s="22" t="s">
        <v>131</v>
      </c>
      <c r="I271" s="22" t="n">
        <v>0.0746</v>
      </c>
      <c r="J271" s="22" t="n">
        <v>0.0484</v>
      </c>
      <c r="K271" s="22" t="n">
        <v>0.0839</v>
      </c>
      <c r="L271" s="22" t="n">
        <v>0.0069</v>
      </c>
      <c r="M271" s="22" t="n">
        <v>-0.0003</v>
      </c>
      <c r="N271" s="22" t="n">
        <v>0.0224</v>
      </c>
      <c r="O271" s="22" t="n">
        <v>0.0042</v>
      </c>
      <c r="P271" s="22" t="n">
        <v>0.0742</v>
      </c>
      <c r="Q271" s="22" t="n">
        <v>0.0427</v>
      </c>
      <c r="R271" s="22" t="n">
        <v>0.0538</v>
      </c>
      <c r="S271" s="22" t="n">
        <v>0.0333</v>
      </c>
      <c r="T271" s="22" t="n">
        <v>0.0392</v>
      </c>
      <c r="U271" s="22" t="n">
        <v>0.0549</v>
      </c>
      <c r="V271" s="22" t="n">
        <v>0.0432</v>
      </c>
      <c r="W271" s="22" t="n">
        <v>0.0958</v>
      </c>
      <c r="X271" s="22" t="n">
        <v>0.1106</v>
      </c>
      <c r="Y271" s="22" t="n">
        <v>0.0644</v>
      </c>
      <c r="Z271" s="22" t="n">
        <v>0.0327</v>
      </c>
      <c r="AA271" s="22" t="n">
        <v>-0.0454</v>
      </c>
      <c r="AB271" s="22" t="n">
        <v>-0.1016</v>
      </c>
      <c r="AC271" s="22" t="n">
        <v>-0.0947</v>
      </c>
      <c r="AD271" s="22" t="n">
        <v>-0.0306</v>
      </c>
      <c r="AE271" s="22" t="n">
        <v>0.118</v>
      </c>
      <c r="AF271" s="22" t="n">
        <v>0.1819</v>
      </c>
      <c r="AG271" s="22" t="n">
        <v>0.2346</v>
      </c>
      <c r="AH271" s="22" t="n">
        <v>0.2248</v>
      </c>
      <c r="AI271" s="22" t="n">
        <v>0.0793</v>
      </c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</row>
    <row r="272" customFormat="false" ht="15" hidden="false" customHeight="false" outlineLevel="0" collapsed="false">
      <c r="A272" s="22" t="s">
        <v>172</v>
      </c>
      <c r="B272" s="22" t="s">
        <v>3</v>
      </c>
      <c r="C272" s="22" t="s">
        <v>172</v>
      </c>
      <c r="D272" s="22" t="n">
        <v>228020</v>
      </c>
      <c r="E272" s="22" t="s">
        <v>132</v>
      </c>
      <c r="F272" s="22" t="s">
        <v>135</v>
      </c>
      <c r="G272" s="22" t="s">
        <v>131</v>
      </c>
      <c r="H272" s="22" t="s">
        <v>131</v>
      </c>
      <c r="I272" s="22" t="n">
        <v>0.0497</v>
      </c>
      <c r="J272" s="22" t="n">
        <v>0.0187</v>
      </c>
      <c r="K272" s="22" t="n">
        <v>0.0167</v>
      </c>
      <c r="L272" s="22" t="n">
        <v>0.0265</v>
      </c>
      <c r="M272" s="22" t="n">
        <v>0.0536</v>
      </c>
      <c r="N272" s="22" t="n">
        <v>0.0388</v>
      </c>
      <c r="O272" s="22" t="n">
        <v>0.0341</v>
      </c>
      <c r="P272" s="22" t="n">
        <v>0.0219</v>
      </c>
      <c r="Q272" s="22" t="n">
        <v>0.0255</v>
      </c>
      <c r="R272" s="22" t="n">
        <v>0.0259</v>
      </c>
      <c r="S272" s="22" t="n">
        <v>0.0315</v>
      </c>
      <c r="T272" s="22" t="n">
        <v>0.0116</v>
      </c>
      <c r="U272" s="22" t="n">
        <v>0.0031</v>
      </c>
      <c r="V272" s="22" t="n">
        <v>0.0114</v>
      </c>
      <c r="W272" s="22" t="n">
        <v>0.0165</v>
      </c>
      <c r="X272" s="22" t="n">
        <v>0.0394</v>
      </c>
      <c r="Y272" s="22" t="n">
        <v>0.0553</v>
      </c>
      <c r="Z272" s="22" t="n">
        <v>0.0503</v>
      </c>
      <c r="AA272" s="22" t="n">
        <v>0.0644</v>
      </c>
      <c r="AB272" s="22" t="n">
        <v>0.0684</v>
      </c>
      <c r="AC272" s="22" t="n">
        <v>0.0885</v>
      </c>
      <c r="AD272" s="22" t="n">
        <v>0.1399</v>
      </c>
      <c r="AE272" s="22" t="n">
        <v>0.1621</v>
      </c>
      <c r="AF272" s="22" t="n">
        <v>0.1913</v>
      </c>
      <c r="AG272" s="22" t="n">
        <v>0.1499</v>
      </c>
      <c r="AH272" s="22" t="n">
        <v>0.1469</v>
      </c>
      <c r="AI272" s="22" t="n">
        <v>0.1379</v>
      </c>
      <c r="AJ272" s="22" t="n">
        <v>0.0695</v>
      </c>
      <c r="AK272" s="22" t="n">
        <v>0.0469</v>
      </c>
      <c r="AL272" s="22" t="n">
        <v>-0.0017</v>
      </c>
      <c r="AM272" s="22" t="n">
        <v>-0.031</v>
      </c>
      <c r="AN272" s="22" t="n">
        <v>0.0029</v>
      </c>
      <c r="AO272" s="22" t="n">
        <v>0.0377</v>
      </c>
      <c r="AP272" s="22" t="n">
        <v>0.039</v>
      </c>
      <c r="AQ272" s="22" t="n">
        <v>0.0527</v>
      </c>
      <c r="AR272" s="22" t="n">
        <v>0.0539</v>
      </c>
      <c r="AS272" s="22" t="n">
        <v>0.0355</v>
      </c>
      <c r="AT272" s="22" t="n">
        <v>0.0481</v>
      </c>
      <c r="AU272" s="22" t="n">
        <v>0.0489</v>
      </c>
      <c r="AV272" s="22" t="n">
        <v>0.0517</v>
      </c>
    </row>
    <row r="273" customFormat="false" ht="15" hidden="false" customHeight="false" outlineLevel="0" collapsed="false">
      <c r="A273" s="22" t="s">
        <v>461</v>
      </c>
      <c r="B273" s="22" t="s">
        <v>3</v>
      </c>
      <c r="C273" s="22" t="s">
        <v>461</v>
      </c>
      <c r="D273" s="22" t="n">
        <v>28060</v>
      </c>
      <c r="E273" s="22" t="s">
        <v>132</v>
      </c>
      <c r="F273" s="22" t="s">
        <v>135</v>
      </c>
      <c r="G273" s="22" t="s">
        <v>131</v>
      </c>
      <c r="H273" s="22" t="s">
        <v>131</v>
      </c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 t="n">
        <v>0.0111</v>
      </c>
      <c r="AM273" s="22" t="n">
        <v>0.0059</v>
      </c>
      <c r="AN273" s="22" t="n">
        <v>-0.0957</v>
      </c>
      <c r="AO273" s="22" t="n">
        <v>-0.1201</v>
      </c>
      <c r="AP273" s="22" t="n">
        <v>0.0099</v>
      </c>
      <c r="AQ273" s="22" t="n">
        <v>0.0125</v>
      </c>
      <c r="AR273" s="22" t="n">
        <v>0.0909</v>
      </c>
      <c r="AS273" s="22" t="n">
        <v>0.0946</v>
      </c>
      <c r="AT273" s="22" t="n">
        <v>0.0376</v>
      </c>
      <c r="AU273" s="22" t="n">
        <v>0.0078</v>
      </c>
      <c r="AV273" s="22" t="n">
        <v>0.0478</v>
      </c>
    </row>
    <row r="274" customFormat="false" ht="15" hidden="false" customHeight="false" outlineLevel="0" collapsed="false">
      <c r="A274" s="22" t="s">
        <v>41</v>
      </c>
      <c r="B274" s="22" t="s">
        <v>3</v>
      </c>
      <c r="C274" s="22" t="s">
        <v>41</v>
      </c>
      <c r="D274" s="22" t="n">
        <v>28140</v>
      </c>
      <c r="E274" s="22" t="s">
        <v>132</v>
      </c>
      <c r="F274" s="22" t="s">
        <v>135</v>
      </c>
      <c r="G274" s="22" t="s">
        <v>131</v>
      </c>
      <c r="H274" s="22" t="s">
        <v>131</v>
      </c>
      <c r="I274" s="22" t="n">
        <v>0.0535</v>
      </c>
      <c r="J274" s="22" t="n">
        <v>0.0622</v>
      </c>
      <c r="K274" s="22" t="n">
        <v>0.0532</v>
      </c>
      <c r="L274" s="22" t="n">
        <v>0.0546</v>
      </c>
      <c r="M274" s="22" t="n">
        <v>0.0518</v>
      </c>
      <c r="N274" s="22" t="n">
        <v>0.0369</v>
      </c>
      <c r="O274" s="22" t="n">
        <v>0.0304</v>
      </c>
      <c r="P274" s="22" t="n">
        <v>0.0312</v>
      </c>
      <c r="Q274" s="22" t="n">
        <v>0.0301</v>
      </c>
      <c r="R274" s="22" t="n">
        <v>0.0263</v>
      </c>
      <c r="S274" s="22" t="n">
        <v>0.0372</v>
      </c>
      <c r="T274" s="22" t="n">
        <v>0.0238</v>
      </c>
      <c r="U274" s="22" t="n">
        <v>0.0264</v>
      </c>
      <c r="V274" s="22" t="n">
        <v>0.0385</v>
      </c>
      <c r="W274" s="22" t="n">
        <v>0.0371</v>
      </c>
      <c r="X274" s="22" t="n">
        <v>0.0425</v>
      </c>
      <c r="Y274" s="22" t="n">
        <v>0.0468</v>
      </c>
      <c r="Z274" s="22" t="n">
        <v>0.021</v>
      </c>
      <c r="AA274" s="22" t="n">
        <v>0.0167</v>
      </c>
      <c r="AB274" s="22" t="n">
        <v>0.0214</v>
      </c>
      <c r="AC274" s="22" t="n">
        <v>0.0104</v>
      </c>
      <c r="AD274" s="22" t="n">
        <v>0.0499</v>
      </c>
      <c r="AE274" s="22" t="n">
        <v>0.1046</v>
      </c>
      <c r="AF274" s="22" t="n">
        <v>0.1192</v>
      </c>
      <c r="AG274" s="22" t="n">
        <v>0.1405</v>
      </c>
      <c r="AH274" s="22" t="n">
        <v>0.1409</v>
      </c>
      <c r="AI274" s="22" t="n">
        <v>0.1171</v>
      </c>
      <c r="AJ274" s="22" t="n">
        <v>0.1034</v>
      </c>
      <c r="AK274" s="22" t="n">
        <v>0.0842</v>
      </c>
      <c r="AL274" s="22" t="n">
        <v>0.0654</v>
      </c>
      <c r="AM274" s="22" t="n">
        <v>0.0516</v>
      </c>
      <c r="AN274" s="22" t="n">
        <v>0.0473</v>
      </c>
      <c r="AO274" s="22" t="n">
        <v>0.0433</v>
      </c>
      <c r="AP274" s="22" t="n">
        <v>0.0466</v>
      </c>
      <c r="AQ274" s="22" t="n">
        <v>0.0451</v>
      </c>
      <c r="AR274" s="22" t="n">
        <v>0.0421</v>
      </c>
      <c r="AS274" s="22" t="n">
        <v>0.0482</v>
      </c>
      <c r="AT274" s="22" t="n">
        <v>0.0503</v>
      </c>
      <c r="AU274" s="22" t="n">
        <v>0.0368</v>
      </c>
      <c r="AV274" s="22" t="n">
        <v>0.0255</v>
      </c>
    </row>
    <row r="275" customFormat="false" ht="15" hidden="false" customHeight="false" outlineLevel="0" collapsed="false">
      <c r="A275" s="22" t="s">
        <v>462</v>
      </c>
      <c r="B275" s="22" t="s">
        <v>3</v>
      </c>
      <c r="C275" s="22" t="s">
        <v>462</v>
      </c>
      <c r="D275" s="22" t="n">
        <v>28260</v>
      </c>
      <c r="E275" s="22" t="s">
        <v>132</v>
      </c>
      <c r="F275" s="22" t="s">
        <v>135</v>
      </c>
      <c r="G275" s="22" t="s">
        <v>131</v>
      </c>
      <c r="H275" s="22" t="s">
        <v>131</v>
      </c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</row>
    <row r="276" customFormat="false" ht="15" hidden="false" customHeight="false" outlineLevel="0" collapsed="false">
      <c r="A276" s="22" t="s">
        <v>463</v>
      </c>
      <c r="B276" s="22" t="s">
        <v>3</v>
      </c>
      <c r="C276" s="22" t="s">
        <v>463</v>
      </c>
      <c r="D276" s="22" t="n">
        <v>28300</v>
      </c>
      <c r="E276" s="22" t="s">
        <v>132</v>
      </c>
      <c r="F276" s="22" t="s">
        <v>135</v>
      </c>
      <c r="G276" s="22" t="s">
        <v>131</v>
      </c>
      <c r="H276" s="22" t="s">
        <v>131</v>
      </c>
      <c r="I276" s="22" t="n">
        <v>-0.1572</v>
      </c>
      <c r="J276" s="22" t="n">
        <v>0.102</v>
      </c>
      <c r="K276" s="22" t="n">
        <v>0.0499</v>
      </c>
      <c r="L276" s="22" t="n">
        <v>0.0224</v>
      </c>
      <c r="M276" s="22" t="n">
        <v>0.2314</v>
      </c>
      <c r="N276" s="22" t="n">
        <v>0.0523</v>
      </c>
      <c r="O276" s="22" t="n">
        <v>0.0441</v>
      </c>
      <c r="P276" s="22" t="n">
        <v>0.015</v>
      </c>
      <c r="Q276" s="22" t="n">
        <v>-0.0055</v>
      </c>
      <c r="R276" s="22" t="n">
        <v>0.0117</v>
      </c>
      <c r="S276" s="22" t="n">
        <v>0.0474</v>
      </c>
      <c r="T276" s="22" t="n">
        <v>0.0557</v>
      </c>
      <c r="U276" s="22" t="n">
        <v>0.0565</v>
      </c>
      <c r="V276" s="22" t="n">
        <v>0.0647</v>
      </c>
      <c r="W276" s="22" t="n">
        <v>0.0409</v>
      </c>
      <c r="X276" s="22" t="n">
        <v>0.027</v>
      </c>
      <c r="Y276" s="22" t="n">
        <v>0.0254</v>
      </c>
      <c r="Z276" s="22" t="n">
        <v>0.0189</v>
      </c>
      <c r="AA276" s="22" t="n">
        <v>0.033</v>
      </c>
      <c r="AB276" s="22" t="n">
        <v>0.0642</v>
      </c>
      <c r="AC276" s="22" t="n">
        <v>0.0778</v>
      </c>
      <c r="AD276" s="22" t="n">
        <v>0.0674</v>
      </c>
      <c r="AE276" s="22" t="n">
        <v>0.0596</v>
      </c>
      <c r="AF276" s="22" t="n">
        <v>0.0451</v>
      </c>
      <c r="AG276" s="22" t="n">
        <v>0.0637</v>
      </c>
      <c r="AH276" s="22" t="n">
        <v>0.0766</v>
      </c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 t="n">
        <v>0.075</v>
      </c>
    </row>
    <row r="277" customFormat="false" ht="15" hidden="false" customHeight="false" outlineLevel="0" collapsed="false">
      <c r="A277" s="22" t="s">
        <v>464</v>
      </c>
      <c r="B277" s="22" t="s">
        <v>3</v>
      </c>
      <c r="C277" s="22" t="s">
        <v>464</v>
      </c>
      <c r="D277" s="22" t="n">
        <v>28420</v>
      </c>
      <c r="E277" s="22" t="s">
        <v>132</v>
      </c>
      <c r="F277" s="22" t="s">
        <v>135</v>
      </c>
      <c r="G277" s="22" t="s">
        <v>131</v>
      </c>
      <c r="H277" s="22" t="s">
        <v>131</v>
      </c>
      <c r="I277" s="22" t="n">
        <v>0.03</v>
      </c>
      <c r="J277" s="22" t="n">
        <v>0.0093</v>
      </c>
      <c r="K277" s="22" t="n">
        <v>0.0236</v>
      </c>
      <c r="L277" s="22" t="n">
        <v>0.0171</v>
      </c>
      <c r="M277" s="22" t="n">
        <v>0.0346</v>
      </c>
      <c r="N277" s="22" t="n">
        <v>0.0522</v>
      </c>
      <c r="O277" s="22" t="n">
        <v>0.0309</v>
      </c>
      <c r="P277" s="22" t="n">
        <v>0.0451</v>
      </c>
      <c r="Q277" s="22" t="n">
        <v>0.036</v>
      </c>
      <c r="R277" s="22" t="n">
        <v>0.0112</v>
      </c>
      <c r="S277" s="22" t="n">
        <v>0.0219</v>
      </c>
      <c r="T277" s="22" t="n">
        <v>0.0335</v>
      </c>
      <c r="U277" s="22" t="n">
        <v>0.0311</v>
      </c>
      <c r="V277" s="22" t="n">
        <v>0.0384</v>
      </c>
      <c r="W277" s="22" t="n">
        <v>0.0215</v>
      </c>
      <c r="X277" s="22" t="n">
        <v>0.0139</v>
      </c>
      <c r="Y277" s="22" t="n">
        <v>0.0264</v>
      </c>
      <c r="Z277" s="22" t="n">
        <v>0.0071</v>
      </c>
      <c r="AA277" s="22" t="n">
        <v>0.041</v>
      </c>
      <c r="AB277" s="22" t="n">
        <v>0.07</v>
      </c>
      <c r="AC277" s="22" t="n">
        <v>0.0833</v>
      </c>
      <c r="AD277" s="22" t="n">
        <v>0.1432</v>
      </c>
      <c r="AE277" s="22" t="n">
        <v>0.1663</v>
      </c>
      <c r="AF277" s="22" t="n">
        <v>0.197</v>
      </c>
      <c r="AG277" s="22" t="n">
        <v>0.1778</v>
      </c>
      <c r="AH277" s="22" t="n">
        <v>0.133</v>
      </c>
      <c r="AI277" s="22" t="n">
        <v>0.0879</v>
      </c>
      <c r="AJ277" s="22" t="n">
        <v>0.0352</v>
      </c>
      <c r="AK277" s="22" t="n">
        <v>0.0299</v>
      </c>
      <c r="AL277" s="22" t="n">
        <v>0.0349</v>
      </c>
      <c r="AM277" s="22" t="n">
        <v>0.027</v>
      </c>
      <c r="AN277" s="22" t="n">
        <v>0.028</v>
      </c>
      <c r="AO277" s="22" t="n">
        <v>0.0424</v>
      </c>
      <c r="AP277" s="22" t="n">
        <v>0.0331</v>
      </c>
      <c r="AQ277" s="22" t="n">
        <v>0.0351</v>
      </c>
      <c r="AR277" s="22" t="n">
        <v>0.0275</v>
      </c>
      <c r="AS277" s="22" t="n">
        <v>0.0204</v>
      </c>
      <c r="AT277" s="22" t="n">
        <v>0.0197</v>
      </c>
      <c r="AU277" s="22" t="n">
        <v>0.022</v>
      </c>
      <c r="AV277" s="22" t="n">
        <v>0.0002</v>
      </c>
    </row>
    <row r="278" customFormat="false" ht="15" hidden="false" customHeight="false" outlineLevel="0" collapsed="false">
      <c r="A278" s="22" t="s">
        <v>465</v>
      </c>
      <c r="B278" s="22" t="s">
        <v>3</v>
      </c>
      <c r="C278" s="22" t="s">
        <v>465</v>
      </c>
      <c r="D278" s="22" t="n">
        <v>28500</v>
      </c>
      <c r="E278" s="22" t="s">
        <v>132</v>
      </c>
      <c r="F278" s="22" t="s">
        <v>135</v>
      </c>
      <c r="G278" s="22" t="s">
        <v>131</v>
      </c>
      <c r="H278" s="22" t="s">
        <v>131</v>
      </c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 t="n">
        <v>0.0403</v>
      </c>
      <c r="AN278" s="22" t="n">
        <v>0.0309</v>
      </c>
      <c r="AO278" s="22" t="n">
        <v>0.0071</v>
      </c>
      <c r="AP278" s="22" t="n">
        <v>-0.0319</v>
      </c>
      <c r="AQ278" s="22" t="n">
        <v>-0.041</v>
      </c>
      <c r="AR278" s="22" t="n">
        <v>-0.041</v>
      </c>
      <c r="AS278" s="22" t="n">
        <v>-0.0294</v>
      </c>
      <c r="AT278" s="22" t="n">
        <v>-0.0015</v>
      </c>
      <c r="AU278" s="22"/>
      <c r="AV278" s="22"/>
    </row>
    <row r="279" customFormat="false" ht="15" hidden="false" customHeight="false" outlineLevel="0" collapsed="false">
      <c r="A279" s="22" t="s">
        <v>466</v>
      </c>
      <c r="B279" s="22" t="s">
        <v>3</v>
      </c>
      <c r="C279" s="22" t="s">
        <v>466</v>
      </c>
      <c r="D279" s="22" t="n">
        <v>28580</v>
      </c>
      <c r="E279" s="22" t="s">
        <v>132</v>
      </c>
      <c r="F279" s="22" t="s">
        <v>135</v>
      </c>
      <c r="G279" s="22" t="s">
        <v>131</v>
      </c>
      <c r="H279" s="22" t="s">
        <v>131</v>
      </c>
      <c r="I279" s="22" t="n">
        <v>-0.0471</v>
      </c>
      <c r="J279" s="22" t="n">
        <v>-0.1082</v>
      </c>
      <c r="K279" s="22" t="n">
        <v>0.076</v>
      </c>
      <c r="L279" s="22" t="n">
        <v>0.042</v>
      </c>
      <c r="M279" s="22" t="n">
        <v>0.0219</v>
      </c>
      <c r="N279" s="22" t="n">
        <v>0.2398</v>
      </c>
      <c r="O279" s="22" t="n">
        <v>0.237</v>
      </c>
      <c r="P279" s="22" t="n">
        <v>0.1672</v>
      </c>
      <c r="Q279" s="22"/>
      <c r="R279" s="22"/>
      <c r="S279" s="22"/>
      <c r="T279" s="22"/>
      <c r="U279" s="22" t="n">
        <v>0.0976</v>
      </c>
      <c r="V279" s="22" t="n">
        <v>0.1205</v>
      </c>
      <c r="W279" s="22" t="n">
        <v>0.0496</v>
      </c>
      <c r="X279" s="22" t="n">
        <v>0.1139</v>
      </c>
      <c r="Y279" s="22" t="n">
        <v>0.0603</v>
      </c>
      <c r="Z279" s="22" t="n">
        <v>-0.01</v>
      </c>
      <c r="AA279" s="22" t="n">
        <v>-0.0015</v>
      </c>
      <c r="AB279" s="22" t="n">
        <v>-0.1048</v>
      </c>
      <c r="AC279" s="22" t="n">
        <v>-0.1128</v>
      </c>
      <c r="AD279" s="22" t="n">
        <v>-0.0378</v>
      </c>
      <c r="AE279" s="22" t="n">
        <v>0.1068</v>
      </c>
      <c r="AF279" s="22" t="n">
        <v>0.2117</v>
      </c>
      <c r="AG279" s="22" t="n">
        <v>0.1965</v>
      </c>
      <c r="AH279" s="22" t="n">
        <v>0.2888</v>
      </c>
      <c r="AI279" s="22" t="n">
        <v>0.2506</v>
      </c>
      <c r="AJ279" s="22" t="n">
        <v>0.1857</v>
      </c>
      <c r="AK279" s="22" t="n">
        <v>0.1939</v>
      </c>
      <c r="AL279" s="22" t="n">
        <v>0.1006</v>
      </c>
      <c r="AM279" s="22" t="n">
        <v>-0.0146</v>
      </c>
      <c r="AN279" s="22" t="n">
        <v>-0.0067</v>
      </c>
      <c r="AO279" s="22" t="n">
        <v>-0.0273</v>
      </c>
      <c r="AP279" s="22" t="n">
        <v>-0.068</v>
      </c>
      <c r="AQ279" s="22" t="n">
        <v>-0.0036</v>
      </c>
      <c r="AR279" s="22" t="n">
        <v>0.0179</v>
      </c>
      <c r="AS279" s="22" t="n">
        <v>0.0178</v>
      </c>
      <c r="AT279" s="22" t="n">
        <v>0.0441</v>
      </c>
      <c r="AU279" s="22" t="n">
        <v>-0.017</v>
      </c>
      <c r="AV279" s="22" t="n">
        <v>-0.0485</v>
      </c>
    </row>
    <row r="280" customFormat="false" ht="15" hidden="false" customHeight="false" outlineLevel="0" collapsed="false">
      <c r="A280" s="22" t="s">
        <v>467</v>
      </c>
      <c r="B280" s="22" t="s">
        <v>3</v>
      </c>
      <c r="C280" s="22" t="s">
        <v>467</v>
      </c>
      <c r="D280" s="22" t="n">
        <v>28620</v>
      </c>
      <c r="E280" s="22" t="s">
        <v>132</v>
      </c>
      <c r="F280" s="22" t="s">
        <v>135</v>
      </c>
      <c r="G280" s="22" t="s">
        <v>131</v>
      </c>
      <c r="H280" s="22" t="s">
        <v>131</v>
      </c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</row>
    <row r="281" customFormat="false" ht="15" hidden="false" customHeight="false" outlineLevel="0" collapsed="false">
      <c r="A281" s="22" t="s">
        <v>468</v>
      </c>
      <c r="B281" s="22" t="s">
        <v>3</v>
      </c>
      <c r="C281" s="22" t="s">
        <v>468</v>
      </c>
      <c r="D281" s="22" t="n">
        <v>28660</v>
      </c>
      <c r="E281" s="22" t="s">
        <v>132</v>
      </c>
      <c r="F281" s="22" t="s">
        <v>135</v>
      </c>
      <c r="G281" s="22" t="s">
        <v>131</v>
      </c>
      <c r="H281" s="22" t="s">
        <v>131</v>
      </c>
      <c r="I281" s="22" t="n">
        <v>0.0056</v>
      </c>
      <c r="J281" s="22" t="n">
        <v>-0.0158</v>
      </c>
      <c r="K281" s="22" t="n">
        <v>-0.0271</v>
      </c>
      <c r="L281" s="22" t="n">
        <v>0.0081</v>
      </c>
      <c r="M281" s="22" t="n">
        <v>-0.0091</v>
      </c>
      <c r="N281" s="22" t="n">
        <v>-0.0024</v>
      </c>
      <c r="O281" s="22" t="n">
        <v>0.017</v>
      </c>
      <c r="P281" s="22" t="n">
        <v>0.0057</v>
      </c>
      <c r="Q281" s="22" t="n">
        <v>0.0472</v>
      </c>
      <c r="R281" s="22" t="n">
        <v>0.0254</v>
      </c>
      <c r="S281" s="22" t="n">
        <v>0.0516</v>
      </c>
      <c r="T281" s="22" t="n">
        <v>0.0551</v>
      </c>
      <c r="U281" s="22" t="n">
        <v>0.0345</v>
      </c>
      <c r="V281" s="22" t="n">
        <v>0.0716</v>
      </c>
      <c r="W281" s="22" t="n">
        <v>0.0499</v>
      </c>
      <c r="X281" s="22" t="n">
        <v>0.0562</v>
      </c>
      <c r="Y281" s="22" t="n">
        <v>0.0301</v>
      </c>
      <c r="Z281" s="22" t="n">
        <v>0.0187</v>
      </c>
      <c r="AA281" s="22" t="n">
        <v>0.0445</v>
      </c>
      <c r="AB281" s="22" t="n">
        <v>0.0623</v>
      </c>
      <c r="AC281" s="22" t="n">
        <v>0.0847</v>
      </c>
      <c r="AD281" s="22" t="n">
        <v>0.0919</v>
      </c>
      <c r="AE281" s="22" t="n">
        <v>0.1113</v>
      </c>
      <c r="AF281" s="22" t="n">
        <v>0.1112</v>
      </c>
      <c r="AG281" s="22" t="n">
        <v>0.1311</v>
      </c>
      <c r="AH281" s="22" t="n">
        <v>0.1694</v>
      </c>
      <c r="AI281" s="22" t="n">
        <v>0.1673</v>
      </c>
      <c r="AJ281" s="22" t="n">
        <v>0.1447</v>
      </c>
      <c r="AK281" s="22" t="n">
        <v>0.0923</v>
      </c>
      <c r="AL281" s="22" t="n">
        <v>0.066</v>
      </c>
      <c r="AM281" s="22" t="n">
        <v>0.0312</v>
      </c>
      <c r="AN281" s="22" t="n">
        <v>0.0371</v>
      </c>
      <c r="AO281" s="22" t="n">
        <v>0.0484</v>
      </c>
      <c r="AP281" s="22" t="n">
        <v>0.0135</v>
      </c>
      <c r="AQ281" s="22" t="n">
        <v>-0.0134</v>
      </c>
      <c r="AR281" s="22" t="n">
        <v>-0.0307</v>
      </c>
      <c r="AS281" s="22" t="n">
        <v>-0.0157</v>
      </c>
      <c r="AT281" s="22" t="n">
        <v>0.0077</v>
      </c>
      <c r="AU281" s="22" t="n">
        <v>0.0264</v>
      </c>
      <c r="AV281" s="22" t="n">
        <v>-0.0021</v>
      </c>
    </row>
    <row r="282" customFormat="false" ht="15" hidden="false" customHeight="false" outlineLevel="0" collapsed="false">
      <c r="A282" s="22" t="s">
        <v>469</v>
      </c>
      <c r="B282" s="22" t="s">
        <v>3</v>
      </c>
      <c r="C282" s="22" t="s">
        <v>469</v>
      </c>
      <c r="D282" s="22" t="n">
        <v>28680</v>
      </c>
      <c r="E282" s="22" t="s">
        <v>132</v>
      </c>
      <c r="F282" s="22" t="s">
        <v>135</v>
      </c>
      <c r="G282" s="22" t="s">
        <v>131</v>
      </c>
      <c r="H282" s="22" t="s">
        <v>131</v>
      </c>
      <c r="I282" s="22"/>
      <c r="J282" s="22"/>
      <c r="K282" s="22"/>
      <c r="L282" s="22"/>
      <c r="M282" s="22"/>
      <c r="N282" s="22" t="n">
        <v>0.4546</v>
      </c>
      <c r="O282" s="22"/>
      <c r="P282" s="22" t="n">
        <v>-0.1261</v>
      </c>
      <c r="Q282" s="22" t="n">
        <v>-0.2438</v>
      </c>
      <c r="R282" s="22" t="n">
        <v>-0.0077</v>
      </c>
      <c r="S282" s="22" t="n">
        <v>0.0533</v>
      </c>
      <c r="T282" s="22" t="n">
        <v>0.0868</v>
      </c>
      <c r="U282" s="22" t="n">
        <v>0.1574</v>
      </c>
      <c r="V282" s="22" t="n">
        <v>0.0913</v>
      </c>
      <c r="W282" s="22" t="n">
        <v>0.0316</v>
      </c>
      <c r="X282" s="22" t="n">
        <v>0.0246</v>
      </c>
      <c r="Y282" s="22" t="n">
        <v>0.0221</v>
      </c>
      <c r="Z282" s="22" t="n">
        <v>0.0201</v>
      </c>
      <c r="AA282" s="22" t="n">
        <v>0.1186</v>
      </c>
      <c r="AB282" s="22" t="n">
        <v>0.1184</v>
      </c>
      <c r="AC282" s="22" t="n">
        <v>0.1368</v>
      </c>
      <c r="AD282" s="22" t="n">
        <v>0.3037</v>
      </c>
      <c r="AE282" s="22" t="n">
        <v>0.2284</v>
      </c>
      <c r="AF282" s="22" t="n">
        <v>0.3395</v>
      </c>
      <c r="AG282" s="22" t="n">
        <v>0.3229</v>
      </c>
      <c r="AH282" s="22" t="n">
        <v>0.1884</v>
      </c>
      <c r="AI282" s="22" t="n">
        <v>0.2701</v>
      </c>
      <c r="AJ282" s="22" t="n">
        <v>0.1272</v>
      </c>
      <c r="AK282" s="22" t="n">
        <v>0.0894</v>
      </c>
      <c r="AL282" s="22" t="n">
        <v>0.0061</v>
      </c>
      <c r="AM282" s="22" t="n">
        <v>-0.115</v>
      </c>
      <c r="AN282" s="22" t="n">
        <v>-0.1006</v>
      </c>
      <c r="AO282" s="22" t="n">
        <v>-0.0425</v>
      </c>
      <c r="AP282" s="22" t="n">
        <v>0.0148</v>
      </c>
      <c r="AQ282" s="22" t="n">
        <v>0.0631</v>
      </c>
      <c r="AR282" s="22" t="n">
        <v>0.0842</v>
      </c>
      <c r="AS282" s="22" t="n">
        <v>-0.0273</v>
      </c>
      <c r="AT282" s="22" t="n">
        <v>0.0163</v>
      </c>
      <c r="AU282" s="22" t="n">
        <v>0.0742</v>
      </c>
      <c r="AV282" s="22" t="n">
        <v>-0.0079</v>
      </c>
    </row>
    <row r="283" customFormat="false" ht="15" hidden="false" customHeight="false" outlineLevel="0" collapsed="false">
      <c r="A283" s="22" t="s">
        <v>470</v>
      </c>
      <c r="B283" s="22" t="s">
        <v>3</v>
      </c>
      <c r="C283" s="22" t="s">
        <v>470</v>
      </c>
      <c r="D283" s="22" t="n">
        <v>28740</v>
      </c>
      <c r="E283" s="22" t="s">
        <v>132</v>
      </c>
      <c r="F283" s="22" t="s">
        <v>135</v>
      </c>
      <c r="G283" s="22" t="s">
        <v>131</v>
      </c>
      <c r="H283" s="22" t="s">
        <v>131</v>
      </c>
      <c r="I283" s="22"/>
      <c r="J283" s="22"/>
      <c r="K283" s="22" t="n">
        <v>0.0673</v>
      </c>
      <c r="L283" s="22" t="n">
        <v>-0.001</v>
      </c>
      <c r="M283" s="22" t="n">
        <v>-0.0423</v>
      </c>
      <c r="N283" s="22" t="n">
        <v>-0.1241</v>
      </c>
      <c r="O283" s="22" t="n">
        <v>0.0026</v>
      </c>
      <c r="P283" s="22" t="n">
        <v>0.0343</v>
      </c>
      <c r="Q283" s="22" t="n">
        <v>-0.0329</v>
      </c>
      <c r="R283" s="22" t="n">
        <v>-0.0289</v>
      </c>
      <c r="S283" s="22" t="n">
        <v>-0.0134</v>
      </c>
      <c r="T283" s="22" t="n">
        <v>0.0151</v>
      </c>
      <c r="U283" s="22" t="n">
        <v>0.0351</v>
      </c>
      <c r="V283" s="22" t="n">
        <v>0.0366</v>
      </c>
      <c r="W283" s="22" t="n">
        <v>0.1451</v>
      </c>
      <c r="X283" s="22" t="n">
        <v>0.1268</v>
      </c>
      <c r="Y283" s="22" t="n">
        <v>0.1384</v>
      </c>
      <c r="Z283" s="22" t="n">
        <v>0.1261</v>
      </c>
      <c r="AA283" s="22" t="n">
        <v>0.0287</v>
      </c>
      <c r="AB283" s="22" t="n">
        <v>0.0676</v>
      </c>
      <c r="AC283" s="22" t="n">
        <v>0.0568</v>
      </c>
      <c r="AD283" s="22" t="n">
        <v>0.1936</v>
      </c>
      <c r="AE283" s="22" t="n">
        <v>0.2136</v>
      </c>
      <c r="AF283" s="22" t="n">
        <v>0.1927</v>
      </c>
      <c r="AG283" s="22" t="n">
        <v>0.1978</v>
      </c>
      <c r="AH283" s="22" t="n">
        <v>0.0437</v>
      </c>
      <c r="AI283" s="22" t="n">
        <v>0.0353</v>
      </c>
      <c r="AJ283" s="22" t="n">
        <v>0.0211</v>
      </c>
      <c r="AK283" s="22" t="n">
        <v>0.0044</v>
      </c>
      <c r="AL283" s="22" t="n">
        <v>-0.048</v>
      </c>
      <c r="AM283" s="22" t="n">
        <v>-0.0012</v>
      </c>
      <c r="AN283" s="22" t="n">
        <v>-0.0176</v>
      </c>
      <c r="AO283" s="22" t="n">
        <v>-0.0369</v>
      </c>
      <c r="AP283" s="22" t="n">
        <v>0.0441</v>
      </c>
      <c r="AQ283" s="22" t="n">
        <v>-0.0048</v>
      </c>
      <c r="AR283" s="22" t="n">
        <v>0.0107</v>
      </c>
      <c r="AS283" s="22" t="n">
        <v>0.0578</v>
      </c>
      <c r="AT283" s="22" t="n">
        <v>0.1262</v>
      </c>
      <c r="AU283" s="22" t="n">
        <v>0.1121</v>
      </c>
      <c r="AV283" s="22" t="n">
        <v>0.0953</v>
      </c>
    </row>
    <row r="284" customFormat="false" ht="15" hidden="false" customHeight="false" outlineLevel="0" collapsed="false">
      <c r="A284" s="22" t="s">
        <v>471</v>
      </c>
      <c r="B284" s="22" t="s">
        <v>3</v>
      </c>
      <c r="C284" s="22" t="s">
        <v>471</v>
      </c>
      <c r="D284" s="22" t="n">
        <v>28780</v>
      </c>
      <c r="E284" s="22" t="s">
        <v>132</v>
      </c>
      <c r="F284" s="22" t="s">
        <v>135</v>
      </c>
      <c r="G284" s="22" t="s">
        <v>131</v>
      </c>
      <c r="H284" s="22" t="s">
        <v>131</v>
      </c>
      <c r="I284" s="22"/>
      <c r="J284" s="22"/>
      <c r="K284" s="22"/>
      <c r="L284" s="22" t="n">
        <v>0.2138</v>
      </c>
      <c r="M284" s="22" t="n">
        <v>0.2573</v>
      </c>
      <c r="N284" s="22" t="n">
        <v>0.3249</v>
      </c>
      <c r="O284" s="22"/>
      <c r="P284" s="22" t="n">
        <v>-0.1173</v>
      </c>
      <c r="Q284" s="22" t="n">
        <v>-0.0755</v>
      </c>
      <c r="R284" s="22" t="n">
        <v>0.0433</v>
      </c>
      <c r="S284" s="22" t="n">
        <v>0.0331</v>
      </c>
      <c r="T284" s="22" t="n">
        <v>0.048</v>
      </c>
      <c r="U284" s="22" t="n">
        <v>0.0363</v>
      </c>
      <c r="V284" s="22" t="n">
        <v>0.0547</v>
      </c>
      <c r="W284" s="22" t="n">
        <v>0.0384</v>
      </c>
      <c r="X284" s="22" t="n">
        <v>0.0212</v>
      </c>
      <c r="Y284" s="22" t="n">
        <v>0.0153</v>
      </c>
      <c r="Z284" s="22" t="n">
        <v>-0.012</v>
      </c>
      <c r="AA284" s="22" t="n">
        <v>-0.0114</v>
      </c>
      <c r="AB284" s="22" t="n">
        <v>-0.0147</v>
      </c>
      <c r="AC284" s="22" t="n">
        <v>0.0351</v>
      </c>
      <c r="AD284" s="22" t="n">
        <v>0.1208</v>
      </c>
      <c r="AE284" s="22" t="n">
        <v>0.0951</v>
      </c>
      <c r="AF284" s="22" t="n">
        <v>0.0779</v>
      </c>
      <c r="AG284" s="22" t="n">
        <v>0.0551</v>
      </c>
      <c r="AH284" s="22" t="n">
        <v>-0.0152</v>
      </c>
      <c r="AI284" s="22" t="n">
        <v>0.0058</v>
      </c>
      <c r="AJ284" s="22" t="n">
        <v>0.0328</v>
      </c>
      <c r="AK284" s="22" t="n">
        <v>-0.0283</v>
      </c>
      <c r="AL284" s="22" t="n">
        <v>-0.0232</v>
      </c>
      <c r="AM284" s="22" t="n">
        <v>0.0127</v>
      </c>
      <c r="AN284" s="22" t="n">
        <v>0.0107</v>
      </c>
      <c r="AO284" s="22" t="n">
        <v>0.0635</v>
      </c>
      <c r="AP284" s="22" t="n">
        <v>0.083</v>
      </c>
      <c r="AQ284" s="22" t="n">
        <v>0.0187</v>
      </c>
      <c r="AR284" s="22" t="n">
        <v>-0.0237</v>
      </c>
      <c r="AS284" s="22" t="n">
        <v>-0.0325</v>
      </c>
      <c r="AT284" s="22" t="n">
        <v>0.008</v>
      </c>
      <c r="AU284" s="22" t="n">
        <v>0.01</v>
      </c>
      <c r="AV284" s="22" t="n">
        <v>0.0678</v>
      </c>
    </row>
    <row r="285" customFormat="false" ht="15" hidden="false" customHeight="false" outlineLevel="0" collapsed="false">
      <c r="A285" s="22" t="s">
        <v>66</v>
      </c>
      <c r="B285" s="22" t="s">
        <v>3</v>
      </c>
      <c r="C285" s="22" t="s">
        <v>66</v>
      </c>
      <c r="D285" s="22" t="n">
        <v>28940</v>
      </c>
      <c r="E285" s="22" t="s">
        <v>132</v>
      </c>
      <c r="F285" s="22" t="s">
        <v>135</v>
      </c>
      <c r="G285" s="22" t="s">
        <v>131</v>
      </c>
      <c r="H285" s="22" t="s">
        <v>131</v>
      </c>
      <c r="I285" s="22" t="n">
        <v>0.0451</v>
      </c>
      <c r="J285" s="22" t="n">
        <v>0.0518</v>
      </c>
      <c r="K285" s="22" t="n">
        <v>0.0412</v>
      </c>
      <c r="L285" s="22" t="n">
        <v>0.0548</v>
      </c>
      <c r="M285" s="22" t="n">
        <v>0.0532</v>
      </c>
      <c r="N285" s="22" t="n">
        <v>0.0507</v>
      </c>
      <c r="O285" s="22" t="n">
        <v>0.05</v>
      </c>
      <c r="P285" s="22" t="n">
        <v>0.0319</v>
      </c>
      <c r="Q285" s="22" t="n">
        <v>0.0545</v>
      </c>
      <c r="R285" s="22" t="n">
        <v>0.0676</v>
      </c>
      <c r="S285" s="22" t="n">
        <v>0.0738</v>
      </c>
      <c r="T285" s="22" t="n">
        <v>0.0578</v>
      </c>
      <c r="U285" s="22" t="n">
        <v>0.0197</v>
      </c>
      <c r="V285" s="22" t="n">
        <v>0.0237</v>
      </c>
      <c r="W285" s="22" t="n">
        <v>0.0399</v>
      </c>
      <c r="X285" s="22" t="n">
        <v>0.0497</v>
      </c>
      <c r="Y285" s="22" t="n">
        <v>0.0633</v>
      </c>
      <c r="Z285" s="22" t="n">
        <v>0.0404</v>
      </c>
      <c r="AA285" s="22" t="n">
        <v>0.0258</v>
      </c>
      <c r="AB285" s="22" t="n">
        <v>0.0503</v>
      </c>
      <c r="AC285" s="22" t="n">
        <v>0.0689</v>
      </c>
      <c r="AD285" s="22" t="n">
        <v>0.0949</v>
      </c>
      <c r="AE285" s="22" t="n">
        <v>0.1495</v>
      </c>
      <c r="AF285" s="22" t="n">
        <v>0.1883</v>
      </c>
      <c r="AG285" s="22" t="n">
        <v>0.1978</v>
      </c>
      <c r="AH285" s="22" t="n">
        <v>0.2333</v>
      </c>
      <c r="AI285" s="22" t="n">
        <v>0.2502</v>
      </c>
      <c r="AJ285" s="22" t="n">
        <v>0.1952</v>
      </c>
      <c r="AK285" s="22" t="n">
        <v>0.1676</v>
      </c>
      <c r="AL285" s="22" t="n">
        <v>0.1298</v>
      </c>
      <c r="AM285" s="22" t="n">
        <v>0.0613</v>
      </c>
      <c r="AN285" s="22" t="n">
        <v>0.0464</v>
      </c>
      <c r="AO285" s="22" t="n">
        <v>0.035</v>
      </c>
      <c r="AP285" s="22" t="n">
        <v>0.0289</v>
      </c>
      <c r="AQ285" s="22" t="n">
        <v>0.0253</v>
      </c>
      <c r="AR285" s="22" t="n">
        <v>0.0198</v>
      </c>
      <c r="AS285" s="22" t="n">
        <v>0.0158</v>
      </c>
      <c r="AT285" s="22" t="n">
        <v>0.0159</v>
      </c>
      <c r="AU285" s="22" t="n">
        <v>0.0012</v>
      </c>
      <c r="AV285" s="22" t="n">
        <v>-0.0066</v>
      </c>
    </row>
    <row r="286" customFormat="false" ht="15" hidden="false" customHeight="false" outlineLevel="0" collapsed="false">
      <c r="A286" s="22" t="s">
        <v>472</v>
      </c>
      <c r="B286" s="22" t="s">
        <v>3</v>
      </c>
      <c r="C286" s="22" t="s">
        <v>472</v>
      </c>
      <c r="D286" s="22" t="n">
        <v>29020</v>
      </c>
      <c r="E286" s="22" t="s">
        <v>132</v>
      </c>
      <c r="F286" s="22" t="s">
        <v>135</v>
      </c>
      <c r="G286" s="22" t="s">
        <v>131</v>
      </c>
      <c r="H286" s="22" t="s">
        <v>131</v>
      </c>
      <c r="I286" s="22" t="n">
        <v>0.1517</v>
      </c>
      <c r="J286" s="22" t="n">
        <v>0.1111</v>
      </c>
      <c r="K286" s="22" t="n">
        <v>0.0285</v>
      </c>
      <c r="L286" s="22" t="n">
        <v>0.0351</v>
      </c>
      <c r="M286" s="22" t="n">
        <v>0.0269</v>
      </c>
      <c r="N286" s="22" t="n">
        <v>0.0176</v>
      </c>
      <c r="O286" s="22" t="n">
        <v>0.0202</v>
      </c>
      <c r="P286" s="22" t="n">
        <v>0.0177</v>
      </c>
      <c r="Q286" s="22" t="n">
        <v>0.0225</v>
      </c>
      <c r="R286" s="22" t="n">
        <v>0.0255</v>
      </c>
      <c r="S286" s="22" t="n">
        <v>0.0265</v>
      </c>
      <c r="T286" s="22" t="n">
        <v>0.0202</v>
      </c>
      <c r="U286" s="22" t="n">
        <v>0.0274</v>
      </c>
      <c r="V286" s="22" t="n">
        <v>0.0441</v>
      </c>
      <c r="W286" s="22" t="n">
        <v>0.0458</v>
      </c>
      <c r="X286" s="22" t="n">
        <v>0.0239</v>
      </c>
      <c r="Y286" s="22" t="n">
        <v>0.0257</v>
      </c>
      <c r="Z286" s="22" t="n">
        <v>0.0132</v>
      </c>
      <c r="AA286" s="22" t="n">
        <v>0.0106</v>
      </c>
      <c r="AB286" s="22" t="n">
        <v>0.0708</v>
      </c>
      <c r="AC286" s="22" t="n">
        <v>0.0781</v>
      </c>
      <c r="AD286" s="22" t="n">
        <v>0.0899</v>
      </c>
      <c r="AE286" s="22" t="n">
        <v>0.1248</v>
      </c>
      <c r="AF286" s="22" t="n">
        <v>0.0917</v>
      </c>
      <c r="AG286" s="22" t="n">
        <v>0.0922</v>
      </c>
      <c r="AH286" s="22" t="n">
        <v>0.093</v>
      </c>
      <c r="AI286" s="22" t="n">
        <v>0.0845</v>
      </c>
      <c r="AJ286" s="22" t="n">
        <v>0.1017</v>
      </c>
      <c r="AK286" s="22" t="n">
        <v>0.1</v>
      </c>
      <c r="AL286" s="22" t="n">
        <v>0.1017</v>
      </c>
      <c r="AM286" s="22" t="n">
        <v>0.0847</v>
      </c>
      <c r="AN286" s="22" t="n">
        <v>0.1141</v>
      </c>
      <c r="AO286" s="22" t="n">
        <v>0.1168</v>
      </c>
      <c r="AP286" s="22" t="n">
        <v>0.1384</v>
      </c>
      <c r="AQ286" s="22" t="n">
        <v>0.1385</v>
      </c>
      <c r="AR286" s="22" t="n">
        <v>0.059</v>
      </c>
      <c r="AS286" s="22" t="n">
        <v>0.0267</v>
      </c>
      <c r="AT286" s="22" t="n">
        <v>-0.0166</v>
      </c>
      <c r="AU286" s="22" t="n">
        <v>-0.0033</v>
      </c>
      <c r="AV286" s="22" t="n">
        <v>0.0122</v>
      </c>
    </row>
    <row r="287" customFormat="false" ht="15" hidden="false" customHeight="false" outlineLevel="0" collapsed="false">
      <c r="A287" s="22" t="s">
        <v>473</v>
      </c>
      <c r="B287" s="22" t="s">
        <v>3</v>
      </c>
      <c r="C287" s="22" t="s">
        <v>473</v>
      </c>
      <c r="D287" s="22" t="n">
        <v>29100</v>
      </c>
      <c r="E287" s="22" t="s">
        <v>132</v>
      </c>
      <c r="F287" s="22" t="s">
        <v>135</v>
      </c>
      <c r="G287" s="22" t="s">
        <v>131</v>
      </c>
      <c r="H287" s="22" t="s">
        <v>131</v>
      </c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 t="n">
        <v>-0.3017</v>
      </c>
      <c r="V287" s="22" t="n">
        <v>-0.2549</v>
      </c>
      <c r="W287" s="22" t="n">
        <v>-0.1892</v>
      </c>
      <c r="X287" s="22" t="n">
        <v>-0.0962</v>
      </c>
      <c r="Y287" s="22" t="n">
        <v>0.0871</v>
      </c>
      <c r="Z287" s="22" t="n">
        <v>-0.0039</v>
      </c>
      <c r="AA287" s="22" t="n">
        <v>-0.0652</v>
      </c>
      <c r="AB287" s="22" t="n">
        <v>-0.0774</v>
      </c>
      <c r="AC287" s="22" t="n">
        <v>-0.0994</v>
      </c>
      <c r="AD287" s="22" t="n">
        <v>-0.0495</v>
      </c>
      <c r="AE287" s="22" t="n">
        <v>0.0074</v>
      </c>
      <c r="AF287" s="22" t="n">
        <v>-0.1282</v>
      </c>
      <c r="AG287" s="22" t="n">
        <v>-0.1133</v>
      </c>
      <c r="AH287" s="22" t="n">
        <v>-0.007</v>
      </c>
      <c r="AI287" s="22" t="n">
        <v>-0.0199</v>
      </c>
      <c r="AJ287" s="22" t="n">
        <v>0.1624</v>
      </c>
      <c r="AK287" s="22" t="n">
        <v>0.148</v>
      </c>
      <c r="AL287" s="22" t="n">
        <v>0.0315</v>
      </c>
      <c r="AM287" s="22" t="n">
        <v>0.0478</v>
      </c>
      <c r="AN287" s="22" t="n">
        <v>0.1069</v>
      </c>
      <c r="AO287" s="22" t="n">
        <v>0.1202</v>
      </c>
      <c r="AP287" s="22" t="n">
        <v>0.1169</v>
      </c>
      <c r="AQ287" s="22" t="n">
        <v>0.1058</v>
      </c>
      <c r="AR287" s="22" t="n">
        <v>0.0328</v>
      </c>
      <c r="AS287" s="22" t="n">
        <v>0.0374</v>
      </c>
      <c r="AT287" s="22" t="n">
        <v>0.1619</v>
      </c>
      <c r="AU287" s="22" t="n">
        <v>0.1232</v>
      </c>
      <c r="AV287" s="22" t="n">
        <v>0.0925</v>
      </c>
    </row>
    <row r="288" customFormat="false" ht="15" hidden="false" customHeight="false" outlineLevel="0" collapsed="false">
      <c r="A288" s="22" t="s">
        <v>474</v>
      </c>
      <c r="B288" s="22" t="s">
        <v>3</v>
      </c>
      <c r="C288" s="22" t="s">
        <v>474</v>
      </c>
      <c r="D288" s="22" t="n">
        <v>229180</v>
      </c>
      <c r="E288" s="22" t="s">
        <v>132</v>
      </c>
      <c r="F288" s="22" t="s">
        <v>135</v>
      </c>
      <c r="G288" s="22" t="s">
        <v>131</v>
      </c>
      <c r="H288" s="22" t="s">
        <v>131</v>
      </c>
      <c r="I288" s="22" t="n">
        <v>-0.0301</v>
      </c>
      <c r="J288" s="22" t="n">
        <v>-0.0309</v>
      </c>
      <c r="K288" s="22" t="n">
        <v>-0.0445</v>
      </c>
      <c r="L288" s="22" t="n">
        <v>-0.0403</v>
      </c>
      <c r="M288" s="22" t="n">
        <v>-0.0435</v>
      </c>
      <c r="N288" s="22" t="n">
        <v>-0.0498</v>
      </c>
      <c r="O288" s="22" t="n">
        <v>-0.003</v>
      </c>
      <c r="P288" s="22" t="n">
        <v>0.0097</v>
      </c>
      <c r="Q288" s="22" t="n">
        <v>0.0415</v>
      </c>
      <c r="R288" s="22" t="n">
        <v>0.054</v>
      </c>
      <c r="S288" s="22" t="n">
        <v>0.0219</v>
      </c>
      <c r="T288" s="22" t="n">
        <v>0.0202</v>
      </c>
      <c r="U288" s="22" t="n">
        <v>0.0078</v>
      </c>
      <c r="V288" s="22" t="n">
        <v>0.0256</v>
      </c>
      <c r="W288" s="22" t="n">
        <v>0.019</v>
      </c>
      <c r="X288" s="22" t="n">
        <v>0.013</v>
      </c>
      <c r="Y288" s="22" t="n">
        <v>0.0139</v>
      </c>
      <c r="Z288" s="22" t="n">
        <v>-0.0164</v>
      </c>
      <c r="AA288" s="22" t="n">
        <v>0.0046</v>
      </c>
      <c r="AB288" s="22" t="n">
        <v>0.0434</v>
      </c>
      <c r="AC288" s="22" t="n">
        <v>0.0576</v>
      </c>
      <c r="AD288" s="22" t="n">
        <v>0.1068</v>
      </c>
      <c r="AE288" s="22" t="n">
        <v>0.1424</v>
      </c>
      <c r="AF288" s="22" t="n">
        <v>0.1456</v>
      </c>
      <c r="AG288" s="22" t="n">
        <v>0.1294</v>
      </c>
      <c r="AH288" s="22" t="n">
        <v>0.131</v>
      </c>
      <c r="AI288" s="22" t="n">
        <v>0.0852</v>
      </c>
      <c r="AJ288" s="22" t="n">
        <v>0.0227</v>
      </c>
      <c r="AK288" s="22" t="n">
        <v>0.0306</v>
      </c>
      <c r="AL288" s="22" t="n">
        <v>0.0266</v>
      </c>
      <c r="AM288" s="22" t="n">
        <v>0.0274</v>
      </c>
      <c r="AN288" s="22" t="n">
        <v>0.0546</v>
      </c>
      <c r="AO288" s="22" t="n">
        <v>0.0286</v>
      </c>
      <c r="AP288" s="22" t="n">
        <v>0.0021</v>
      </c>
      <c r="AQ288" s="22" t="n">
        <v>0.0009</v>
      </c>
      <c r="AR288" s="22" t="n">
        <v>-0.0086</v>
      </c>
      <c r="AS288" s="22" t="n">
        <v>0.0177</v>
      </c>
      <c r="AT288" s="22" t="n">
        <v>0.0356</v>
      </c>
      <c r="AU288" s="22" t="n">
        <v>0.0377</v>
      </c>
      <c r="AV288" s="22" t="n">
        <v>0.0399</v>
      </c>
    </row>
    <row r="289" customFormat="false" ht="15" hidden="false" customHeight="false" outlineLevel="0" collapsed="false">
      <c r="A289" s="22" t="s">
        <v>475</v>
      </c>
      <c r="B289" s="22" t="s">
        <v>3</v>
      </c>
      <c r="C289" s="22" t="s">
        <v>475</v>
      </c>
      <c r="D289" s="22" t="n">
        <v>29200</v>
      </c>
      <c r="E289" s="22" t="s">
        <v>132</v>
      </c>
      <c r="F289" s="22" t="s">
        <v>135</v>
      </c>
      <c r="G289" s="22" t="s">
        <v>131</v>
      </c>
      <c r="H289" s="22" t="s">
        <v>131</v>
      </c>
      <c r="I289" s="22" t="n">
        <v>0.0416</v>
      </c>
      <c r="J289" s="22" t="n">
        <v>0.0217</v>
      </c>
      <c r="K289" s="22" t="n">
        <v>0.0811</v>
      </c>
      <c r="L289" s="22" t="n">
        <v>0.1009</v>
      </c>
      <c r="M289" s="22" t="n">
        <v>0.0615</v>
      </c>
      <c r="N289" s="22" t="n">
        <v>0.0849</v>
      </c>
      <c r="O289" s="22" t="n">
        <v>0.0696</v>
      </c>
      <c r="P289" s="22" t="n">
        <v>0.043</v>
      </c>
      <c r="Q289" s="22" t="n">
        <v>0.0539</v>
      </c>
      <c r="R289" s="22" t="n">
        <v>0.0422</v>
      </c>
      <c r="S289" s="22" t="n">
        <v>0.0318</v>
      </c>
      <c r="T289" s="22" t="n">
        <v>0.0426</v>
      </c>
      <c r="U289" s="22" t="n">
        <v>0.0476</v>
      </c>
      <c r="V289" s="22" t="n">
        <v>0.0377</v>
      </c>
      <c r="W289" s="22" t="n">
        <v>0.0381</v>
      </c>
      <c r="X289" s="22" t="n">
        <v>0.024</v>
      </c>
      <c r="Y289" s="22" t="n">
        <v>0.0125</v>
      </c>
      <c r="Z289" s="22" t="n">
        <v>0.0218</v>
      </c>
      <c r="AA289" s="22" t="n">
        <v>0.0206</v>
      </c>
      <c r="AB289" s="22" t="n">
        <v>0.0123</v>
      </c>
      <c r="AC289" s="22" t="n">
        <v>0.0187</v>
      </c>
      <c r="AD289" s="22" t="n">
        <v>0.0436</v>
      </c>
      <c r="AE289" s="22" t="n">
        <v>0.0813</v>
      </c>
      <c r="AF289" s="22" t="n">
        <v>0.1214</v>
      </c>
      <c r="AG289" s="22" t="n">
        <v>0.1238</v>
      </c>
      <c r="AH289" s="22" t="n">
        <v>0.1329</v>
      </c>
      <c r="AI289" s="22" t="n">
        <v>0.1561</v>
      </c>
      <c r="AJ289" s="22" t="n">
        <v>0.1541</v>
      </c>
      <c r="AK289" s="22" t="n">
        <v>0.1258</v>
      </c>
      <c r="AL289" s="22" t="n">
        <v>0.0939</v>
      </c>
      <c r="AM289" s="22" t="n">
        <v>0.1009</v>
      </c>
      <c r="AN289" s="22" t="n">
        <v>0.0854</v>
      </c>
      <c r="AO289" s="22" t="n">
        <v>0.107</v>
      </c>
      <c r="AP289" s="22" t="n">
        <v>0.1008</v>
      </c>
      <c r="AQ289" s="22" t="n">
        <v>0.064</v>
      </c>
      <c r="AR289" s="22" t="n">
        <v>0.0635</v>
      </c>
      <c r="AS289" s="22" t="n">
        <v>0.0509</v>
      </c>
      <c r="AT289" s="22" t="n">
        <v>0.0497</v>
      </c>
      <c r="AU289" s="22" t="n">
        <v>-0.0067</v>
      </c>
      <c r="AV289" s="22" t="n">
        <v>-0.015</v>
      </c>
    </row>
    <row r="290" customFormat="false" ht="15" hidden="false" customHeight="false" outlineLevel="0" collapsed="false">
      <c r="A290" s="22" t="s">
        <v>476</v>
      </c>
      <c r="B290" s="22" t="s">
        <v>3</v>
      </c>
      <c r="C290" s="22" t="s">
        <v>476</v>
      </c>
      <c r="D290" s="22" t="n">
        <v>29300</v>
      </c>
      <c r="E290" s="22" t="s">
        <v>132</v>
      </c>
      <c r="F290" s="22" t="s">
        <v>135</v>
      </c>
      <c r="G290" s="22" t="s">
        <v>131</v>
      </c>
      <c r="H290" s="22" t="s">
        <v>131</v>
      </c>
      <c r="I290" s="22" t="n">
        <v>0.0829</v>
      </c>
      <c r="J290" s="22" t="n">
        <v>0.106</v>
      </c>
      <c r="K290" s="22" t="n">
        <v>0.0561</v>
      </c>
      <c r="L290" s="22" t="n">
        <v>0.0307</v>
      </c>
      <c r="M290" s="22" t="n">
        <v>0.0348</v>
      </c>
      <c r="N290" s="22" t="n">
        <v>-0.0251</v>
      </c>
      <c r="O290" s="22" t="n">
        <v>-0.0052</v>
      </c>
      <c r="P290" s="22" t="n">
        <v>0.0032</v>
      </c>
      <c r="Q290" s="22" t="n">
        <v>-0.0236</v>
      </c>
      <c r="R290" s="22" t="n">
        <v>-0.0021</v>
      </c>
      <c r="S290" s="22" t="n">
        <v>-0.0104</v>
      </c>
      <c r="T290" s="22" t="n">
        <v>0.0123</v>
      </c>
      <c r="U290" s="22" t="n">
        <v>0.022</v>
      </c>
      <c r="V290" s="22" t="n">
        <v>0.0391</v>
      </c>
      <c r="W290" s="22" t="n">
        <v>0.0639</v>
      </c>
      <c r="X290" s="22" t="n">
        <v>0.0459</v>
      </c>
      <c r="Y290" s="22" t="n">
        <v>0.0607</v>
      </c>
      <c r="Z290" s="22" t="n">
        <v>0.0529</v>
      </c>
      <c r="AA290" s="22" t="n">
        <v>0.0813</v>
      </c>
      <c r="AB290" s="22" t="n">
        <v>0.0985</v>
      </c>
      <c r="AC290" s="22" t="n">
        <v>0.1265</v>
      </c>
      <c r="AD290" s="22" t="n">
        <v>0.2066</v>
      </c>
      <c r="AE290" s="22" t="n">
        <v>0.248</v>
      </c>
      <c r="AF290" s="22" t="n">
        <v>0.2317</v>
      </c>
      <c r="AG290" s="22" t="n">
        <v>0.2352</v>
      </c>
      <c r="AH290" s="22" t="n">
        <v>0.2059</v>
      </c>
      <c r="AI290" s="22" t="n">
        <v>0.1541</v>
      </c>
      <c r="AJ290" s="22" t="n">
        <v>0.1437</v>
      </c>
      <c r="AK290" s="22" t="n">
        <v>0.1286</v>
      </c>
      <c r="AL290" s="22" t="n">
        <v>0.0571</v>
      </c>
      <c r="AM290" s="22" t="n">
        <v>0.0138</v>
      </c>
      <c r="AN290" s="22" t="n">
        <v>-0.0092</v>
      </c>
      <c r="AO290" s="22" t="n">
        <v>-0.0025</v>
      </c>
      <c r="AP290" s="22" t="n">
        <v>0.0021</v>
      </c>
      <c r="AQ290" s="22" t="n">
        <v>-0.0011</v>
      </c>
      <c r="AR290" s="22" t="n">
        <v>-0.0137</v>
      </c>
      <c r="AS290" s="22" t="n">
        <v>-0.0349</v>
      </c>
      <c r="AT290" s="22" t="n">
        <v>-0.0681</v>
      </c>
      <c r="AU290" s="22" t="n">
        <v>-0.0879</v>
      </c>
      <c r="AV290" s="22" t="n">
        <v>-0.0525</v>
      </c>
    </row>
    <row r="291" customFormat="false" ht="15" hidden="false" customHeight="false" outlineLevel="0" collapsed="false">
      <c r="A291" s="22" t="s">
        <v>477</v>
      </c>
      <c r="B291" s="22" t="s">
        <v>3</v>
      </c>
      <c r="C291" s="22" t="s">
        <v>477</v>
      </c>
      <c r="D291" s="22" t="n">
        <v>29340</v>
      </c>
      <c r="E291" s="22" t="s">
        <v>132</v>
      </c>
      <c r="F291" s="22" t="s">
        <v>135</v>
      </c>
      <c r="G291" s="22" t="s">
        <v>131</v>
      </c>
      <c r="H291" s="22" t="s">
        <v>131</v>
      </c>
      <c r="I291" s="22" t="n">
        <v>-0.008</v>
      </c>
      <c r="J291" s="22" t="n">
        <v>-0.0012</v>
      </c>
      <c r="K291" s="22" t="n">
        <v>-0.0192</v>
      </c>
      <c r="L291" s="22" t="n">
        <v>0.0486</v>
      </c>
      <c r="M291" s="22" t="n">
        <v>0.0336</v>
      </c>
      <c r="N291" s="22" t="n">
        <v>0.1119</v>
      </c>
      <c r="O291" s="22" t="n">
        <v>0.1758</v>
      </c>
      <c r="P291" s="22" t="n">
        <v>0.0987</v>
      </c>
      <c r="Q291" s="22" t="n">
        <v>0.0553</v>
      </c>
      <c r="R291" s="22" t="n">
        <v>0.038</v>
      </c>
      <c r="S291" s="22" t="n">
        <v>-0.0302</v>
      </c>
      <c r="T291" s="22" t="n">
        <v>-0.0399</v>
      </c>
      <c r="U291" s="22" t="n">
        <v>-0.0201</v>
      </c>
      <c r="V291" s="22" t="n">
        <v>-0.0335</v>
      </c>
      <c r="W291" s="22" t="n">
        <v>-0.0472</v>
      </c>
      <c r="X291" s="22" t="n">
        <v>-0.0815</v>
      </c>
      <c r="Y291" s="22" t="n">
        <v>-0.0766</v>
      </c>
      <c r="Z291" s="22" t="n">
        <v>-0.089</v>
      </c>
      <c r="AA291" s="22" t="n">
        <v>-0.0827</v>
      </c>
      <c r="AB291" s="22" t="n">
        <v>0.0408</v>
      </c>
      <c r="AC291" s="22" t="n">
        <v>0.1935</v>
      </c>
      <c r="AD291" s="22" t="n">
        <v>0.3052</v>
      </c>
      <c r="AE291" s="22" t="n">
        <v>0.2953</v>
      </c>
      <c r="AF291" s="22" t="n">
        <v>0.235</v>
      </c>
      <c r="AG291" s="22" t="n">
        <v>0.1008</v>
      </c>
      <c r="AH291" s="22" t="n">
        <v>-0.0651</v>
      </c>
      <c r="AI291" s="22" t="n">
        <v>-0.1008</v>
      </c>
      <c r="AJ291" s="22" t="n">
        <v>-0.1577</v>
      </c>
      <c r="AK291" s="22" t="n">
        <v>-0.1595</v>
      </c>
      <c r="AL291" s="22" t="n">
        <v>-0.0697</v>
      </c>
      <c r="AM291" s="22" t="n">
        <v>-0.0217</v>
      </c>
      <c r="AN291" s="22" t="n">
        <v>0.0321</v>
      </c>
      <c r="AO291" s="22" t="n">
        <v>0.0236</v>
      </c>
      <c r="AP291" s="22" t="n">
        <v>-0.0102</v>
      </c>
      <c r="AQ291" s="22" t="n">
        <v>-0.0028</v>
      </c>
      <c r="AR291" s="22" t="n">
        <v>-0.0082</v>
      </c>
      <c r="AS291" s="22" t="n">
        <v>0.0317</v>
      </c>
      <c r="AT291" s="22" t="n">
        <v>0.0824</v>
      </c>
      <c r="AU291" s="22" t="n">
        <v>0.1108</v>
      </c>
      <c r="AV291" s="22" t="n">
        <v>0.1481</v>
      </c>
    </row>
    <row r="292" customFormat="false" ht="15" hidden="false" customHeight="false" outlineLevel="0" collapsed="false">
      <c r="A292" s="22" t="s">
        <v>478</v>
      </c>
      <c r="B292" s="22" t="s">
        <v>3</v>
      </c>
      <c r="C292" s="22" t="s">
        <v>478</v>
      </c>
      <c r="D292" s="22" t="n">
        <v>29380</v>
      </c>
      <c r="E292" s="22" t="s">
        <v>132</v>
      </c>
      <c r="F292" s="22" t="s">
        <v>135</v>
      </c>
      <c r="G292" s="22" t="s">
        <v>131</v>
      </c>
      <c r="H292" s="22" t="s">
        <v>131</v>
      </c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</row>
    <row r="293" customFormat="false" ht="15" hidden="false" customHeight="false" outlineLevel="0" collapsed="false">
      <c r="A293" s="22" t="s">
        <v>479</v>
      </c>
      <c r="B293" s="22" t="s">
        <v>3</v>
      </c>
      <c r="C293" s="22" t="s">
        <v>479</v>
      </c>
      <c r="D293" s="22" t="n">
        <v>29420</v>
      </c>
      <c r="E293" s="22" t="s">
        <v>132</v>
      </c>
      <c r="F293" s="22" t="s">
        <v>135</v>
      </c>
      <c r="G293" s="22" t="s">
        <v>131</v>
      </c>
      <c r="H293" s="22" t="s">
        <v>131</v>
      </c>
      <c r="I293" s="22" t="n">
        <v>0.1391</v>
      </c>
      <c r="J293" s="22" t="n">
        <v>0.2033</v>
      </c>
      <c r="K293" s="22" t="n">
        <v>0.0639</v>
      </c>
      <c r="L293" s="22" t="n">
        <v>-0.0049</v>
      </c>
      <c r="M293" s="22" t="n">
        <v>-0.0352</v>
      </c>
      <c r="N293" s="22" t="n">
        <v>-0.0782</v>
      </c>
      <c r="O293" s="22" t="n">
        <v>0.0502</v>
      </c>
      <c r="P293" s="22" t="n">
        <v>0.0065</v>
      </c>
      <c r="Q293" s="22" t="n">
        <v>-0.0159</v>
      </c>
      <c r="R293" s="22" t="n">
        <v>0.0046</v>
      </c>
      <c r="S293" s="22" t="n">
        <v>0.0191</v>
      </c>
      <c r="T293" s="22" t="n">
        <v>0.0487</v>
      </c>
      <c r="U293" s="22" t="n">
        <v>0.0632</v>
      </c>
      <c r="V293" s="22" t="n">
        <v>0.0597</v>
      </c>
      <c r="W293" s="22" t="n">
        <v>0.0913</v>
      </c>
      <c r="X293" s="22" t="n">
        <v>0.1012</v>
      </c>
      <c r="Y293" s="22" t="n">
        <v>0.0938</v>
      </c>
      <c r="Z293" s="22" t="n">
        <v>0.1366</v>
      </c>
      <c r="AA293" s="22" t="n">
        <v>0.0569</v>
      </c>
      <c r="AB293" s="22" t="n">
        <v>0.0515</v>
      </c>
      <c r="AC293" s="22" t="n">
        <v>0.0506</v>
      </c>
      <c r="AD293" s="22" t="n">
        <v>0.0505</v>
      </c>
      <c r="AE293" s="22" t="n">
        <v>0.1612</v>
      </c>
      <c r="AF293" s="22" t="n">
        <v>0.2176</v>
      </c>
      <c r="AG293" s="22" t="n">
        <v>0.2252</v>
      </c>
      <c r="AH293" s="22" t="n">
        <v>0.1903</v>
      </c>
      <c r="AI293" s="22" t="n">
        <v>0.1356</v>
      </c>
      <c r="AJ293" s="22" t="n">
        <v>0.1058</v>
      </c>
      <c r="AK293" s="22" t="n">
        <v>0.1056</v>
      </c>
      <c r="AL293" s="22" t="n">
        <v>0.0814</v>
      </c>
      <c r="AM293" s="22" t="n">
        <v>0.0586</v>
      </c>
      <c r="AN293" s="22" t="n">
        <v>0.024</v>
      </c>
      <c r="AO293" s="22" t="n">
        <v>0.0216</v>
      </c>
      <c r="AP293" s="22" t="n">
        <v>0.022</v>
      </c>
      <c r="AQ293" s="22" t="n">
        <v>0.0327</v>
      </c>
      <c r="AR293" s="22" t="n">
        <v>0.0452</v>
      </c>
      <c r="AS293" s="22" t="n">
        <v>0.0291</v>
      </c>
      <c r="AT293" s="22" t="n">
        <v>0.0245</v>
      </c>
      <c r="AU293" s="22" t="n">
        <v>0.0154</v>
      </c>
      <c r="AV293" s="22" t="n">
        <v>0.0011</v>
      </c>
    </row>
    <row r="294" customFormat="false" ht="15" hidden="false" customHeight="false" outlineLevel="0" collapsed="false">
      <c r="A294" s="22" t="s">
        <v>45</v>
      </c>
      <c r="B294" s="22" t="s">
        <v>3</v>
      </c>
      <c r="C294" s="22" t="s">
        <v>45</v>
      </c>
      <c r="D294" s="22" t="n">
        <v>29460</v>
      </c>
      <c r="E294" s="22" t="s">
        <v>132</v>
      </c>
      <c r="F294" s="22" t="s">
        <v>135</v>
      </c>
      <c r="G294" s="22" t="s">
        <v>131</v>
      </c>
      <c r="H294" s="22" t="s">
        <v>131</v>
      </c>
      <c r="I294" s="22" t="n">
        <v>0.0467</v>
      </c>
      <c r="J294" s="22" t="n">
        <v>0.0393</v>
      </c>
      <c r="K294" s="22" t="n">
        <v>0.0273</v>
      </c>
      <c r="L294" s="22" t="n">
        <v>0.0288</v>
      </c>
      <c r="M294" s="22" t="n">
        <v>0.0223</v>
      </c>
      <c r="N294" s="22" t="n">
        <v>0.031</v>
      </c>
      <c r="O294" s="22" t="n">
        <v>0.0439</v>
      </c>
      <c r="P294" s="22" t="n">
        <v>0.0604</v>
      </c>
      <c r="Q294" s="22" t="n">
        <v>0.0898</v>
      </c>
      <c r="R294" s="22" t="n">
        <v>0.0849</v>
      </c>
      <c r="S294" s="22" t="n">
        <v>0.0919</v>
      </c>
      <c r="T294" s="22" t="n">
        <v>0.109</v>
      </c>
      <c r="U294" s="22" t="n">
        <v>0.0906</v>
      </c>
      <c r="V294" s="22" t="n">
        <v>0.0798</v>
      </c>
      <c r="W294" s="22" t="n">
        <v>0.0529</v>
      </c>
      <c r="X294" s="22" t="n">
        <v>0.0237</v>
      </c>
      <c r="Y294" s="22" t="n">
        <v>0.0341</v>
      </c>
      <c r="Z294" s="22" t="n">
        <v>0.0076</v>
      </c>
      <c r="AA294" s="22" t="n">
        <v>0.0184</v>
      </c>
      <c r="AB294" s="22" t="n">
        <v>0.0302</v>
      </c>
      <c r="AC294" s="22" t="n">
        <v>0.0396</v>
      </c>
      <c r="AD294" s="22" t="n">
        <v>0.1085</v>
      </c>
      <c r="AE294" s="22" t="n">
        <v>0.1716</v>
      </c>
      <c r="AF294" s="22" t="n">
        <v>0.2276</v>
      </c>
      <c r="AG294" s="22" t="n">
        <v>0.2591</v>
      </c>
      <c r="AH294" s="22" t="n">
        <v>0.248</v>
      </c>
      <c r="AI294" s="22" t="n">
        <v>0.188</v>
      </c>
      <c r="AJ294" s="22" t="n">
        <v>0.108</v>
      </c>
      <c r="AK294" s="22" t="n">
        <v>0.067</v>
      </c>
      <c r="AL294" s="22" t="n">
        <v>0.0376</v>
      </c>
      <c r="AM294" s="22" t="n">
        <v>0.0073</v>
      </c>
      <c r="AN294" s="22" t="n">
        <v>0.0073</v>
      </c>
      <c r="AO294" s="22" t="n">
        <v>-0.0131</v>
      </c>
      <c r="AP294" s="22" t="n">
        <v>-0.0371</v>
      </c>
      <c r="AQ294" s="22" t="n">
        <v>-0.024</v>
      </c>
      <c r="AR294" s="22" t="n">
        <v>-0.0266</v>
      </c>
      <c r="AS294" s="22" t="n">
        <v>-0.0058</v>
      </c>
      <c r="AT294" s="22" t="n">
        <v>0.0165</v>
      </c>
      <c r="AU294" s="22" t="n">
        <v>0.0172</v>
      </c>
      <c r="AV294" s="22" t="n">
        <v>0.0329</v>
      </c>
    </row>
    <row r="295" customFormat="false" ht="15" hidden="false" customHeight="false" outlineLevel="0" collapsed="false">
      <c r="A295" s="22" t="s">
        <v>480</v>
      </c>
      <c r="B295" s="22" t="s">
        <v>3</v>
      </c>
      <c r="C295" s="22" t="s">
        <v>480</v>
      </c>
      <c r="D295" s="22" t="n">
        <v>29470</v>
      </c>
      <c r="E295" s="22" t="s">
        <v>132</v>
      </c>
      <c r="F295" s="22" t="s">
        <v>135</v>
      </c>
      <c r="G295" s="22" t="s">
        <v>131</v>
      </c>
      <c r="H295" s="22" t="s">
        <v>131</v>
      </c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</row>
    <row r="296" customFormat="false" ht="15" hidden="false" customHeight="false" outlineLevel="0" collapsed="false">
      <c r="A296" s="22" t="s">
        <v>481</v>
      </c>
      <c r="B296" s="22" t="s">
        <v>3</v>
      </c>
      <c r="C296" s="22" t="s">
        <v>481</v>
      </c>
      <c r="D296" s="22" t="n">
        <v>29540</v>
      </c>
      <c r="E296" s="22" t="s">
        <v>132</v>
      </c>
      <c r="F296" s="22" t="s">
        <v>135</v>
      </c>
      <c r="G296" s="22" t="s">
        <v>131</v>
      </c>
      <c r="H296" s="22" t="s">
        <v>131</v>
      </c>
      <c r="I296" s="22" t="n">
        <v>0.0703</v>
      </c>
      <c r="J296" s="22" t="n">
        <v>0.0682</v>
      </c>
      <c r="K296" s="22" t="n">
        <v>0.0327</v>
      </c>
      <c r="L296" s="22" t="n">
        <v>0.0268</v>
      </c>
      <c r="M296" s="22" t="n">
        <v>0.0173</v>
      </c>
      <c r="N296" s="22" t="n">
        <v>0.0441</v>
      </c>
      <c r="O296" s="22" t="n">
        <v>0.0587</v>
      </c>
      <c r="P296" s="22" t="n">
        <v>0.0577</v>
      </c>
      <c r="Q296" s="22" t="n">
        <v>0.04</v>
      </c>
      <c r="R296" s="22" t="n">
        <v>0.0133</v>
      </c>
      <c r="S296" s="22" t="n">
        <v>0.0147</v>
      </c>
      <c r="T296" s="22" t="n">
        <v>0.025</v>
      </c>
      <c r="U296" s="22" t="n">
        <v>0.037</v>
      </c>
      <c r="V296" s="22" t="n">
        <v>0.0449</v>
      </c>
      <c r="W296" s="22" t="n">
        <v>0.0266</v>
      </c>
      <c r="X296" s="22" t="n">
        <v>0.0195</v>
      </c>
      <c r="Y296" s="22" t="n">
        <v>0.0118</v>
      </c>
      <c r="Z296" s="22" t="n">
        <v>0.0103</v>
      </c>
      <c r="AA296" s="22" t="n">
        <v>0.0328</v>
      </c>
      <c r="AB296" s="22" t="n">
        <v>0.0464</v>
      </c>
      <c r="AC296" s="22" t="n">
        <v>0.0543</v>
      </c>
      <c r="AD296" s="22" t="n">
        <v>0.0604</v>
      </c>
      <c r="AE296" s="22" t="n">
        <v>0.0568</v>
      </c>
      <c r="AF296" s="22" t="n">
        <v>0.063</v>
      </c>
      <c r="AG296" s="22" t="n">
        <v>0.091</v>
      </c>
      <c r="AH296" s="22" t="n">
        <v>0.0936</v>
      </c>
      <c r="AI296" s="22" t="n">
        <v>0.1045</v>
      </c>
      <c r="AJ296" s="22" t="n">
        <v>0.096</v>
      </c>
      <c r="AK296" s="22" t="n">
        <v>0.0744</v>
      </c>
      <c r="AL296" s="22" t="n">
        <v>0.0715</v>
      </c>
      <c r="AM296" s="22" t="n">
        <v>0.0639</v>
      </c>
      <c r="AN296" s="22" t="n">
        <v>0.067</v>
      </c>
      <c r="AO296" s="22" t="n">
        <v>0.0686</v>
      </c>
      <c r="AP296" s="22" t="n">
        <v>0.0653</v>
      </c>
      <c r="AQ296" s="22" t="n">
        <v>0.0737</v>
      </c>
      <c r="AR296" s="22" t="n">
        <v>0.0613</v>
      </c>
      <c r="AS296" s="22" t="n">
        <v>0.0401</v>
      </c>
      <c r="AT296" s="22" t="n">
        <v>0.0362</v>
      </c>
      <c r="AU296" s="22" t="n">
        <v>0.0245</v>
      </c>
      <c r="AV296" s="22" t="n">
        <v>0.0344</v>
      </c>
    </row>
    <row r="297" customFormat="false" ht="15" hidden="false" customHeight="false" outlineLevel="0" collapsed="false">
      <c r="A297" s="22" t="s">
        <v>173</v>
      </c>
      <c r="B297" s="22" t="s">
        <v>3</v>
      </c>
      <c r="C297" s="22" t="s">
        <v>173</v>
      </c>
      <c r="D297" s="22" t="n">
        <v>29620</v>
      </c>
      <c r="E297" s="22" t="s">
        <v>132</v>
      </c>
      <c r="F297" s="22" t="s">
        <v>135</v>
      </c>
      <c r="G297" s="22" t="s">
        <v>131</v>
      </c>
      <c r="H297" s="22" t="s">
        <v>131</v>
      </c>
      <c r="I297" s="22" t="n">
        <v>0.036</v>
      </c>
      <c r="J297" s="22" t="n">
        <v>0.0296</v>
      </c>
      <c r="K297" s="22" t="n">
        <v>0.03</v>
      </c>
      <c r="L297" s="22" t="n">
        <v>0.0294</v>
      </c>
      <c r="M297" s="22" t="n">
        <v>0.0398</v>
      </c>
      <c r="N297" s="22" t="n">
        <v>0.0501</v>
      </c>
      <c r="O297" s="22" t="n">
        <v>0.0286</v>
      </c>
      <c r="P297" s="22" t="n">
        <v>0.0458</v>
      </c>
      <c r="Q297" s="22" t="n">
        <v>0.0378</v>
      </c>
      <c r="R297" s="22" t="n">
        <v>0.0223</v>
      </c>
      <c r="S297" s="22" t="n">
        <v>0.0259</v>
      </c>
      <c r="T297" s="22" t="n">
        <v>0.027</v>
      </c>
      <c r="U297" s="22" t="n">
        <v>0.0223</v>
      </c>
      <c r="V297" s="22" t="n">
        <v>0.0479</v>
      </c>
      <c r="W297" s="22" t="n">
        <v>0.0629</v>
      </c>
      <c r="X297" s="22" t="n">
        <v>0.0415</v>
      </c>
      <c r="Y297" s="22" t="n">
        <v>0.0387</v>
      </c>
      <c r="Z297" s="22" t="n">
        <v>0.0074</v>
      </c>
      <c r="AA297" s="22" t="n">
        <v>0.0207</v>
      </c>
      <c r="AB297" s="22" t="n">
        <v>0.0264</v>
      </c>
      <c r="AC297" s="22" t="n">
        <v>0.0287</v>
      </c>
      <c r="AD297" s="22" t="n">
        <v>0.0635</v>
      </c>
      <c r="AE297" s="22" t="n">
        <v>0.0834</v>
      </c>
      <c r="AF297" s="22" t="n">
        <v>0.1056</v>
      </c>
      <c r="AG297" s="22" t="n">
        <v>0.1201</v>
      </c>
      <c r="AH297" s="22" t="n">
        <v>0.1193</v>
      </c>
      <c r="AI297" s="22" t="n">
        <v>0.1123</v>
      </c>
      <c r="AJ297" s="22" t="n">
        <v>0.0847</v>
      </c>
      <c r="AK297" s="22" t="n">
        <v>0.0593</v>
      </c>
      <c r="AL297" s="22" t="n">
        <v>0.0556</v>
      </c>
      <c r="AM297" s="22" t="n">
        <v>0.0405</v>
      </c>
      <c r="AN297" s="22" t="n">
        <v>0.0434</v>
      </c>
      <c r="AO297" s="22" t="n">
        <v>0.0477</v>
      </c>
      <c r="AP297" s="22" t="n">
        <v>0.0381</v>
      </c>
      <c r="AQ297" s="22" t="n">
        <v>0.0591</v>
      </c>
      <c r="AR297" s="22" t="n">
        <v>0.0504</v>
      </c>
      <c r="AS297" s="22" t="n">
        <v>0.0509</v>
      </c>
      <c r="AT297" s="22" t="n">
        <v>0.0646</v>
      </c>
      <c r="AU297" s="22" t="n">
        <v>0.0438</v>
      </c>
      <c r="AV297" s="22" t="n">
        <v>0.0438</v>
      </c>
    </row>
    <row r="298" customFormat="false" ht="15" hidden="false" customHeight="false" outlineLevel="0" collapsed="false">
      <c r="A298" s="22" t="s">
        <v>482</v>
      </c>
      <c r="B298" s="22" t="s">
        <v>3</v>
      </c>
      <c r="C298" s="22" t="s">
        <v>482</v>
      </c>
      <c r="D298" s="22" t="n">
        <v>29700</v>
      </c>
      <c r="E298" s="22" t="s">
        <v>132</v>
      </c>
      <c r="F298" s="22" t="s">
        <v>135</v>
      </c>
      <c r="G298" s="22" t="s">
        <v>131</v>
      </c>
      <c r="H298" s="22" t="s">
        <v>131</v>
      </c>
      <c r="I298" s="22" t="n">
        <v>0.0015</v>
      </c>
      <c r="J298" s="22" t="n">
        <v>-0.0263</v>
      </c>
      <c r="K298" s="22" t="n">
        <v>-0.0271</v>
      </c>
      <c r="L298" s="22" t="n">
        <v>0.0358</v>
      </c>
      <c r="M298" s="22" t="n">
        <v>0.0387</v>
      </c>
      <c r="N298" s="22" t="n">
        <v>0.0507</v>
      </c>
      <c r="O298" s="22" t="n">
        <v>0.0733</v>
      </c>
      <c r="P298" s="22" t="n">
        <v>0.0145</v>
      </c>
      <c r="Q298" s="22" t="n">
        <v>-0.0045</v>
      </c>
      <c r="R298" s="22" t="n">
        <v>0.0122</v>
      </c>
      <c r="S298" s="22" t="n">
        <v>0.0202</v>
      </c>
      <c r="T298" s="22" t="n">
        <v>0.0488</v>
      </c>
      <c r="U298" s="22" t="n">
        <v>0.0366</v>
      </c>
      <c r="V298" s="22" t="n">
        <v>0.0299</v>
      </c>
      <c r="W298" s="22" t="n">
        <v>0.0158</v>
      </c>
      <c r="X298" s="22" t="n">
        <v>0.0334</v>
      </c>
      <c r="Y298" s="22" t="n">
        <v>0.0128</v>
      </c>
      <c r="Z298" s="22" t="n">
        <v>-0.0129</v>
      </c>
      <c r="AA298" s="22" t="n">
        <v>-0.025</v>
      </c>
      <c r="AB298" s="22" t="n">
        <v>-0.0545</v>
      </c>
      <c r="AC298" s="22" t="n">
        <v>-0.006</v>
      </c>
      <c r="AD298" s="22" t="n">
        <v>0.0105</v>
      </c>
      <c r="AE298" s="22" t="n">
        <v>0.0771</v>
      </c>
      <c r="AF298" s="22" t="n">
        <v>0.1446</v>
      </c>
      <c r="AG298" s="22" t="n">
        <v>0.1466</v>
      </c>
      <c r="AH298" s="22" t="n">
        <v>0.1928</v>
      </c>
      <c r="AI298" s="22" t="n">
        <v>0.1174</v>
      </c>
      <c r="AJ298" s="22" t="n">
        <v>0.0731</v>
      </c>
      <c r="AK298" s="22" t="n">
        <v>0.0685</v>
      </c>
      <c r="AL298" s="22" t="n">
        <v>0.0136</v>
      </c>
      <c r="AM298" s="22" t="n">
        <v>0.0682</v>
      </c>
      <c r="AN298" s="22" t="n">
        <v>0.0477</v>
      </c>
      <c r="AO298" s="22" t="n">
        <v>0.0485</v>
      </c>
      <c r="AP298" s="22" t="n">
        <v>0.0796</v>
      </c>
      <c r="AQ298" s="22" t="n">
        <v>0.0262</v>
      </c>
      <c r="AR298" s="22" t="n">
        <v>0.0331</v>
      </c>
      <c r="AS298" s="22" t="n">
        <v>0.0245</v>
      </c>
      <c r="AT298" s="22" t="n">
        <v>0.0355</v>
      </c>
      <c r="AU298" s="22" t="n">
        <v>0.0189</v>
      </c>
      <c r="AV298" s="22" t="n">
        <v>-0.0177</v>
      </c>
    </row>
    <row r="299" customFormat="false" ht="15" hidden="false" customHeight="false" outlineLevel="0" collapsed="false">
      <c r="A299" s="22" t="s">
        <v>483</v>
      </c>
      <c r="B299" s="22" t="s">
        <v>3</v>
      </c>
      <c r="C299" s="22" t="s">
        <v>483</v>
      </c>
      <c r="D299" s="22" t="n">
        <v>29740</v>
      </c>
      <c r="E299" s="22" t="s">
        <v>132</v>
      </c>
      <c r="F299" s="22" t="s">
        <v>135</v>
      </c>
      <c r="G299" s="22" t="s">
        <v>131</v>
      </c>
      <c r="H299" s="22" t="s">
        <v>131</v>
      </c>
      <c r="I299" s="22" t="n">
        <v>0.0409</v>
      </c>
      <c r="J299" s="22" t="n">
        <v>0.055</v>
      </c>
      <c r="K299" s="22" t="n">
        <v>0.0224</v>
      </c>
      <c r="L299" s="22" t="n">
        <v>-0.0366</v>
      </c>
      <c r="M299" s="22" t="n">
        <v>-0.0531</v>
      </c>
      <c r="N299" s="22" t="n">
        <v>-0.0654</v>
      </c>
      <c r="O299" s="22" t="n">
        <v>-0.002</v>
      </c>
      <c r="P299" s="22" t="n">
        <v>0.008</v>
      </c>
      <c r="Q299" s="22" t="n">
        <v>0.0136</v>
      </c>
      <c r="R299" s="22" t="n">
        <v>0.0234</v>
      </c>
      <c r="S299" s="22" t="n">
        <v>0.0352</v>
      </c>
      <c r="T299" s="22" t="n">
        <v>0.0194</v>
      </c>
      <c r="U299" s="22" t="n">
        <v>0.0207</v>
      </c>
      <c r="V299" s="22" t="n">
        <v>0.0465</v>
      </c>
      <c r="W299" s="22" t="n">
        <v>0.04</v>
      </c>
      <c r="X299" s="22" t="n">
        <v>0.0454</v>
      </c>
      <c r="Y299" s="22" t="n">
        <v>0.0468</v>
      </c>
      <c r="Z299" s="22" t="n">
        <v>0.0122</v>
      </c>
      <c r="AA299" s="22" t="n">
        <v>0.0694</v>
      </c>
      <c r="AB299" s="22" t="n">
        <v>0.0976</v>
      </c>
      <c r="AC299" s="22" t="n">
        <v>0.1076</v>
      </c>
      <c r="AD299" s="22" t="n">
        <v>0.1218</v>
      </c>
      <c r="AE299" s="22" t="n">
        <v>0.1097</v>
      </c>
      <c r="AF299" s="22" t="n">
        <v>0.115</v>
      </c>
      <c r="AG299" s="22" t="n">
        <v>0.174</v>
      </c>
      <c r="AH299" s="22" t="n">
        <v>0.2412</v>
      </c>
      <c r="AI299" s="22" t="n">
        <v>0.1958</v>
      </c>
      <c r="AJ299" s="22" t="n">
        <v>0.2439</v>
      </c>
      <c r="AK299" s="22" t="n">
        <v>0.1671</v>
      </c>
      <c r="AL299" s="22" t="n">
        <v>0.139</v>
      </c>
      <c r="AM299" s="22" t="n">
        <v>0.1362</v>
      </c>
      <c r="AN299" s="22" t="n">
        <v>0.0408</v>
      </c>
      <c r="AO299" s="22" t="n">
        <v>0.0376</v>
      </c>
      <c r="AP299" s="22" t="n">
        <v>0.0296</v>
      </c>
      <c r="AQ299" s="22" t="n">
        <v>0.0269</v>
      </c>
      <c r="AR299" s="22" t="n">
        <v>0.0357</v>
      </c>
      <c r="AS299" s="22" t="n">
        <v>0.0354</v>
      </c>
      <c r="AT299" s="22" t="n">
        <v>0.0134</v>
      </c>
      <c r="AU299" s="22" t="n">
        <v>0.0148</v>
      </c>
      <c r="AV299" s="22" t="n">
        <v>0.0327</v>
      </c>
    </row>
    <row r="300" customFormat="false" ht="15" hidden="false" customHeight="false" outlineLevel="0" collapsed="false">
      <c r="A300" s="22" t="s">
        <v>63</v>
      </c>
      <c r="B300" s="22" t="s">
        <v>3</v>
      </c>
      <c r="C300" s="22" t="s">
        <v>63</v>
      </c>
      <c r="D300" s="22" t="n">
        <v>29820</v>
      </c>
      <c r="E300" s="22" t="s">
        <v>132</v>
      </c>
      <c r="F300" s="22" t="s">
        <v>135</v>
      </c>
      <c r="G300" s="22" t="s">
        <v>131</v>
      </c>
      <c r="H300" s="22" t="s">
        <v>131</v>
      </c>
      <c r="I300" s="22" t="n">
        <v>0.0695</v>
      </c>
      <c r="J300" s="22" t="n">
        <v>0.0695</v>
      </c>
      <c r="K300" s="22" t="n">
        <v>0.0581</v>
      </c>
      <c r="L300" s="22" t="n">
        <v>0.0628</v>
      </c>
      <c r="M300" s="22" t="n">
        <v>0.0527</v>
      </c>
      <c r="N300" s="22" t="n">
        <v>0.0546</v>
      </c>
      <c r="O300" s="22" t="n">
        <v>0.0728</v>
      </c>
      <c r="P300" s="22" t="n">
        <v>0.0687</v>
      </c>
      <c r="Q300" s="22" t="n">
        <v>0.0771</v>
      </c>
      <c r="R300" s="22" t="n">
        <v>0.0713</v>
      </c>
      <c r="S300" s="22" t="n">
        <v>0.0829</v>
      </c>
      <c r="T300" s="22" t="n">
        <v>0.0969</v>
      </c>
      <c r="U300" s="22" t="n">
        <v>0.0978</v>
      </c>
      <c r="V300" s="22" t="n">
        <v>0.1068</v>
      </c>
      <c r="W300" s="22" t="n">
        <v>0.091</v>
      </c>
      <c r="X300" s="22" t="n">
        <v>0.0695</v>
      </c>
      <c r="Y300" s="22" t="n">
        <v>0.059</v>
      </c>
      <c r="Z300" s="22" t="n">
        <v>0.0015</v>
      </c>
      <c r="AA300" s="22" t="n">
        <v>0.0166</v>
      </c>
      <c r="AB300" s="22" t="n">
        <v>0.037</v>
      </c>
      <c r="AC300" s="22" t="n">
        <v>0.0498</v>
      </c>
      <c r="AD300" s="22" t="n">
        <v>0.1413</v>
      </c>
      <c r="AE300" s="22" t="n">
        <v>0.2116</v>
      </c>
      <c r="AF300" s="22" t="n">
        <v>0.248</v>
      </c>
      <c r="AG300" s="22" t="n">
        <v>0.2541</v>
      </c>
      <c r="AH300" s="22" t="n">
        <v>0.2089</v>
      </c>
      <c r="AI300" s="22" t="n">
        <v>0.1056</v>
      </c>
      <c r="AJ300" s="22" t="n">
        <v>0.0277</v>
      </c>
      <c r="AK300" s="22" t="n">
        <v>0.0003</v>
      </c>
      <c r="AL300" s="22" t="n">
        <v>-0.0239</v>
      </c>
      <c r="AM300" s="22" t="n">
        <v>-0.0382</v>
      </c>
      <c r="AN300" s="22" t="n">
        <v>-0.0263</v>
      </c>
      <c r="AO300" s="22" t="n">
        <v>-0.0106</v>
      </c>
      <c r="AP300" s="22" t="n">
        <v>0.0037</v>
      </c>
      <c r="AQ300" s="22" t="n">
        <v>0.0066</v>
      </c>
      <c r="AR300" s="22" t="n">
        <v>-0.0024</v>
      </c>
      <c r="AS300" s="22" t="n">
        <v>-0.0076</v>
      </c>
      <c r="AT300" s="22" t="n">
        <v>-0.0172</v>
      </c>
      <c r="AU300" s="22" t="n">
        <v>-0.023</v>
      </c>
      <c r="AV300" s="22" t="n">
        <v>-0.0229</v>
      </c>
    </row>
    <row r="301" customFormat="false" ht="15" hidden="false" customHeight="false" outlineLevel="0" collapsed="false">
      <c r="A301" s="22" t="s">
        <v>484</v>
      </c>
      <c r="B301" s="22" t="s">
        <v>3</v>
      </c>
      <c r="C301" s="22" t="s">
        <v>484</v>
      </c>
      <c r="D301" s="22" t="n">
        <v>29860</v>
      </c>
      <c r="E301" s="22" t="s">
        <v>132</v>
      </c>
      <c r="F301" s="22" t="s">
        <v>135</v>
      </c>
      <c r="G301" s="22" t="s">
        <v>131</v>
      </c>
      <c r="H301" s="22" t="s">
        <v>131</v>
      </c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</row>
    <row r="302" customFormat="false" ht="15" hidden="false" customHeight="false" outlineLevel="0" collapsed="false">
      <c r="A302" s="22" t="s">
        <v>485</v>
      </c>
      <c r="B302" s="22" t="s">
        <v>3</v>
      </c>
      <c r="C302" s="22" t="s">
        <v>485</v>
      </c>
      <c r="D302" s="22" t="n">
        <v>29940</v>
      </c>
      <c r="E302" s="22" t="s">
        <v>132</v>
      </c>
      <c r="F302" s="22" t="s">
        <v>135</v>
      </c>
      <c r="G302" s="22" t="s">
        <v>131</v>
      </c>
      <c r="H302" s="22" t="s">
        <v>131</v>
      </c>
      <c r="I302" s="22" t="n">
        <v>0.0312</v>
      </c>
      <c r="J302" s="22" t="n">
        <v>0.0374</v>
      </c>
      <c r="K302" s="22" t="n">
        <v>0.0272</v>
      </c>
      <c r="L302" s="22" t="n">
        <v>-0.0142</v>
      </c>
      <c r="M302" s="22" t="n">
        <v>0.0082</v>
      </c>
      <c r="N302" s="22" t="n">
        <v>0.0599</v>
      </c>
      <c r="O302" s="22" t="n">
        <v>0.0602</v>
      </c>
      <c r="P302" s="22" t="n">
        <v>0.0434</v>
      </c>
      <c r="Q302" s="22" t="n">
        <v>0.017</v>
      </c>
      <c r="R302" s="22" t="n">
        <v>0.0181</v>
      </c>
      <c r="S302" s="22" t="n">
        <v>0.0203</v>
      </c>
      <c r="T302" s="22" t="n">
        <v>0.0152</v>
      </c>
      <c r="U302" s="22" t="n">
        <v>0.041</v>
      </c>
      <c r="V302" s="22" t="n">
        <v>0.028</v>
      </c>
      <c r="W302" s="22" t="n">
        <v>0.0024</v>
      </c>
      <c r="X302" s="22" t="n">
        <v>0.0172</v>
      </c>
      <c r="Y302" s="22" t="n">
        <v>0.0138</v>
      </c>
      <c r="Z302" s="22" t="n">
        <v>0.0138</v>
      </c>
      <c r="AA302" s="22" t="n">
        <v>0.0496</v>
      </c>
      <c r="AB302" s="22" t="n">
        <v>0.0414</v>
      </c>
      <c r="AC302" s="22" t="n">
        <v>0.0283</v>
      </c>
      <c r="AD302" s="22" t="n">
        <v>0.0268</v>
      </c>
      <c r="AE302" s="22" t="n">
        <v>0.0165</v>
      </c>
      <c r="AF302" s="22" t="n">
        <v>0.0381</v>
      </c>
      <c r="AG302" s="22" t="n">
        <v>0.0399</v>
      </c>
      <c r="AH302" s="22" t="n">
        <v>0.0479</v>
      </c>
      <c r="AI302" s="22" t="n">
        <v>0.0641</v>
      </c>
      <c r="AJ302" s="22" t="n">
        <v>0.0679</v>
      </c>
      <c r="AK302" s="22" t="n">
        <v>0.0708</v>
      </c>
      <c r="AL302" s="22" t="n">
        <v>0.0648</v>
      </c>
      <c r="AM302" s="22" t="n">
        <v>0.0765</v>
      </c>
      <c r="AN302" s="22" t="n">
        <v>0.075</v>
      </c>
      <c r="AO302" s="22" t="n">
        <v>0.0737</v>
      </c>
      <c r="AP302" s="22" t="n">
        <v>0.0889</v>
      </c>
      <c r="AQ302" s="22" t="n">
        <v>0.0615</v>
      </c>
      <c r="AR302" s="22" t="n">
        <v>0.0517</v>
      </c>
      <c r="AS302" s="22" t="n">
        <v>0.0548</v>
      </c>
      <c r="AT302" s="22" t="n">
        <v>0.0825</v>
      </c>
      <c r="AU302" s="22" t="n">
        <v>0.0855</v>
      </c>
      <c r="AV302" s="22" t="n">
        <v>0.0665</v>
      </c>
    </row>
    <row r="303" customFormat="false" ht="15" hidden="false" customHeight="false" outlineLevel="0" collapsed="false">
      <c r="A303" s="22" t="s">
        <v>486</v>
      </c>
      <c r="B303" s="22" t="s">
        <v>3</v>
      </c>
      <c r="C303" s="22" t="s">
        <v>486</v>
      </c>
      <c r="D303" s="22" t="n">
        <v>30020</v>
      </c>
      <c r="E303" s="22" t="s">
        <v>132</v>
      </c>
      <c r="F303" s="22" t="s">
        <v>135</v>
      </c>
      <c r="G303" s="22" t="s">
        <v>131</v>
      </c>
      <c r="H303" s="22" t="s">
        <v>131</v>
      </c>
      <c r="I303" s="22" t="n">
        <v>0.0002</v>
      </c>
      <c r="J303" s="22" t="n">
        <v>-0.015</v>
      </c>
      <c r="K303" s="22" t="n">
        <v>0.0202</v>
      </c>
      <c r="L303" s="22" t="n">
        <v>-0.0041</v>
      </c>
      <c r="M303" s="22" t="n">
        <v>-0.0539</v>
      </c>
      <c r="N303" s="22" t="n">
        <v>-0.0301</v>
      </c>
      <c r="O303" s="22" t="n">
        <v>-0.0365</v>
      </c>
      <c r="P303" s="22" t="n">
        <v>-0.0144</v>
      </c>
      <c r="Q303" s="22" t="n">
        <v>-0.001</v>
      </c>
      <c r="R303" s="22" t="n">
        <v>-0.0101</v>
      </c>
      <c r="S303" s="22" t="n">
        <v>-0.0192</v>
      </c>
      <c r="T303" s="22" t="n">
        <v>0.0122</v>
      </c>
      <c r="U303" s="22" t="n">
        <v>-0.0037</v>
      </c>
      <c r="V303" s="22" t="n">
        <v>-0.0024</v>
      </c>
      <c r="W303" s="22" t="n">
        <v>0.0477</v>
      </c>
      <c r="X303" s="22" t="n">
        <v>0.0147</v>
      </c>
      <c r="Y303" s="22" t="n">
        <v>0.0469</v>
      </c>
      <c r="Z303" s="22" t="n">
        <v>0.0421</v>
      </c>
      <c r="AA303" s="22" t="n">
        <v>0.0147</v>
      </c>
      <c r="AB303" s="22" t="n">
        <v>0.0188</v>
      </c>
      <c r="AC303" s="22" t="n">
        <v>0.0521</v>
      </c>
      <c r="AD303" s="22" t="n">
        <v>0.1007</v>
      </c>
      <c r="AE303" s="22" t="n">
        <v>0.1327</v>
      </c>
      <c r="AF303" s="22" t="n">
        <v>0.1288</v>
      </c>
      <c r="AG303" s="22" t="n">
        <v>0.1196</v>
      </c>
      <c r="AH303" s="22" t="n">
        <v>0.1412</v>
      </c>
      <c r="AI303" s="22" t="n">
        <v>0.0988</v>
      </c>
      <c r="AJ303" s="22" t="n">
        <v>0.0899</v>
      </c>
      <c r="AK303" s="22" t="n">
        <v>0.093</v>
      </c>
      <c r="AL303" s="22" t="n">
        <v>0.0402</v>
      </c>
      <c r="AM303" s="22" t="n">
        <v>0.0287</v>
      </c>
      <c r="AN303" s="22" t="n">
        <v>0.0666</v>
      </c>
      <c r="AO303" s="22" t="n">
        <v>0.04</v>
      </c>
      <c r="AP303" s="22" t="n">
        <v>0.0192</v>
      </c>
      <c r="AQ303" s="22" t="n">
        <v>0.0031</v>
      </c>
      <c r="AR303" s="22" t="n">
        <v>-0.0118</v>
      </c>
      <c r="AS303" s="22" t="n">
        <v>-0.0027</v>
      </c>
      <c r="AT303" s="22" t="n">
        <v>0.0316</v>
      </c>
      <c r="AU303" s="22" t="n">
        <v>0.0483</v>
      </c>
      <c r="AV303" s="22" t="n">
        <v>0.0303</v>
      </c>
    </row>
    <row r="304" customFormat="false" ht="15" hidden="false" customHeight="false" outlineLevel="0" collapsed="false">
      <c r="A304" s="22" t="s">
        <v>487</v>
      </c>
      <c r="B304" s="22" t="s">
        <v>3</v>
      </c>
      <c r="C304" s="22" t="s">
        <v>487</v>
      </c>
      <c r="D304" s="22" t="n">
        <v>30150</v>
      </c>
      <c r="E304" s="22" t="s">
        <v>132</v>
      </c>
      <c r="F304" s="22" t="s">
        <v>135</v>
      </c>
      <c r="G304" s="22" t="s">
        <v>131</v>
      </c>
      <c r="H304" s="22" t="s">
        <v>131</v>
      </c>
      <c r="I304" s="22" t="n">
        <v>0.0288</v>
      </c>
      <c r="J304" s="22" t="n">
        <v>0.3079</v>
      </c>
      <c r="K304" s="22" t="n">
        <v>0.2116</v>
      </c>
      <c r="L304" s="22" t="n">
        <v>0.1844</v>
      </c>
      <c r="M304" s="22" t="n">
        <v>-0.012</v>
      </c>
      <c r="N304" s="22" t="n">
        <v>-0.0528</v>
      </c>
      <c r="O304" s="22" t="n">
        <v>0.0345</v>
      </c>
      <c r="P304" s="22" t="n">
        <v>0.041</v>
      </c>
      <c r="Q304" s="22" t="n">
        <v>0.0444</v>
      </c>
      <c r="R304" s="22" t="n">
        <v>0.0735</v>
      </c>
      <c r="S304" s="22" t="n">
        <v>0.1232</v>
      </c>
      <c r="T304" s="22" t="n">
        <v>0.1051</v>
      </c>
      <c r="U304" s="22" t="n">
        <v>0.0934</v>
      </c>
      <c r="V304" s="22" t="n">
        <v>0.0392</v>
      </c>
      <c r="W304" s="22" t="n">
        <v>0.0262</v>
      </c>
      <c r="X304" s="22" t="n">
        <v>0.0555</v>
      </c>
      <c r="Y304" s="22" t="n">
        <v>0.0352</v>
      </c>
      <c r="Z304" s="22" t="n">
        <v>0.0147</v>
      </c>
      <c r="AA304" s="22" t="n">
        <v>-0.0153</v>
      </c>
      <c r="AB304" s="22" t="n">
        <v>-0.0697</v>
      </c>
      <c r="AC304" s="22" t="n">
        <v>-0.0262</v>
      </c>
      <c r="AD304" s="22" t="n">
        <v>0.0112</v>
      </c>
      <c r="AE304" s="22" t="n">
        <v>0.0235</v>
      </c>
      <c r="AF304" s="22" t="n">
        <v>0.119</v>
      </c>
      <c r="AG304" s="22" t="n">
        <v>0.2931</v>
      </c>
      <c r="AH304" s="22" t="n">
        <v>0.284</v>
      </c>
      <c r="AI304" s="22" t="n">
        <v>0.3103</v>
      </c>
      <c r="AJ304" s="22" t="n">
        <v>0.2996</v>
      </c>
      <c r="AK304" s="22" t="n">
        <v>0.0248</v>
      </c>
      <c r="AL304" s="22" t="n">
        <v>-0.0056</v>
      </c>
      <c r="AM304" s="22" t="n">
        <v>-0.0488</v>
      </c>
      <c r="AN304" s="22" t="n">
        <v>-0.0682</v>
      </c>
      <c r="AO304" s="22" t="n">
        <v>0.0203</v>
      </c>
      <c r="AP304" s="22" t="n">
        <v>0.0377</v>
      </c>
      <c r="AQ304" s="22" t="n">
        <v>0.0225</v>
      </c>
      <c r="AR304" s="22" t="n">
        <v>0.0307</v>
      </c>
      <c r="AS304" s="22" t="n">
        <v>0.0499</v>
      </c>
      <c r="AT304" s="22" t="n">
        <v>0.118</v>
      </c>
      <c r="AU304" s="22" t="n">
        <v>0.146</v>
      </c>
      <c r="AV304" s="22" t="n">
        <v>0.1169</v>
      </c>
    </row>
    <row r="305" customFormat="false" ht="15" hidden="false" customHeight="false" outlineLevel="0" collapsed="false">
      <c r="A305" s="22" t="s">
        <v>488</v>
      </c>
      <c r="B305" s="22" t="s">
        <v>3</v>
      </c>
      <c r="C305" s="22" t="s">
        <v>488</v>
      </c>
      <c r="D305" s="22" t="n">
        <v>30140</v>
      </c>
      <c r="E305" s="22" t="s">
        <v>132</v>
      </c>
      <c r="F305" s="22" t="s">
        <v>135</v>
      </c>
      <c r="G305" s="22" t="s">
        <v>131</v>
      </c>
      <c r="H305" s="22" t="s">
        <v>131</v>
      </c>
      <c r="I305" s="22" t="n">
        <v>0.0118</v>
      </c>
      <c r="J305" s="22" t="n">
        <v>0.0107</v>
      </c>
      <c r="K305" s="22" t="n">
        <v>0.0043</v>
      </c>
      <c r="L305" s="22" t="n">
        <v>0.1081</v>
      </c>
      <c r="M305" s="22" t="n">
        <v>0.1059</v>
      </c>
      <c r="N305" s="22" t="n">
        <v>0.1572</v>
      </c>
      <c r="O305" s="22" t="n">
        <v>0.2157</v>
      </c>
      <c r="P305" s="22" t="n">
        <v>0.0416</v>
      </c>
      <c r="Q305" s="22" t="n">
        <v>0.0651</v>
      </c>
      <c r="R305" s="22" t="n">
        <v>0.0421</v>
      </c>
      <c r="S305" s="22" t="n">
        <v>0.0291</v>
      </c>
      <c r="T305" s="22" t="n">
        <v>0.053</v>
      </c>
      <c r="U305" s="22" t="n">
        <v>0.0834</v>
      </c>
      <c r="V305" s="22" t="n">
        <v>0.058</v>
      </c>
      <c r="W305" s="22" t="n">
        <v>0.0642</v>
      </c>
      <c r="X305" s="22" t="n">
        <v>0.0394</v>
      </c>
      <c r="Y305" s="22" t="n">
        <v>0.0163</v>
      </c>
      <c r="Z305" s="22" t="n">
        <v>0.0391</v>
      </c>
      <c r="AA305" s="22" t="n">
        <v>0.0579</v>
      </c>
      <c r="AB305" s="22" t="n">
        <v>0.0596</v>
      </c>
      <c r="AC305" s="22" t="n">
        <v>0.0305</v>
      </c>
      <c r="AD305" s="22" t="n">
        <v>0.0429</v>
      </c>
      <c r="AE305" s="22" t="n">
        <v>0.0368</v>
      </c>
      <c r="AF305" s="22" t="n">
        <v>0.1094</v>
      </c>
      <c r="AG305" s="22" t="n">
        <v>0.1828</v>
      </c>
      <c r="AH305" s="22" t="n">
        <v>0.1961</v>
      </c>
      <c r="AI305" s="22" t="n">
        <v>0.1642</v>
      </c>
      <c r="AJ305" s="22" t="n">
        <v>0.0858</v>
      </c>
      <c r="AK305" s="22" t="n">
        <v>0.0406</v>
      </c>
      <c r="AL305" s="22" t="n">
        <v>0.0072</v>
      </c>
      <c r="AM305" s="22" t="n">
        <v>0.0442</v>
      </c>
      <c r="AN305" s="22" t="n">
        <v>0.0574</v>
      </c>
      <c r="AO305" s="22" t="n">
        <v>0.0513</v>
      </c>
      <c r="AP305" s="22" t="n">
        <v>0.0441</v>
      </c>
      <c r="AQ305" s="22" t="n">
        <v>0.0509</v>
      </c>
      <c r="AR305" s="22" t="n">
        <v>0.0547</v>
      </c>
      <c r="AS305" s="22" t="n">
        <v>0.0508</v>
      </c>
      <c r="AT305" s="22" t="n">
        <v>0.0448</v>
      </c>
      <c r="AU305" s="22" t="n">
        <v>0.037</v>
      </c>
      <c r="AV305" s="22" t="n">
        <v>0.0184</v>
      </c>
    </row>
    <row r="306" customFormat="false" ht="15" hidden="false" customHeight="false" outlineLevel="0" collapsed="false">
      <c r="A306" s="22" t="s">
        <v>489</v>
      </c>
      <c r="B306" s="22" t="s">
        <v>3</v>
      </c>
      <c r="C306" s="22" t="s">
        <v>489</v>
      </c>
      <c r="D306" s="22" t="n">
        <v>30280</v>
      </c>
      <c r="E306" s="22" t="s">
        <v>132</v>
      </c>
      <c r="F306" s="22" t="s">
        <v>135</v>
      </c>
      <c r="G306" s="22" t="s">
        <v>131</v>
      </c>
      <c r="H306" s="22" t="s">
        <v>131</v>
      </c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</row>
    <row r="307" customFormat="false" ht="15" hidden="false" customHeight="false" outlineLevel="0" collapsed="false">
      <c r="A307" s="22" t="s">
        <v>490</v>
      </c>
      <c r="B307" s="22" t="s">
        <v>3</v>
      </c>
      <c r="C307" s="22" t="s">
        <v>490</v>
      </c>
      <c r="D307" s="22" t="n">
        <v>30340</v>
      </c>
      <c r="E307" s="22" t="s">
        <v>132</v>
      </c>
      <c r="F307" s="22" t="s">
        <v>135</v>
      </c>
      <c r="G307" s="22" t="s">
        <v>131</v>
      </c>
      <c r="H307" s="22" t="s">
        <v>131</v>
      </c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</row>
    <row r="308" customFormat="false" ht="15" hidden="false" customHeight="false" outlineLevel="0" collapsed="false">
      <c r="A308" s="22" t="s">
        <v>491</v>
      </c>
      <c r="B308" s="22" t="s">
        <v>3</v>
      </c>
      <c r="C308" s="22" t="s">
        <v>491</v>
      </c>
      <c r="D308" s="22" t="n">
        <v>30300</v>
      </c>
      <c r="E308" s="22" t="s">
        <v>132</v>
      </c>
      <c r="F308" s="22" t="s">
        <v>135</v>
      </c>
      <c r="G308" s="22" t="s">
        <v>131</v>
      </c>
      <c r="H308" s="22" t="s">
        <v>131</v>
      </c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</row>
    <row r="309" customFormat="false" ht="15" hidden="false" customHeight="false" outlineLevel="0" collapsed="false">
      <c r="A309" s="22" t="s">
        <v>174</v>
      </c>
      <c r="B309" s="22" t="s">
        <v>3</v>
      </c>
      <c r="C309" s="22" t="s">
        <v>174</v>
      </c>
      <c r="D309" s="22" t="n">
        <v>230460</v>
      </c>
      <c r="E309" s="22" t="s">
        <v>132</v>
      </c>
      <c r="F309" s="22" t="s">
        <v>135</v>
      </c>
      <c r="G309" s="22" t="s">
        <v>131</v>
      </c>
      <c r="H309" s="22" t="s">
        <v>131</v>
      </c>
      <c r="I309" s="22" t="n">
        <v>0.0451</v>
      </c>
      <c r="J309" s="22" t="n">
        <v>0.0374</v>
      </c>
      <c r="K309" s="22" t="n">
        <v>0.0447</v>
      </c>
      <c r="L309" s="22" t="n">
        <v>0.0395</v>
      </c>
      <c r="M309" s="22" t="n">
        <v>0.0383</v>
      </c>
      <c r="N309" s="22" t="n">
        <v>0.0323</v>
      </c>
      <c r="O309" s="22" t="n">
        <v>0.0367</v>
      </c>
      <c r="P309" s="22" t="n">
        <v>0.0177</v>
      </c>
      <c r="Q309" s="22" t="n">
        <v>0.0108</v>
      </c>
      <c r="R309" s="22" t="n">
        <v>0.0032</v>
      </c>
      <c r="S309" s="22" t="n">
        <v>0.0054</v>
      </c>
      <c r="T309" s="22" t="n">
        <v>0.0215</v>
      </c>
      <c r="U309" s="22" t="n">
        <v>0.0361</v>
      </c>
      <c r="V309" s="22" t="n">
        <v>0.0401</v>
      </c>
      <c r="W309" s="22" t="n">
        <v>0.0442</v>
      </c>
      <c r="X309" s="22" t="n">
        <v>0.0232</v>
      </c>
      <c r="Y309" s="22" t="n">
        <v>0.0197</v>
      </c>
      <c r="Z309" s="22" t="n">
        <v>0.0156</v>
      </c>
      <c r="AA309" s="22" t="n">
        <v>0.0306</v>
      </c>
      <c r="AB309" s="22" t="n">
        <v>0.0553</v>
      </c>
      <c r="AC309" s="22" t="n">
        <v>0.056</v>
      </c>
      <c r="AD309" s="22" t="n">
        <v>0.0914</v>
      </c>
      <c r="AE309" s="22" t="n">
        <v>0.1212</v>
      </c>
      <c r="AF309" s="22" t="n">
        <v>0.1414</v>
      </c>
      <c r="AG309" s="22" t="n">
        <v>0.1491</v>
      </c>
      <c r="AH309" s="22" t="n">
        <v>0.1863</v>
      </c>
      <c r="AI309" s="22" t="n">
        <v>0.1624</v>
      </c>
      <c r="AJ309" s="22" t="n">
        <v>0.1356</v>
      </c>
      <c r="AK309" s="22" t="n">
        <v>0.1104</v>
      </c>
      <c r="AL309" s="22" t="n">
        <v>0.0527</v>
      </c>
      <c r="AM309" s="22" t="n">
        <v>0.0458</v>
      </c>
      <c r="AN309" s="22" t="n">
        <v>0.0519</v>
      </c>
      <c r="AO309" s="22" t="n">
        <v>0.0441</v>
      </c>
      <c r="AP309" s="22" t="n">
        <v>0.054</v>
      </c>
      <c r="AQ309" s="22" t="n">
        <v>0.0455</v>
      </c>
      <c r="AR309" s="22" t="n">
        <v>0.0454</v>
      </c>
      <c r="AS309" s="22" t="n">
        <v>0.0652</v>
      </c>
      <c r="AT309" s="22" t="n">
        <v>0.0736</v>
      </c>
      <c r="AU309" s="22" t="n">
        <v>0.0578</v>
      </c>
      <c r="AV309" s="22" t="n">
        <v>0.049</v>
      </c>
    </row>
    <row r="310" customFormat="false" ht="15" hidden="false" customHeight="false" outlineLevel="0" collapsed="false">
      <c r="A310" s="22" t="s">
        <v>492</v>
      </c>
      <c r="B310" s="22" t="s">
        <v>3</v>
      </c>
      <c r="C310" s="22" t="s">
        <v>492</v>
      </c>
      <c r="D310" s="22" t="n">
        <v>30500</v>
      </c>
      <c r="E310" s="22" t="s">
        <v>132</v>
      </c>
      <c r="F310" s="22" t="s">
        <v>135</v>
      </c>
      <c r="G310" s="22" t="s">
        <v>131</v>
      </c>
      <c r="H310" s="22" t="s">
        <v>131</v>
      </c>
      <c r="I310" s="22" t="n">
        <v>0.0086</v>
      </c>
      <c r="J310" s="22" t="n">
        <v>0.0315</v>
      </c>
      <c r="K310" s="22" t="n">
        <v>0.0795</v>
      </c>
      <c r="L310" s="22" t="n">
        <v>0.0654</v>
      </c>
      <c r="M310" s="22" t="n">
        <v>0.0377</v>
      </c>
      <c r="N310" s="22" t="n">
        <v>-0.0321</v>
      </c>
      <c r="O310" s="22" t="n">
        <v>-0.0356</v>
      </c>
      <c r="P310" s="22" t="n">
        <v>-0.0037</v>
      </c>
      <c r="Q310" s="22" t="n">
        <v>0.0052</v>
      </c>
      <c r="R310" s="22" t="n">
        <v>0.0137</v>
      </c>
      <c r="S310" s="22" t="n">
        <v>0.0193</v>
      </c>
      <c r="T310" s="22" t="n">
        <v>0.0236</v>
      </c>
      <c r="U310" s="22" t="n">
        <v>0.0415</v>
      </c>
      <c r="V310" s="22" t="n">
        <v>0.0606</v>
      </c>
      <c r="W310" s="22" t="n">
        <v>0.0628</v>
      </c>
      <c r="X310" s="22" t="n">
        <v>0.0671</v>
      </c>
      <c r="Y310" s="22" t="n">
        <v>0.0597</v>
      </c>
      <c r="Z310" s="22" t="n">
        <v>0.0458</v>
      </c>
      <c r="AA310" s="22" t="n">
        <v>0.026</v>
      </c>
      <c r="AB310" s="22" t="n">
        <v>0.0054</v>
      </c>
      <c r="AC310" s="22" t="n">
        <v>0.0275</v>
      </c>
      <c r="AD310" s="22" t="n">
        <v>0.0802</v>
      </c>
      <c r="AE310" s="22" t="n">
        <v>0.1025</v>
      </c>
      <c r="AF310" s="22" t="n">
        <v>0.1663</v>
      </c>
      <c r="AG310" s="22" t="n">
        <v>0.1094</v>
      </c>
      <c r="AH310" s="22" t="n">
        <v>0.0823</v>
      </c>
      <c r="AI310" s="22" t="n">
        <v>0.0727</v>
      </c>
      <c r="AJ310" s="22" t="n">
        <v>-0.009</v>
      </c>
      <c r="AK310" s="22" t="n">
        <v>0.0129</v>
      </c>
      <c r="AL310" s="22" t="n">
        <v>0.0233</v>
      </c>
      <c r="AM310" s="22" t="n">
        <v>0.03</v>
      </c>
      <c r="AN310" s="22" t="n">
        <v>0.0737</v>
      </c>
      <c r="AO310" s="22" t="n">
        <v>0.0956</v>
      </c>
      <c r="AP310" s="22" t="n">
        <v>0.1074</v>
      </c>
      <c r="AQ310" s="22" t="n">
        <v>0.0712</v>
      </c>
      <c r="AR310" s="22" t="n">
        <v>0.0436</v>
      </c>
      <c r="AS310" s="22" t="n">
        <v>0.0532</v>
      </c>
      <c r="AT310" s="22" t="n">
        <v>0.0508</v>
      </c>
      <c r="AU310" s="22" t="n">
        <v>0.043</v>
      </c>
      <c r="AV310" s="22" t="n">
        <v>0.0532</v>
      </c>
    </row>
    <row r="311" customFormat="false" ht="15" hidden="false" customHeight="false" outlineLevel="0" collapsed="false">
      <c r="A311" s="22" t="s">
        <v>493</v>
      </c>
      <c r="B311" s="22" t="s">
        <v>3</v>
      </c>
      <c r="C311" s="22" t="s">
        <v>493</v>
      </c>
      <c r="D311" s="22" t="n">
        <v>30620</v>
      </c>
      <c r="E311" s="22" t="s">
        <v>132</v>
      </c>
      <c r="F311" s="22" t="s">
        <v>135</v>
      </c>
      <c r="G311" s="22" t="s">
        <v>131</v>
      </c>
      <c r="H311" s="22" t="s">
        <v>131</v>
      </c>
      <c r="I311" s="22"/>
      <c r="J311" s="22"/>
      <c r="K311" s="22" t="n">
        <v>0.3821</v>
      </c>
      <c r="L311" s="22" t="n">
        <v>0.4151</v>
      </c>
      <c r="M311" s="22" t="n">
        <v>0.0448</v>
      </c>
      <c r="N311" s="22" t="n">
        <v>-0.0336</v>
      </c>
      <c r="O311" s="22" t="n">
        <v>-0.0076</v>
      </c>
      <c r="P311" s="22" t="n">
        <v>-0.0332</v>
      </c>
      <c r="Q311" s="22" t="n">
        <v>-0.045</v>
      </c>
      <c r="R311" s="22" t="n">
        <v>0.0285</v>
      </c>
      <c r="S311" s="22" t="n">
        <v>0.0474</v>
      </c>
      <c r="T311" s="22" t="n">
        <v>0.0646</v>
      </c>
      <c r="U311" s="22" t="n">
        <v>0.1746</v>
      </c>
      <c r="V311" s="22" t="n">
        <v>0.1559</v>
      </c>
      <c r="W311" s="22" t="n">
        <v>0.1553</v>
      </c>
      <c r="X311" s="22" t="n">
        <v>0.1487</v>
      </c>
      <c r="Y311" s="22" t="n">
        <v>0.0482</v>
      </c>
      <c r="Z311" s="22" t="n">
        <v>0.0345</v>
      </c>
      <c r="AA311" s="22" t="n">
        <v>0.0361</v>
      </c>
      <c r="AB311" s="22" t="n">
        <v>0.0325</v>
      </c>
      <c r="AC311" s="22" t="n">
        <v>0.0242</v>
      </c>
      <c r="AD311" s="22" t="n">
        <v>0.0361</v>
      </c>
      <c r="AE311" s="22" t="n">
        <v>0.036</v>
      </c>
      <c r="AF311" s="22" t="n">
        <v>0.0538</v>
      </c>
      <c r="AG311" s="22" t="n">
        <v>0.083</v>
      </c>
      <c r="AH311" s="22" t="n">
        <v>0.0726</v>
      </c>
      <c r="AI311" s="22" t="n">
        <v>0.064</v>
      </c>
      <c r="AJ311" s="22" t="n">
        <v>0.1147</v>
      </c>
      <c r="AK311" s="22" t="n">
        <v>0.1158</v>
      </c>
      <c r="AL311" s="22" t="n">
        <v>0.131</v>
      </c>
      <c r="AM311" s="22" t="n">
        <v>0.1509</v>
      </c>
      <c r="AN311" s="22" t="n">
        <v>0.0775</v>
      </c>
      <c r="AO311" s="22" t="n">
        <v>0.051</v>
      </c>
      <c r="AP311" s="22" t="n">
        <v>0.0349</v>
      </c>
      <c r="AQ311" s="22" t="n">
        <v>0.0225</v>
      </c>
      <c r="AR311" s="22" t="n">
        <v>0.0239</v>
      </c>
      <c r="AS311" s="22" t="n">
        <v>0.0279</v>
      </c>
      <c r="AT311" s="22"/>
      <c r="AU311" s="22"/>
      <c r="AV311" s="22"/>
    </row>
    <row r="312" customFormat="false" ht="15" hidden="false" customHeight="false" outlineLevel="0" collapsed="false">
      <c r="A312" s="22" t="s">
        <v>175</v>
      </c>
      <c r="B312" s="22" t="s">
        <v>3</v>
      </c>
      <c r="C312" s="22" t="s">
        <v>175</v>
      </c>
      <c r="D312" s="22" t="n">
        <v>30700</v>
      </c>
      <c r="E312" s="22" t="s">
        <v>132</v>
      </c>
      <c r="F312" s="22" t="s">
        <v>135</v>
      </c>
      <c r="G312" s="22" t="s">
        <v>131</v>
      </c>
      <c r="H312" s="22" t="s">
        <v>131</v>
      </c>
      <c r="I312" s="22" t="n">
        <v>0.0484</v>
      </c>
      <c r="J312" s="22" t="n">
        <v>0.0562</v>
      </c>
      <c r="K312" s="22" t="n">
        <v>0.0508</v>
      </c>
      <c r="L312" s="22" t="n">
        <v>0.0466</v>
      </c>
      <c r="M312" s="22" t="n">
        <v>0.0345</v>
      </c>
      <c r="N312" s="22" t="n">
        <v>0.0177</v>
      </c>
      <c r="O312" s="22" t="n">
        <v>0.0295</v>
      </c>
      <c r="P312" s="22" t="n">
        <v>0.0317</v>
      </c>
      <c r="Q312" s="22" t="n">
        <v>0.0249</v>
      </c>
      <c r="R312" s="22" t="n">
        <v>0.0359</v>
      </c>
      <c r="S312" s="22" t="n">
        <v>0.0391</v>
      </c>
      <c r="T312" s="22" t="n">
        <v>0.0381</v>
      </c>
      <c r="U312" s="22" t="n">
        <v>0.0526</v>
      </c>
      <c r="V312" s="22" t="n">
        <v>0.0501</v>
      </c>
      <c r="W312" s="22" t="n">
        <v>0.042</v>
      </c>
      <c r="X312" s="22" t="n">
        <v>0.0332</v>
      </c>
      <c r="Y312" s="22" t="n">
        <v>0.0321</v>
      </c>
      <c r="Z312" s="22" t="n">
        <v>0.0319</v>
      </c>
      <c r="AA312" s="22" t="n">
        <v>0.0462</v>
      </c>
      <c r="AB312" s="22" t="n">
        <v>0.0487</v>
      </c>
      <c r="AC312" s="22" t="n">
        <v>0.0279</v>
      </c>
      <c r="AD312" s="22" t="n">
        <v>0.0322</v>
      </c>
      <c r="AE312" s="22" t="n">
        <v>0.0308</v>
      </c>
      <c r="AF312" s="22" t="n">
        <v>0.0602</v>
      </c>
      <c r="AG312" s="22" t="n">
        <v>0.1032</v>
      </c>
      <c r="AH312" s="22" t="n">
        <v>0.1093</v>
      </c>
      <c r="AI312" s="22" t="n">
        <v>0.1045</v>
      </c>
      <c r="AJ312" s="22" t="n">
        <v>0.0896</v>
      </c>
      <c r="AK312" s="22" t="n">
        <v>0.0663</v>
      </c>
      <c r="AL312" s="22" t="n">
        <v>0.0618</v>
      </c>
      <c r="AM312" s="22" t="n">
        <v>0.0539</v>
      </c>
      <c r="AN312" s="22" t="n">
        <v>0.0517</v>
      </c>
      <c r="AO312" s="22" t="n">
        <v>0.0532</v>
      </c>
      <c r="AP312" s="22" t="n">
        <v>0.0567</v>
      </c>
      <c r="AQ312" s="22" t="n">
        <v>0.0641</v>
      </c>
      <c r="AR312" s="22" t="n">
        <v>0.0614</v>
      </c>
      <c r="AS312" s="22" t="n">
        <v>0.0594</v>
      </c>
      <c r="AT312" s="22" t="n">
        <v>0.0745</v>
      </c>
      <c r="AU312" s="22" t="n">
        <v>0.0712</v>
      </c>
      <c r="AV312" s="22" t="n">
        <v>0.0497</v>
      </c>
    </row>
    <row r="313" customFormat="false" ht="15" hidden="false" customHeight="false" outlineLevel="0" collapsed="false">
      <c r="A313" s="22" t="s">
        <v>176</v>
      </c>
      <c r="B313" s="22" t="s">
        <v>3</v>
      </c>
      <c r="C313" s="22" t="s">
        <v>176</v>
      </c>
      <c r="D313" s="22" t="n">
        <v>30780</v>
      </c>
      <c r="E313" s="22" t="s">
        <v>132</v>
      </c>
      <c r="F313" s="22" t="s">
        <v>135</v>
      </c>
      <c r="G313" s="22" t="s">
        <v>131</v>
      </c>
      <c r="H313" s="22" t="s">
        <v>131</v>
      </c>
      <c r="I313" s="22" t="n">
        <v>0.0242</v>
      </c>
      <c r="J313" s="22" t="n">
        <v>0.0395</v>
      </c>
      <c r="K313" s="22" t="n">
        <v>0.0479</v>
      </c>
      <c r="L313" s="22" t="n">
        <v>0.0396</v>
      </c>
      <c r="M313" s="22" t="n">
        <v>0.0238</v>
      </c>
      <c r="N313" s="22" t="n">
        <v>0.0074</v>
      </c>
      <c r="O313" s="22" t="n">
        <v>0.0021</v>
      </c>
      <c r="P313" s="22" t="n">
        <v>-0.0006</v>
      </c>
      <c r="Q313" s="22" t="n">
        <v>0.0204</v>
      </c>
      <c r="R313" s="22" t="n">
        <v>0.0305</v>
      </c>
      <c r="S313" s="22" t="n">
        <v>0.0224</v>
      </c>
      <c r="T313" s="22" t="n">
        <v>0.0235</v>
      </c>
      <c r="U313" s="22" t="n">
        <v>0.0136</v>
      </c>
      <c r="V313" s="22" t="n">
        <v>0.0103</v>
      </c>
      <c r="W313" s="22" t="n">
        <v>0.0287</v>
      </c>
      <c r="X313" s="22" t="n">
        <v>0.0428</v>
      </c>
      <c r="Y313" s="22" t="n">
        <v>0.043</v>
      </c>
      <c r="Z313" s="22" t="n">
        <v>0.038</v>
      </c>
      <c r="AA313" s="22" t="n">
        <v>0.0286</v>
      </c>
      <c r="AB313" s="22" t="n">
        <v>0.0251</v>
      </c>
      <c r="AC313" s="22" t="n">
        <v>0.0276</v>
      </c>
      <c r="AD313" s="22" t="n">
        <v>0.0698</v>
      </c>
      <c r="AE313" s="22" t="n">
        <v>0.0988</v>
      </c>
      <c r="AF313" s="22" t="n">
        <v>0.1058</v>
      </c>
      <c r="AG313" s="22" t="n">
        <v>0.1027</v>
      </c>
      <c r="AH313" s="22" t="n">
        <v>0.1132</v>
      </c>
      <c r="AI313" s="22" t="n">
        <v>0.1291</v>
      </c>
      <c r="AJ313" s="22" t="n">
        <v>0.1237</v>
      </c>
      <c r="AK313" s="22" t="n">
        <v>0.1098</v>
      </c>
      <c r="AL313" s="22" t="n">
        <v>0.0634</v>
      </c>
      <c r="AM313" s="22" t="n">
        <v>0.0475</v>
      </c>
      <c r="AN313" s="22" t="n">
        <v>0.0479</v>
      </c>
      <c r="AO313" s="22" t="n">
        <v>0.0495</v>
      </c>
      <c r="AP313" s="22" t="n">
        <v>0.0638</v>
      </c>
      <c r="AQ313" s="22" t="n">
        <v>0.0292</v>
      </c>
      <c r="AR313" s="22" t="n">
        <v>0.0073</v>
      </c>
      <c r="AS313" s="22" t="n">
        <v>-0.0029</v>
      </c>
      <c r="AT313" s="22" t="n">
        <v>-0.0036</v>
      </c>
      <c r="AU313" s="22" t="n">
        <v>-0.0097</v>
      </c>
      <c r="AV313" s="22" t="n">
        <v>0.013</v>
      </c>
    </row>
    <row r="314" customFormat="false" ht="15" hidden="false" customHeight="false" outlineLevel="0" collapsed="false">
      <c r="A314" s="22" t="s">
        <v>494</v>
      </c>
      <c r="B314" s="22" t="s">
        <v>3</v>
      </c>
      <c r="C314" s="22" t="s">
        <v>494</v>
      </c>
      <c r="D314" s="22" t="n">
        <v>30860</v>
      </c>
      <c r="E314" s="22" t="s">
        <v>132</v>
      </c>
      <c r="F314" s="22" t="s">
        <v>135</v>
      </c>
      <c r="G314" s="22" t="s">
        <v>131</v>
      </c>
      <c r="H314" s="22" t="s">
        <v>131</v>
      </c>
      <c r="I314" s="22"/>
      <c r="J314" s="22"/>
      <c r="K314" s="22"/>
      <c r="L314" s="22" t="n">
        <v>-0.0972</v>
      </c>
      <c r="M314" s="22" t="n">
        <v>-0.0992</v>
      </c>
      <c r="N314" s="22" t="n">
        <v>-0.1012</v>
      </c>
      <c r="O314" s="22" t="n">
        <v>-0.045</v>
      </c>
      <c r="P314" s="22" t="n">
        <v>0.0667</v>
      </c>
      <c r="Q314" s="22" t="n">
        <v>0.0507</v>
      </c>
      <c r="R314" s="22" t="n">
        <v>0.0493</v>
      </c>
      <c r="S314" s="22" t="n">
        <v>0.0398</v>
      </c>
      <c r="T314" s="22" t="n">
        <v>0.0387</v>
      </c>
      <c r="U314" s="22" t="n">
        <v>0.0415</v>
      </c>
      <c r="V314" s="22" t="n">
        <v>0.0437</v>
      </c>
      <c r="W314" s="22" t="n">
        <v>0.0499</v>
      </c>
      <c r="X314" s="22" t="n">
        <v>0.0621</v>
      </c>
      <c r="Y314" s="22" t="n">
        <v>0.0616</v>
      </c>
      <c r="Z314" s="22" t="n">
        <v>0.0584</v>
      </c>
      <c r="AA314" s="22" t="n">
        <v>0.0382</v>
      </c>
      <c r="AB314" s="22" t="n">
        <v>0.0268</v>
      </c>
      <c r="AC314" s="22" t="n">
        <v>0.0606</v>
      </c>
      <c r="AD314" s="22" t="n">
        <v>0.1258</v>
      </c>
      <c r="AE314" s="22" t="n">
        <v>0.1641</v>
      </c>
      <c r="AF314" s="22" t="n">
        <v>0.193</v>
      </c>
      <c r="AG314" s="22" t="n">
        <v>0.1701</v>
      </c>
      <c r="AH314" s="22" t="n">
        <v>0.1319</v>
      </c>
      <c r="AI314" s="22" t="n">
        <v>0.0962</v>
      </c>
      <c r="AJ314" s="22" t="n">
        <v>0.1075</v>
      </c>
      <c r="AK314" s="22" t="n">
        <v>0.092</v>
      </c>
      <c r="AL314" s="22" t="n">
        <v>0.0482</v>
      </c>
      <c r="AM314" s="22" t="n">
        <v>0.0375</v>
      </c>
      <c r="AN314" s="22" t="n">
        <v>0.0076</v>
      </c>
      <c r="AO314" s="22" t="n">
        <v>-0.0123</v>
      </c>
      <c r="AP314" s="22" t="n">
        <v>0.0048</v>
      </c>
      <c r="AQ314" s="22" t="n">
        <v>0.011</v>
      </c>
      <c r="AR314" s="22" t="n">
        <v>-0.0046</v>
      </c>
      <c r="AS314" s="22" t="n">
        <v>0.012</v>
      </c>
      <c r="AT314" s="22" t="n">
        <v>-0.0041</v>
      </c>
      <c r="AU314" s="22" t="n">
        <v>0.0033</v>
      </c>
      <c r="AV314" s="22" t="n">
        <v>-0.0141</v>
      </c>
    </row>
    <row r="315" customFormat="false" ht="15" hidden="false" customHeight="false" outlineLevel="0" collapsed="false">
      <c r="A315" s="22" t="s">
        <v>495</v>
      </c>
      <c r="B315" s="22" t="s">
        <v>3</v>
      </c>
      <c r="C315" s="22" t="s">
        <v>495</v>
      </c>
      <c r="D315" s="22" t="n">
        <v>30980</v>
      </c>
      <c r="E315" s="22" t="s">
        <v>132</v>
      </c>
      <c r="F315" s="22" t="s">
        <v>135</v>
      </c>
      <c r="G315" s="22" t="s">
        <v>131</v>
      </c>
      <c r="H315" s="22" t="s">
        <v>131</v>
      </c>
      <c r="I315" s="22" t="n">
        <v>-0.0089</v>
      </c>
      <c r="J315" s="22" t="n">
        <v>0.0004</v>
      </c>
      <c r="K315" s="22" t="n">
        <v>-0.0017</v>
      </c>
      <c r="L315" s="22" t="n">
        <v>0.0217</v>
      </c>
      <c r="M315" s="22" t="n">
        <v>0.012</v>
      </c>
      <c r="N315" s="22" t="n">
        <v>0.0183</v>
      </c>
      <c r="O315" s="22" t="n">
        <v>0.0418</v>
      </c>
      <c r="P315" s="22" t="n">
        <v>0.0209</v>
      </c>
      <c r="Q315" s="22" t="n">
        <v>0.0333</v>
      </c>
      <c r="R315" s="22" t="n">
        <v>0.0478</v>
      </c>
      <c r="S315" s="22" t="n">
        <v>0.0466</v>
      </c>
      <c r="T315" s="22" t="n">
        <v>0.0514</v>
      </c>
      <c r="U315" s="22" t="n">
        <v>0.0592</v>
      </c>
      <c r="V315" s="22" t="n">
        <v>0.0572</v>
      </c>
      <c r="W315" s="22" t="n">
        <v>0.0519</v>
      </c>
      <c r="X315" s="22" t="n">
        <v>0.054</v>
      </c>
      <c r="Y315" s="22" t="n">
        <v>0.0373</v>
      </c>
      <c r="Z315" s="22" t="n">
        <v>0.0145</v>
      </c>
      <c r="AA315" s="22" t="n">
        <v>0.0202</v>
      </c>
      <c r="AB315" s="22" t="n">
        <v>0.0163</v>
      </c>
      <c r="AC315" s="22" t="n">
        <v>0.0349</v>
      </c>
      <c r="AD315" s="22" t="n">
        <v>0.0571</v>
      </c>
      <c r="AE315" s="22" t="n">
        <v>0.0537</v>
      </c>
      <c r="AF315" s="22" t="n">
        <v>0.0842</v>
      </c>
      <c r="AG315" s="22" t="n">
        <v>0.0958</v>
      </c>
      <c r="AH315" s="22" t="n">
        <v>0.1166</v>
      </c>
      <c r="AI315" s="22" t="n">
        <v>0.158</v>
      </c>
      <c r="AJ315" s="22" t="n">
        <v>0.1421</v>
      </c>
      <c r="AK315" s="22" t="n">
        <v>0.1062</v>
      </c>
      <c r="AL315" s="22" t="n">
        <v>0.0747</v>
      </c>
      <c r="AM315" s="22" t="n">
        <v>0.0374</v>
      </c>
      <c r="AN315" s="22" t="n">
        <v>0.0074</v>
      </c>
      <c r="AO315" s="22" t="n">
        <v>0.006</v>
      </c>
      <c r="AP315" s="22" t="n">
        <v>0.0103</v>
      </c>
      <c r="AQ315" s="22" t="n">
        <v>-0.0031</v>
      </c>
      <c r="AR315" s="22" t="n">
        <v>0.0068</v>
      </c>
      <c r="AS315" s="22" t="n">
        <v>0.0193</v>
      </c>
      <c r="AT315" s="22" t="n">
        <v>0.0491</v>
      </c>
      <c r="AU315" s="22" t="n">
        <v>0.0828</v>
      </c>
      <c r="AV315" s="22" t="n">
        <v>0.0584</v>
      </c>
    </row>
    <row r="316" customFormat="false" ht="15" hidden="false" customHeight="false" outlineLevel="0" collapsed="false">
      <c r="A316" s="22" t="s">
        <v>496</v>
      </c>
      <c r="B316" s="22" t="s">
        <v>3</v>
      </c>
      <c r="C316" s="22" t="s">
        <v>496</v>
      </c>
      <c r="D316" s="22" t="n">
        <v>31060</v>
      </c>
      <c r="E316" s="22" t="s">
        <v>132</v>
      </c>
      <c r="F316" s="22" t="s">
        <v>135</v>
      </c>
      <c r="G316" s="22" t="s">
        <v>131</v>
      </c>
      <c r="H316" s="22" t="s">
        <v>131</v>
      </c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</row>
    <row r="317" customFormat="false" ht="15" hidden="false" customHeight="false" outlineLevel="0" collapsed="false">
      <c r="A317" s="22" t="s">
        <v>177</v>
      </c>
      <c r="B317" s="22" t="s">
        <v>3</v>
      </c>
      <c r="C317" s="22" t="s">
        <v>177</v>
      </c>
      <c r="D317" s="22" t="n">
        <v>31084</v>
      </c>
      <c r="E317" s="22" t="s">
        <v>132</v>
      </c>
      <c r="F317" s="22" t="s">
        <v>135</v>
      </c>
      <c r="G317" s="22" t="s">
        <v>131</v>
      </c>
      <c r="H317" s="22" t="s">
        <v>131</v>
      </c>
      <c r="I317" s="22" t="n">
        <v>0.0836</v>
      </c>
      <c r="J317" s="22" t="n">
        <v>0.0695</v>
      </c>
      <c r="K317" s="22" t="n">
        <v>0.0378</v>
      </c>
      <c r="L317" s="22" t="n">
        <v>0.0389</v>
      </c>
      <c r="M317" s="22" t="n">
        <v>0.0269</v>
      </c>
      <c r="N317" s="22" t="n">
        <v>0.0455</v>
      </c>
      <c r="O317" s="22" t="n">
        <v>0.0603</v>
      </c>
      <c r="P317" s="22" t="n">
        <v>0.0483</v>
      </c>
      <c r="Q317" s="22" t="n">
        <v>0.0462</v>
      </c>
      <c r="R317" s="22" t="n">
        <v>0.0428</v>
      </c>
      <c r="S317" s="22" t="n">
        <v>0.0427</v>
      </c>
      <c r="T317" s="22" t="n">
        <v>0.0426</v>
      </c>
      <c r="U317" s="22" t="n">
        <v>0.045</v>
      </c>
      <c r="V317" s="22" t="n">
        <v>0.0329</v>
      </c>
      <c r="W317" s="22" t="n">
        <v>0.0335</v>
      </c>
      <c r="X317" s="22" t="n">
        <v>0.0352</v>
      </c>
      <c r="Y317" s="22" t="n">
        <v>0.0328</v>
      </c>
      <c r="Z317" s="22" t="n">
        <v>-0.0046</v>
      </c>
      <c r="AA317" s="22" t="n">
        <v>-0.04</v>
      </c>
      <c r="AB317" s="22" t="n">
        <v>-0.0491</v>
      </c>
      <c r="AC317" s="22" t="n">
        <v>-0.0433</v>
      </c>
      <c r="AD317" s="22" t="n">
        <v>0.0124</v>
      </c>
      <c r="AE317" s="22" t="n">
        <v>0.0983</v>
      </c>
      <c r="AF317" s="22" t="n">
        <v>0.1568</v>
      </c>
      <c r="AG317" s="22" t="n">
        <v>0.1737</v>
      </c>
      <c r="AH317" s="22" t="n">
        <v>0.169</v>
      </c>
      <c r="AI317" s="22" t="n">
        <v>0.1307</v>
      </c>
      <c r="AJ317" s="22" t="n">
        <v>0.0865</v>
      </c>
      <c r="AK317" s="22" t="n">
        <v>0.0602</v>
      </c>
      <c r="AL317" s="22" t="n">
        <v>0.0415</v>
      </c>
      <c r="AM317" s="22" t="n">
        <v>0.013</v>
      </c>
      <c r="AN317" s="22" t="n">
        <v>0.0032</v>
      </c>
      <c r="AO317" s="22" t="n">
        <v>-0.0035</v>
      </c>
      <c r="AP317" s="22" t="n">
        <v>-0.0034</v>
      </c>
      <c r="AQ317" s="22" t="n">
        <v>-0.0055</v>
      </c>
      <c r="AR317" s="22" t="n">
        <v>-0.0012</v>
      </c>
      <c r="AS317" s="22" t="n">
        <v>0.0088</v>
      </c>
      <c r="AT317" s="22" t="n">
        <v>0.0178</v>
      </c>
      <c r="AU317" s="22" t="n">
        <v>0.0312</v>
      </c>
      <c r="AV317" s="22" t="n">
        <v>0.0166</v>
      </c>
    </row>
    <row r="318" customFormat="false" ht="15" hidden="false" customHeight="false" outlineLevel="0" collapsed="false">
      <c r="A318" s="22" t="s">
        <v>50</v>
      </c>
      <c r="B318" s="22" t="s">
        <v>3</v>
      </c>
      <c r="C318" s="22" t="s">
        <v>50</v>
      </c>
      <c r="D318" s="22" t="n">
        <v>31140</v>
      </c>
      <c r="E318" s="22" t="s">
        <v>132</v>
      </c>
      <c r="F318" s="22" t="s">
        <v>135</v>
      </c>
      <c r="G318" s="22" t="s">
        <v>131</v>
      </c>
      <c r="H318" s="22" t="s">
        <v>131</v>
      </c>
      <c r="I318" s="22" t="n">
        <v>0.0339</v>
      </c>
      <c r="J318" s="22" t="n">
        <v>0.0353</v>
      </c>
      <c r="K318" s="22" t="n">
        <v>0.0319</v>
      </c>
      <c r="L318" s="22" t="n">
        <v>0.0341</v>
      </c>
      <c r="M318" s="22" t="n">
        <v>0.0339</v>
      </c>
      <c r="N318" s="22" t="n">
        <v>0.0337</v>
      </c>
      <c r="O318" s="22" t="n">
        <v>0.0297</v>
      </c>
      <c r="P318" s="22" t="n">
        <v>0.0105</v>
      </c>
      <c r="Q318" s="22" t="n">
        <v>0.0114</v>
      </c>
      <c r="R318" s="22" t="n">
        <v>0.0071</v>
      </c>
      <c r="S318" s="22" t="n">
        <v>0.0284</v>
      </c>
      <c r="T318" s="22" t="n">
        <v>0.046</v>
      </c>
      <c r="U318" s="22" t="n">
        <v>0.0676</v>
      </c>
      <c r="V318" s="22" t="n">
        <v>0.0735</v>
      </c>
      <c r="W318" s="22" t="n">
        <v>0.0449</v>
      </c>
      <c r="X318" s="22" t="n">
        <v>0.0461</v>
      </c>
      <c r="Y318" s="22" t="n">
        <v>0.0112</v>
      </c>
      <c r="Z318" s="22" t="n">
        <v>-0.0021</v>
      </c>
      <c r="AA318" s="22" t="n">
        <v>0.0109</v>
      </c>
      <c r="AB318" s="22" t="n">
        <v>0.0109</v>
      </c>
      <c r="AC318" s="22" t="n">
        <v>0.037</v>
      </c>
      <c r="AD318" s="22" t="n">
        <v>0.0455</v>
      </c>
      <c r="AE318" s="22" t="n">
        <v>0.0994</v>
      </c>
      <c r="AF318" s="22" t="n">
        <v>0.1288</v>
      </c>
      <c r="AG318" s="22" t="n">
        <v>0.1284</v>
      </c>
      <c r="AH318" s="22" t="n">
        <v>0.1553</v>
      </c>
      <c r="AI318" s="22" t="n">
        <v>0.1355</v>
      </c>
      <c r="AJ318" s="22" t="n">
        <v>0.1227</v>
      </c>
      <c r="AK318" s="22" t="n">
        <v>0.1046</v>
      </c>
      <c r="AL318" s="22" t="n">
        <v>0.0835</v>
      </c>
      <c r="AM318" s="22" t="n">
        <v>0.0483</v>
      </c>
      <c r="AN318" s="22" t="n">
        <v>0.0387</v>
      </c>
      <c r="AO318" s="22" t="n">
        <v>0.0514</v>
      </c>
      <c r="AP318" s="22" t="n">
        <v>0.0534</v>
      </c>
      <c r="AQ318" s="22" t="n">
        <v>0.0499</v>
      </c>
      <c r="AR318" s="22" t="n">
        <v>0.0332</v>
      </c>
      <c r="AS318" s="22" t="n">
        <v>0.0226</v>
      </c>
      <c r="AT318" s="22" t="n">
        <v>0.0208</v>
      </c>
      <c r="AU318" s="22" t="n">
        <v>0.0185</v>
      </c>
      <c r="AV318" s="22" t="n">
        <v>0.0213</v>
      </c>
    </row>
    <row r="319" customFormat="false" ht="15" hidden="false" customHeight="false" outlineLevel="0" collapsed="false">
      <c r="A319" s="22" t="s">
        <v>178</v>
      </c>
      <c r="B319" s="22" t="s">
        <v>3</v>
      </c>
      <c r="C319" s="22" t="s">
        <v>178</v>
      </c>
      <c r="D319" s="22" t="n">
        <v>31180</v>
      </c>
      <c r="E319" s="22" t="s">
        <v>132</v>
      </c>
      <c r="F319" s="22" t="s">
        <v>135</v>
      </c>
      <c r="G319" s="22" t="s">
        <v>131</v>
      </c>
      <c r="H319" s="22" t="s">
        <v>131</v>
      </c>
      <c r="I319" s="22" t="n">
        <v>0.0409</v>
      </c>
      <c r="J319" s="22" t="n">
        <v>0.0366</v>
      </c>
      <c r="K319" s="22" t="n">
        <v>0.0269</v>
      </c>
      <c r="L319" s="22" t="n">
        <v>0.0129</v>
      </c>
      <c r="M319" s="22" t="n">
        <v>0.0095</v>
      </c>
      <c r="N319" s="22" t="n">
        <v>-0.0077</v>
      </c>
      <c r="O319" s="22" t="n">
        <v>-0.0082</v>
      </c>
      <c r="P319" s="22" t="n">
        <v>0.0052</v>
      </c>
      <c r="Q319" s="22" t="n">
        <v>0.0076</v>
      </c>
      <c r="R319" s="22" t="n">
        <v>0.0309</v>
      </c>
      <c r="S319" s="22" t="n">
        <v>0.0354</v>
      </c>
      <c r="T319" s="22" t="n">
        <v>0.036</v>
      </c>
      <c r="U319" s="22" t="n">
        <v>0.0382</v>
      </c>
      <c r="V319" s="22" t="n">
        <v>0.0194</v>
      </c>
      <c r="W319" s="22" t="n">
        <v>0.0218</v>
      </c>
      <c r="X319" s="22" t="n">
        <v>0.0315</v>
      </c>
      <c r="Y319" s="22" t="n">
        <v>0.0395</v>
      </c>
      <c r="Z319" s="22" t="n">
        <v>0.0276</v>
      </c>
      <c r="AA319" s="22" t="n">
        <v>0.0299</v>
      </c>
      <c r="AB319" s="22" t="n">
        <v>0.0223</v>
      </c>
      <c r="AC319" s="22" t="n">
        <v>0.0193</v>
      </c>
      <c r="AD319" s="22" t="n">
        <v>0.0356</v>
      </c>
      <c r="AE319" s="22" t="n">
        <v>0.0549</v>
      </c>
      <c r="AF319" s="22" t="n">
        <v>0.0588</v>
      </c>
      <c r="AG319" s="22" t="n">
        <v>0.0749</v>
      </c>
      <c r="AH319" s="22" t="n">
        <v>0.0851</v>
      </c>
      <c r="AI319" s="22" t="n">
        <v>0.0879</v>
      </c>
      <c r="AJ319" s="22" t="n">
        <v>0.0912</v>
      </c>
      <c r="AK319" s="22" t="n">
        <v>0.0616</v>
      </c>
      <c r="AL319" s="22" t="n">
        <v>0.0553</v>
      </c>
      <c r="AM319" s="22" t="n">
        <v>0.035</v>
      </c>
      <c r="AN319" s="22" t="n">
        <v>0.0165</v>
      </c>
      <c r="AO319" s="22" t="n">
        <v>0.0229</v>
      </c>
      <c r="AP319" s="22" t="n">
        <v>0.0128</v>
      </c>
      <c r="AQ319" s="22" t="n">
        <v>-0.0036</v>
      </c>
      <c r="AR319" s="22" t="n">
        <v>0.0044</v>
      </c>
      <c r="AS319" s="22" t="n">
        <v>-0.0005</v>
      </c>
      <c r="AT319" s="22" t="n">
        <v>0.0384</v>
      </c>
      <c r="AU319" s="22" t="n">
        <v>0.0256</v>
      </c>
      <c r="AV319" s="22" t="n">
        <v>0.029</v>
      </c>
    </row>
    <row r="320" customFormat="false" ht="15" hidden="false" customHeight="false" outlineLevel="0" collapsed="false">
      <c r="A320" s="22" t="s">
        <v>497</v>
      </c>
      <c r="B320" s="22" t="s">
        <v>3</v>
      </c>
      <c r="C320" s="22" t="s">
        <v>497</v>
      </c>
      <c r="D320" s="22" t="n">
        <v>31220</v>
      </c>
      <c r="E320" s="22" t="s">
        <v>132</v>
      </c>
      <c r="F320" s="22" t="s">
        <v>135</v>
      </c>
      <c r="G320" s="22" t="s">
        <v>131</v>
      </c>
      <c r="H320" s="22" t="s">
        <v>131</v>
      </c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</row>
    <row r="321" customFormat="false" ht="15" hidden="false" customHeight="false" outlineLevel="0" collapsed="false">
      <c r="A321" s="22" t="s">
        <v>498</v>
      </c>
      <c r="B321" s="22" t="s">
        <v>3</v>
      </c>
      <c r="C321" s="22" t="s">
        <v>498</v>
      </c>
      <c r="D321" s="22" t="n">
        <v>31260</v>
      </c>
      <c r="E321" s="22" t="s">
        <v>132</v>
      </c>
      <c r="F321" s="22" t="s">
        <v>135</v>
      </c>
      <c r="G321" s="22" t="s">
        <v>131</v>
      </c>
      <c r="H321" s="22" t="s">
        <v>131</v>
      </c>
      <c r="I321" s="22" t="n">
        <v>0.0223</v>
      </c>
      <c r="J321" s="22" t="n">
        <v>0.0434</v>
      </c>
      <c r="K321" s="22" t="n">
        <v>-0.0258</v>
      </c>
      <c r="L321" s="22" t="n">
        <v>-0.0424</v>
      </c>
      <c r="M321" s="22" t="n">
        <v>-0.027</v>
      </c>
      <c r="N321" s="22" t="n">
        <v>-0.0382</v>
      </c>
      <c r="O321" s="22" t="n">
        <v>-0.0157</v>
      </c>
      <c r="P321" s="22" t="n">
        <v>-0.0076</v>
      </c>
      <c r="Q321" s="22" t="n">
        <v>0.0081</v>
      </c>
      <c r="R321" s="22" t="n">
        <v>0.0054</v>
      </c>
      <c r="S321" s="22" t="n">
        <v>0.0261</v>
      </c>
      <c r="T321" s="22" t="n">
        <v>0.0332</v>
      </c>
      <c r="U321" s="22" t="n">
        <v>0.0292</v>
      </c>
      <c r="V321" s="22" t="n">
        <v>0.0357</v>
      </c>
      <c r="W321" s="22" t="n">
        <v>0.041</v>
      </c>
      <c r="X321" s="22" t="n">
        <v>0.0417</v>
      </c>
      <c r="Y321" s="22" t="n">
        <v>0.0409</v>
      </c>
      <c r="Z321" s="22" t="n">
        <v>0.046</v>
      </c>
      <c r="AA321" s="22" t="n">
        <v>0.0326</v>
      </c>
      <c r="AB321" s="22" t="n">
        <v>0.0278</v>
      </c>
      <c r="AC321" s="22" t="n">
        <v>0.0284</v>
      </c>
      <c r="AD321" s="22" t="n">
        <v>0.0472</v>
      </c>
      <c r="AE321" s="22" t="n">
        <v>0.0717</v>
      </c>
      <c r="AF321" s="22" t="n">
        <v>0.0678</v>
      </c>
      <c r="AG321" s="22" t="n">
        <v>0.0597</v>
      </c>
      <c r="AH321" s="22" t="n">
        <v>0.0344</v>
      </c>
      <c r="AI321" s="22" t="n">
        <v>0.0758</v>
      </c>
      <c r="AJ321" s="22" t="n">
        <v>0.0618</v>
      </c>
      <c r="AK321" s="22" t="n">
        <v>0.0666</v>
      </c>
      <c r="AL321" s="22" t="n">
        <v>0.0734</v>
      </c>
      <c r="AM321" s="22" t="n">
        <v>0.0218</v>
      </c>
      <c r="AN321" s="22" t="n">
        <v>0.0435</v>
      </c>
      <c r="AO321" s="22" t="n">
        <v>0.0425</v>
      </c>
      <c r="AP321" s="22" t="n">
        <v>0.0527</v>
      </c>
      <c r="AQ321" s="22" t="n">
        <v>0.0599</v>
      </c>
      <c r="AR321" s="22" t="n">
        <v>0.0468</v>
      </c>
      <c r="AS321" s="22" t="n">
        <v>0.0421</v>
      </c>
      <c r="AT321" s="22" t="n">
        <v>0.0442</v>
      </c>
      <c r="AU321" s="22" t="n">
        <v>0.0404</v>
      </c>
      <c r="AV321" s="22" t="n">
        <v>0.0419</v>
      </c>
    </row>
    <row r="322" customFormat="false" ht="15" hidden="false" customHeight="false" outlineLevel="0" collapsed="false">
      <c r="A322" s="22" t="s">
        <v>499</v>
      </c>
      <c r="B322" s="22" t="s">
        <v>3</v>
      </c>
      <c r="C322" s="22" t="s">
        <v>499</v>
      </c>
      <c r="D322" s="22" t="n">
        <v>31300</v>
      </c>
      <c r="E322" s="22" t="s">
        <v>132</v>
      </c>
      <c r="F322" s="22" t="s">
        <v>135</v>
      </c>
      <c r="G322" s="22" t="s">
        <v>131</v>
      </c>
      <c r="H322" s="22" t="s">
        <v>131</v>
      </c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</row>
    <row r="323" customFormat="false" ht="15" hidden="false" customHeight="false" outlineLevel="0" collapsed="false">
      <c r="A323" s="22" t="s">
        <v>500</v>
      </c>
      <c r="B323" s="22" t="s">
        <v>3</v>
      </c>
      <c r="C323" s="22" t="s">
        <v>500</v>
      </c>
      <c r="D323" s="22" t="n">
        <v>31340</v>
      </c>
      <c r="E323" s="22" t="s">
        <v>132</v>
      </c>
      <c r="F323" s="22" t="s">
        <v>135</v>
      </c>
      <c r="G323" s="22" t="s">
        <v>131</v>
      </c>
      <c r="H323" s="22" t="s">
        <v>131</v>
      </c>
      <c r="I323" s="22" t="n">
        <v>-0.003</v>
      </c>
      <c r="J323" s="22" t="n">
        <v>0.0163</v>
      </c>
      <c r="K323" s="22" t="n">
        <v>-0.0131</v>
      </c>
      <c r="L323" s="22" t="n">
        <v>-0.0037</v>
      </c>
      <c r="M323" s="22" t="n">
        <v>0.0064</v>
      </c>
      <c r="N323" s="22" t="n">
        <v>0.0005</v>
      </c>
      <c r="O323" s="22" t="n">
        <v>0.0224</v>
      </c>
      <c r="P323" s="22" t="n">
        <v>0.0236</v>
      </c>
      <c r="Q323" s="22" t="n">
        <v>0.0262</v>
      </c>
      <c r="R323" s="22" t="n">
        <v>0.0065</v>
      </c>
      <c r="S323" s="22" t="n">
        <v>0.0156</v>
      </c>
      <c r="T323" s="22" t="n">
        <v>0.0268</v>
      </c>
      <c r="U323" s="22" t="n">
        <v>0.0348</v>
      </c>
      <c r="V323" s="22" t="n">
        <v>0.0319</v>
      </c>
      <c r="W323" s="22" t="n">
        <v>0.0183</v>
      </c>
      <c r="X323" s="22" t="n">
        <v>0.0328</v>
      </c>
      <c r="Y323" s="22" t="n">
        <v>0.0452</v>
      </c>
      <c r="Z323" s="22" t="n">
        <v>0.0239</v>
      </c>
      <c r="AA323" s="22" t="n">
        <v>0.0387</v>
      </c>
      <c r="AB323" s="22" t="n">
        <v>0.0151</v>
      </c>
      <c r="AC323" s="22" t="n">
        <v>0.0322</v>
      </c>
      <c r="AD323" s="22" t="n">
        <v>0.0776</v>
      </c>
      <c r="AE323" s="22" t="n">
        <v>0.1001</v>
      </c>
      <c r="AF323" s="22" t="n">
        <v>0.1281</v>
      </c>
      <c r="AG323" s="22" t="n">
        <v>0.13</v>
      </c>
      <c r="AH323" s="22" t="n">
        <v>0.1337</v>
      </c>
      <c r="AI323" s="22" t="n">
        <v>0.1316</v>
      </c>
      <c r="AJ323" s="22" t="n">
        <v>0.1397</v>
      </c>
      <c r="AK323" s="22" t="n">
        <v>0.1408</v>
      </c>
      <c r="AL323" s="22" t="n">
        <v>0.1114</v>
      </c>
      <c r="AM323" s="22" t="n">
        <v>0.078</v>
      </c>
      <c r="AN323" s="22" t="n">
        <v>0.0661</v>
      </c>
      <c r="AO323" s="22" t="n">
        <v>0.0244</v>
      </c>
      <c r="AP323" s="22" t="n">
        <v>0.0338</v>
      </c>
      <c r="AQ323" s="22" t="n">
        <v>0.0304</v>
      </c>
      <c r="AR323" s="22" t="n">
        <v>-0.0072</v>
      </c>
      <c r="AS323" s="22" t="n">
        <v>0.0025</v>
      </c>
      <c r="AT323" s="22" t="n">
        <v>-0.007</v>
      </c>
      <c r="AU323" s="22" t="n">
        <v>0.0023</v>
      </c>
      <c r="AV323" s="22" t="n">
        <v>0.0429</v>
      </c>
    </row>
    <row r="324" customFormat="false" ht="15" hidden="false" customHeight="false" outlineLevel="0" collapsed="false">
      <c r="A324" s="22" t="s">
        <v>179</v>
      </c>
      <c r="B324" s="22" t="s">
        <v>3</v>
      </c>
      <c r="C324" s="22" t="s">
        <v>179</v>
      </c>
      <c r="D324" s="22" t="n">
        <v>231420</v>
      </c>
      <c r="E324" s="22" t="s">
        <v>132</v>
      </c>
      <c r="F324" s="22" t="s">
        <v>135</v>
      </c>
      <c r="G324" s="22" t="s">
        <v>131</v>
      </c>
      <c r="H324" s="22" t="s">
        <v>131</v>
      </c>
      <c r="I324" s="22" t="n">
        <v>0.06</v>
      </c>
      <c r="J324" s="22" t="n">
        <v>0.0583</v>
      </c>
      <c r="K324" s="22" t="n">
        <v>0.0464</v>
      </c>
      <c r="L324" s="22" t="n">
        <v>0.044</v>
      </c>
      <c r="M324" s="22" t="n">
        <v>0.0207</v>
      </c>
      <c r="N324" s="22" t="n">
        <v>0.0221</v>
      </c>
      <c r="O324" s="22" t="n">
        <v>0.0413</v>
      </c>
      <c r="P324" s="22" t="n">
        <v>0.0442</v>
      </c>
      <c r="Q324" s="22" t="n">
        <v>0.0388</v>
      </c>
      <c r="R324" s="22" t="n">
        <v>0.0348</v>
      </c>
      <c r="S324" s="22" t="n">
        <v>0.0367</v>
      </c>
      <c r="T324" s="22" t="n">
        <v>0.0377</v>
      </c>
      <c r="U324" s="22" t="n">
        <v>0.0463</v>
      </c>
      <c r="V324" s="22" t="n">
        <v>0.0592</v>
      </c>
      <c r="W324" s="22" t="n">
        <v>0.0612</v>
      </c>
      <c r="X324" s="22" t="n">
        <v>0.0605</v>
      </c>
      <c r="Y324" s="22" t="n">
        <v>0.0651</v>
      </c>
      <c r="Z324" s="22" t="n">
        <v>0.0571</v>
      </c>
      <c r="AA324" s="22" t="n">
        <v>0.0515</v>
      </c>
      <c r="AB324" s="22" t="n">
        <v>0.0716</v>
      </c>
      <c r="AC324" s="22" t="n">
        <v>0.0683</v>
      </c>
      <c r="AD324" s="22" t="n">
        <v>0.1003</v>
      </c>
      <c r="AE324" s="22" t="n">
        <v>0.1384</v>
      </c>
      <c r="AF324" s="22" t="n">
        <v>0.1797</v>
      </c>
      <c r="AG324" s="22" t="n">
        <v>0.2223</v>
      </c>
      <c r="AH324" s="22" t="n">
        <v>0.2069</v>
      </c>
      <c r="AI324" s="22" t="n">
        <v>0.18</v>
      </c>
      <c r="AJ324" s="22" t="n">
        <v>0.1147</v>
      </c>
      <c r="AK324" s="22" t="n">
        <v>0.0698</v>
      </c>
      <c r="AL324" s="22" t="n">
        <v>0.0474</v>
      </c>
      <c r="AM324" s="22" t="n">
        <v>0.0276</v>
      </c>
      <c r="AN324" s="22" t="n">
        <v>0.0142</v>
      </c>
      <c r="AO324" s="22" t="n">
        <v>0.0007</v>
      </c>
      <c r="AP324" s="22" t="n">
        <v>-0.0122</v>
      </c>
      <c r="AQ324" s="22" t="n">
        <v>-0.0184</v>
      </c>
      <c r="AR324" s="22" t="n">
        <v>-0.0249</v>
      </c>
      <c r="AS324" s="22" t="n">
        <v>-0.0155</v>
      </c>
      <c r="AT324" s="22" t="n">
        <v>-0.0002</v>
      </c>
      <c r="AU324" s="22" t="n">
        <v>-0.005</v>
      </c>
      <c r="AV324" s="22" t="n">
        <v>-0.0008</v>
      </c>
    </row>
    <row r="325" customFormat="false" ht="15" hidden="false" customHeight="false" outlineLevel="0" collapsed="false">
      <c r="A325" s="22" t="s">
        <v>22</v>
      </c>
      <c r="B325" s="22" t="s">
        <v>3</v>
      </c>
      <c r="C325" s="22" t="s">
        <v>22</v>
      </c>
      <c r="D325" s="22" t="n">
        <v>31540</v>
      </c>
      <c r="E325" s="22" t="s">
        <v>132</v>
      </c>
      <c r="F325" s="22" t="s">
        <v>135</v>
      </c>
      <c r="G325" s="22" t="s">
        <v>131</v>
      </c>
      <c r="H325" s="22" t="s">
        <v>131</v>
      </c>
      <c r="I325" s="22" t="n">
        <v>0.073</v>
      </c>
      <c r="J325" s="22" t="n">
        <v>0.0793</v>
      </c>
      <c r="K325" s="22" t="n">
        <v>0.0701</v>
      </c>
      <c r="L325" s="22" t="n">
        <v>0.0582</v>
      </c>
      <c r="M325" s="22" t="n">
        <v>0.0348</v>
      </c>
      <c r="N325" s="22" t="n">
        <v>0.0279</v>
      </c>
      <c r="O325" s="22" t="n">
        <v>0.0328</v>
      </c>
      <c r="P325" s="22" t="n">
        <v>0.0324</v>
      </c>
      <c r="Q325" s="22" t="n">
        <v>0.0232</v>
      </c>
      <c r="R325" s="22" t="n">
        <v>0.0198</v>
      </c>
      <c r="S325" s="22" t="n">
        <v>0.0193</v>
      </c>
      <c r="T325" s="22" t="n">
        <v>0.0268</v>
      </c>
      <c r="U325" s="22" t="n">
        <v>0.0325</v>
      </c>
      <c r="V325" s="22" t="n">
        <v>0.0304</v>
      </c>
      <c r="W325" s="22" t="n">
        <v>0.0467</v>
      </c>
      <c r="X325" s="22" t="n">
        <v>0.0429</v>
      </c>
      <c r="Y325" s="22" t="n">
        <v>0.0426</v>
      </c>
      <c r="Z325" s="22" t="n">
        <v>0.0332</v>
      </c>
      <c r="AA325" s="22" t="n">
        <v>0.0154</v>
      </c>
      <c r="AB325" s="22" t="n">
        <v>0.0108</v>
      </c>
      <c r="AC325" s="22" t="n">
        <v>0.0052</v>
      </c>
      <c r="AD325" s="22" t="n">
        <v>0.0196</v>
      </c>
      <c r="AE325" s="22" t="n">
        <v>0.0328</v>
      </c>
      <c r="AF325" s="22" t="n">
        <v>0.0421</v>
      </c>
      <c r="AG325" s="22" t="n">
        <v>0.0467</v>
      </c>
      <c r="AH325" s="22" t="n">
        <v>0.0442</v>
      </c>
      <c r="AI325" s="22" t="n">
        <v>0.0488</v>
      </c>
      <c r="AJ325" s="22" t="n">
        <v>0.0943</v>
      </c>
      <c r="AK325" s="22" t="n">
        <v>0.1092</v>
      </c>
      <c r="AL325" s="22" t="n">
        <v>0.12</v>
      </c>
      <c r="AM325" s="22" t="n">
        <v>0.1247</v>
      </c>
      <c r="AN325" s="22" t="n">
        <v>0.0632</v>
      </c>
      <c r="AO325" s="22" t="n">
        <v>0.0862</v>
      </c>
      <c r="AP325" s="22" t="n">
        <v>0.0829</v>
      </c>
      <c r="AQ325" s="22" t="n">
        <v>0.076</v>
      </c>
      <c r="AR325" s="22" t="n">
        <v>0.0992</v>
      </c>
      <c r="AS325" s="22" t="n">
        <v>0.0672</v>
      </c>
      <c r="AT325" s="22" t="n">
        <v>0.0656</v>
      </c>
      <c r="AU325" s="22" t="n">
        <v>0.0578</v>
      </c>
      <c r="AV325" s="22" t="n">
        <v>0.028</v>
      </c>
    </row>
    <row r="326" customFormat="false" ht="15" hidden="false" customHeight="false" outlineLevel="0" collapsed="false">
      <c r="A326" s="22" t="s">
        <v>180</v>
      </c>
      <c r="B326" s="22" t="s">
        <v>3</v>
      </c>
      <c r="C326" s="22" t="s">
        <v>180</v>
      </c>
      <c r="D326" s="22" t="n">
        <v>231700</v>
      </c>
      <c r="E326" s="22" t="s">
        <v>132</v>
      </c>
      <c r="F326" s="22" t="s">
        <v>135</v>
      </c>
      <c r="G326" s="22" t="s">
        <v>131</v>
      </c>
      <c r="H326" s="22" t="s">
        <v>131</v>
      </c>
      <c r="I326" s="22" t="n">
        <v>0.0651</v>
      </c>
      <c r="J326" s="22" t="n">
        <v>0.0381</v>
      </c>
      <c r="K326" s="22" t="n">
        <v>0.0399</v>
      </c>
      <c r="L326" s="22" t="n">
        <v>0.0414</v>
      </c>
      <c r="M326" s="22" t="n">
        <v>0.0463</v>
      </c>
      <c r="N326" s="22" t="n">
        <v>0.0461</v>
      </c>
      <c r="O326" s="22" t="n">
        <v>0.0322</v>
      </c>
      <c r="P326" s="22" t="n">
        <v>0.0236</v>
      </c>
      <c r="Q326" s="22" t="n">
        <v>0.019</v>
      </c>
      <c r="R326" s="22" t="n">
        <v>0.0341</v>
      </c>
      <c r="S326" s="22" t="n">
        <v>0.0448</v>
      </c>
      <c r="T326" s="22" t="n">
        <v>0.0699</v>
      </c>
      <c r="U326" s="22" t="n">
        <v>0.0798</v>
      </c>
      <c r="V326" s="22" t="n">
        <v>0.0722</v>
      </c>
      <c r="W326" s="22" t="n">
        <v>0.0777</v>
      </c>
      <c r="X326" s="22" t="n">
        <v>0.0505</v>
      </c>
      <c r="Y326" s="22" t="n">
        <v>0.048</v>
      </c>
      <c r="Z326" s="22" t="n">
        <v>0.0337</v>
      </c>
      <c r="AA326" s="22" t="n">
        <v>0.0264</v>
      </c>
      <c r="AB326" s="22" t="n">
        <v>0.0558</v>
      </c>
      <c r="AC326" s="22" t="n">
        <v>0.0603</v>
      </c>
      <c r="AD326" s="22" t="n">
        <v>0.1026</v>
      </c>
      <c r="AE326" s="22" t="n">
        <v>0.1424</v>
      </c>
      <c r="AF326" s="22" t="n">
        <v>0.151</v>
      </c>
      <c r="AG326" s="22" t="n">
        <v>0.1458</v>
      </c>
      <c r="AH326" s="22" t="n">
        <v>0.1453</v>
      </c>
      <c r="AI326" s="22" t="n">
        <v>0.1234</v>
      </c>
      <c r="AJ326" s="22" t="n">
        <v>0.0878</v>
      </c>
      <c r="AK326" s="22" t="n">
        <v>0.0964</v>
      </c>
      <c r="AL326" s="22" t="n">
        <v>0.0602</v>
      </c>
      <c r="AM326" s="22" t="n">
        <v>0.0272</v>
      </c>
      <c r="AN326" s="22" t="n">
        <v>0.0304</v>
      </c>
      <c r="AO326" s="22" t="n">
        <v>0.028</v>
      </c>
      <c r="AP326" s="22" t="n">
        <v>0.0308</v>
      </c>
      <c r="AQ326" s="22" t="n">
        <v>0.0532</v>
      </c>
      <c r="AR326" s="22" t="n">
        <v>0.0341</v>
      </c>
      <c r="AS326" s="22" t="n">
        <v>0.0232</v>
      </c>
      <c r="AT326" s="22" t="n">
        <v>0.0263</v>
      </c>
      <c r="AU326" s="22" t="n">
        <v>0.012</v>
      </c>
      <c r="AV326" s="22" t="n">
        <v>0.025</v>
      </c>
    </row>
    <row r="327" customFormat="false" ht="15" hidden="false" customHeight="false" outlineLevel="0" collapsed="false">
      <c r="A327" s="22" t="s">
        <v>501</v>
      </c>
      <c r="B327" s="22" t="s">
        <v>3</v>
      </c>
      <c r="C327" s="22" t="s">
        <v>501</v>
      </c>
      <c r="D327" s="22" t="n">
        <v>31740</v>
      </c>
      <c r="E327" s="22" t="s">
        <v>132</v>
      </c>
      <c r="F327" s="22" t="s">
        <v>135</v>
      </c>
      <c r="G327" s="22" t="s">
        <v>131</v>
      </c>
      <c r="H327" s="22" t="s">
        <v>131</v>
      </c>
      <c r="I327" s="22" t="n">
        <v>-0.0348</v>
      </c>
      <c r="J327" s="22" t="n">
        <v>-0.0039</v>
      </c>
      <c r="K327" s="22" t="n">
        <v>-0.0241</v>
      </c>
      <c r="L327" s="22" t="n">
        <v>-0.0143</v>
      </c>
      <c r="M327" s="22" t="n">
        <v>-0.0464</v>
      </c>
      <c r="N327" s="22" t="n">
        <v>-0.0728</v>
      </c>
      <c r="O327" s="22" t="n">
        <v>-0.0294</v>
      </c>
      <c r="P327" s="22" t="n">
        <v>-0.0343</v>
      </c>
      <c r="Q327" s="22" t="n">
        <v>-0.0139</v>
      </c>
      <c r="R327" s="22" t="n">
        <v>0.031</v>
      </c>
      <c r="S327" s="22" t="n">
        <v>-0.0459</v>
      </c>
      <c r="T327" s="22" t="n">
        <v>0.0093</v>
      </c>
      <c r="U327" s="22" t="n">
        <v>0.004</v>
      </c>
      <c r="V327" s="22" t="n">
        <v>-0.0082</v>
      </c>
      <c r="W327" s="22" t="n">
        <v>0.0175</v>
      </c>
      <c r="X327" s="22" t="n">
        <v>-0.0023</v>
      </c>
      <c r="Y327" s="22" t="n">
        <v>0.0041</v>
      </c>
      <c r="Z327" s="22" t="n">
        <v>-0.0027</v>
      </c>
      <c r="AA327" s="22" t="n">
        <v>0.0114</v>
      </c>
      <c r="AB327" s="22" t="n">
        <v>0.0377</v>
      </c>
      <c r="AC327" s="22" t="n">
        <v>0.0698</v>
      </c>
      <c r="AD327" s="22" t="n">
        <v>0.059</v>
      </c>
      <c r="AE327" s="22" t="n">
        <v>0.0446</v>
      </c>
      <c r="AF327" s="22" t="n">
        <v>0.0419</v>
      </c>
      <c r="AG327" s="22" t="n">
        <v>0.0471</v>
      </c>
      <c r="AH327" s="22" t="n">
        <v>0.0801</v>
      </c>
      <c r="AI327" s="22" t="n">
        <v>0.0976</v>
      </c>
      <c r="AJ327" s="22" t="n">
        <v>0.0635</v>
      </c>
      <c r="AK327" s="22" t="n">
        <v>0.0465</v>
      </c>
      <c r="AL327" s="22" t="n">
        <v>0.0167</v>
      </c>
      <c r="AM327" s="22" t="n">
        <v>0.0096</v>
      </c>
      <c r="AN327" s="22" t="n">
        <v>0.016</v>
      </c>
      <c r="AO327" s="22" t="n">
        <v>0.0192</v>
      </c>
      <c r="AP327" s="22" t="n">
        <v>0.0629</v>
      </c>
      <c r="AQ327" s="22" t="n">
        <v>0.1042</v>
      </c>
      <c r="AR327" s="22" t="n">
        <v>0.1028</v>
      </c>
      <c r="AS327" s="22" t="n">
        <v>0.1048</v>
      </c>
      <c r="AT327" s="22" t="n">
        <v>0.1101</v>
      </c>
      <c r="AU327" s="22" t="n">
        <v>0.0402</v>
      </c>
      <c r="AV327" s="22" t="n">
        <v>0.0439</v>
      </c>
    </row>
    <row r="328" customFormat="false" ht="15" hidden="false" customHeight="false" outlineLevel="0" collapsed="false">
      <c r="A328" s="22" t="s">
        <v>502</v>
      </c>
      <c r="B328" s="22" t="s">
        <v>3</v>
      </c>
      <c r="C328" s="22" t="s">
        <v>502</v>
      </c>
      <c r="D328" s="22" t="n">
        <v>31860</v>
      </c>
      <c r="E328" s="22" t="s">
        <v>132</v>
      </c>
      <c r="F328" s="22" t="s">
        <v>135</v>
      </c>
      <c r="G328" s="22" t="s">
        <v>131</v>
      </c>
      <c r="H328" s="22" t="s">
        <v>131</v>
      </c>
      <c r="I328" s="22" t="n">
        <v>0.0129</v>
      </c>
      <c r="J328" s="22" t="n">
        <v>-0.006</v>
      </c>
      <c r="K328" s="22" t="n">
        <v>0.0178</v>
      </c>
      <c r="L328" s="22" t="n">
        <v>0.0245</v>
      </c>
      <c r="M328" s="22" t="n">
        <v>0.0627</v>
      </c>
      <c r="N328" s="22" t="n">
        <v>0.0805</v>
      </c>
      <c r="O328" s="22" t="n">
        <v>0.0022</v>
      </c>
      <c r="P328" s="22" t="n">
        <v>-0.0054</v>
      </c>
      <c r="Q328" s="22" t="n">
        <v>-0.0488</v>
      </c>
      <c r="R328" s="22" t="n">
        <v>-0.0426</v>
      </c>
      <c r="S328" s="22" t="n">
        <v>0.0241</v>
      </c>
      <c r="T328" s="22" t="n">
        <v>0.0317</v>
      </c>
      <c r="U328" s="22" t="n">
        <v>0.03</v>
      </c>
      <c r="V328" s="22" t="n">
        <v>0.0151</v>
      </c>
      <c r="W328" s="22" t="n">
        <v>0.0376</v>
      </c>
      <c r="X328" s="22" t="n">
        <v>0.0387</v>
      </c>
      <c r="Y328" s="22" t="n">
        <v>0.0411</v>
      </c>
      <c r="Z328" s="22" t="n">
        <v>-0.0181</v>
      </c>
      <c r="AA328" s="22" t="n">
        <v>0.0054</v>
      </c>
      <c r="AB328" s="22" t="n">
        <v>0.004</v>
      </c>
      <c r="AC328" s="22" t="n">
        <v>0.011</v>
      </c>
      <c r="AD328" s="22" t="n">
        <v>0.0716</v>
      </c>
      <c r="AE328" s="22" t="n">
        <v>0.015</v>
      </c>
      <c r="AF328" s="22" t="n">
        <v>-0.0905</v>
      </c>
      <c r="AG328" s="22" t="n">
        <v>-0.1656</v>
      </c>
      <c r="AH328" s="22" t="n">
        <v>-0.1603</v>
      </c>
      <c r="AI328" s="22" t="n">
        <v>-0.161</v>
      </c>
      <c r="AJ328" s="22" t="n">
        <v>0.0626</v>
      </c>
      <c r="AK328" s="22" t="n">
        <v>0.1525</v>
      </c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 t="n">
        <v>0.1076</v>
      </c>
    </row>
    <row r="329" customFormat="false" ht="15" hidden="false" customHeight="false" outlineLevel="0" collapsed="false">
      <c r="A329" s="22" t="s">
        <v>503</v>
      </c>
      <c r="B329" s="22" t="s">
        <v>3</v>
      </c>
      <c r="C329" s="22" t="s">
        <v>503</v>
      </c>
      <c r="D329" s="22" t="n">
        <v>31900</v>
      </c>
      <c r="E329" s="22" t="s">
        <v>132</v>
      </c>
      <c r="F329" s="22" t="s">
        <v>135</v>
      </c>
      <c r="G329" s="22" t="s">
        <v>131</v>
      </c>
      <c r="H329" s="22" t="s">
        <v>131</v>
      </c>
      <c r="I329" s="22"/>
      <c r="J329" s="22"/>
      <c r="K329" s="22"/>
      <c r="L329" s="22"/>
      <c r="M329" s="22"/>
      <c r="N329" s="22"/>
      <c r="O329" s="22"/>
      <c r="P329" s="22" t="n">
        <v>0.2524</v>
      </c>
      <c r="Q329" s="22" t="n">
        <v>0.0331</v>
      </c>
      <c r="R329" s="22" t="n">
        <v>0.0151</v>
      </c>
      <c r="S329" s="22" t="n">
        <v>-0.015</v>
      </c>
      <c r="T329" s="22" t="n">
        <v>0.0127</v>
      </c>
      <c r="U329" s="22" t="n">
        <v>0.0171</v>
      </c>
      <c r="V329" s="22" t="n">
        <v>0.0897</v>
      </c>
      <c r="W329" s="22" t="n">
        <v>0.1517</v>
      </c>
      <c r="X329" s="22" t="n">
        <v>0.0957</v>
      </c>
      <c r="Y329" s="22" t="n">
        <v>0.1024</v>
      </c>
      <c r="Z329" s="22" t="n">
        <v>0.0167</v>
      </c>
      <c r="AA329" s="22" t="n">
        <v>-0.004</v>
      </c>
      <c r="AB329" s="22" t="n">
        <v>0.0398</v>
      </c>
      <c r="AC329" s="22" t="n">
        <v>0.0417</v>
      </c>
      <c r="AD329" s="22" t="n">
        <v>0.0507</v>
      </c>
      <c r="AE329" s="22" t="n">
        <v>0.3898</v>
      </c>
      <c r="AF329" s="22" t="n">
        <v>0.4668</v>
      </c>
      <c r="AG329" s="22" t="n">
        <v>0.8808</v>
      </c>
      <c r="AH329" s="22" t="n">
        <v>0.8942</v>
      </c>
      <c r="AI329" s="22" t="n">
        <v>0.4059</v>
      </c>
      <c r="AJ329" s="22" t="n">
        <v>0.3207</v>
      </c>
      <c r="AK329" s="22" t="n">
        <v>0.0367</v>
      </c>
      <c r="AL329" s="22" t="n">
        <v>0.0516</v>
      </c>
      <c r="AM329" s="22" t="n">
        <v>0.1428</v>
      </c>
      <c r="AN329" s="22" t="n">
        <v>0.1943</v>
      </c>
      <c r="AO329" s="22" t="n">
        <v>0.1545</v>
      </c>
      <c r="AP329" s="22" t="n">
        <v>0.0823</v>
      </c>
      <c r="AQ329" s="22" t="n">
        <v>0.0461</v>
      </c>
      <c r="AR329" s="22" t="n">
        <v>-0.0102</v>
      </c>
      <c r="AS329" s="22" t="n">
        <v>0.0372</v>
      </c>
      <c r="AT329" s="22" t="n">
        <v>0.1012</v>
      </c>
      <c r="AU329" s="22" t="n">
        <v>0.0046</v>
      </c>
      <c r="AV329" s="22" t="n">
        <v>-0.0075</v>
      </c>
    </row>
    <row r="330" customFormat="false" ht="15" hidden="false" customHeight="false" outlineLevel="0" collapsed="false">
      <c r="A330" s="22" t="s">
        <v>504</v>
      </c>
      <c r="B330" s="22" t="s">
        <v>3</v>
      </c>
      <c r="C330" s="22" t="s">
        <v>504</v>
      </c>
      <c r="D330" s="22" t="n">
        <v>31930</v>
      </c>
      <c r="E330" s="22" t="s">
        <v>132</v>
      </c>
      <c r="F330" s="22" t="s">
        <v>135</v>
      </c>
      <c r="G330" s="22" t="s">
        <v>131</v>
      </c>
      <c r="H330" s="22" t="s">
        <v>131</v>
      </c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</row>
    <row r="331" customFormat="false" ht="15" hidden="false" customHeight="false" outlineLevel="0" collapsed="false">
      <c r="A331" s="22" t="s">
        <v>505</v>
      </c>
      <c r="B331" s="22" t="s">
        <v>3</v>
      </c>
      <c r="C331" s="22" t="s">
        <v>505</v>
      </c>
      <c r="D331" s="22" t="n">
        <v>31980</v>
      </c>
      <c r="E331" s="22" t="s">
        <v>132</v>
      </c>
      <c r="F331" s="22" t="s">
        <v>135</v>
      </c>
      <c r="G331" s="22" t="s">
        <v>131</v>
      </c>
      <c r="H331" s="22" t="s">
        <v>131</v>
      </c>
      <c r="I331" s="22"/>
      <c r="J331" s="22"/>
      <c r="K331" s="22"/>
      <c r="L331" s="22"/>
      <c r="M331" s="22"/>
      <c r="N331" s="22" t="n">
        <v>0.0762</v>
      </c>
      <c r="O331" s="22" t="n">
        <v>0.0576</v>
      </c>
      <c r="P331" s="22" t="n">
        <v>0.0312</v>
      </c>
      <c r="Q331" s="22" t="n">
        <v>0.0442</v>
      </c>
      <c r="R331" s="22" t="n">
        <v>0.0021</v>
      </c>
      <c r="S331" s="22" t="n">
        <v>-0.0136</v>
      </c>
      <c r="T331" s="22" t="n">
        <v>-0.0143</v>
      </c>
      <c r="U331" s="22" t="n">
        <v>0.032</v>
      </c>
      <c r="V331" s="22" t="n">
        <v>0.0243</v>
      </c>
      <c r="W331" s="22" t="n">
        <v>0.0504</v>
      </c>
      <c r="X331" s="22" t="n">
        <v>0.0491</v>
      </c>
      <c r="Y331" s="22" t="n">
        <v>0.0244</v>
      </c>
      <c r="Z331" s="22" t="n">
        <v>0.0281</v>
      </c>
      <c r="AA331" s="22" t="n">
        <v>0.0088</v>
      </c>
      <c r="AB331" s="22" t="n">
        <v>0.0153</v>
      </c>
      <c r="AC331" s="22" t="n">
        <v>0.0293</v>
      </c>
      <c r="AD331" s="22" t="n">
        <v>0.0321</v>
      </c>
      <c r="AE331" s="22" t="n">
        <v>0.0436</v>
      </c>
      <c r="AF331" s="22" t="n">
        <v>0.0507</v>
      </c>
      <c r="AG331" s="22" t="n">
        <v>0.0892</v>
      </c>
      <c r="AH331" s="22" t="n">
        <v>0.0864</v>
      </c>
      <c r="AI331" s="22" t="n">
        <v>0.0727</v>
      </c>
      <c r="AJ331" s="22" t="n">
        <v>0.1571</v>
      </c>
      <c r="AK331" s="22" t="n">
        <v>0.1037</v>
      </c>
      <c r="AL331" s="22" t="n">
        <v>0.0917</v>
      </c>
      <c r="AM331" s="22" t="n">
        <v>0.0978</v>
      </c>
      <c r="AN331" s="22" t="n">
        <v>0.011</v>
      </c>
      <c r="AO331" s="22" t="n">
        <v>0.0542</v>
      </c>
      <c r="AP331" s="22" t="n">
        <v>0.0627</v>
      </c>
      <c r="AQ331" s="22" t="n">
        <v>0.1002</v>
      </c>
      <c r="AR331" s="22" t="n">
        <v>0.113</v>
      </c>
      <c r="AS331" s="22" t="n">
        <v>0.0836</v>
      </c>
      <c r="AT331" s="22" t="n">
        <v>0.2206</v>
      </c>
      <c r="AU331" s="22" t="n">
        <v>0.1596</v>
      </c>
      <c r="AV331" s="22" t="n">
        <v>0.1445</v>
      </c>
    </row>
    <row r="332" customFormat="false" ht="15" hidden="false" customHeight="false" outlineLevel="0" collapsed="false">
      <c r="A332" s="22" t="s">
        <v>506</v>
      </c>
      <c r="B332" s="22" t="s">
        <v>3</v>
      </c>
      <c r="C332" s="22" t="s">
        <v>506</v>
      </c>
      <c r="D332" s="22" t="n">
        <v>32020</v>
      </c>
      <c r="E332" s="22" t="s">
        <v>132</v>
      </c>
      <c r="F332" s="22" t="s">
        <v>135</v>
      </c>
      <c r="G332" s="22" t="s">
        <v>131</v>
      </c>
      <c r="H332" s="22" t="s">
        <v>131</v>
      </c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</row>
    <row r="333" customFormat="false" ht="15" hidden="false" customHeight="false" outlineLevel="0" collapsed="false">
      <c r="A333" s="22" t="s">
        <v>507</v>
      </c>
      <c r="B333" s="22" t="s">
        <v>3</v>
      </c>
      <c r="C333" s="22" t="s">
        <v>507</v>
      </c>
      <c r="D333" s="22" t="n">
        <v>32100</v>
      </c>
      <c r="E333" s="22" t="s">
        <v>132</v>
      </c>
      <c r="F333" s="22" t="s">
        <v>135</v>
      </c>
      <c r="G333" s="22" t="s">
        <v>131</v>
      </c>
      <c r="H333" s="22" t="s">
        <v>131</v>
      </c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 t="n">
        <v>0.193</v>
      </c>
      <c r="AJ333" s="22" t="n">
        <v>0.1581</v>
      </c>
      <c r="AK333" s="22" t="n">
        <v>0.1687</v>
      </c>
      <c r="AL333" s="22" t="n">
        <v>0.055</v>
      </c>
      <c r="AM333" s="22" t="n">
        <v>0.0088</v>
      </c>
      <c r="AN333" s="22" t="n">
        <v>0.0166</v>
      </c>
      <c r="AO333" s="22" t="n">
        <v>0.0495</v>
      </c>
      <c r="AP333" s="22" t="n">
        <v>0.0599</v>
      </c>
      <c r="AQ333" s="22" t="n">
        <v>0.0799</v>
      </c>
      <c r="AR333" s="22" t="n">
        <v>0.087</v>
      </c>
      <c r="AS333" s="22" t="n">
        <v>0.0566</v>
      </c>
      <c r="AT333" s="22"/>
      <c r="AU333" s="22"/>
      <c r="AV333" s="22"/>
    </row>
    <row r="334" customFormat="false" ht="15" hidden="false" customHeight="false" outlineLevel="0" collapsed="false">
      <c r="A334" s="22" t="s">
        <v>508</v>
      </c>
      <c r="B334" s="22" t="s">
        <v>3</v>
      </c>
      <c r="C334" s="22" t="s">
        <v>508</v>
      </c>
      <c r="D334" s="22" t="n">
        <v>32140</v>
      </c>
      <c r="E334" s="22" t="s">
        <v>132</v>
      </c>
      <c r="F334" s="22" t="s">
        <v>135</v>
      </c>
      <c r="G334" s="22" t="s">
        <v>131</v>
      </c>
      <c r="H334" s="22" t="s">
        <v>131</v>
      </c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</row>
    <row r="335" customFormat="false" ht="15" hidden="false" customHeight="false" outlineLevel="0" collapsed="false">
      <c r="A335" s="22" t="s">
        <v>509</v>
      </c>
      <c r="B335" s="22" t="s">
        <v>3</v>
      </c>
      <c r="C335" s="22" t="s">
        <v>509</v>
      </c>
      <c r="D335" s="22" t="n">
        <v>32280</v>
      </c>
      <c r="E335" s="22" t="s">
        <v>132</v>
      </c>
      <c r="F335" s="22" t="s">
        <v>135</v>
      </c>
      <c r="G335" s="22" t="s">
        <v>131</v>
      </c>
      <c r="H335" s="22" t="s">
        <v>131</v>
      </c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</row>
    <row r="336" customFormat="false" ht="15" hidden="false" customHeight="false" outlineLevel="0" collapsed="false">
      <c r="A336" s="22" t="s">
        <v>510</v>
      </c>
      <c r="B336" s="22" t="s">
        <v>3</v>
      </c>
      <c r="C336" s="22" t="s">
        <v>510</v>
      </c>
      <c r="D336" s="22" t="n">
        <v>32380</v>
      </c>
      <c r="E336" s="22" t="s">
        <v>132</v>
      </c>
      <c r="F336" s="22" t="s">
        <v>135</v>
      </c>
      <c r="G336" s="22" t="s">
        <v>131</v>
      </c>
      <c r="H336" s="22" t="s">
        <v>131</v>
      </c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</row>
    <row r="337" customFormat="false" ht="15" hidden="false" customHeight="false" outlineLevel="0" collapsed="false">
      <c r="A337" s="22" t="s">
        <v>511</v>
      </c>
      <c r="B337" s="22" t="s">
        <v>3</v>
      </c>
      <c r="C337" s="22" t="s">
        <v>511</v>
      </c>
      <c r="D337" s="22" t="n">
        <v>32390</v>
      </c>
      <c r="E337" s="22" t="s">
        <v>132</v>
      </c>
      <c r="F337" s="22" t="s">
        <v>135</v>
      </c>
      <c r="G337" s="22" t="s">
        <v>131</v>
      </c>
      <c r="H337" s="22" t="s">
        <v>131</v>
      </c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</row>
    <row r="338" customFormat="false" ht="15" hidden="false" customHeight="false" outlineLevel="0" collapsed="false">
      <c r="A338" s="22" t="s">
        <v>181</v>
      </c>
      <c r="B338" s="22" t="s">
        <v>3</v>
      </c>
      <c r="C338" s="22" t="s">
        <v>181</v>
      </c>
      <c r="D338" s="22" t="n">
        <v>232580</v>
      </c>
      <c r="E338" s="22" t="s">
        <v>132</v>
      </c>
      <c r="F338" s="22" t="s">
        <v>135</v>
      </c>
      <c r="G338" s="22" t="s">
        <v>131</v>
      </c>
      <c r="H338" s="22" t="s">
        <v>131</v>
      </c>
      <c r="I338" s="22" t="n">
        <v>0.0258</v>
      </c>
      <c r="J338" s="22" t="n">
        <v>0.0015</v>
      </c>
      <c r="K338" s="22" t="n">
        <v>0.0028</v>
      </c>
      <c r="L338" s="22" t="n">
        <v>-0.0048</v>
      </c>
      <c r="M338" s="22" t="n">
        <v>0.0112</v>
      </c>
      <c r="N338" s="22" t="n">
        <v>0.023</v>
      </c>
      <c r="O338" s="22" t="n">
        <v>0.0114</v>
      </c>
      <c r="P338" s="22" t="n">
        <v>-0.0028</v>
      </c>
      <c r="Q338" s="22" t="n">
        <v>-0.014</v>
      </c>
      <c r="R338" s="22" t="n">
        <v>-0.0168</v>
      </c>
      <c r="S338" s="22" t="n">
        <v>0.0074</v>
      </c>
      <c r="T338" s="22" t="n">
        <v>0.0212</v>
      </c>
      <c r="U338" s="22" t="n">
        <v>0.0352</v>
      </c>
      <c r="V338" s="22" t="n">
        <v>0.0413</v>
      </c>
      <c r="W338" s="22" t="n">
        <v>0.0337</v>
      </c>
      <c r="X338" s="22" t="n">
        <v>0.0353</v>
      </c>
      <c r="Y338" s="22" t="n">
        <v>0.017</v>
      </c>
      <c r="Z338" s="22" t="n">
        <v>0.004</v>
      </c>
      <c r="AA338" s="22" t="n">
        <v>0.0056</v>
      </c>
      <c r="AB338" s="22" t="n">
        <v>0.0097</v>
      </c>
      <c r="AC338" s="22" t="n">
        <v>0.0175</v>
      </c>
      <c r="AD338" s="22" t="n">
        <v>0.0478</v>
      </c>
      <c r="AE338" s="22" t="n">
        <v>0.0785</v>
      </c>
      <c r="AF338" s="22" t="n">
        <v>0.1066</v>
      </c>
      <c r="AG338" s="22" t="n">
        <v>0.1287</v>
      </c>
      <c r="AH338" s="22" t="n">
        <v>0.1353</v>
      </c>
      <c r="AI338" s="22" t="n">
        <v>0.1216</v>
      </c>
      <c r="AJ338" s="22" t="n">
        <v>0.0981</v>
      </c>
      <c r="AK338" s="22" t="n">
        <v>0.0775</v>
      </c>
      <c r="AL338" s="22" t="n">
        <v>0.0646</v>
      </c>
      <c r="AM338" s="22" t="n">
        <v>0.0325</v>
      </c>
      <c r="AN338" s="22" t="n">
        <v>0.0169</v>
      </c>
      <c r="AO338" s="22" t="n">
        <v>0.0119</v>
      </c>
      <c r="AP338" s="22" t="n">
        <v>-0.0073</v>
      </c>
      <c r="AQ338" s="22" t="n">
        <v>0.0033</v>
      </c>
      <c r="AR338" s="22" t="n">
        <v>-0.0059</v>
      </c>
      <c r="AS338" s="22" t="n">
        <v>-0.0005</v>
      </c>
      <c r="AT338" s="22" t="n">
        <v>0.0509</v>
      </c>
      <c r="AU338" s="22" t="n">
        <v>0.0693</v>
      </c>
      <c r="AV338" s="22" t="n">
        <v>0.0695</v>
      </c>
    </row>
    <row r="339" customFormat="false" ht="15" hidden="false" customHeight="false" outlineLevel="0" collapsed="false">
      <c r="A339" s="22" t="s">
        <v>512</v>
      </c>
      <c r="B339" s="22" t="s">
        <v>3</v>
      </c>
      <c r="C339" s="22" t="s">
        <v>512</v>
      </c>
      <c r="D339" s="22" t="n">
        <v>32620</v>
      </c>
      <c r="E339" s="22" t="s">
        <v>132</v>
      </c>
      <c r="F339" s="22" t="s">
        <v>135</v>
      </c>
      <c r="G339" s="22" t="s">
        <v>131</v>
      </c>
      <c r="H339" s="22" t="s">
        <v>131</v>
      </c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</row>
    <row r="340" customFormat="false" ht="15" hidden="false" customHeight="false" outlineLevel="0" collapsed="false">
      <c r="A340" s="22" t="s">
        <v>513</v>
      </c>
      <c r="B340" s="22" t="s">
        <v>3</v>
      </c>
      <c r="C340" s="22" t="s">
        <v>513</v>
      </c>
      <c r="D340" s="22" t="n">
        <v>32700</v>
      </c>
      <c r="E340" s="22" t="s">
        <v>132</v>
      </c>
      <c r="F340" s="22" t="s">
        <v>135</v>
      </c>
      <c r="G340" s="22" t="s">
        <v>131</v>
      </c>
      <c r="H340" s="22" t="s">
        <v>131</v>
      </c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</row>
    <row r="341" customFormat="false" ht="15" hidden="false" customHeight="false" outlineLevel="0" collapsed="false">
      <c r="A341" s="22" t="s">
        <v>514</v>
      </c>
      <c r="B341" s="22" t="s">
        <v>3</v>
      </c>
      <c r="C341" s="22" t="s">
        <v>514</v>
      </c>
      <c r="D341" s="22" t="n">
        <v>32740</v>
      </c>
      <c r="E341" s="22" t="s">
        <v>132</v>
      </c>
      <c r="F341" s="22" t="s">
        <v>135</v>
      </c>
      <c r="G341" s="22" t="s">
        <v>131</v>
      </c>
      <c r="H341" s="22" t="s">
        <v>131</v>
      </c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</row>
    <row r="342" customFormat="false" ht="15" hidden="false" customHeight="false" outlineLevel="0" collapsed="false">
      <c r="A342" s="22" t="s">
        <v>515</v>
      </c>
      <c r="B342" s="22" t="s">
        <v>3</v>
      </c>
      <c r="C342" s="22" t="s">
        <v>515</v>
      </c>
      <c r="D342" s="22" t="n">
        <v>32780</v>
      </c>
      <c r="E342" s="22" t="s">
        <v>132</v>
      </c>
      <c r="F342" s="22" t="s">
        <v>135</v>
      </c>
      <c r="G342" s="22" t="s">
        <v>131</v>
      </c>
      <c r="H342" s="22" t="s">
        <v>131</v>
      </c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</row>
    <row r="343" customFormat="false" ht="15" hidden="false" customHeight="false" outlineLevel="0" collapsed="false">
      <c r="A343" s="22" t="s">
        <v>182</v>
      </c>
      <c r="B343" s="22" t="s">
        <v>3</v>
      </c>
      <c r="C343" s="22" t="s">
        <v>182</v>
      </c>
      <c r="D343" s="22" t="n">
        <v>32820</v>
      </c>
      <c r="E343" s="22" t="s">
        <v>132</v>
      </c>
      <c r="F343" s="22" t="s">
        <v>135</v>
      </c>
      <c r="G343" s="22" t="s">
        <v>131</v>
      </c>
      <c r="H343" s="22" t="s">
        <v>131</v>
      </c>
      <c r="I343" s="22" t="n">
        <v>0.0259</v>
      </c>
      <c r="J343" s="22" t="n">
        <v>0.0266</v>
      </c>
      <c r="K343" s="22" t="n">
        <v>0.0325</v>
      </c>
      <c r="L343" s="22" t="n">
        <v>0.0317</v>
      </c>
      <c r="M343" s="22" t="n">
        <v>0.0125</v>
      </c>
      <c r="N343" s="22" t="n">
        <v>0.0169</v>
      </c>
      <c r="O343" s="22" t="n">
        <v>0.0264</v>
      </c>
      <c r="P343" s="22" t="n">
        <v>0.0306</v>
      </c>
      <c r="Q343" s="22" t="n">
        <v>0.0385</v>
      </c>
      <c r="R343" s="22" t="n">
        <v>0.0475</v>
      </c>
      <c r="S343" s="22" t="n">
        <v>0.0527</v>
      </c>
      <c r="T343" s="22" t="n">
        <v>0.0645</v>
      </c>
      <c r="U343" s="22" t="n">
        <v>0.064</v>
      </c>
      <c r="V343" s="22" t="n">
        <v>0.0582</v>
      </c>
      <c r="W343" s="22" t="n">
        <v>0.0742</v>
      </c>
      <c r="X343" s="22" t="n">
        <v>0.0767</v>
      </c>
      <c r="Y343" s="22" t="n">
        <v>0.0848</v>
      </c>
      <c r="Z343" s="22" t="n">
        <v>0.0635</v>
      </c>
      <c r="AA343" s="22" t="n">
        <v>0.0474</v>
      </c>
      <c r="AB343" s="22" t="n">
        <v>0.0571</v>
      </c>
      <c r="AC343" s="22" t="n">
        <v>0.0732</v>
      </c>
      <c r="AD343" s="22" t="n">
        <v>0.1144</v>
      </c>
      <c r="AE343" s="22" t="n">
        <v>0.1491</v>
      </c>
      <c r="AF343" s="22" t="n">
        <v>0.1342</v>
      </c>
      <c r="AG343" s="22" t="n">
        <v>0.1384</v>
      </c>
      <c r="AH343" s="22" t="n">
        <v>0.1326</v>
      </c>
      <c r="AI343" s="22" t="n">
        <v>0.107</v>
      </c>
      <c r="AJ343" s="22" t="n">
        <v>0.092</v>
      </c>
      <c r="AK343" s="22" t="n">
        <v>0.0661</v>
      </c>
      <c r="AL343" s="22" t="n">
        <v>0.0457</v>
      </c>
      <c r="AM343" s="22" t="n">
        <v>0.016</v>
      </c>
      <c r="AN343" s="22" t="n">
        <v>0.0224</v>
      </c>
      <c r="AO343" s="22" t="n">
        <v>0.0141</v>
      </c>
      <c r="AP343" s="22" t="n">
        <v>0.002</v>
      </c>
      <c r="AQ343" s="22" t="n">
        <v>-0.0056</v>
      </c>
      <c r="AR343" s="22" t="n">
        <v>-0.0281</v>
      </c>
      <c r="AS343" s="22" t="n">
        <v>-0.0076</v>
      </c>
      <c r="AT343" s="22" t="n">
        <v>0.0106</v>
      </c>
      <c r="AU343" s="22" t="n">
        <v>0.0119</v>
      </c>
      <c r="AV343" s="22" t="n">
        <v>0.025</v>
      </c>
    </row>
    <row r="344" customFormat="false" ht="15" hidden="false" customHeight="false" outlineLevel="0" collapsed="false">
      <c r="A344" s="22" t="s">
        <v>516</v>
      </c>
      <c r="B344" s="22" t="s">
        <v>3</v>
      </c>
      <c r="C344" s="22" t="s">
        <v>516</v>
      </c>
      <c r="D344" s="22" t="n">
        <v>32860</v>
      </c>
      <c r="E344" s="22" t="s">
        <v>132</v>
      </c>
      <c r="F344" s="22" t="s">
        <v>135</v>
      </c>
      <c r="G344" s="22" t="s">
        <v>131</v>
      </c>
      <c r="H344" s="22" t="s">
        <v>131</v>
      </c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</row>
    <row r="345" customFormat="false" ht="15" hidden="false" customHeight="false" outlineLevel="0" collapsed="false">
      <c r="A345" s="22" t="s">
        <v>517</v>
      </c>
      <c r="B345" s="22" t="s">
        <v>3</v>
      </c>
      <c r="C345" s="22" t="s">
        <v>517</v>
      </c>
      <c r="D345" s="22" t="n">
        <v>32900</v>
      </c>
      <c r="E345" s="22" t="s">
        <v>132</v>
      </c>
      <c r="F345" s="22" t="s">
        <v>135</v>
      </c>
      <c r="G345" s="22" t="s">
        <v>131</v>
      </c>
      <c r="H345" s="22" t="s">
        <v>131</v>
      </c>
      <c r="I345" s="22" t="n">
        <v>0.5511</v>
      </c>
      <c r="J345" s="22"/>
      <c r="K345" s="22"/>
      <c r="L345" s="22"/>
      <c r="M345" s="22" t="n">
        <v>0.0119</v>
      </c>
      <c r="N345" s="22" t="n">
        <v>0.0128</v>
      </c>
      <c r="O345" s="22" t="n">
        <v>0.1216</v>
      </c>
      <c r="P345" s="22" t="n">
        <v>0.079</v>
      </c>
      <c r="Q345" s="22" t="n">
        <v>0.0702</v>
      </c>
      <c r="R345" s="22" t="n">
        <v>0.0718</v>
      </c>
      <c r="S345" s="22" t="n">
        <v>0.0733</v>
      </c>
      <c r="T345" s="22" t="n">
        <v>0.0248</v>
      </c>
      <c r="U345" s="22" t="n">
        <v>0.0234</v>
      </c>
      <c r="V345" s="22" t="n">
        <v>0.0786</v>
      </c>
      <c r="W345" s="22" t="n">
        <v>0.0641</v>
      </c>
      <c r="X345" s="22" t="n">
        <v>0.0634</v>
      </c>
      <c r="Y345" s="22" t="n">
        <v>0.0764</v>
      </c>
      <c r="Z345" s="22" t="n">
        <v>0.0007</v>
      </c>
      <c r="AA345" s="22" t="n">
        <v>-0.0505</v>
      </c>
      <c r="AB345" s="22" t="n">
        <v>0.0075</v>
      </c>
      <c r="AC345" s="22" t="n">
        <v>0.0164</v>
      </c>
      <c r="AD345" s="22" t="n">
        <v>0.0814</v>
      </c>
      <c r="AE345" s="22" t="n">
        <v>0.166</v>
      </c>
      <c r="AF345" s="22" t="n">
        <v>0.1285</v>
      </c>
      <c r="AG345" s="22" t="n">
        <v>0.1055</v>
      </c>
      <c r="AH345" s="22" t="n">
        <v>0.1011</v>
      </c>
      <c r="AI345" s="22" t="n">
        <v>0.0934</v>
      </c>
      <c r="AJ345" s="22" t="n">
        <v>0.0836</v>
      </c>
      <c r="AK345" s="22" t="n">
        <v>0.0871</v>
      </c>
      <c r="AL345" s="22" t="n">
        <v>0.062</v>
      </c>
      <c r="AM345" s="22" t="n">
        <v>0.0552</v>
      </c>
      <c r="AN345" s="22" t="n">
        <v>0.0368</v>
      </c>
      <c r="AO345" s="22" t="n">
        <v>0.0264</v>
      </c>
      <c r="AP345" s="22" t="n">
        <v>0.0261</v>
      </c>
      <c r="AQ345" s="22" t="n">
        <v>0.0341</v>
      </c>
      <c r="AR345" s="22" t="n">
        <v>0.0336</v>
      </c>
      <c r="AS345" s="22" t="n">
        <v>0.0409</v>
      </c>
      <c r="AT345" s="22" t="n">
        <v>0.0324</v>
      </c>
      <c r="AU345" s="22" t="n">
        <v>0.0181</v>
      </c>
      <c r="AV345" s="22" t="n">
        <v>-0.0202</v>
      </c>
    </row>
    <row r="346" customFormat="false" ht="15" hidden="false" customHeight="false" outlineLevel="0" collapsed="false">
      <c r="A346" s="22" t="s">
        <v>518</v>
      </c>
      <c r="B346" s="22" t="s">
        <v>3</v>
      </c>
      <c r="C346" s="22" t="s">
        <v>518</v>
      </c>
      <c r="D346" s="22" t="n">
        <v>32940</v>
      </c>
      <c r="E346" s="22" t="s">
        <v>132</v>
      </c>
      <c r="F346" s="22" t="s">
        <v>135</v>
      </c>
      <c r="G346" s="22" t="s">
        <v>131</v>
      </c>
      <c r="H346" s="22" t="s">
        <v>131</v>
      </c>
      <c r="I346" s="22" t="n">
        <v>0.0791</v>
      </c>
      <c r="J346" s="22" t="n">
        <v>0.053</v>
      </c>
      <c r="K346" s="22"/>
      <c r="L346" s="22" t="n">
        <v>0.0232</v>
      </c>
      <c r="M346" s="22" t="n">
        <v>0.0862</v>
      </c>
      <c r="N346" s="22" t="n">
        <v>-0.0393</v>
      </c>
      <c r="O346" s="22" t="n">
        <v>-0.1353</v>
      </c>
      <c r="P346" s="22" t="n">
        <v>0.0677</v>
      </c>
      <c r="Q346" s="22" t="n">
        <v>-0.0022</v>
      </c>
      <c r="R346" s="22" t="n">
        <v>0.0413</v>
      </c>
      <c r="S346" s="22" t="n">
        <v>0.0571</v>
      </c>
      <c r="T346" s="22" t="n">
        <v>0.0534</v>
      </c>
      <c r="U346" s="22" t="n">
        <v>0.0431</v>
      </c>
      <c r="V346" s="22" t="n">
        <v>0.0369</v>
      </c>
      <c r="W346" s="22" t="n">
        <v>0.0284</v>
      </c>
      <c r="X346" s="22" t="n">
        <v>-0.0042</v>
      </c>
      <c r="Y346" s="22" t="n">
        <v>0.0226</v>
      </c>
      <c r="Z346" s="22" t="n">
        <v>0.0332</v>
      </c>
      <c r="AA346" s="22" t="n">
        <v>-0.0058</v>
      </c>
      <c r="AB346" s="22" t="n">
        <v>0.0167</v>
      </c>
      <c r="AC346" s="22" t="n">
        <v>-0.0163</v>
      </c>
      <c r="AD346" s="22" t="n">
        <v>-0.0683</v>
      </c>
      <c r="AE346" s="22" t="n">
        <v>-0.0045</v>
      </c>
      <c r="AF346" s="22" t="n">
        <v>0.0187</v>
      </c>
      <c r="AG346" s="22" t="n">
        <v>0.0308</v>
      </c>
      <c r="AH346" s="22" t="n">
        <v>0.075</v>
      </c>
      <c r="AI346" s="22" t="n">
        <v>0.0527</v>
      </c>
      <c r="AJ346" s="22" t="n">
        <v>0.0381</v>
      </c>
      <c r="AK346" s="22" t="n">
        <v>0.0382</v>
      </c>
      <c r="AL346" s="22" t="n">
        <v>0.0256</v>
      </c>
      <c r="AM346" s="22" t="n">
        <v>0.02</v>
      </c>
      <c r="AN346" s="22" t="n">
        <v>0.0152</v>
      </c>
      <c r="AO346" s="22" t="n">
        <v>0.0105</v>
      </c>
      <c r="AP346" s="22" t="n">
        <v>0.0156</v>
      </c>
      <c r="AQ346" s="22" t="n">
        <v>0.0197</v>
      </c>
      <c r="AR346" s="22" t="n">
        <v>0.0402</v>
      </c>
      <c r="AS346" s="22" t="n">
        <v>0.0349</v>
      </c>
      <c r="AT346" s="22" t="n">
        <v>0.0382</v>
      </c>
      <c r="AU346" s="22" t="n">
        <v>0.0144</v>
      </c>
      <c r="AV346" s="22" t="n">
        <v>-0.0037</v>
      </c>
    </row>
    <row r="347" customFormat="false" ht="15" hidden="false" customHeight="false" outlineLevel="0" collapsed="false">
      <c r="A347" s="22" t="s">
        <v>33</v>
      </c>
      <c r="B347" s="22" t="s">
        <v>3</v>
      </c>
      <c r="C347" s="22" t="s">
        <v>33</v>
      </c>
      <c r="D347" s="22" t="n">
        <v>33124</v>
      </c>
      <c r="E347" s="22" t="s">
        <v>132</v>
      </c>
      <c r="F347" s="22" t="s">
        <v>135</v>
      </c>
      <c r="G347" s="22" t="s">
        <v>131</v>
      </c>
      <c r="H347" s="22" t="s">
        <v>131</v>
      </c>
      <c r="I347" s="22" t="n">
        <v>0.0591</v>
      </c>
      <c r="J347" s="22" t="n">
        <v>0.0111</v>
      </c>
      <c r="K347" s="22" t="n">
        <v>-0.0084</v>
      </c>
      <c r="L347" s="22" t="n">
        <v>-0.0069</v>
      </c>
      <c r="M347" s="22" t="n">
        <v>0.0077</v>
      </c>
      <c r="N347" s="22" t="n">
        <v>0.0458</v>
      </c>
      <c r="O347" s="22" t="n">
        <v>0.0415</v>
      </c>
      <c r="P347" s="22" t="n">
        <v>0.038</v>
      </c>
      <c r="Q347" s="22" t="n">
        <v>0.0241</v>
      </c>
      <c r="R347" s="22" t="n">
        <v>0.0386</v>
      </c>
      <c r="S347" s="22" t="n">
        <v>0.0761</v>
      </c>
      <c r="T347" s="22" t="n">
        <v>0.0731</v>
      </c>
      <c r="U347" s="22" t="n">
        <v>0.0681</v>
      </c>
      <c r="V347" s="22" t="n">
        <v>0.0519</v>
      </c>
      <c r="W347" s="22" t="n">
        <v>0.0374</v>
      </c>
      <c r="X347" s="22" t="n">
        <v>0.0282</v>
      </c>
      <c r="Y347" s="22" t="n">
        <v>0.0212</v>
      </c>
      <c r="Z347" s="22" t="n">
        <v>-0.0112</v>
      </c>
      <c r="AA347" s="22" t="n">
        <v>-0.0377</v>
      </c>
      <c r="AB347" s="22" t="n">
        <v>-0.0331</v>
      </c>
      <c r="AC347" s="22" t="n">
        <v>-0.0139</v>
      </c>
      <c r="AD347" s="22" t="n">
        <v>0.0659</v>
      </c>
      <c r="AE347" s="22" t="n">
        <v>0.1658</v>
      </c>
      <c r="AF347" s="22" t="n">
        <v>0.2259</v>
      </c>
      <c r="AG347" s="22" t="n">
        <v>0.2786</v>
      </c>
      <c r="AH347" s="22" t="n">
        <v>0.2812</v>
      </c>
      <c r="AI347" s="22" t="n">
        <v>0.2393</v>
      </c>
      <c r="AJ347" s="22" t="n">
        <v>0.1938</v>
      </c>
      <c r="AK347" s="22" t="n">
        <v>0.1392</v>
      </c>
      <c r="AL347" s="22" t="n">
        <v>0.0896</v>
      </c>
      <c r="AM347" s="22" t="n">
        <v>0.0513</v>
      </c>
      <c r="AN347" s="22" t="n">
        <v>0.0244</v>
      </c>
      <c r="AO347" s="22" t="n">
        <v>0.0206</v>
      </c>
      <c r="AP347" s="22" t="n">
        <v>0.012</v>
      </c>
      <c r="AQ347" s="22" t="n">
        <v>0.0084</v>
      </c>
      <c r="AR347" s="22" t="n">
        <v>0.0098</v>
      </c>
      <c r="AS347" s="22" t="n">
        <v>0.0076</v>
      </c>
      <c r="AT347" s="22" t="n">
        <v>0.0217</v>
      </c>
      <c r="AU347" s="22" t="n">
        <v>0.026</v>
      </c>
      <c r="AV347" s="22" t="n">
        <v>0.0288</v>
      </c>
    </row>
    <row r="348" customFormat="false" ht="15" hidden="false" customHeight="false" outlineLevel="0" collapsed="false">
      <c r="A348" s="22" t="s">
        <v>519</v>
      </c>
      <c r="B348" s="22" t="s">
        <v>3</v>
      </c>
      <c r="C348" s="22" t="s">
        <v>519</v>
      </c>
      <c r="D348" s="22" t="n">
        <v>33140</v>
      </c>
      <c r="E348" s="22" t="s">
        <v>132</v>
      </c>
      <c r="F348" s="22" t="s">
        <v>135</v>
      </c>
      <c r="G348" s="22" t="s">
        <v>131</v>
      </c>
      <c r="H348" s="22" t="s">
        <v>131</v>
      </c>
      <c r="I348" s="22" t="n">
        <v>0.0944</v>
      </c>
      <c r="J348" s="22" t="n">
        <v>0.0094</v>
      </c>
      <c r="K348" s="22"/>
      <c r="L348" s="22"/>
      <c r="M348" s="22" t="n">
        <v>0.1049</v>
      </c>
      <c r="N348" s="22" t="n">
        <v>0.2119</v>
      </c>
      <c r="O348" s="22" t="n">
        <v>0.0889</v>
      </c>
      <c r="P348" s="22" t="n">
        <v>0.0891</v>
      </c>
      <c r="Q348" s="22" t="n">
        <v>0.0146</v>
      </c>
      <c r="R348" s="22" t="n">
        <v>0.0201</v>
      </c>
      <c r="S348" s="22" t="n">
        <v>0.0011</v>
      </c>
      <c r="T348" s="22" t="n">
        <v>0.0531</v>
      </c>
      <c r="U348" s="22" t="n">
        <v>0.0467</v>
      </c>
      <c r="V348" s="22" t="n">
        <v>0.0371</v>
      </c>
      <c r="W348" s="22" t="n">
        <v>0.0686</v>
      </c>
      <c r="X348" s="22" t="n">
        <v>0.0283</v>
      </c>
      <c r="Y348" s="22" t="n">
        <v>0.0269</v>
      </c>
      <c r="Z348" s="22" t="n">
        <v>0.0466</v>
      </c>
      <c r="AA348" s="22" t="n">
        <v>0.064</v>
      </c>
      <c r="AB348" s="22" t="n">
        <v>0.0855</v>
      </c>
      <c r="AC348" s="22" t="n">
        <v>0.1396</v>
      </c>
      <c r="AD348" s="22" t="n">
        <v>0.1936</v>
      </c>
      <c r="AE348" s="22" t="n">
        <v>0.2063</v>
      </c>
      <c r="AF348" s="22" t="n">
        <v>0.167</v>
      </c>
      <c r="AG348" s="22" t="n">
        <v>0.1618</v>
      </c>
      <c r="AH348" s="22" t="n">
        <v>0.1126</v>
      </c>
      <c r="AI348" s="22" t="n">
        <v>0.1353</v>
      </c>
      <c r="AJ348" s="22" t="n">
        <v>0.109</v>
      </c>
      <c r="AK348" s="22" t="n">
        <v>0.0977</v>
      </c>
      <c r="AL348" s="22" t="n">
        <v>0.12</v>
      </c>
      <c r="AM348" s="22" t="n">
        <v>0.0704</v>
      </c>
      <c r="AN348" s="22" t="n">
        <v>0.087</v>
      </c>
      <c r="AO348" s="22" t="n">
        <v>0.0582</v>
      </c>
      <c r="AP348" s="22" t="n">
        <v>0.0107</v>
      </c>
      <c r="AQ348" s="22" t="n">
        <v>0.0083</v>
      </c>
      <c r="AR348" s="22" t="n">
        <v>0.046</v>
      </c>
      <c r="AS348" s="22" t="n">
        <v>0.02</v>
      </c>
      <c r="AT348" s="22" t="n">
        <v>0.0115</v>
      </c>
      <c r="AU348" s="22" t="n">
        <v>0.0156</v>
      </c>
      <c r="AV348" s="22" t="n">
        <v>-0.0079</v>
      </c>
    </row>
    <row r="349" customFormat="false" ht="15" hidden="false" customHeight="false" outlineLevel="0" collapsed="false">
      <c r="A349" s="22" t="s">
        <v>183</v>
      </c>
      <c r="B349" s="22" t="s">
        <v>3</v>
      </c>
      <c r="C349" s="22" t="s">
        <v>183</v>
      </c>
      <c r="D349" s="22" t="n">
        <v>233260</v>
      </c>
      <c r="E349" s="22" t="s">
        <v>132</v>
      </c>
      <c r="F349" s="22" t="s">
        <v>135</v>
      </c>
      <c r="G349" s="22" t="s">
        <v>131</v>
      </c>
      <c r="H349" s="22" t="s">
        <v>131</v>
      </c>
      <c r="I349" s="22" t="n">
        <v>-0.289</v>
      </c>
      <c r="J349" s="22" t="n">
        <v>-0.2429</v>
      </c>
      <c r="K349" s="22" t="n">
        <v>-0.1837</v>
      </c>
      <c r="L349" s="22" t="n">
        <v>-0.1033</v>
      </c>
      <c r="M349" s="22" t="n">
        <v>-0.0039</v>
      </c>
      <c r="N349" s="22" t="n">
        <v>0.1884</v>
      </c>
      <c r="O349" s="22" t="n">
        <v>0.3341</v>
      </c>
      <c r="P349" s="22" t="n">
        <v>0.4219</v>
      </c>
      <c r="Q349" s="22" t="n">
        <v>0.4364</v>
      </c>
      <c r="R349" s="22" t="n">
        <v>0.3897</v>
      </c>
      <c r="S349" s="22" t="n">
        <v>0.3317</v>
      </c>
      <c r="T349" s="22" t="n">
        <v>0.2202</v>
      </c>
      <c r="U349" s="22" t="n">
        <v>0.1504</v>
      </c>
      <c r="V349" s="22" t="n">
        <v>0.0338</v>
      </c>
      <c r="W349" s="22" t="n">
        <v>-0.0379</v>
      </c>
      <c r="X349" s="22" t="n">
        <v>-0.0672</v>
      </c>
      <c r="Y349" s="22" t="n">
        <v>-0.1204</v>
      </c>
      <c r="Z349" s="22" t="n">
        <v>-0.2598</v>
      </c>
      <c r="AA349" s="22" t="n">
        <v>-0.3359</v>
      </c>
      <c r="AB349" s="22" t="n">
        <v>-0.334</v>
      </c>
      <c r="AC349" s="22" t="n">
        <v>-0.3194</v>
      </c>
      <c r="AD349" s="22" t="n">
        <v>-0.1713</v>
      </c>
      <c r="AE349" s="22" t="n">
        <v>-0.0152</v>
      </c>
      <c r="AF349" s="22" t="n">
        <v>0.0431</v>
      </c>
      <c r="AG349" s="22" t="n">
        <v>0.1321</v>
      </c>
      <c r="AH349" s="22" t="n">
        <v>0.1645</v>
      </c>
      <c r="AI349" s="22" t="n">
        <v>0.215</v>
      </c>
      <c r="AJ349" s="22" t="n">
        <v>0.2313</v>
      </c>
      <c r="AK349" s="22" t="n">
        <v>0.193</v>
      </c>
      <c r="AL349" s="22" t="n">
        <v>0.181</v>
      </c>
      <c r="AM349" s="22" t="n">
        <v>0.1522</v>
      </c>
      <c r="AN349" s="22" t="n">
        <v>0.121</v>
      </c>
      <c r="AO349" s="22" t="n">
        <v>0.0993</v>
      </c>
      <c r="AP349" s="22" t="n">
        <v>0.0769</v>
      </c>
      <c r="AQ349" s="22" t="n">
        <v>0.0351</v>
      </c>
      <c r="AR349" s="22" t="n">
        <v>0.0245</v>
      </c>
      <c r="AS349" s="22" t="n">
        <v>0.0248</v>
      </c>
      <c r="AT349" s="22" t="n">
        <v>0.0339</v>
      </c>
      <c r="AU349" s="22" t="n">
        <v>0.0139</v>
      </c>
      <c r="AV349" s="22" t="n">
        <v>0.0004</v>
      </c>
    </row>
    <row r="350" customFormat="false" ht="15" hidden="false" customHeight="false" outlineLevel="0" collapsed="false">
      <c r="A350" s="22" t="s">
        <v>24</v>
      </c>
      <c r="B350" s="22" t="s">
        <v>3</v>
      </c>
      <c r="C350" s="22" t="s">
        <v>24</v>
      </c>
      <c r="D350" s="22" t="n">
        <v>233340</v>
      </c>
      <c r="E350" s="22" t="s">
        <v>132</v>
      </c>
      <c r="F350" s="22" t="s">
        <v>135</v>
      </c>
      <c r="G350" s="22" t="s">
        <v>131</v>
      </c>
      <c r="H350" s="22" t="s">
        <v>131</v>
      </c>
      <c r="I350" s="22" t="n">
        <v>0.0426</v>
      </c>
      <c r="J350" s="22" t="n">
        <v>0.0408</v>
      </c>
      <c r="K350" s="22" t="n">
        <v>0.0418</v>
      </c>
      <c r="L350" s="22" t="n">
        <v>0.0328</v>
      </c>
      <c r="M350" s="22" t="n">
        <v>0.0291</v>
      </c>
      <c r="N350" s="22" t="n">
        <v>0.0252</v>
      </c>
      <c r="O350" s="22" t="n">
        <v>0.0341</v>
      </c>
      <c r="P350" s="22" t="n">
        <v>0.03</v>
      </c>
      <c r="Q350" s="22" t="n">
        <v>0.0099</v>
      </c>
      <c r="R350" s="22" t="n">
        <v>0.0149</v>
      </c>
      <c r="S350" s="22" t="n">
        <v>0.0223</v>
      </c>
      <c r="T350" s="22" t="n">
        <v>0.0461</v>
      </c>
      <c r="U350" s="22" t="n">
        <v>0.062</v>
      </c>
      <c r="V350" s="22" t="n">
        <v>0.0575</v>
      </c>
      <c r="W350" s="22" t="n">
        <v>0.0498</v>
      </c>
      <c r="X350" s="22" t="n">
        <v>0.0424</v>
      </c>
      <c r="Y350" s="22" t="n">
        <v>0.0334</v>
      </c>
      <c r="Z350" s="22" t="n">
        <v>0.0224</v>
      </c>
      <c r="AA350" s="22" t="n">
        <v>0.0116</v>
      </c>
      <c r="AB350" s="22" t="n">
        <v>0.0204</v>
      </c>
      <c r="AC350" s="22" t="n">
        <v>0.0388</v>
      </c>
      <c r="AD350" s="22" t="n">
        <v>0.0545</v>
      </c>
      <c r="AE350" s="22" t="n">
        <v>0.089</v>
      </c>
      <c r="AF350" s="22" t="n">
        <v>0.0994</v>
      </c>
      <c r="AG350" s="22" t="n">
        <v>0.1025</v>
      </c>
      <c r="AH350" s="22" t="n">
        <v>0.1212</v>
      </c>
      <c r="AI350" s="22" t="n">
        <v>0.1084</v>
      </c>
      <c r="AJ350" s="22" t="n">
        <v>0.0884</v>
      </c>
      <c r="AK350" s="22" t="n">
        <v>0.0752</v>
      </c>
      <c r="AL350" s="22" t="n">
        <v>0.0589</v>
      </c>
      <c r="AM350" s="22" t="n">
        <v>0.0522</v>
      </c>
      <c r="AN350" s="22" t="n">
        <v>0.0674</v>
      </c>
      <c r="AO350" s="22" t="n">
        <v>0.0646</v>
      </c>
      <c r="AP350" s="22" t="n">
        <v>0.0603</v>
      </c>
      <c r="AQ350" s="22" t="n">
        <v>0.0548</v>
      </c>
      <c r="AR350" s="22" t="n">
        <v>0.0347</v>
      </c>
      <c r="AS350" s="22" t="n">
        <v>0.0415</v>
      </c>
      <c r="AT350" s="22" t="n">
        <v>0.046</v>
      </c>
      <c r="AU350" s="22" t="n">
        <v>0.037</v>
      </c>
      <c r="AV350" s="22" t="n">
        <v>0.0423</v>
      </c>
    </row>
    <row r="351" customFormat="false" ht="15" hidden="false" customHeight="false" outlineLevel="0" collapsed="false">
      <c r="A351" s="22" t="s">
        <v>42</v>
      </c>
      <c r="B351" s="22" t="s">
        <v>3</v>
      </c>
      <c r="C351" s="22" t="s">
        <v>42</v>
      </c>
      <c r="D351" s="22" t="n">
        <v>33460</v>
      </c>
      <c r="E351" s="22" t="s">
        <v>132</v>
      </c>
      <c r="F351" s="22" t="s">
        <v>135</v>
      </c>
      <c r="G351" s="22" t="s">
        <v>131</v>
      </c>
      <c r="H351" s="22" t="s">
        <v>131</v>
      </c>
      <c r="I351" s="22" t="n">
        <v>0.0396</v>
      </c>
      <c r="J351" s="22" t="n">
        <v>0.056</v>
      </c>
      <c r="K351" s="22" t="n">
        <v>0.0587</v>
      </c>
      <c r="L351" s="22" t="n">
        <v>0.062</v>
      </c>
      <c r="M351" s="22" t="n">
        <v>0.0611</v>
      </c>
      <c r="N351" s="22" t="n">
        <v>0.061</v>
      </c>
      <c r="O351" s="22" t="n">
        <v>0.0489</v>
      </c>
      <c r="P351" s="22" t="n">
        <v>0.0508</v>
      </c>
      <c r="Q351" s="22" t="n">
        <v>0.0462</v>
      </c>
      <c r="R351" s="22" t="n">
        <v>0.0386</v>
      </c>
      <c r="S351" s="22" t="n">
        <v>0.0485</v>
      </c>
      <c r="T351" s="22" t="n">
        <v>0.0447</v>
      </c>
      <c r="U351" s="22" t="n">
        <v>0.0433</v>
      </c>
      <c r="V351" s="22" t="n">
        <v>0.0487</v>
      </c>
      <c r="W351" s="22" t="n">
        <v>0.0488</v>
      </c>
      <c r="X351" s="22" t="n">
        <v>0.0457</v>
      </c>
      <c r="Y351" s="22" t="n">
        <v>0.0473</v>
      </c>
      <c r="Z351" s="22" t="n">
        <v>0.0244</v>
      </c>
      <c r="AA351" s="22" t="n">
        <v>0.0023</v>
      </c>
      <c r="AB351" s="22" t="n">
        <v>-0.0065</v>
      </c>
      <c r="AC351" s="22" t="n">
        <v>-0.0223</v>
      </c>
      <c r="AD351" s="22" t="n">
        <v>-0.0035</v>
      </c>
      <c r="AE351" s="22" t="n">
        <v>0.0325</v>
      </c>
      <c r="AF351" s="22" t="n">
        <v>0.0514</v>
      </c>
      <c r="AG351" s="22" t="n">
        <v>0.0696</v>
      </c>
      <c r="AH351" s="22" t="n">
        <v>0.0745</v>
      </c>
      <c r="AI351" s="22" t="n">
        <v>0.0689</v>
      </c>
      <c r="AJ351" s="22" t="n">
        <v>0.0584</v>
      </c>
      <c r="AK351" s="22" t="n">
        <v>0.0479</v>
      </c>
      <c r="AL351" s="22" t="n">
        <v>0.0445</v>
      </c>
      <c r="AM351" s="22" t="n">
        <v>0.0208</v>
      </c>
      <c r="AN351" s="22" t="n">
        <v>0.0199</v>
      </c>
      <c r="AO351" s="22" t="n">
        <v>0.0285</v>
      </c>
      <c r="AP351" s="22" t="n">
        <v>0.0196</v>
      </c>
      <c r="AQ351" s="22" t="n">
        <v>0.0237</v>
      </c>
      <c r="AR351" s="22" t="n">
        <v>0.0245</v>
      </c>
      <c r="AS351" s="22" t="n">
        <v>0.0257</v>
      </c>
      <c r="AT351" s="22" t="n">
        <v>0.0465</v>
      </c>
      <c r="AU351" s="22" t="n">
        <v>0.0533</v>
      </c>
      <c r="AV351" s="22" t="n">
        <v>0.0518</v>
      </c>
    </row>
    <row r="352" customFormat="false" ht="15" hidden="false" customHeight="false" outlineLevel="0" collapsed="false">
      <c r="A352" s="22" t="s">
        <v>520</v>
      </c>
      <c r="B352" s="22" t="s">
        <v>3</v>
      </c>
      <c r="C352" s="22" t="s">
        <v>520</v>
      </c>
      <c r="D352" s="22" t="n">
        <v>33500</v>
      </c>
      <c r="E352" s="22" t="s">
        <v>132</v>
      </c>
      <c r="F352" s="22" t="s">
        <v>135</v>
      </c>
      <c r="G352" s="22" t="s">
        <v>131</v>
      </c>
      <c r="H352" s="22" t="s">
        <v>131</v>
      </c>
      <c r="I352" s="22"/>
      <c r="J352" s="22"/>
      <c r="K352" s="22"/>
      <c r="L352" s="22"/>
      <c r="M352" s="22"/>
      <c r="N352" s="22"/>
      <c r="O352" s="22" t="n">
        <v>0.0751</v>
      </c>
      <c r="P352" s="22" t="n">
        <v>-0.0019</v>
      </c>
      <c r="Q352" s="22" t="n">
        <v>0.0109</v>
      </c>
      <c r="R352" s="22" t="n">
        <v>0.0202</v>
      </c>
      <c r="S352" s="22" t="n">
        <v>0.0013</v>
      </c>
      <c r="T352" s="22" t="n">
        <v>0.0278</v>
      </c>
      <c r="U352" s="22" t="n">
        <v>-0.0022</v>
      </c>
      <c r="V352" s="22" t="n">
        <v>-0.0215</v>
      </c>
      <c r="W352" s="22" t="n">
        <v>0</v>
      </c>
      <c r="X352" s="22" t="n">
        <v>-0.0037</v>
      </c>
      <c r="Y352" s="22" t="n">
        <v>0.0321</v>
      </c>
      <c r="Z352" s="22" t="n">
        <v>0.0114</v>
      </c>
      <c r="AA352" s="22" t="n">
        <v>-0.0332</v>
      </c>
      <c r="AB352" s="22" t="n">
        <v>-0.0339</v>
      </c>
      <c r="AC352" s="22" t="n">
        <v>-0.0328</v>
      </c>
      <c r="AD352" s="22" t="n">
        <v>-0.0057</v>
      </c>
      <c r="AE352" s="22" t="n">
        <v>0.0328</v>
      </c>
      <c r="AF352" s="22" t="n">
        <v>0.0506</v>
      </c>
      <c r="AG352" s="22" t="n">
        <v>0.0495</v>
      </c>
      <c r="AH352" s="22" t="n">
        <v>0.0362</v>
      </c>
      <c r="AI352" s="22" t="n">
        <v>0.0334</v>
      </c>
      <c r="AJ352" s="22" t="n">
        <v>0.0177</v>
      </c>
      <c r="AK352" s="22" t="n">
        <v>0.0177</v>
      </c>
      <c r="AL352" s="22" t="n">
        <v>0.027</v>
      </c>
      <c r="AM352" s="22" t="n">
        <v>0.0507</v>
      </c>
      <c r="AN352" s="22" t="n">
        <v>0.0723</v>
      </c>
      <c r="AO352" s="22" t="n">
        <v>0.065</v>
      </c>
      <c r="AP352" s="22" t="n">
        <v>0.08</v>
      </c>
      <c r="AQ352" s="22" t="n">
        <v>0.0626</v>
      </c>
      <c r="AR352" s="22" t="n">
        <v>0.0573</v>
      </c>
      <c r="AS352" s="22" t="n">
        <v>0.0788</v>
      </c>
      <c r="AT352" s="22" t="n">
        <v>0.0639</v>
      </c>
      <c r="AU352" s="22" t="n">
        <v>0.0651</v>
      </c>
      <c r="AV352" s="22" t="n">
        <v>0.0795</v>
      </c>
    </row>
    <row r="353" customFormat="false" ht="15" hidden="false" customHeight="false" outlineLevel="0" collapsed="false">
      <c r="A353" s="22" t="s">
        <v>521</v>
      </c>
      <c r="B353" s="22" t="s">
        <v>3</v>
      </c>
      <c r="C353" s="22" t="s">
        <v>521</v>
      </c>
      <c r="D353" s="22" t="n">
        <v>33540</v>
      </c>
      <c r="E353" s="22" t="s">
        <v>132</v>
      </c>
      <c r="F353" s="22" t="s">
        <v>135</v>
      </c>
      <c r="G353" s="22" t="s">
        <v>131</v>
      </c>
      <c r="H353" s="22" t="s">
        <v>131</v>
      </c>
      <c r="I353" s="22" t="n">
        <v>0.0629</v>
      </c>
      <c r="J353" s="22" t="n">
        <v>0.0184</v>
      </c>
      <c r="K353" s="22" t="n">
        <v>0.011</v>
      </c>
      <c r="L353" s="22" t="n">
        <v>0.0225</v>
      </c>
      <c r="M353" s="22" t="n">
        <v>-0.0503</v>
      </c>
      <c r="N353" s="22" t="n">
        <v>-0.0494</v>
      </c>
      <c r="O353" s="22" t="n">
        <v>-0.037</v>
      </c>
      <c r="P353" s="22" t="n">
        <v>-0.054</v>
      </c>
      <c r="Q353" s="22" t="n">
        <v>-0.0045</v>
      </c>
      <c r="R353" s="22" t="n">
        <v>0.012</v>
      </c>
      <c r="S353" s="22" t="n">
        <v>0.0248</v>
      </c>
      <c r="T353" s="22" t="n">
        <v>0.0444</v>
      </c>
      <c r="U353" s="22" t="n">
        <v>0.0535</v>
      </c>
      <c r="V353" s="22" t="n">
        <v>0.0452</v>
      </c>
      <c r="W353" s="22" t="n">
        <v>0.0872</v>
      </c>
      <c r="X353" s="22" t="n">
        <v>0.0491</v>
      </c>
      <c r="Y353" s="22" t="n">
        <v>0.1207</v>
      </c>
      <c r="Z353" s="22" t="n">
        <v>0.0875</v>
      </c>
      <c r="AA353" s="22" t="n">
        <v>0.1007</v>
      </c>
      <c r="AB353" s="22" t="n">
        <v>0.2184</v>
      </c>
      <c r="AC353" s="22" t="n">
        <v>0.1524</v>
      </c>
      <c r="AD353" s="22" t="n">
        <v>0.2115</v>
      </c>
      <c r="AE353" s="22" t="n">
        <v>0.1949</v>
      </c>
      <c r="AF353" s="22" t="n">
        <v>0.0826</v>
      </c>
      <c r="AG353" s="22" t="n">
        <v>0.1053</v>
      </c>
      <c r="AH353" s="22" t="n">
        <v>0.0885</v>
      </c>
      <c r="AI353" s="22" t="n">
        <v>0.0877</v>
      </c>
      <c r="AJ353" s="22" t="n">
        <v>0.0586</v>
      </c>
      <c r="AK353" s="22" t="n">
        <v>0.0253</v>
      </c>
      <c r="AL353" s="22" t="n">
        <v>0.0487</v>
      </c>
      <c r="AM353" s="22" t="n">
        <v>-0.0261</v>
      </c>
      <c r="AN353" s="22" t="n">
        <v>-0.0378</v>
      </c>
      <c r="AO353" s="22" t="n">
        <v>-0.0489</v>
      </c>
      <c r="AP353" s="22" t="n">
        <v>-0.0225</v>
      </c>
      <c r="AQ353" s="22" t="n">
        <v>0.0811</v>
      </c>
      <c r="AR353" s="22" t="n">
        <v>0.0473</v>
      </c>
      <c r="AS353" s="22" t="n">
        <v>0.1261</v>
      </c>
      <c r="AT353" s="22" t="n">
        <v>0.0711</v>
      </c>
      <c r="AU353" s="22" t="n">
        <v>0.0853</v>
      </c>
      <c r="AV353" s="22" t="n">
        <v>0.1039</v>
      </c>
    </row>
    <row r="354" customFormat="false" ht="15" hidden="false" customHeight="false" outlineLevel="0" collapsed="false">
      <c r="A354" s="22" t="s">
        <v>522</v>
      </c>
      <c r="B354" s="22" t="s">
        <v>3</v>
      </c>
      <c r="C354" s="22" t="s">
        <v>522</v>
      </c>
      <c r="D354" s="22" t="n">
        <v>33580</v>
      </c>
      <c r="E354" s="22" t="s">
        <v>132</v>
      </c>
      <c r="F354" s="22" t="s">
        <v>135</v>
      </c>
      <c r="G354" s="22" t="s">
        <v>131</v>
      </c>
      <c r="H354" s="22" t="s">
        <v>131</v>
      </c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 t="n">
        <v>-0.0597</v>
      </c>
      <c r="T354" s="22" t="n">
        <v>-0.061</v>
      </c>
      <c r="U354" s="22" t="n">
        <v>-0.0794</v>
      </c>
      <c r="V354" s="22" t="n">
        <v>-0.0502</v>
      </c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</row>
    <row r="355" customFormat="false" ht="15" hidden="false" customHeight="false" outlineLevel="0" collapsed="false">
      <c r="A355" s="22" t="s">
        <v>184</v>
      </c>
      <c r="B355" s="22" t="s">
        <v>3</v>
      </c>
      <c r="C355" s="22" t="s">
        <v>184</v>
      </c>
      <c r="D355" s="22" t="n">
        <v>233660</v>
      </c>
      <c r="E355" s="22" t="s">
        <v>132</v>
      </c>
      <c r="F355" s="22" t="s">
        <v>135</v>
      </c>
      <c r="G355" s="22" t="s">
        <v>131</v>
      </c>
      <c r="H355" s="22" t="s">
        <v>131</v>
      </c>
      <c r="I355" s="22" t="n">
        <v>0.0687</v>
      </c>
      <c r="J355" s="22" t="n">
        <v>0.0551</v>
      </c>
      <c r="K355" s="22" t="n">
        <v>0.0231</v>
      </c>
      <c r="L355" s="22" t="n">
        <v>0.0184</v>
      </c>
      <c r="M355" s="22" t="n">
        <v>-0.0113</v>
      </c>
      <c r="N355" s="22" t="n">
        <v>0.0087</v>
      </c>
      <c r="O355" s="22" t="n">
        <v>0.0176</v>
      </c>
      <c r="P355" s="22" t="n">
        <v>-0.0054</v>
      </c>
      <c r="Q355" s="22" t="n">
        <v>0.0134</v>
      </c>
      <c r="R355" s="22" t="n">
        <v>0.0104</v>
      </c>
      <c r="S355" s="22" t="n">
        <v>0.0148</v>
      </c>
      <c r="T355" s="22" t="n">
        <v>0.043</v>
      </c>
      <c r="U355" s="22" t="n">
        <v>0.0489</v>
      </c>
      <c r="V355" s="22" t="n">
        <v>0.0281</v>
      </c>
      <c r="W355" s="22" t="n">
        <v>0.0192</v>
      </c>
      <c r="X355" s="22" t="n">
        <v>0.0102</v>
      </c>
      <c r="Y355" s="22" t="n">
        <v>0.0236</v>
      </c>
      <c r="Z355" s="22" t="n">
        <v>0.0218</v>
      </c>
      <c r="AA355" s="22" t="n">
        <v>0.0661</v>
      </c>
      <c r="AB355" s="22" t="n">
        <v>0.09</v>
      </c>
      <c r="AC355" s="22" t="n">
        <v>0.083</v>
      </c>
      <c r="AD355" s="22" t="n">
        <v>0.1569</v>
      </c>
      <c r="AE355" s="22" t="n">
        <v>0.2047</v>
      </c>
      <c r="AF355" s="22" t="n">
        <v>0.2164</v>
      </c>
      <c r="AG355" s="22" t="n">
        <v>0.1936</v>
      </c>
      <c r="AH355" s="22" t="n">
        <v>0.1629</v>
      </c>
      <c r="AI355" s="22" t="n">
        <v>0.1019</v>
      </c>
      <c r="AJ355" s="22" t="n">
        <v>0.0739</v>
      </c>
      <c r="AK355" s="22" t="n">
        <v>0.0902</v>
      </c>
      <c r="AL355" s="22" t="n">
        <v>0.0652</v>
      </c>
      <c r="AM355" s="22" t="n">
        <v>0.0371</v>
      </c>
      <c r="AN355" s="22" t="n">
        <v>0.0165</v>
      </c>
      <c r="AO355" s="22" t="n">
        <v>-0.0034</v>
      </c>
      <c r="AP355" s="22" t="n">
        <v>-0.002</v>
      </c>
      <c r="AQ355" s="22" t="n">
        <v>0.0009</v>
      </c>
      <c r="AR355" s="22" t="n">
        <v>-0.005</v>
      </c>
      <c r="AS355" s="22" t="n">
        <v>0.0014</v>
      </c>
      <c r="AT355" s="22" t="n">
        <v>0.0177</v>
      </c>
      <c r="AU355" s="22" t="n">
        <v>0.0056</v>
      </c>
      <c r="AV355" s="22" t="n">
        <v>0.0369</v>
      </c>
    </row>
    <row r="356" customFormat="false" ht="15" hidden="false" customHeight="false" outlineLevel="0" collapsed="false">
      <c r="A356" s="22" t="s">
        <v>523</v>
      </c>
      <c r="B356" s="22" t="s">
        <v>3</v>
      </c>
      <c r="C356" s="22" t="s">
        <v>523</v>
      </c>
      <c r="D356" s="22" t="n">
        <v>33700</v>
      </c>
      <c r="E356" s="22" t="s">
        <v>132</v>
      </c>
      <c r="F356" s="22" t="s">
        <v>135</v>
      </c>
      <c r="G356" s="22" t="s">
        <v>131</v>
      </c>
      <c r="H356" s="22" t="s">
        <v>131</v>
      </c>
      <c r="I356" s="22" t="n">
        <v>0.1136</v>
      </c>
      <c r="J356" s="22" t="n">
        <v>0.1183</v>
      </c>
      <c r="K356" s="22" t="n">
        <v>0.1407</v>
      </c>
      <c r="L356" s="22" t="n">
        <v>0.1295</v>
      </c>
      <c r="M356" s="22" t="n">
        <v>0.1387</v>
      </c>
      <c r="N356" s="22" t="n">
        <v>0.1086</v>
      </c>
      <c r="O356" s="22" t="n">
        <v>0.0848</v>
      </c>
      <c r="P356" s="22" t="n">
        <v>0.0809</v>
      </c>
      <c r="Q356" s="22" t="n">
        <v>0.0473</v>
      </c>
      <c r="R356" s="22" t="n">
        <v>0.0474</v>
      </c>
      <c r="S356" s="22" t="n">
        <v>0.0391</v>
      </c>
      <c r="T356" s="22" t="n">
        <v>0.0377</v>
      </c>
      <c r="U356" s="22" t="n">
        <v>0.0454</v>
      </c>
      <c r="V356" s="22" t="n">
        <v>0.0437</v>
      </c>
      <c r="W356" s="22" t="n">
        <v>0.0684</v>
      </c>
      <c r="X356" s="22" t="n">
        <v>0.0613</v>
      </c>
      <c r="Y356" s="22" t="n">
        <v>0.0699</v>
      </c>
      <c r="Z356" s="22" t="n">
        <v>0.0631</v>
      </c>
      <c r="AA356" s="22" t="n">
        <v>0.0479</v>
      </c>
      <c r="AB356" s="22" t="n">
        <v>0.0664</v>
      </c>
      <c r="AC356" s="22" t="n">
        <v>0.0731</v>
      </c>
      <c r="AD356" s="22" t="n">
        <v>0.1011</v>
      </c>
      <c r="AE356" s="22" t="n">
        <v>0.1212</v>
      </c>
      <c r="AF356" s="22" t="n">
        <v>0.1367</v>
      </c>
      <c r="AG356" s="22" t="n">
        <v>0.1534</v>
      </c>
      <c r="AH356" s="22" t="n">
        <v>0.1468</v>
      </c>
      <c r="AI356" s="22" t="n">
        <v>0.1258</v>
      </c>
      <c r="AJ356" s="22" t="n">
        <v>0.0775</v>
      </c>
      <c r="AK356" s="22" t="n">
        <v>0.0289</v>
      </c>
      <c r="AL356" s="22" t="n">
        <v>0.0118</v>
      </c>
      <c r="AM356" s="22" t="n">
        <v>-0.0034</v>
      </c>
      <c r="AN356" s="22" t="n">
        <v>0.0099</v>
      </c>
      <c r="AO356" s="22" t="n">
        <v>0.0274</v>
      </c>
      <c r="AP356" s="22" t="n">
        <v>0.0427</v>
      </c>
      <c r="AQ356" s="22" t="n">
        <v>0.0429</v>
      </c>
      <c r="AR356" s="22" t="n">
        <v>0.0406</v>
      </c>
      <c r="AS356" s="22" t="n">
        <v>0.0349</v>
      </c>
      <c r="AT356" s="22" t="n">
        <v>0.0284</v>
      </c>
      <c r="AU356" s="22" t="n">
        <v>0.0113</v>
      </c>
      <c r="AV356" s="22" t="n">
        <v>-0.0044</v>
      </c>
    </row>
    <row r="357" customFormat="false" ht="15" hidden="false" customHeight="false" outlineLevel="0" collapsed="false">
      <c r="A357" s="22" t="s">
        <v>524</v>
      </c>
      <c r="B357" s="22" t="s">
        <v>3</v>
      </c>
      <c r="C357" s="22" t="s">
        <v>524</v>
      </c>
      <c r="D357" s="22" t="n">
        <v>33740</v>
      </c>
      <c r="E357" s="22" t="s">
        <v>132</v>
      </c>
      <c r="F357" s="22" t="s">
        <v>135</v>
      </c>
      <c r="G357" s="22" t="s">
        <v>131</v>
      </c>
      <c r="H357" s="22" t="s">
        <v>131</v>
      </c>
      <c r="I357" s="22" t="n">
        <v>0.0056</v>
      </c>
      <c r="J357" s="22" t="n">
        <v>0.0416</v>
      </c>
      <c r="K357" s="22" t="n">
        <v>0.0592</v>
      </c>
      <c r="L357" s="22" t="n">
        <v>0.0439</v>
      </c>
      <c r="M357" s="22" t="n">
        <v>0.0423</v>
      </c>
      <c r="N357" s="22" t="n">
        <v>-0.0402</v>
      </c>
      <c r="O357" s="22" t="n">
        <v>-0.0462</v>
      </c>
      <c r="P357" s="22" t="n">
        <v>-0.0481</v>
      </c>
      <c r="Q357" s="22" t="n">
        <v>-0.0509</v>
      </c>
      <c r="R357" s="22" t="n">
        <v>0.0125</v>
      </c>
      <c r="S357" s="22" t="n">
        <v>0.0037</v>
      </c>
      <c r="T357" s="22" t="n">
        <v>0.0099</v>
      </c>
      <c r="U357" s="22" t="n">
        <v>0.0153</v>
      </c>
      <c r="V357" s="22" t="n">
        <v>-0.0152</v>
      </c>
      <c r="W357" s="22" t="n">
        <v>0.0508</v>
      </c>
      <c r="X357" s="22" t="n">
        <v>0.0437</v>
      </c>
      <c r="Y357" s="22" t="n">
        <v>-0.0303</v>
      </c>
      <c r="Z357" s="22" t="n">
        <v>-0.0142</v>
      </c>
      <c r="AA357" s="22" t="n">
        <v>-0.0535</v>
      </c>
      <c r="AB357" s="22" t="n">
        <v>-0.0364</v>
      </c>
      <c r="AC357" s="22" t="n">
        <v>0.0455</v>
      </c>
      <c r="AD357" s="22" t="n">
        <v>0.0569</v>
      </c>
      <c r="AE357" s="22" t="n">
        <v>0.0526</v>
      </c>
      <c r="AF357" s="22" t="n">
        <v>0.0622</v>
      </c>
      <c r="AG357" s="22" t="n">
        <v>0.0343</v>
      </c>
      <c r="AH357" s="22" t="n">
        <v>0.1042</v>
      </c>
      <c r="AI357" s="22" t="n">
        <v>0.1162</v>
      </c>
      <c r="AJ357" s="22" t="n">
        <v>0.0945</v>
      </c>
      <c r="AK357" s="22" t="n">
        <v>0.1213</v>
      </c>
      <c r="AL357" s="22" t="n">
        <v>0.0203</v>
      </c>
      <c r="AM357" s="22" t="n">
        <v>0.0184</v>
      </c>
      <c r="AN357" s="22" t="n">
        <v>0.0327</v>
      </c>
      <c r="AO357" s="22" t="n">
        <v>0.0302</v>
      </c>
      <c r="AP357" s="22" t="n">
        <v>0.0579</v>
      </c>
      <c r="AQ357" s="22" t="n">
        <v>0.036</v>
      </c>
      <c r="AR357" s="22" t="n">
        <v>-0.0108</v>
      </c>
      <c r="AS357" s="22" t="n">
        <v>-0.0213</v>
      </c>
      <c r="AT357" s="22" t="n">
        <v>0.02</v>
      </c>
      <c r="AU357" s="22" t="n">
        <v>0.0795</v>
      </c>
      <c r="AV357" s="22" t="n">
        <v>0.1341</v>
      </c>
    </row>
    <row r="358" customFormat="false" ht="15" hidden="false" customHeight="false" outlineLevel="0" collapsed="false">
      <c r="A358" s="22" t="s">
        <v>525</v>
      </c>
      <c r="B358" s="22" t="s">
        <v>3</v>
      </c>
      <c r="C358" s="22" t="s">
        <v>525</v>
      </c>
      <c r="D358" s="22" t="n">
        <v>33780</v>
      </c>
      <c r="E358" s="22" t="s">
        <v>132</v>
      </c>
      <c r="F358" s="22" t="s">
        <v>135</v>
      </c>
      <c r="G358" s="22" t="s">
        <v>131</v>
      </c>
      <c r="H358" s="22" t="s">
        <v>131</v>
      </c>
      <c r="I358" s="22" t="n">
        <v>-0.0074</v>
      </c>
      <c r="J358" s="22" t="n">
        <v>0.0154</v>
      </c>
      <c r="K358" s="22" t="n">
        <v>0.0159</v>
      </c>
      <c r="L358" s="22" t="n">
        <v>0.0131</v>
      </c>
      <c r="M358" s="22" t="n">
        <v>0.0166</v>
      </c>
      <c r="N358" s="22" t="n">
        <v>0.0702</v>
      </c>
      <c r="O358" s="22" t="n">
        <v>0.0768</v>
      </c>
      <c r="P358" s="22" t="n">
        <v>0.0819</v>
      </c>
      <c r="Q358" s="22" t="n">
        <v>0.0754</v>
      </c>
      <c r="R358" s="22" t="n">
        <v>0.025</v>
      </c>
      <c r="S358" s="22" t="n">
        <v>0.0496</v>
      </c>
      <c r="T358" s="22" t="n">
        <v>0.0284</v>
      </c>
      <c r="U358" s="22" t="n">
        <v>0.0455</v>
      </c>
      <c r="V358" s="22" t="n">
        <v>0.0479</v>
      </c>
      <c r="W358" s="22" t="n">
        <v>0.0279</v>
      </c>
      <c r="X358" s="22" t="n">
        <v>0.0287</v>
      </c>
      <c r="Y358" s="22" t="n">
        <v>0.0384</v>
      </c>
      <c r="Z358" s="22" t="n">
        <v>0.0305</v>
      </c>
      <c r="AA358" s="22" t="n">
        <v>0.0303</v>
      </c>
      <c r="AB358" s="22" t="n">
        <v>0.0655</v>
      </c>
      <c r="AC358" s="22" t="n">
        <v>0.0587</v>
      </c>
      <c r="AD358" s="22" t="n">
        <v>0.0703</v>
      </c>
      <c r="AE358" s="22" t="n">
        <v>0.0771</v>
      </c>
      <c r="AF358" s="22" t="n">
        <v>0.0807</v>
      </c>
      <c r="AG358" s="22" t="n">
        <v>0.083</v>
      </c>
      <c r="AH358" s="22" t="n">
        <v>0.0843</v>
      </c>
      <c r="AI358" s="22" t="n">
        <v>0.0555</v>
      </c>
      <c r="AJ358" s="22" t="n">
        <v>0.019</v>
      </c>
      <c r="AK358" s="22" t="n">
        <v>0.0079</v>
      </c>
      <c r="AL358" s="22" t="n">
        <v>-0.0021</v>
      </c>
      <c r="AM358" s="22" t="n">
        <v>0.0534</v>
      </c>
      <c r="AN358" s="22" t="n">
        <v>0.0638</v>
      </c>
      <c r="AO358" s="22" t="n">
        <v>0.0672</v>
      </c>
      <c r="AP358" s="22" t="n">
        <v>0.0932</v>
      </c>
      <c r="AQ358" s="22" t="n">
        <v>0.0391</v>
      </c>
      <c r="AR358" s="22" t="n">
        <v>0.0113</v>
      </c>
      <c r="AS358" s="22" t="n">
        <v>-0.014</v>
      </c>
      <c r="AT358" s="22" t="n">
        <v>0.037</v>
      </c>
      <c r="AU358" s="22" t="n">
        <v>0.045</v>
      </c>
      <c r="AV358" s="22" t="n">
        <v>0.0782</v>
      </c>
    </row>
    <row r="359" customFormat="false" ht="15" hidden="false" customHeight="false" outlineLevel="0" collapsed="false">
      <c r="A359" s="22" t="s">
        <v>526</v>
      </c>
      <c r="B359" s="22" t="s">
        <v>3</v>
      </c>
      <c r="C359" s="22" t="s">
        <v>526</v>
      </c>
      <c r="D359" s="22" t="n">
        <v>33860</v>
      </c>
      <c r="E359" s="22" t="s">
        <v>132</v>
      </c>
      <c r="F359" s="22" t="s">
        <v>135</v>
      </c>
      <c r="G359" s="22" t="s">
        <v>131</v>
      </c>
      <c r="H359" s="22" t="s">
        <v>131</v>
      </c>
      <c r="I359" s="22" t="n">
        <v>0.0109</v>
      </c>
      <c r="J359" s="22" t="n">
        <v>0.0071</v>
      </c>
      <c r="K359" s="22" t="n">
        <v>0.0169</v>
      </c>
      <c r="L359" s="22" t="n">
        <v>0.0283</v>
      </c>
      <c r="M359" s="22" t="n">
        <v>0.0504</v>
      </c>
      <c r="N359" s="22" t="n">
        <v>0.0481</v>
      </c>
      <c r="O359" s="22" t="n">
        <v>0.0174</v>
      </c>
      <c r="P359" s="22" t="n">
        <v>0.0281</v>
      </c>
      <c r="Q359" s="22" t="n">
        <v>0.0127</v>
      </c>
      <c r="R359" s="22" t="n">
        <v>0.0234</v>
      </c>
      <c r="S359" s="22" t="n">
        <v>0.0337</v>
      </c>
      <c r="T359" s="22" t="n">
        <v>0.0221</v>
      </c>
      <c r="U359" s="22" t="n">
        <v>0.0474</v>
      </c>
      <c r="V359" s="22" t="n">
        <v>0.0534</v>
      </c>
      <c r="W359" s="22" t="n">
        <v>0.0407</v>
      </c>
      <c r="X359" s="22" t="n">
        <v>0.0617</v>
      </c>
      <c r="Y359" s="22" t="n">
        <v>0.0324</v>
      </c>
      <c r="Z359" s="22" t="n">
        <v>0.0015</v>
      </c>
      <c r="AA359" s="22" t="n">
        <v>0.0081</v>
      </c>
      <c r="AB359" s="22" t="n">
        <v>0.0011</v>
      </c>
      <c r="AC359" s="22" t="n">
        <v>0.0226</v>
      </c>
      <c r="AD359" s="22" t="n">
        <v>0.0788</v>
      </c>
      <c r="AE359" s="22" t="n">
        <v>0.1362</v>
      </c>
      <c r="AF359" s="22" t="n">
        <v>0.1353</v>
      </c>
      <c r="AG359" s="22" t="n">
        <v>0.1177</v>
      </c>
      <c r="AH359" s="22" t="n">
        <v>0.1278</v>
      </c>
      <c r="AI359" s="22" t="n">
        <v>0.1056</v>
      </c>
      <c r="AJ359" s="22" t="n">
        <v>0.0863</v>
      </c>
      <c r="AK359" s="22" t="n">
        <v>0.0667</v>
      </c>
      <c r="AL359" s="22" t="n">
        <v>0.0373</v>
      </c>
      <c r="AM359" s="22" t="n">
        <v>0.0271</v>
      </c>
      <c r="AN359" s="22" t="n">
        <v>0.0327</v>
      </c>
      <c r="AO359" s="22" t="n">
        <v>0.0522</v>
      </c>
      <c r="AP359" s="22" t="n">
        <v>0.0606</v>
      </c>
      <c r="AQ359" s="22" t="n">
        <v>0.049</v>
      </c>
      <c r="AR359" s="22" t="n">
        <v>0.0566</v>
      </c>
      <c r="AS359" s="22" t="n">
        <v>0.0557</v>
      </c>
      <c r="AT359" s="22" t="n">
        <v>0.037</v>
      </c>
      <c r="AU359" s="22" t="n">
        <v>0.0358</v>
      </c>
      <c r="AV359" s="22" t="n">
        <v>0.0187</v>
      </c>
    </row>
    <row r="360" customFormat="false" ht="15" hidden="false" customHeight="false" outlineLevel="0" collapsed="false">
      <c r="A360" s="22" t="s">
        <v>527</v>
      </c>
      <c r="B360" s="22" t="s">
        <v>3</v>
      </c>
      <c r="C360" s="22" t="s">
        <v>527</v>
      </c>
      <c r="D360" s="22" t="n">
        <v>33980</v>
      </c>
      <c r="E360" s="22" t="s">
        <v>132</v>
      </c>
      <c r="F360" s="22" t="s">
        <v>135</v>
      </c>
      <c r="G360" s="22" t="s">
        <v>131</v>
      </c>
      <c r="H360" s="22" t="s">
        <v>131</v>
      </c>
      <c r="I360" s="22" t="n">
        <v>-0.0027</v>
      </c>
      <c r="J360" s="22" t="n">
        <v>-0.0892</v>
      </c>
      <c r="K360" s="22" t="n">
        <v>-0.0985</v>
      </c>
      <c r="L360" s="22" t="n">
        <v>0.0261</v>
      </c>
      <c r="M360" s="22" t="n">
        <v>0.0191</v>
      </c>
      <c r="N360" s="22"/>
      <c r="O360" s="22"/>
      <c r="P360" s="22"/>
      <c r="Q360" s="22"/>
      <c r="R360" s="22"/>
      <c r="S360" s="22"/>
      <c r="T360" s="22"/>
      <c r="U360" s="22"/>
      <c r="V360" s="22" t="n">
        <v>0.6011</v>
      </c>
      <c r="W360" s="22" t="n">
        <v>-0.0018</v>
      </c>
      <c r="X360" s="22" t="n">
        <v>0.1298</v>
      </c>
      <c r="Y360" s="22" t="n">
        <v>0.1686</v>
      </c>
      <c r="Z360" s="22" t="n">
        <v>0.054</v>
      </c>
      <c r="AA360" s="22" t="n">
        <v>-0.0136</v>
      </c>
      <c r="AB360" s="22" t="n">
        <v>-0.0253</v>
      </c>
      <c r="AC360" s="22" t="n">
        <v>-0.0494</v>
      </c>
      <c r="AD360" s="22" t="n">
        <v>-0.0329</v>
      </c>
      <c r="AE360" s="22" t="n">
        <v>0.0411</v>
      </c>
      <c r="AF360" s="22" t="n">
        <v>0.047</v>
      </c>
      <c r="AG360" s="22" t="n">
        <v>0.0591</v>
      </c>
      <c r="AH360" s="22" t="n">
        <v>0.1992</v>
      </c>
      <c r="AI360" s="22" t="n">
        <v>0.2605</v>
      </c>
      <c r="AJ360" s="22" t="n">
        <v>0.2488</v>
      </c>
      <c r="AK360" s="22" t="n">
        <v>0.2125</v>
      </c>
      <c r="AL360" s="22" t="n">
        <v>0.0682</v>
      </c>
      <c r="AM360" s="22" t="n">
        <v>0.0174</v>
      </c>
      <c r="AN360" s="22" t="n">
        <v>0.0142</v>
      </c>
      <c r="AO360" s="22" t="n">
        <v>0.0258</v>
      </c>
      <c r="AP360" s="22" t="n">
        <v>0.0009</v>
      </c>
      <c r="AQ360" s="22" t="n">
        <v>0.0124</v>
      </c>
      <c r="AR360" s="22" t="n">
        <v>0.0177</v>
      </c>
      <c r="AS360" s="22" t="n">
        <v>0.0224</v>
      </c>
      <c r="AT360" s="22" t="n">
        <v>0.16</v>
      </c>
      <c r="AU360" s="22" t="n">
        <v>0.1381</v>
      </c>
      <c r="AV360" s="22" t="n">
        <v>0.1382</v>
      </c>
    </row>
    <row r="361" customFormat="false" ht="15" hidden="false" customHeight="false" outlineLevel="0" collapsed="false">
      <c r="A361" s="22" t="s">
        <v>528</v>
      </c>
      <c r="B361" s="22" t="s">
        <v>3</v>
      </c>
      <c r="C361" s="22" t="s">
        <v>528</v>
      </c>
      <c r="D361" s="22" t="n">
        <v>34060</v>
      </c>
      <c r="E361" s="22" t="s">
        <v>132</v>
      </c>
      <c r="F361" s="22" t="s">
        <v>135</v>
      </c>
      <c r="G361" s="22" t="s">
        <v>131</v>
      </c>
      <c r="H361" s="22" t="s">
        <v>131</v>
      </c>
      <c r="I361" s="22" t="n">
        <v>-0.0364</v>
      </c>
      <c r="J361" s="22" t="n">
        <v>0.0087</v>
      </c>
      <c r="K361" s="22" t="n">
        <v>0.0018</v>
      </c>
      <c r="L361" s="22" t="n">
        <v>0.017</v>
      </c>
      <c r="M361" s="22" t="n">
        <v>0.0554</v>
      </c>
      <c r="N361" s="22" t="n">
        <v>-0.0275</v>
      </c>
      <c r="O361" s="22" t="n">
        <v>-0.0334</v>
      </c>
      <c r="P361" s="22" t="n">
        <v>-0.0377</v>
      </c>
      <c r="Q361" s="22" t="n">
        <v>-0.0471</v>
      </c>
      <c r="R361" s="22" t="n">
        <v>0.0154</v>
      </c>
      <c r="S361" s="22" t="n">
        <v>-0.0004</v>
      </c>
      <c r="T361" s="22" t="n">
        <v>0.0084</v>
      </c>
      <c r="U361" s="22" t="n">
        <v>0.0198</v>
      </c>
      <c r="V361" s="22" t="n">
        <v>0.0188</v>
      </c>
      <c r="W361" s="22" t="n">
        <v>0.0329</v>
      </c>
      <c r="X361" s="22" t="n">
        <v>0.0287</v>
      </c>
      <c r="Y361" s="22" t="n">
        <v>-0.0286</v>
      </c>
      <c r="Z361" s="22" t="n">
        <v>-0.0479</v>
      </c>
      <c r="AA361" s="22" t="n">
        <v>-0.0462</v>
      </c>
      <c r="AB361" s="22" t="n">
        <v>-0.0576</v>
      </c>
      <c r="AC361" s="22" t="n">
        <v>0.0031</v>
      </c>
      <c r="AD361" s="22" t="n">
        <v>0.0662</v>
      </c>
      <c r="AE361" s="22" t="n">
        <v>0.0709</v>
      </c>
      <c r="AF361" s="22" t="n">
        <v>0.2791</v>
      </c>
      <c r="AG361" s="22" t="n">
        <v>0.2594</v>
      </c>
      <c r="AH361" s="22" t="n">
        <v>0.2094</v>
      </c>
      <c r="AI361" s="22" t="n">
        <v>0.3006</v>
      </c>
      <c r="AJ361" s="22" t="n">
        <v>0.1193</v>
      </c>
      <c r="AK361" s="22" t="n">
        <v>0.0639</v>
      </c>
      <c r="AL361" s="22" t="n">
        <v>0.0661</v>
      </c>
      <c r="AM361" s="22" t="n">
        <v>0.0113</v>
      </c>
      <c r="AN361" s="22" t="n">
        <v>-0.0089</v>
      </c>
      <c r="AO361" s="22" t="n">
        <v>0.0514</v>
      </c>
      <c r="AP361" s="22" t="n">
        <v>0.1137</v>
      </c>
      <c r="AQ361" s="22" t="n">
        <v>0.0913</v>
      </c>
      <c r="AR361" s="22" t="n">
        <v>0.1043</v>
      </c>
      <c r="AS361" s="22" t="n">
        <v>0.0534</v>
      </c>
      <c r="AT361" s="22" t="n">
        <v>0.0242</v>
      </c>
      <c r="AU361" s="22" t="n">
        <v>0.0155</v>
      </c>
      <c r="AV361" s="22" t="n">
        <v>0.0007</v>
      </c>
    </row>
    <row r="362" customFormat="false" ht="15" hidden="false" customHeight="false" outlineLevel="0" collapsed="false">
      <c r="A362" s="22" t="s">
        <v>529</v>
      </c>
      <c r="B362" s="22" t="s">
        <v>3</v>
      </c>
      <c r="C362" s="22" t="s">
        <v>529</v>
      </c>
      <c r="D362" s="22" t="n">
        <v>34100</v>
      </c>
      <c r="E362" s="22" t="s">
        <v>132</v>
      </c>
      <c r="F362" s="22" t="s">
        <v>135</v>
      </c>
      <c r="G362" s="22" t="s">
        <v>131</v>
      </c>
      <c r="H362" s="22" t="s">
        <v>131</v>
      </c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</row>
    <row r="363" customFormat="false" ht="15" hidden="false" customHeight="false" outlineLevel="0" collapsed="false">
      <c r="A363" s="22" t="s">
        <v>530</v>
      </c>
      <c r="B363" s="22" t="s">
        <v>3</v>
      </c>
      <c r="C363" s="22" t="s">
        <v>530</v>
      </c>
      <c r="D363" s="22" t="n">
        <v>34140</v>
      </c>
      <c r="E363" s="22" t="s">
        <v>132</v>
      </c>
      <c r="F363" s="22" t="s">
        <v>135</v>
      </c>
      <c r="G363" s="22" t="s">
        <v>131</v>
      </c>
      <c r="H363" s="22" t="s">
        <v>131</v>
      </c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</row>
    <row r="364" customFormat="false" ht="15" hidden="false" customHeight="false" outlineLevel="0" collapsed="false">
      <c r="A364" s="22" t="s">
        <v>531</v>
      </c>
      <c r="B364" s="22" t="s">
        <v>3</v>
      </c>
      <c r="C364" s="22" t="s">
        <v>531</v>
      </c>
      <c r="D364" s="22" t="n">
        <v>34180</v>
      </c>
      <c r="E364" s="22" t="s">
        <v>132</v>
      </c>
      <c r="F364" s="22" t="s">
        <v>135</v>
      </c>
      <c r="G364" s="22" t="s">
        <v>131</v>
      </c>
      <c r="H364" s="22" t="s">
        <v>131</v>
      </c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 t="n">
        <v>0.077</v>
      </c>
      <c r="X364" s="22" t="n">
        <v>0.2107</v>
      </c>
      <c r="Y364" s="22" t="n">
        <v>0.1702</v>
      </c>
      <c r="Z364" s="22" t="n">
        <v>0.2352</v>
      </c>
      <c r="AA364" s="22"/>
      <c r="AB364" s="22" t="n">
        <v>-0.0529</v>
      </c>
      <c r="AC364" s="22" t="n">
        <v>-0.0441</v>
      </c>
      <c r="AD364" s="22" t="n">
        <v>0.0026</v>
      </c>
      <c r="AE364" s="22" t="n">
        <v>0.0587</v>
      </c>
      <c r="AF364" s="22" t="n">
        <v>0.1704</v>
      </c>
      <c r="AG364" s="22" t="n">
        <v>0.1081</v>
      </c>
      <c r="AH364" s="22" t="n">
        <v>0.1145</v>
      </c>
      <c r="AI364" s="22" t="n">
        <v>0.0897</v>
      </c>
      <c r="AJ364" s="22" t="n">
        <v>0.0957</v>
      </c>
      <c r="AK364" s="22" t="n">
        <v>0.1591</v>
      </c>
      <c r="AL364" s="22" t="n">
        <v>0.0945</v>
      </c>
      <c r="AM364" s="22" t="n">
        <v>0.0736</v>
      </c>
      <c r="AN364" s="22" t="n">
        <v>0.0286</v>
      </c>
      <c r="AO364" s="22" t="n">
        <v>0.0271</v>
      </c>
      <c r="AP364" s="22" t="n">
        <v>0.0419</v>
      </c>
      <c r="AQ364" s="22" t="n">
        <v>0.0037</v>
      </c>
      <c r="AR364" s="22" t="n">
        <v>-0.0107</v>
      </c>
      <c r="AS364" s="22" t="n">
        <v>-0.0059</v>
      </c>
      <c r="AT364" s="22" t="n">
        <v>-0.0823</v>
      </c>
      <c r="AU364" s="22" t="n">
        <v>-0.0394</v>
      </c>
      <c r="AV364" s="22" t="n">
        <v>-0.0765</v>
      </c>
    </row>
    <row r="365" customFormat="false" ht="15" hidden="false" customHeight="false" outlineLevel="0" collapsed="false">
      <c r="A365" s="22" t="s">
        <v>532</v>
      </c>
      <c r="B365" s="22" t="s">
        <v>3</v>
      </c>
      <c r="C365" s="22" t="s">
        <v>532</v>
      </c>
      <c r="D365" s="22" t="n">
        <v>34380</v>
      </c>
      <c r="E365" s="22" t="s">
        <v>132</v>
      </c>
      <c r="F365" s="22" t="s">
        <v>135</v>
      </c>
      <c r="G365" s="22" t="s">
        <v>131</v>
      </c>
      <c r="H365" s="22" t="s">
        <v>131</v>
      </c>
      <c r="I365" s="22"/>
      <c r="J365" s="22"/>
      <c r="K365" s="22"/>
      <c r="L365" s="22"/>
      <c r="M365" s="22"/>
      <c r="N365" s="22" t="n">
        <v>0.0478</v>
      </c>
      <c r="O365" s="22" t="n">
        <v>-0.0354</v>
      </c>
      <c r="P365" s="22" t="n">
        <v>-0.0294</v>
      </c>
      <c r="Q365" s="22" t="n">
        <v>-0.0137</v>
      </c>
      <c r="R365" s="22" t="n">
        <v>-0.0405</v>
      </c>
      <c r="S365" s="22" t="n">
        <v>0.0258</v>
      </c>
      <c r="T365" s="22" t="n">
        <v>-0.0034</v>
      </c>
      <c r="U365" s="22" t="n">
        <v>-0.0297</v>
      </c>
      <c r="V365" s="22" t="n">
        <v>-0.0114</v>
      </c>
      <c r="W365" s="22" t="n">
        <v>-0.032</v>
      </c>
      <c r="X365" s="22" t="n">
        <v>0.0077</v>
      </c>
      <c r="Y365" s="22" t="n">
        <v>0.0106</v>
      </c>
      <c r="Z365" s="22" t="n">
        <v>-0.0195</v>
      </c>
      <c r="AA365" s="22" t="n">
        <v>-0.0042</v>
      </c>
      <c r="AB365" s="22" t="n">
        <v>0.0055</v>
      </c>
      <c r="AC365" s="22" t="n">
        <v>0.015</v>
      </c>
      <c r="AD365" s="22" t="n">
        <v>0.0263</v>
      </c>
      <c r="AE365" s="22" t="n">
        <v>0.0441</v>
      </c>
      <c r="AF365" s="22" t="n">
        <v>0.103</v>
      </c>
      <c r="AG365" s="22" t="n">
        <v>0.1044</v>
      </c>
      <c r="AH365" s="22" t="n">
        <v>0.0565</v>
      </c>
      <c r="AI365" s="22" t="n">
        <v>0.0136</v>
      </c>
      <c r="AJ365" s="22" t="n">
        <v>-0.0311</v>
      </c>
      <c r="AK365" s="22" t="n">
        <v>-0.0477</v>
      </c>
      <c r="AL365" s="22" t="n">
        <v>0.0028</v>
      </c>
      <c r="AM365" s="22" t="n">
        <v>0.0434</v>
      </c>
      <c r="AN365" s="22" t="n">
        <v>0.0341</v>
      </c>
      <c r="AO365" s="22" t="n">
        <v>0.0367</v>
      </c>
      <c r="AP365" s="22" t="n">
        <v>0.0313</v>
      </c>
      <c r="AQ365" s="22" t="n">
        <v>0.0304</v>
      </c>
      <c r="AR365" s="22" t="n">
        <v>0.0023</v>
      </c>
      <c r="AS365" s="22" t="n">
        <v>-0.0152</v>
      </c>
      <c r="AT365" s="22" t="n">
        <v>-0.031</v>
      </c>
      <c r="AU365" s="22" t="n">
        <v>-0.0392</v>
      </c>
      <c r="AV365" s="22" t="n">
        <v>-0.0213</v>
      </c>
    </row>
    <row r="366" customFormat="false" ht="15" hidden="false" customHeight="false" outlineLevel="0" collapsed="false">
      <c r="A366" s="22" t="s">
        <v>533</v>
      </c>
      <c r="B366" s="22" t="s">
        <v>3</v>
      </c>
      <c r="C366" s="22" t="s">
        <v>533</v>
      </c>
      <c r="D366" s="22" t="n">
        <v>34420</v>
      </c>
      <c r="E366" s="22" t="s">
        <v>132</v>
      </c>
      <c r="F366" s="22" t="s">
        <v>135</v>
      </c>
      <c r="G366" s="22" t="s">
        <v>131</v>
      </c>
      <c r="H366" s="22" t="s">
        <v>131</v>
      </c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</row>
    <row r="367" customFormat="false" ht="15" hidden="false" customHeight="false" outlineLevel="0" collapsed="false">
      <c r="A367" s="22" t="s">
        <v>534</v>
      </c>
      <c r="B367" s="22" t="s">
        <v>3</v>
      </c>
      <c r="C367" s="22" t="s">
        <v>534</v>
      </c>
      <c r="D367" s="22" t="n">
        <v>34580</v>
      </c>
      <c r="E367" s="22" t="s">
        <v>132</v>
      </c>
      <c r="F367" s="22" t="s">
        <v>135</v>
      </c>
      <c r="G367" s="22" t="s">
        <v>131</v>
      </c>
      <c r="H367" s="22" t="s">
        <v>131</v>
      </c>
      <c r="I367" s="22" t="n">
        <v>0.0487</v>
      </c>
      <c r="J367" s="22" t="n">
        <v>0.0239</v>
      </c>
      <c r="K367" s="22"/>
      <c r="L367" s="22"/>
      <c r="M367" s="22"/>
      <c r="N367" s="22" t="n">
        <v>0.0469</v>
      </c>
      <c r="O367" s="22" t="n">
        <v>-0.03</v>
      </c>
      <c r="P367" s="22" t="n">
        <v>-0.0405</v>
      </c>
      <c r="Q367" s="22" t="n">
        <v>-0.0265</v>
      </c>
      <c r="R367" s="22" t="n">
        <v>0.0787</v>
      </c>
      <c r="S367" s="22" t="n">
        <v>0.0359</v>
      </c>
      <c r="T367" s="22" t="n">
        <v>0.0614</v>
      </c>
      <c r="U367" s="22" t="n">
        <v>0.057</v>
      </c>
      <c r="V367" s="22" t="n">
        <v>0.0863</v>
      </c>
      <c r="W367" s="22" t="n">
        <v>0.0695</v>
      </c>
      <c r="X367" s="22" t="n">
        <v>0.0535</v>
      </c>
      <c r="Y367" s="22" t="n">
        <v>0.034</v>
      </c>
      <c r="Z367" s="22" t="n">
        <v>0.0038</v>
      </c>
      <c r="AA367" s="22" t="n">
        <v>0.0351</v>
      </c>
      <c r="AB367" s="22" t="n">
        <v>0.0585</v>
      </c>
      <c r="AC367" s="22" t="n">
        <v>0.0606</v>
      </c>
      <c r="AD367" s="22" t="n">
        <v>0.0767</v>
      </c>
      <c r="AE367" s="22" t="n">
        <v>0.0816</v>
      </c>
      <c r="AF367" s="22" t="n">
        <v>0.0553</v>
      </c>
      <c r="AG367" s="22" t="n">
        <v>0.1558</v>
      </c>
      <c r="AH367" s="22" t="n">
        <v>0.1961</v>
      </c>
      <c r="AI367" s="22" t="n">
        <v>0.203</v>
      </c>
      <c r="AJ367" s="22" t="n">
        <v>0.2186</v>
      </c>
      <c r="AK367" s="22" t="n">
        <v>0.1119</v>
      </c>
      <c r="AL367" s="22" t="n">
        <v>0.056</v>
      </c>
      <c r="AM367" s="22" t="n">
        <v>0.0232</v>
      </c>
      <c r="AN367" s="22" t="n">
        <v>0.0143</v>
      </c>
      <c r="AO367" s="22" t="n">
        <v>0.0688</v>
      </c>
      <c r="AP367" s="22" t="n">
        <v>0.0764</v>
      </c>
      <c r="AQ367" s="22" t="n">
        <v>0.0899</v>
      </c>
      <c r="AR367" s="22" t="n">
        <v>0.1103</v>
      </c>
      <c r="AS367" s="22" t="n">
        <v>0.0481</v>
      </c>
      <c r="AT367" s="22" t="n">
        <v>0.0716</v>
      </c>
      <c r="AU367" s="22" t="n">
        <v>0.0615</v>
      </c>
      <c r="AV367" s="22" t="n">
        <v>0.0076</v>
      </c>
    </row>
    <row r="368" customFormat="false" ht="15" hidden="false" customHeight="false" outlineLevel="0" collapsed="false">
      <c r="A368" s="22" t="s">
        <v>535</v>
      </c>
      <c r="B368" s="22" t="s">
        <v>3</v>
      </c>
      <c r="C368" s="22" t="s">
        <v>535</v>
      </c>
      <c r="D368" s="22" t="n">
        <v>34500</v>
      </c>
      <c r="E368" s="22" t="s">
        <v>132</v>
      </c>
      <c r="F368" s="22" t="s">
        <v>135</v>
      </c>
      <c r="G368" s="22" t="s">
        <v>131</v>
      </c>
      <c r="H368" s="22" t="s">
        <v>131</v>
      </c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 t="n">
        <v>0.1069</v>
      </c>
      <c r="AK368" s="22" t="n">
        <v>0.1567</v>
      </c>
      <c r="AL368" s="22" t="n">
        <v>0.1359</v>
      </c>
      <c r="AM368" s="22" t="n">
        <v>0.1933</v>
      </c>
      <c r="AN368" s="22" t="n">
        <v>0.0419</v>
      </c>
      <c r="AO368" s="22"/>
      <c r="AP368" s="22"/>
      <c r="AQ368" s="22"/>
      <c r="AR368" s="22"/>
      <c r="AS368" s="22"/>
      <c r="AT368" s="22" t="n">
        <v>0.0831</v>
      </c>
      <c r="AU368" s="22" t="n">
        <v>0.0332</v>
      </c>
      <c r="AV368" s="22" t="n">
        <v>0.0486</v>
      </c>
    </row>
    <row r="369" customFormat="false" ht="15" hidden="false" customHeight="false" outlineLevel="0" collapsed="false">
      <c r="A369" s="22" t="s">
        <v>536</v>
      </c>
      <c r="B369" s="22" t="s">
        <v>3</v>
      </c>
      <c r="C369" s="22" t="s">
        <v>536</v>
      </c>
      <c r="D369" s="22" t="n">
        <v>34540</v>
      </c>
      <c r="E369" s="22" t="s">
        <v>132</v>
      </c>
      <c r="F369" s="22" t="s">
        <v>135</v>
      </c>
      <c r="G369" s="22" t="s">
        <v>131</v>
      </c>
      <c r="H369" s="22" t="s">
        <v>131</v>
      </c>
      <c r="I369" s="22" t="n">
        <v>-0.0831</v>
      </c>
      <c r="J369" s="22" t="n">
        <v>-0.0703</v>
      </c>
      <c r="K369" s="22" t="n">
        <v>0.0298</v>
      </c>
      <c r="L369" s="22" t="n">
        <v>0.0446</v>
      </c>
      <c r="M369" s="22" t="n">
        <v>0.0313</v>
      </c>
      <c r="N369" s="22" t="n">
        <v>0.0226</v>
      </c>
      <c r="O369" s="22" t="n">
        <v>0.0188</v>
      </c>
      <c r="P369" s="22" t="n">
        <v>0.0073</v>
      </c>
      <c r="Q369" s="22" t="n">
        <v>0.0238</v>
      </c>
      <c r="R369" s="22" t="n">
        <v>0.0543</v>
      </c>
      <c r="S369" s="22" t="n">
        <v>0.0653</v>
      </c>
      <c r="T369" s="22" t="n">
        <v>0.0827</v>
      </c>
      <c r="U369" s="22" t="n">
        <v>0.0766</v>
      </c>
      <c r="V369" s="22" t="n">
        <v>0.0135</v>
      </c>
      <c r="W369" s="22" t="n">
        <v>-0.0136</v>
      </c>
      <c r="X369" s="22" t="n">
        <v>-0.0292</v>
      </c>
      <c r="Y369" s="22" t="n">
        <v>-0.0353</v>
      </c>
      <c r="Z369" s="22" t="n">
        <v>-0.0011</v>
      </c>
      <c r="AA369" s="22" t="n">
        <v>0.0164</v>
      </c>
      <c r="AB369" s="22" t="n">
        <v>0.0158</v>
      </c>
      <c r="AC369" s="22" t="n">
        <v>0.0241</v>
      </c>
      <c r="AD369" s="22" t="n">
        <v>0.033</v>
      </c>
      <c r="AE369" s="22" t="n">
        <v>0.0202</v>
      </c>
      <c r="AF369" s="22" t="n">
        <v>0.0462</v>
      </c>
      <c r="AG369" s="22" t="n">
        <v>0.0824</v>
      </c>
      <c r="AH369" s="22" t="n">
        <v>0.0737</v>
      </c>
      <c r="AI369" s="22" t="n">
        <v>0.0818</v>
      </c>
      <c r="AJ369" s="22" t="n">
        <v>0.0877</v>
      </c>
      <c r="AK369" s="22" t="n">
        <v>0.038</v>
      </c>
      <c r="AL369" s="22" t="n">
        <v>0.0592</v>
      </c>
      <c r="AM369" s="22" t="n">
        <v>0.0968</v>
      </c>
      <c r="AN369" s="22" t="n">
        <v>0.0505</v>
      </c>
      <c r="AO369" s="22" t="n">
        <v>0.1024</v>
      </c>
      <c r="AP369" s="22" t="n">
        <v>0.0438</v>
      </c>
      <c r="AQ369" s="22" t="n">
        <v>0.0335</v>
      </c>
      <c r="AR369" s="22" t="n">
        <v>0.0449</v>
      </c>
      <c r="AS369" s="22" t="n">
        <v>0.0375</v>
      </c>
      <c r="AT369" s="22" t="n">
        <v>0.2093</v>
      </c>
      <c r="AU369" s="22" t="n">
        <v>0.2336</v>
      </c>
      <c r="AV369" s="22" t="n">
        <v>0.135</v>
      </c>
    </row>
    <row r="370" customFormat="false" ht="15" hidden="false" customHeight="false" outlineLevel="0" collapsed="false">
      <c r="A370" s="22" t="s">
        <v>537</v>
      </c>
      <c r="B370" s="22" t="s">
        <v>3</v>
      </c>
      <c r="C370" s="22" t="s">
        <v>537</v>
      </c>
      <c r="D370" s="22" t="n">
        <v>34620</v>
      </c>
      <c r="E370" s="22" t="s">
        <v>132</v>
      </c>
      <c r="F370" s="22" t="s">
        <v>135</v>
      </c>
      <c r="G370" s="22" t="s">
        <v>131</v>
      </c>
      <c r="H370" s="22" t="s">
        <v>131</v>
      </c>
      <c r="I370" s="22" t="n">
        <v>-0.0425</v>
      </c>
      <c r="J370" s="22" t="n">
        <v>-0.0007</v>
      </c>
      <c r="K370" s="22" t="n">
        <v>-0.0038</v>
      </c>
      <c r="L370" s="22" t="n">
        <v>-0.0057</v>
      </c>
      <c r="M370" s="22" t="n">
        <v>-0.0113</v>
      </c>
      <c r="N370" s="22" t="n">
        <v>0.0367</v>
      </c>
      <c r="O370" s="22" t="n">
        <v>0.0645</v>
      </c>
      <c r="P370" s="22" t="n">
        <v>0.0541</v>
      </c>
      <c r="Q370" s="22" t="n">
        <v>0.0437</v>
      </c>
      <c r="R370" s="22" t="n">
        <v>0.0089</v>
      </c>
      <c r="S370" s="22" t="n">
        <v>-0.0052</v>
      </c>
      <c r="T370" s="22" t="n">
        <v>0.0036</v>
      </c>
      <c r="U370" s="22" t="n">
        <v>0.0276</v>
      </c>
      <c r="V370" s="22" t="n">
        <v>0.0663</v>
      </c>
      <c r="W370" s="22" t="n">
        <v>0.058</v>
      </c>
      <c r="X370" s="22" t="n">
        <v>0.0408</v>
      </c>
      <c r="Y370" s="22" t="n">
        <v>0.0127</v>
      </c>
      <c r="Z370" s="22" t="n">
        <v>-0.045</v>
      </c>
      <c r="AA370" s="22" t="n">
        <v>-0.0208</v>
      </c>
      <c r="AB370" s="22" t="n">
        <v>0.009</v>
      </c>
      <c r="AC370" s="22" t="n">
        <v>0.048</v>
      </c>
      <c r="AD370" s="22" t="n">
        <v>0.0838</v>
      </c>
      <c r="AE370" s="22" t="n">
        <v>0.1039</v>
      </c>
      <c r="AF370" s="22" t="n">
        <v>0.1048</v>
      </c>
      <c r="AG370" s="22" t="n">
        <v>0.1072</v>
      </c>
      <c r="AH370" s="22" t="n">
        <v>0.1553</v>
      </c>
      <c r="AI370" s="22" t="n">
        <v>0.2117</v>
      </c>
      <c r="AJ370" s="22" t="n">
        <v>0.2159</v>
      </c>
      <c r="AK370" s="22" t="n">
        <v>0.1436</v>
      </c>
      <c r="AL370" s="22" t="n">
        <v>0.0717</v>
      </c>
      <c r="AM370" s="22" t="n">
        <v>-0.0626</v>
      </c>
      <c r="AN370" s="22" t="n">
        <v>-0.0662</v>
      </c>
      <c r="AO370" s="22" t="n">
        <v>-0.0141</v>
      </c>
      <c r="AP370" s="22" t="n">
        <v>0.0395</v>
      </c>
      <c r="AQ370" s="22" t="n">
        <v>0.0861</v>
      </c>
      <c r="AR370" s="22" t="n">
        <v>0.0681</v>
      </c>
      <c r="AS370" s="22" t="n">
        <v>0.0436</v>
      </c>
      <c r="AT370" s="22" t="n">
        <v>0.0416</v>
      </c>
      <c r="AU370" s="22" t="n">
        <v>0.1286</v>
      </c>
      <c r="AV370" s="22" t="n">
        <v>0.0875</v>
      </c>
    </row>
    <row r="371" customFormat="false" ht="15" hidden="false" customHeight="false" outlineLevel="0" collapsed="false">
      <c r="A371" s="22" t="s">
        <v>538</v>
      </c>
      <c r="B371" s="22" t="s">
        <v>3</v>
      </c>
      <c r="C371" s="22" t="s">
        <v>538</v>
      </c>
      <c r="D371" s="22" t="n">
        <v>34680</v>
      </c>
      <c r="E371" s="22" t="s">
        <v>132</v>
      </c>
      <c r="F371" s="22" t="s">
        <v>135</v>
      </c>
      <c r="G371" s="22" t="s">
        <v>131</v>
      </c>
      <c r="H371" s="22" t="s">
        <v>131</v>
      </c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</row>
    <row r="372" customFormat="false" ht="15" hidden="false" customHeight="false" outlineLevel="0" collapsed="false">
      <c r="A372" s="22" t="s">
        <v>539</v>
      </c>
      <c r="B372" s="22" t="s">
        <v>3</v>
      </c>
      <c r="C372" s="22" t="s">
        <v>539</v>
      </c>
      <c r="D372" s="22" t="n">
        <v>34700</v>
      </c>
      <c r="E372" s="22" t="s">
        <v>132</v>
      </c>
      <c r="F372" s="22" t="s">
        <v>135</v>
      </c>
      <c r="G372" s="22" t="s">
        <v>131</v>
      </c>
      <c r="H372" s="22" t="s">
        <v>131</v>
      </c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 t="n">
        <v>-0.1097</v>
      </c>
      <c r="AK372" s="22" t="n">
        <v>0.0307</v>
      </c>
      <c r="AL372" s="22" t="n">
        <v>0.0307</v>
      </c>
      <c r="AM372" s="22" t="n">
        <v>0.0218</v>
      </c>
      <c r="AN372" s="22" t="n">
        <v>-0.0041</v>
      </c>
      <c r="AO372" s="22" t="n">
        <v>0.0254</v>
      </c>
      <c r="AP372" s="22" t="n">
        <v>0.0462</v>
      </c>
      <c r="AQ372" s="22" t="n">
        <v>0.035</v>
      </c>
      <c r="AR372" s="22" t="n">
        <v>0.0476</v>
      </c>
      <c r="AS372" s="22" t="n">
        <v>0.0246</v>
      </c>
      <c r="AT372" s="22" t="n">
        <v>0.0345</v>
      </c>
      <c r="AU372" s="22" t="n">
        <v>0.0421</v>
      </c>
      <c r="AV372" s="22" t="n">
        <v>0.0411</v>
      </c>
    </row>
    <row r="373" customFormat="false" ht="15" hidden="false" customHeight="false" outlineLevel="0" collapsed="false">
      <c r="A373" s="22" t="s">
        <v>44</v>
      </c>
      <c r="B373" s="22" t="s">
        <v>3</v>
      </c>
      <c r="C373" s="22" t="s">
        <v>44</v>
      </c>
      <c r="D373" s="22" t="n">
        <v>34820</v>
      </c>
      <c r="E373" s="22" t="s">
        <v>132</v>
      </c>
      <c r="F373" s="22" t="s">
        <v>135</v>
      </c>
      <c r="G373" s="22" t="s">
        <v>131</v>
      </c>
      <c r="H373" s="22" t="s">
        <v>131</v>
      </c>
      <c r="I373" s="22" t="n">
        <v>0.0707</v>
      </c>
      <c r="J373" s="22" t="n">
        <v>0.0863</v>
      </c>
      <c r="K373" s="22" t="n">
        <v>0.0804</v>
      </c>
      <c r="L373" s="22" t="n">
        <v>0.0534</v>
      </c>
      <c r="M373" s="22" t="n">
        <v>0.0317</v>
      </c>
      <c r="N373" s="22" t="n">
        <v>0.0349</v>
      </c>
      <c r="O373" s="22" t="n">
        <v>0.0307</v>
      </c>
      <c r="P373" s="22" t="n">
        <v>0.0528</v>
      </c>
      <c r="Q373" s="22" t="n">
        <v>0.0727</v>
      </c>
      <c r="R373" s="22" t="n">
        <v>0.0807</v>
      </c>
      <c r="S373" s="22" t="n">
        <v>0.0973</v>
      </c>
      <c r="T373" s="22" t="n">
        <v>0.0857</v>
      </c>
      <c r="U373" s="22" t="n">
        <v>0.049</v>
      </c>
      <c r="V373" s="22" t="n">
        <v>0.0132</v>
      </c>
      <c r="W373" s="22" t="n">
        <v>0.0039</v>
      </c>
      <c r="X373" s="22" t="n">
        <v>0.0011</v>
      </c>
      <c r="Y373" s="22" t="n">
        <v>0.0118</v>
      </c>
      <c r="Z373" s="22" t="n">
        <v>-0.0109</v>
      </c>
      <c r="AA373" s="22" t="n">
        <v>-0.0019</v>
      </c>
      <c r="AB373" s="22" t="n">
        <v>0.0849</v>
      </c>
      <c r="AC373" s="22" t="n">
        <v>0.1135</v>
      </c>
      <c r="AD373" s="22" t="n">
        <v>0.1915</v>
      </c>
      <c r="AE373" s="22" t="n">
        <v>0.2973</v>
      </c>
      <c r="AF373" s="22" t="n">
        <v>0.2451</v>
      </c>
      <c r="AG373" s="22" t="n">
        <v>0.2294</v>
      </c>
      <c r="AH373" s="22" t="n">
        <v>0.2386</v>
      </c>
      <c r="AI373" s="22" t="n">
        <v>0.1367</v>
      </c>
      <c r="AJ373" s="22" t="n">
        <v>0.0653</v>
      </c>
      <c r="AK373" s="22" t="n">
        <v>0.0852</v>
      </c>
      <c r="AL373" s="22" t="n">
        <v>0.0263</v>
      </c>
      <c r="AM373" s="22" t="n">
        <v>0.0148</v>
      </c>
      <c r="AN373" s="22" t="n">
        <v>0.0225</v>
      </c>
      <c r="AO373" s="22" t="n">
        <v>0.0095</v>
      </c>
      <c r="AP373" s="22" t="n">
        <v>-0.0144</v>
      </c>
      <c r="AQ373" s="22" t="n">
        <v>-0.0224</v>
      </c>
      <c r="AR373" s="22" t="n">
        <v>-0.0243</v>
      </c>
      <c r="AS373" s="22" t="n">
        <v>-0.053</v>
      </c>
      <c r="AT373" s="22" t="n">
        <v>-0.0168</v>
      </c>
      <c r="AU373" s="22" t="n">
        <v>-0.0223</v>
      </c>
      <c r="AV373" s="22" t="n">
        <v>0.0053</v>
      </c>
    </row>
    <row r="374" customFormat="false" ht="15" hidden="false" customHeight="false" outlineLevel="0" collapsed="false">
      <c r="A374" s="22" t="s">
        <v>540</v>
      </c>
      <c r="B374" s="22" t="s">
        <v>3</v>
      </c>
      <c r="C374" s="22" t="s">
        <v>540</v>
      </c>
      <c r="D374" s="22" t="n">
        <v>34860</v>
      </c>
      <c r="E374" s="22" t="s">
        <v>132</v>
      </c>
      <c r="F374" s="22" t="s">
        <v>135</v>
      </c>
      <c r="G374" s="22" t="s">
        <v>131</v>
      </c>
      <c r="H374" s="22" t="s">
        <v>131</v>
      </c>
      <c r="I374" s="22" t="n">
        <v>0.1062</v>
      </c>
      <c r="J374" s="22" t="n">
        <v>0.11</v>
      </c>
      <c r="K374" s="22" t="n">
        <v>0.0562</v>
      </c>
      <c r="L374" s="22" t="n">
        <v>0.0635</v>
      </c>
      <c r="M374" s="22" t="n">
        <v>0.0231</v>
      </c>
      <c r="N374" s="22" t="n">
        <v>-0.0197</v>
      </c>
      <c r="O374" s="22" t="n">
        <v>0.0131</v>
      </c>
      <c r="P374" s="22" t="n">
        <v>0.0221</v>
      </c>
      <c r="Q374" s="22" t="n">
        <v>0.0186</v>
      </c>
      <c r="R374" s="22" t="n">
        <v>0.0111</v>
      </c>
      <c r="S374" s="22" t="n">
        <v>0.0125</v>
      </c>
      <c r="T374" s="22" t="n">
        <v>0.0008</v>
      </c>
      <c r="U374" s="22" t="n">
        <v>0.0069</v>
      </c>
      <c r="V374" s="22" t="n">
        <v>0.0155</v>
      </c>
      <c r="W374" s="22" t="n">
        <v>0.0117</v>
      </c>
      <c r="X374" s="22" t="n">
        <v>0.0146</v>
      </c>
      <c r="Y374" s="22" t="n">
        <v>0.006</v>
      </c>
      <c r="Z374" s="22" t="n">
        <v>0.0183</v>
      </c>
      <c r="AA374" s="22" t="n">
        <v>0.0168</v>
      </c>
      <c r="AB374" s="22" t="n">
        <v>0.0071</v>
      </c>
      <c r="AC374" s="22" t="n">
        <v>0.0374</v>
      </c>
      <c r="AD374" s="22" t="n">
        <v>0.0331</v>
      </c>
      <c r="AE374" s="22" t="n">
        <v>0.0625</v>
      </c>
      <c r="AF374" s="22" t="n">
        <v>0.1001</v>
      </c>
      <c r="AG374" s="22" t="n">
        <v>0.1092</v>
      </c>
      <c r="AH374" s="22" t="n">
        <v>0.1203</v>
      </c>
      <c r="AI374" s="22" t="n">
        <v>0.0955</v>
      </c>
      <c r="AJ374" s="22" t="n">
        <v>0.0756</v>
      </c>
      <c r="AK374" s="22" t="n">
        <v>0.0799</v>
      </c>
      <c r="AL374" s="22" t="n">
        <v>0.0875</v>
      </c>
      <c r="AM374" s="22" t="n">
        <v>0.0612</v>
      </c>
      <c r="AN374" s="22" t="n">
        <v>-0.0003</v>
      </c>
      <c r="AO374" s="22" t="n">
        <v>-0.0509</v>
      </c>
      <c r="AP374" s="22" t="n">
        <v>-0.0557</v>
      </c>
      <c r="AQ374" s="22" t="n">
        <v>-0.0353</v>
      </c>
      <c r="AR374" s="22" t="n">
        <v>0.0264</v>
      </c>
      <c r="AS374" s="22" t="n">
        <v>0.0529</v>
      </c>
      <c r="AT374" s="22" t="n">
        <v>0.0616</v>
      </c>
      <c r="AU374" s="22" t="n">
        <v>0.0759</v>
      </c>
      <c r="AV374" s="22" t="n">
        <v>0.0526</v>
      </c>
    </row>
    <row r="375" customFormat="false" ht="15" hidden="false" customHeight="false" outlineLevel="0" collapsed="false">
      <c r="A375" s="22" t="s">
        <v>59</v>
      </c>
      <c r="B375" s="22" t="s">
        <v>3</v>
      </c>
      <c r="C375" s="22" t="s">
        <v>59</v>
      </c>
      <c r="D375" s="22" t="n">
        <v>34940</v>
      </c>
      <c r="E375" s="22" t="s">
        <v>132</v>
      </c>
      <c r="F375" s="22" t="s">
        <v>135</v>
      </c>
      <c r="G375" s="22" t="s">
        <v>131</v>
      </c>
      <c r="H375" s="22" t="s">
        <v>131</v>
      </c>
      <c r="I375" s="22" t="n">
        <v>0.1222</v>
      </c>
      <c r="J375" s="22" t="n">
        <v>0.0806</v>
      </c>
      <c r="K375" s="22" t="n">
        <v>0.0523</v>
      </c>
      <c r="L375" s="22" t="n">
        <v>0.071</v>
      </c>
      <c r="M375" s="22" t="n">
        <v>0.0581</v>
      </c>
      <c r="N375" s="22" t="n">
        <v>0.0619</v>
      </c>
      <c r="O375" s="22" t="n">
        <v>0.0764</v>
      </c>
      <c r="P375" s="22" t="n">
        <v>0.0484</v>
      </c>
      <c r="Q375" s="22" t="n">
        <v>0.0385</v>
      </c>
      <c r="R375" s="22" t="n">
        <v>0.033</v>
      </c>
      <c r="S375" s="22" t="n">
        <v>0.0263</v>
      </c>
      <c r="T375" s="22" t="n">
        <v>0.0212</v>
      </c>
      <c r="U375" s="22" t="n">
        <v>0.0173</v>
      </c>
      <c r="V375" s="22" t="n">
        <v>0.0201</v>
      </c>
      <c r="W375" s="22" t="n">
        <v>0.0072</v>
      </c>
      <c r="X375" s="22" t="n">
        <v>-0.0279</v>
      </c>
      <c r="Y375" s="22" t="n">
        <v>-0.0328</v>
      </c>
      <c r="Z375" s="22" t="n">
        <v>-0.0469</v>
      </c>
      <c r="AA375" s="22" t="n">
        <v>-0.0356</v>
      </c>
      <c r="AB375" s="22" t="n">
        <v>-0.0053</v>
      </c>
      <c r="AC375" s="22" t="n">
        <v>0.0356</v>
      </c>
      <c r="AD375" s="22" t="n">
        <v>0.1493</v>
      </c>
      <c r="AE375" s="22" t="n">
        <v>0.3099</v>
      </c>
      <c r="AF375" s="22" t="n">
        <v>0.4649</v>
      </c>
      <c r="AG375" s="22" t="n">
        <v>0.5103</v>
      </c>
      <c r="AH375" s="22" t="n">
        <v>0.4352</v>
      </c>
      <c r="AI375" s="22" t="n">
        <v>0.2605</v>
      </c>
      <c r="AJ375" s="22" t="n">
        <v>0.1422</v>
      </c>
      <c r="AK375" s="22" t="n">
        <v>0.1318</v>
      </c>
      <c r="AL375" s="22" t="n">
        <v>0.0835</v>
      </c>
      <c r="AM375" s="22" t="n">
        <v>0.0398</v>
      </c>
      <c r="AN375" s="22" t="n">
        <v>0.0259</v>
      </c>
      <c r="AO375" s="22" t="n">
        <v>-0.0473</v>
      </c>
      <c r="AP375" s="22" t="n">
        <v>-0.0656</v>
      </c>
      <c r="AQ375" s="22" t="n">
        <v>-0.0591</v>
      </c>
      <c r="AR375" s="22" t="n">
        <v>-0.0624</v>
      </c>
      <c r="AS375" s="22" t="n">
        <v>-0.0437</v>
      </c>
      <c r="AT375" s="22" t="n">
        <v>-0.052</v>
      </c>
      <c r="AU375" s="22" t="n">
        <v>-0.0379</v>
      </c>
      <c r="AV375" s="22" t="n">
        <v>-0.0714</v>
      </c>
    </row>
    <row r="376" customFormat="false" ht="15" hidden="false" customHeight="false" outlineLevel="0" collapsed="false">
      <c r="A376" s="22" t="s">
        <v>52</v>
      </c>
      <c r="B376" s="22" t="s">
        <v>3</v>
      </c>
      <c r="C376" s="22" t="s">
        <v>52</v>
      </c>
      <c r="D376" s="22" t="n">
        <v>34980</v>
      </c>
      <c r="E376" s="22" t="s">
        <v>132</v>
      </c>
      <c r="F376" s="22" t="s">
        <v>135</v>
      </c>
      <c r="G376" s="22" t="s">
        <v>131</v>
      </c>
      <c r="H376" s="22" t="s">
        <v>131</v>
      </c>
      <c r="I376" s="22" t="n">
        <v>0.0893</v>
      </c>
      <c r="J376" s="22" t="n">
        <v>0.0945</v>
      </c>
      <c r="K376" s="22" t="n">
        <v>0.065</v>
      </c>
      <c r="L376" s="22" t="n">
        <v>0.0373</v>
      </c>
      <c r="M376" s="22" t="n">
        <v>0.0212</v>
      </c>
      <c r="N376" s="22" t="n">
        <v>0.0063</v>
      </c>
      <c r="O376" s="22" t="n">
        <v>0.0195</v>
      </c>
      <c r="P376" s="22" t="n">
        <v>0.0227</v>
      </c>
      <c r="Q376" s="22" t="n">
        <v>0.0336</v>
      </c>
      <c r="R376" s="22" t="n">
        <v>0.0349</v>
      </c>
      <c r="S376" s="22" t="n">
        <v>0.0513</v>
      </c>
      <c r="T376" s="22" t="n">
        <v>0.0741</v>
      </c>
      <c r="U376" s="22" t="n">
        <v>0.0774</v>
      </c>
      <c r="V376" s="22" t="n">
        <v>0.0844</v>
      </c>
      <c r="W376" s="22" t="n">
        <v>0.0843</v>
      </c>
      <c r="X376" s="22" t="n">
        <v>0.0712</v>
      </c>
      <c r="Y376" s="22" t="n">
        <v>0.0623</v>
      </c>
      <c r="Z376" s="22" t="n">
        <v>0.0134</v>
      </c>
      <c r="AA376" s="22" t="n">
        <v>-0.0179</v>
      </c>
      <c r="AB376" s="22" t="n">
        <v>-0.0312</v>
      </c>
      <c r="AC376" s="22" t="n">
        <v>-0.0239</v>
      </c>
      <c r="AD376" s="22" t="n">
        <v>0.0479</v>
      </c>
      <c r="AE376" s="22" t="n">
        <v>0.1453</v>
      </c>
      <c r="AF376" s="22" t="n">
        <v>0.2078</v>
      </c>
      <c r="AG376" s="22" t="n">
        <v>0.2365</v>
      </c>
      <c r="AH376" s="22" t="n">
        <v>0.2296</v>
      </c>
      <c r="AI376" s="22" t="n">
        <v>0.156</v>
      </c>
      <c r="AJ376" s="22" t="n">
        <v>0.0917</v>
      </c>
      <c r="AK376" s="22" t="n">
        <v>0.0564</v>
      </c>
      <c r="AL376" s="22" t="n">
        <v>0.0182</v>
      </c>
      <c r="AM376" s="22" t="n">
        <v>-0.0161</v>
      </c>
      <c r="AN376" s="22" t="n">
        <v>-0.0224</v>
      </c>
      <c r="AO376" s="22" t="n">
        <v>-0.0227</v>
      </c>
      <c r="AP376" s="22" t="n">
        <v>-0.0209</v>
      </c>
      <c r="AQ376" s="22" t="n">
        <v>-0.0148</v>
      </c>
      <c r="AR376" s="22" t="n">
        <v>0.0019</v>
      </c>
      <c r="AS376" s="22" t="n">
        <v>-0.0018</v>
      </c>
      <c r="AT376" s="22" t="n">
        <v>-0.0112</v>
      </c>
      <c r="AU376" s="22" t="n">
        <v>-0.0072</v>
      </c>
      <c r="AV376" s="22" t="n">
        <v>-0.0171</v>
      </c>
    </row>
    <row r="377" customFormat="false" ht="15" hidden="false" customHeight="false" outlineLevel="0" collapsed="false">
      <c r="A377" s="22" t="s">
        <v>185</v>
      </c>
      <c r="B377" s="22" t="s">
        <v>3</v>
      </c>
      <c r="C377" s="22" t="s">
        <v>185</v>
      </c>
      <c r="D377" s="22" t="n">
        <v>35004</v>
      </c>
      <c r="E377" s="22" t="s">
        <v>132</v>
      </c>
      <c r="F377" s="22" t="s">
        <v>135</v>
      </c>
      <c r="G377" s="22" t="s">
        <v>131</v>
      </c>
      <c r="H377" s="22" t="s">
        <v>131</v>
      </c>
      <c r="I377" s="22" t="n">
        <v>0.0371</v>
      </c>
      <c r="J377" s="22" t="n">
        <v>0.0187</v>
      </c>
      <c r="K377" s="22" t="n">
        <v>0.0286</v>
      </c>
      <c r="L377" s="22" t="n">
        <v>0.032</v>
      </c>
      <c r="M377" s="22" t="n">
        <v>0.0469</v>
      </c>
      <c r="N377" s="22" t="n">
        <v>0.0552</v>
      </c>
      <c r="O377" s="22" t="n">
        <v>0.0573</v>
      </c>
      <c r="P377" s="22" t="n">
        <v>0.0398</v>
      </c>
      <c r="Q377" s="22" t="n">
        <v>0.0301</v>
      </c>
      <c r="R377" s="22" t="n">
        <v>0.0266</v>
      </c>
      <c r="S377" s="22" t="n">
        <v>0.0238</v>
      </c>
      <c r="T377" s="22" t="n">
        <v>0.029</v>
      </c>
      <c r="U377" s="22" t="n">
        <v>0.045</v>
      </c>
      <c r="V377" s="22" t="n">
        <v>0.0441</v>
      </c>
      <c r="W377" s="22" t="n">
        <v>0.0772</v>
      </c>
      <c r="X377" s="22" t="n">
        <v>0.0787</v>
      </c>
      <c r="Y377" s="22" t="n">
        <v>0.058</v>
      </c>
      <c r="Z377" s="22" t="n">
        <v>0.0229</v>
      </c>
      <c r="AA377" s="22" t="n">
        <v>-0.0035</v>
      </c>
      <c r="AB377" s="22" t="n">
        <v>0.0149</v>
      </c>
      <c r="AC377" s="22" t="n">
        <v>0.013</v>
      </c>
      <c r="AD377" s="22" t="n">
        <v>0.0479</v>
      </c>
      <c r="AE377" s="22" t="n">
        <v>0.0663</v>
      </c>
      <c r="AF377" s="22" t="n">
        <v>0.0763</v>
      </c>
      <c r="AG377" s="22" t="n">
        <v>0.111</v>
      </c>
      <c r="AH377" s="22" t="n">
        <v>0.1114</v>
      </c>
      <c r="AI377" s="22" t="n">
        <v>0.1007</v>
      </c>
      <c r="AJ377" s="22" t="n">
        <v>0.0807</v>
      </c>
      <c r="AK377" s="22" t="n">
        <v>0.0529</v>
      </c>
      <c r="AL377" s="22" t="n">
        <v>0.0461</v>
      </c>
      <c r="AM377" s="22" t="n">
        <v>0.034</v>
      </c>
      <c r="AN377" s="22" t="n">
        <v>0.0489</v>
      </c>
      <c r="AO377" s="22" t="n">
        <v>0.0509</v>
      </c>
      <c r="AP377" s="22" t="n">
        <v>0.0371</v>
      </c>
      <c r="AQ377" s="22" t="n">
        <v>0.0369</v>
      </c>
      <c r="AR377" s="22" t="n">
        <v>0.0228</v>
      </c>
      <c r="AS377" s="22" t="n">
        <v>0.0271</v>
      </c>
      <c r="AT377" s="22" t="n">
        <v>0.0514</v>
      </c>
      <c r="AU377" s="22" t="n">
        <v>0.0514</v>
      </c>
      <c r="AV377" s="22" t="n">
        <v>0.0406</v>
      </c>
    </row>
    <row r="378" customFormat="false" ht="15" hidden="false" customHeight="false" outlineLevel="0" collapsed="false">
      <c r="A378" s="22" t="s">
        <v>186</v>
      </c>
      <c r="B378" s="22" t="s">
        <v>3</v>
      </c>
      <c r="C378" s="22" t="s">
        <v>186</v>
      </c>
      <c r="D378" s="22" t="n">
        <v>235084</v>
      </c>
      <c r="E378" s="22" t="s">
        <v>132</v>
      </c>
      <c r="F378" s="22" t="s">
        <v>135</v>
      </c>
      <c r="G378" s="22" t="s">
        <v>131</v>
      </c>
      <c r="H378" s="22" t="s">
        <v>131</v>
      </c>
      <c r="I378" s="22" t="n">
        <v>0.0419</v>
      </c>
      <c r="J378" s="22" t="n">
        <v>0.0514</v>
      </c>
      <c r="K378" s="22" t="n">
        <v>0.0419</v>
      </c>
      <c r="L378" s="22" t="n">
        <v>0.0304</v>
      </c>
      <c r="M378" s="22" t="n">
        <v>0.0359</v>
      </c>
      <c r="N378" s="22" t="n">
        <v>0.016</v>
      </c>
      <c r="O378" s="22" t="n">
        <v>0.0184</v>
      </c>
      <c r="P378" s="22" t="n">
        <v>0.0127</v>
      </c>
      <c r="Q378" s="22" t="n">
        <v>0.0127</v>
      </c>
      <c r="R378" s="22" t="n">
        <v>0.0339</v>
      </c>
      <c r="S378" s="22" t="n">
        <v>0.0483</v>
      </c>
      <c r="T378" s="22" t="n">
        <v>0.054</v>
      </c>
      <c r="U378" s="22" t="n">
        <v>0.0521</v>
      </c>
      <c r="V378" s="22" t="n">
        <v>0.0356</v>
      </c>
      <c r="W378" s="22" t="n">
        <v>0.0333</v>
      </c>
      <c r="X378" s="22" t="n">
        <v>0.0358</v>
      </c>
      <c r="Y378" s="22" t="n">
        <v>0.03</v>
      </c>
      <c r="Z378" s="22" t="n">
        <v>0.0077</v>
      </c>
      <c r="AA378" s="22" t="n">
        <v>-0.0086</v>
      </c>
      <c r="AB378" s="22" t="n">
        <v>-0.029</v>
      </c>
      <c r="AC378" s="22" t="n">
        <v>-0.0313</v>
      </c>
      <c r="AD378" s="22" t="n">
        <v>-0.0019</v>
      </c>
      <c r="AE378" s="22" t="n">
        <v>0.0449</v>
      </c>
      <c r="AF378" s="22" t="n">
        <v>0.1015</v>
      </c>
      <c r="AG378" s="22" t="n">
        <v>0.1442</v>
      </c>
      <c r="AH378" s="22" t="n">
        <v>0.1702</v>
      </c>
      <c r="AI378" s="22" t="n">
        <v>0.1777</v>
      </c>
      <c r="AJ378" s="22" t="n">
        <v>0.151</v>
      </c>
      <c r="AK378" s="22" t="n">
        <v>0.1206</v>
      </c>
      <c r="AL378" s="22" t="n">
        <v>0.0968</v>
      </c>
      <c r="AM378" s="22" t="n">
        <v>0.065</v>
      </c>
      <c r="AN378" s="22" t="n">
        <v>0.0652</v>
      </c>
      <c r="AO378" s="22" t="n">
        <v>0.0593</v>
      </c>
      <c r="AP378" s="22" t="n">
        <v>0.0525</v>
      </c>
      <c r="AQ378" s="22" t="n">
        <v>0.0442</v>
      </c>
      <c r="AR378" s="22" t="n">
        <v>0.0337</v>
      </c>
      <c r="AS378" s="22" t="n">
        <v>0.0316</v>
      </c>
      <c r="AT378" s="22" t="n">
        <v>0.0362</v>
      </c>
      <c r="AU378" s="22" t="n">
        <v>0.0398</v>
      </c>
      <c r="AV378" s="22" t="n">
        <v>0.0377</v>
      </c>
    </row>
    <row r="379" customFormat="false" ht="15" hidden="false" customHeight="false" outlineLevel="0" collapsed="false">
      <c r="A379" s="22" t="s">
        <v>541</v>
      </c>
      <c r="B379" s="22" t="s">
        <v>3</v>
      </c>
      <c r="C379" s="22" t="s">
        <v>541</v>
      </c>
      <c r="D379" s="22" t="n">
        <v>35100</v>
      </c>
      <c r="E379" s="22" t="s">
        <v>132</v>
      </c>
      <c r="F379" s="22" t="s">
        <v>135</v>
      </c>
      <c r="G379" s="22" t="s">
        <v>131</v>
      </c>
      <c r="H379" s="22" t="s">
        <v>131</v>
      </c>
      <c r="I379" s="22" t="n">
        <v>0.0679</v>
      </c>
      <c r="J379" s="22" t="n">
        <v>0.0145</v>
      </c>
      <c r="K379" s="22" t="n">
        <v>-0.0304</v>
      </c>
      <c r="L379" s="22" t="n">
        <v>-0.0315</v>
      </c>
      <c r="M379" s="22" t="n">
        <v>-0.0188</v>
      </c>
      <c r="N379" s="22" t="n">
        <v>0.0921</v>
      </c>
      <c r="O379" s="22" t="n">
        <v>0.117</v>
      </c>
      <c r="P379" s="22" t="n">
        <v>0.0548</v>
      </c>
      <c r="Q379" s="22" t="n">
        <v>0.0279</v>
      </c>
      <c r="R379" s="22" t="n">
        <v>-0.0107</v>
      </c>
      <c r="S379" s="22" t="n">
        <v>0.014</v>
      </c>
      <c r="T379" s="22" t="n">
        <v>0.0649</v>
      </c>
      <c r="U379" s="22" t="n">
        <v>0.1406</v>
      </c>
      <c r="V379" s="22" t="n">
        <v>0.1367</v>
      </c>
      <c r="W379" s="22" t="n">
        <v>0.0524</v>
      </c>
      <c r="X379" s="22" t="n">
        <v>0.0061</v>
      </c>
      <c r="Y379" s="22" t="n">
        <v>-0.0415</v>
      </c>
      <c r="Z379" s="22" t="n">
        <v>-0.035</v>
      </c>
      <c r="AA379" s="22" t="n">
        <v>0.04</v>
      </c>
      <c r="AB379" s="22" t="n">
        <v>0.1245</v>
      </c>
      <c r="AC379" s="22" t="n">
        <v>0.139</v>
      </c>
      <c r="AD379" s="22" t="n">
        <v>0.1848</v>
      </c>
      <c r="AE379" s="22" t="n">
        <v>0.2505</v>
      </c>
      <c r="AF379" s="22" t="n">
        <v>0.1703</v>
      </c>
      <c r="AG379" s="22" t="n">
        <v>0.0658</v>
      </c>
      <c r="AH379" s="22" t="n">
        <v>0.0947</v>
      </c>
      <c r="AI379" s="22" t="n">
        <v>0.1205</v>
      </c>
      <c r="AJ379" s="22" t="n">
        <v>0.1312</v>
      </c>
      <c r="AK379" s="22" t="n">
        <v>0.1954</v>
      </c>
      <c r="AL379" s="22" t="n">
        <v>0.1297</v>
      </c>
      <c r="AM379" s="22" t="n">
        <v>0.0576</v>
      </c>
      <c r="AN379" s="22" t="n">
        <v>0.0087</v>
      </c>
      <c r="AO379" s="22" t="n">
        <v>-0.0204</v>
      </c>
      <c r="AP379" s="22" t="n">
        <v>-0.0744</v>
      </c>
      <c r="AQ379" s="22" t="n">
        <v>-0.0492</v>
      </c>
      <c r="AR379" s="22" t="n">
        <v>-0.0221</v>
      </c>
      <c r="AS379" s="22" t="n">
        <v>0.0196</v>
      </c>
      <c r="AT379" s="22" t="n">
        <v>0.105</v>
      </c>
      <c r="AU379" s="22" t="n">
        <v>0.0634</v>
      </c>
      <c r="AV379" s="22" t="n">
        <v>0.0414</v>
      </c>
    </row>
    <row r="380" customFormat="false" ht="15" hidden="false" customHeight="false" outlineLevel="0" collapsed="false">
      <c r="A380" s="22" t="s">
        <v>542</v>
      </c>
      <c r="B380" s="22" t="s">
        <v>3</v>
      </c>
      <c r="C380" s="22" t="s">
        <v>542</v>
      </c>
      <c r="D380" s="22" t="n">
        <v>35220</v>
      </c>
      <c r="E380" s="22" t="s">
        <v>132</v>
      </c>
      <c r="F380" s="22" t="s">
        <v>135</v>
      </c>
      <c r="G380" s="22" t="s">
        <v>131</v>
      </c>
      <c r="H380" s="22" t="s">
        <v>131</v>
      </c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</row>
    <row r="381" customFormat="false" ht="15" hidden="false" customHeight="false" outlineLevel="0" collapsed="false">
      <c r="A381" s="22" t="s">
        <v>187</v>
      </c>
      <c r="B381" s="22" t="s">
        <v>3</v>
      </c>
      <c r="C381" s="22" t="s">
        <v>187</v>
      </c>
      <c r="D381" s="22" t="n">
        <v>235300</v>
      </c>
      <c r="E381" s="22" t="s">
        <v>132</v>
      </c>
      <c r="F381" s="22" t="s">
        <v>135</v>
      </c>
      <c r="G381" s="22" t="s">
        <v>131</v>
      </c>
      <c r="H381" s="22" t="s">
        <v>131</v>
      </c>
      <c r="I381" s="22" t="n">
        <v>0.0155</v>
      </c>
      <c r="J381" s="22" t="n">
        <v>-0.0054</v>
      </c>
      <c r="K381" s="22" t="n">
        <v>-0.026</v>
      </c>
      <c r="L381" s="22" t="n">
        <v>-0.0405</v>
      </c>
      <c r="M381" s="22" t="n">
        <v>-0.0336</v>
      </c>
      <c r="N381" s="22" t="n">
        <v>-0.0224</v>
      </c>
      <c r="O381" s="22" t="n">
        <v>0.0142</v>
      </c>
      <c r="P381" s="22" t="n">
        <v>0.0544</v>
      </c>
      <c r="Q381" s="22" t="n">
        <v>0.0544</v>
      </c>
      <c r="R381" s="22" t="n">
        <v>0.0464</v>
      </c>
      <c r="S381" s="22" t="n">
        <v>0.0639</v>
      </c>
      <c r="T381" s="22" t="n">
        <v>0.0385</v>
      </c>
      <c r="U381" s="22" t="n">
        <v>0.0251</v>
      </c>
      <c r="V381" s="22" t="n">
        <v>0.0049</v>
      </c>
      <c r="W381" s="22" t="n">
        <v>-0.0028</v>
      </c>
      <c r="X381" s="22" t="n">
        <v>-0.006</v>
      </c>
      <c r="Y381" s="22" t="n">
        <v>0.0032</v>
      </c>
      <c r="Z381" s="22" t="n">
        <v>0.0119</v>
      </c>
      <c r="AA381" s="22" t="n">
        <v>-0.0114</v>
      </c>
      <c r="AB381" s="22" t="n">
        <v>0.0219</v>
      </c>
      <c r="AC381" s="22" t="n">
        <v>0.0405</v>
      </c>
      <c r="AD381" s="22" t="n">
        <v>0.0797</v>
      </c>
      <c r="AE381" s="22" t="n">
        <v>0.1085</v>
      </c>
      <c r="AF381" s="22" t="n">
        <v>0.1264</v>
      </c>
      <c r="AG381" s="22" t="n">
        <v>0.1542</v>
      </c>
      <c r="AH381" s="22" t="n">
        <v>0.1472</v>
      </c>
      <c r="AI381" s="22" t="n">
        <v>0.1525</v>
      </c>
      <c r="AJ381" s="22" t="n">
        <v>0.1362</v>
      </c>
      <c r="AK381" s="22" t="n">
        <v>0.0948</v>
      </c>
      <c r="AL381" s="22" t="n">
        <v>0.1089</v>
      </c>
      <c r="AM381" s="22" t="n">
        <v>0.1094</v>
      </c>
      <c r="AN381" s="22" t="n">
        <v>0.0993</v>
      </c>
      <c r="AO381" s="22" t="n">
        <v>0.0974</v>
      </c>
      <c r="AP381" s="22" t="n">
        <v>0.0733</v>
      </c>
      <c r="AQ381" s="22" t="n">
        <v>0.0765</v>
      </c>
      <c r="AR381" s="22" t="n">
        <v>0.0673</v>
      </c>
      <c r="AS381" s="22" t="n">
        <v>0.0626</v>
      </c>
      <c r="AT381" s="22" t="n">
        <v>0.0774</v>
      </c>
      <c r="AU381" s="22" t="n">
        <v>0.0567</v>
      </c>
      <c r="AV381" s="22" t="n">
        <v>0.0461</v>
      </c>
    </row>
    <row r="382" customFormat="false" ht="15" hidden="false" customHeight="false" outlineLevel="0" collapsed="false">
      <c r="A382" s="22" t="s">
        <v>83</v>
      </c>
      <c r="B382" s="22" t="s">
        <v>3</v>
      </c>
      <c r="C382" s="22" t="s">
        <v>83</v>
      </c>
      <c r="D382" s="22" t="n">
        <v>235380</v>
      </c>
      <c r="E382" s="22" t="s">
        <v>132</v>
      </c>
      <c r="F382" s="22" t="s">
        <v>135</v>
      </c>
      <c r="G382" s="22" t="s">
        <v>131</v>
      </c>
      <c r="H382" s="22" t="s">
        <v>131</v>
      </c>
      <c r="I382" s="22" t="n">
        <v>0.0487</v>
      </c>
      <c r="J382" s="22" t="n">
        <v>0.0289</v>
      </c>
      <c r="K382" s="22" t="n">
        <v>0.0015</v>
      </c>
      <c r="L382" s="22" t="n">
        <v>0.0033</v>
      </c>
      <c r="M382" s="22" t="n">
        <v>0.0015</v>
      </c>
      <c r="N382" s="22" t="n">
        <v>0.0065</v>
      </c>
      <c r="O382" s="22" t="n">
        <v>0.013</v>
      </c>
      <c r="P382" s="22" t="n">
        <v>-0.0042</v>
      </c>
      <c r="Q382" s="22" t="n">
        <v>-0.0112</v>
      </c>
      <c r="R382" s="22" t="n">
        <v>0.0126</v>
      </c>
      <c r="S382" s="22" t="n">
        <v>0.0304</v>
      </c>
      <c r="T382" s="22" t="n">
        <v>0.0405</v>
      </c>
      <c r="U382" s="22" t="n">
        <v>0.0591</v>
      </c>
      <c r="V382" s="22" t="n">
        <v>0.0362</v>
      </c>
      <c r="W382" s="22" t="n">
        <v>0.0236</v>
      </c>
      <c r="X382" s="22" t="n">
        <v>0.0347</v>
      </c>
      <c r="Y382" s="22" t="n">
        <v>0.0255</v>
      </c>
      <c r="Z382" s="22" t="n">
        <v>0.0252</v>
      </c>
      <c r="AA382" s="22" t="n">
        <v>0.0217</v>
      </c>
      <c r="AB382" s="22" t="n">
        <v>0.0105</v>
      </c>
      <c r="AC382" s="22" t="n">
        <v>0.0048</v>
      </c>
      <c r="AD382" s="22" t="n">
        <v>0.0204</v>
      </c>
      <c r="AE382" s="22" t="n">
        <v>0.0537</v>
      </c>
      <c r="AF382" s="22" t="n">
        <v>0.0997</v>
      </c>
      <c r="AG382" s="22" t="n">
        <v>0.1291</v>
      </c>
      <c r="AH382" s="22" t="n">
        <v>0.1791</v>
      </c>
      <c r="AI382" s="22" t="n">
        <v>0.1887</v>
      </c>
      <c r="AJ382" s="22" t="n">
        <v>0.1323</v>
      </c>
      <c r="AK382" s="22" t="n">
        <v>0.0866</v>
      </c>
      <c r="AL382" s="22" t="n">
        <v>0.0304</v>
      </c>
      <c r="AM382" s="22" t="n">
        <v>0.0265</v>
      </c>
      <c r="AN382" s="22" t="n">
        <v>0.0148</v>
      </c>
      <c r="AO382" s="22" t="n">
        <v>0.0281</v>
      </c>
      <c r="AP382" s="22" t="n">
        <v>0.0331</v>
      </c>
      <c r="AQ382" s="22" t="n">
        <v>0.003</v>
      </c>
      <c r="AR382" s="22" t="n">
        <v>0.0021</v>
      </c>
      <c r="AS382" s="22" t="n">
        <v>0.0134</v>
      </c>
      <c r="AT382" s="22" t="n">
        <v>0.0239</v>
      </c>
      <c r="AU382" s="22" t="n">
        <v>0.0039</v>
      </c>
      <c r="AV382" s="22" t="n">
        <v>0.0109</v>
      </c>
    </row>
    <row r="383" customFormat="false" ht="15" hidden="false" customHeight="false" outlineLevel="0" collapsed="false">
      <c r="A383" s="22" t="s">
        <v>188</v>
      </c>
      <c r="B383" s="22" t="s">
        <v>3</v>
      </c>
      <c r="C383" s="22" t="s">
        <v>188</v>
      </c>
      <c r="D383" s="22" t="n">
        <v>235614</v>
      </c>
      <c r="E383" s="22" t="s">
        <v>132</v>
      </c>
      <c r="F383" s="22" t="s">
        <v>135</v>
      </c>
      <c r="G383" s="22" t="s">
        <v>131</v>
      </c>
      <c r="H383" s="22" t="s">
        <v>131</v>
      </c>
      <c r="I383" s="22" t="n">
        <v>0.0026</v>
      </c>
      <c r="J383" s="22" t="n">
        <v>0.0006</v>
      </c>
      <c r="K383" s="22" t="n">
        <v>-0.0268</v>
      </c>
      <c r="L383" s="22" t="n">
        <v>-0.0262</v>
      </c>
      <c r="M383" s="22" t="n">
        <v>-0.0139</v>
      </c>
      <c r="N383" s="22" t="n">
        <v>-0.0114</v>
      </c>
      <c r="O383" s="22" t="n">
        <v>0.007</v>
      </c>
      <c r="P383" s="22" t="n">
        <v>0.0059</v>
      </c>
      <c r="Q383" s="22" t="n">
        <v>0.0079</v>
      </c>
      <c r="R383" s="22" t="n">
        <v>0.0121</v>
      </c>
      <c r="S383" s="22" t="n">
        <v>0.0266</v>
      </c>
      <c r="T383" s="22" t="n">
        <v>0.027</v>
      </c>
      <c r="U383" s="22" t="n">
        <v>0.0146</v>
      </c>
      <c r="V383" s="22" t="n">
        <v>0.0273</v>
      </c>
      <c r="W383" s="22" t="n">
        <v>0.0077</v>
      </c>
      <c r="X383" s="22" t="n">
        <v>0.0191</v>
      </c>
      <c r="Y383" s="22" t="n">
        <v>0.0303</v>
      </c>
      <c r="Z383" s="22" t="n">
        <v>-0.0051</v>
      </c>
      <c r="AA383" s="22" t="n">
        <v>-0.0852</v>
      </c>
      <c r="AB383" s="22" t="n">
        <v>-0.1347</v>
      </c>
      <c r="AC383" s="22" t="n">
        <v>-0.1493</v>
      </c>
      <c r="AD383" s="22" t="n">
        <v>-0.11</v>
      </c>
      <c r="AE383" s="22" t="n">
        <v>0.0694</v>
      </c>
      <c r="AF383" s="22" t="n">
        <v>0.2088</v>
      </c>
      <c r="AG383" s="22" t="n">
        <v>0.2594</v>
      </c>
      <c r="AH383" s="22" t="n">
        <v>0.2608</v>
      </c>
      <c r="AI383" s="22" t="n">
        <v>0.1787</v>
      </c>
      <c r="AJ383" s="22" t="n">
        <v>0.1025</v>
      </c>
      <c r="AK383" s="22" t="n">
        <v>0.0703</v>
      </c>
      <c r="AL383" s="22" t="n">
        <v>0.0701</v>
      </c>
      <c r="AM383" s="22" t="n">
        <v>0.0455</v>
      </c>
      <c r="AN383" s="22" t="n">
        <v>0.0441</v>
      </c>
      <c r="AO383" s="22" t="n">
        <v>0.0324</v>
      </c>
      <c r="AP383" s="22" t="n">
        <v>0.0024</v>
      </c>
      <c r="AQ383" s="22" t="n">
        <v>0.0045</v>
      </c>
      <c r="AR383" s="22" t="n">
        <v>0.0002</v>
      </c>
      <c r="AS383" s="22" t="n">
        <v>0.0164</v>
      </c>
      <c r="AT383" s="22" t="n">
        <v>0.023</v>
      </c>
      <c r="AU383" s="22" t="n">
        <v>0.0061</v>
      </c>
      <c r="AV383" s="22" t="n">
        <v>0.0106</v>
      </c>
    </row>
    <row r="384" customFormat="false" ht="15" hidden="false" customHeight="false" outlineLevel="0" collapsed="false">
      <c r="A384" s="22" t="s">
        <v>543</v>
      </c>
      <c r="B384" s="22" t="s">
        <v>3</v>
      </c>
      <c r="C384" s="22" t="s">
        <v>543</v>
      </c>
      <c r="D384" s="22" t="n">
        <v>35660</v>
      </c>
      <c r="E384" s="22" t="s">
        <v>132</v>
      </c>
      <c r="F384" s="22" t="s">
        <v>135</v>
      </c>
      <c r="G384" s="22" t="s">
        <v>131</v>
      </c>
      <c r="H384" s="22" t="s">
        <v>131</v>
      </c>
      <c r="I384" s="22" t="n">
        <v>0.0187</v>
      </c>
      <c r="J384" s="22" t="n">
        <v>0.0306</v>
      </c>
      <c r="K384" s="22" t="n">
        <v>0.034</v>
      </c>
      <c r="L384" s="22" t="n">
        <v>0.0269</v>
      </c>
      <c r="M384" s="22" t="n">
        <v>0.0219</v>
      </c>
      <c r="N384" s="22" t="n">
        <v>0.0175</v>
      </c>
      <c r="O384" s="22" t="n">
        <v>-0.0051</v>
      </c>
      <c r="P384" s="22" t="n">
        <v>-0.0105</v>
      </c>
      <c r="Q384" s="22" t="n">
        <v>0.02</v>
      </c>
      <c r="R384" s="22" t="n">
        <v>0.0471</v>
      </c>
      <c r="S384" s="22" t="n">
        <v>0.0703</v>
      </c>
      <c r="T384" s="22" t="n">
        <v>0.0604</v>
      </c>
      <c r="U384" s="22" t="n">
        <v>0.0524</v>
      </c>
      <c r="V384" s="22" t="n">
        <v>0.0373</v>
      </c>
      <c r="W384" s="22" t="n">
        <v>0.0257</v>
      </c>
      <c r="X384" s="22" t="n">
        <v>0.0348</v>
      </c>
      <c r="Y384" s="22" t="n">
        <v>0.0238</v>
      </c>
      <c r="Z384" s="22" t="n">
        <v>0.0161</v>
      </c>
      <c r="AA384" s="22" t="n">
        <v>0.0348</v>
      </c>
      <c r="AB384" s="22" t="n">
        <v>0.072</v>
      </c>
      <c r="AC384" s="22" t="n">
        <v>0.0932</v>
      </c>
      <c r="AD384" s="22" t="n">
        <v>0.1122</v>
      </c>
      <c r="AE384" s="22" t="n">
        <v>0.0992</v>
      </c>
      <c r="AF384" s="22" t="n">
        <v>0.0681</v>
      </c>
      <c r="AG384" s="22" t="n">
        <v>0.0774</v>
      </c>
      <c r="AH384" s="22" t="n">
        <v>0.0943</v>
      </c>
      <c r="AI384" s="22" t="n">
        <v>0.0963</v>
      </c>
      <c r="AJ384" s="22" t="n">
        <v>0.0991</v>
      </c>
      <c r="AK384" s="22" t="n">
        <v>0.0777</v>
      </c>
      <c r="AL384" s="22" t="n">
        <v>0.0242</v>
      </c>
      <c r="AM384" s="22" t="n">
        <v>0.0847</v>
      </c>
      <c r="AN384" s="22" t="n">
        <v>0.1102</v>
      </c>
      <c r="AO384" s="22" t="n">
        <v>0.1869</v>
      </c>
      <c r="AP384" s="22" t="n">
        <v>0.1985</v>
      </c>
      <c r="AQ384" s="22" t="n">
        <v>0.1193</v>
      </c>
      <c r="AR384" s="22" t="n">
        <v>0.0101</v>
      </c>
      <c r="AS384" s="22" t="n">
        <v>-0.0689</v>
      </c>
      <c r="AT384" s="22" t="n">
        <v>-0.0667</v>
      </c>
      <c r="AU384" s="22" t="n">
        <v>-0.0119</v>
      </c>
      <c r="AV384" s="22" t="n">
        <v>0.0816</v>
      </c>
    </row>
    <row r="385" customFormat="false" ht="15" hidden="false" customHeight="false" outlineLevel="0" collapsed="false">
      <c r="A385" s="22" t="s">
        <v>544</v>
      </c>
      <c r="B385" s="22" t="s">
        <v>3</v>
      </c>
      <c r="C385" s="22" t="s">
        <v>544</v>
      </c>
      <c r="D385" s="22" t="n">
        <v>35740</v>
      </c>
      <c r="E385" s="22" t="s">
        <v>132</v>
      </c>
      <c r="F385" s="22" t="s">
        <v>135</v>
      </c>
      <c r="G385" s="22" t="s">
        <v>131</v>
      </c>
      <c r="H385" s="22" t="s">
        <v>131</v>
      </c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</row>
    <row r="386" customFormat="false" ht="15" hidden="false" customHeight="false" outlineLevel="0" collapsed="false">
      <c r="A386" s="22" t="s">
        <v>545</v>
      </c>
      <c r="B386" s="22" t="s">
        <v>3</v>
      </c>
      <c r="C386" s="22" t="s">
        <v>545</v>
      </c>
      <c r="D386" s="22" t="n">
        <v>35820</v>
      </c>
      <c r="E386" s="22" t="s">
        <v>132</v>
      </c>
      <c r="F386" s="22" t="s">
        <v>135</v>
      </c>
      <c r="G386" s="22" t="s">
        <v>131</v>
      </c>
      <c r="H386" s="22" t="s">
        <v>131</v>
      </c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 t="n">
        <v>0.2263</v>
      </c>
      <c r="AL386" s="22" t="n">
        <v>0.2509</v>
      </c>
      <c r="AM386" s="22" t="n">
        <v>0.1973</v>
      </c>
      <c r="AN386" s="22" t="n">
        <v>0.1849</v>
      </c>
      <c r="AO386" s="22" t="n">
        <v>0.127</v>
      </c>
      <c r="AP386" s="22" t="n">
        <v>0.1119</v>
      </c>
      <c r="AQ386" s="22" t="n">
        <v>0.0796</v>
      </c>
      <c r="AR386" s="22" t="n">
        <v>0.0677</v>
      </c>
      <c r="AS386" s="22" t="n">
        <v>0.0639</v>
      </c>
      <c r="AT386" s="22" t="n">
        <v>-0.0102</v>
      </c>
      <c r="AU386" s="22" t="n">
        <v>0.013</v>
      </c>
      <c r="AV386" s="22" t="n">
        <v>0.0552</v>
      </c>
    </row>
    <row r="387" customFormat="false" ht="15" hidden="false" customHeight="false" outlineLevel="0" collapsed="false">
      <c r="A387" s="22" t="s">
        <v>189</v>
      </c>
      <c r="B387" s="22" t="s">
        <v>3</v>
      </c>
      <c r="C387" s="22" t="s">
        <v>189</v>
      </c>
      <c r="D387" s="22" t="n">
        <v>235840</v>
      </c>
      <c r="E387" s="22" t="s">
        <v>132</v>
      </c>
      <c r="F387" s="22" t="s">
        <v>135</v>
      </c>
      <c r="G387" s="22" t="s">
        <v>131</v>
      </c>
      <c r="H387" s="22" t="s">
        <v>131</v>
      </c>
      <c r="I387" s="22" t="n">
        <v>0.0904</v>
      </c>
      <c r="J387" s="22" t="n">
        <v>0.0678</v>
      </c>
      <c r="K387" s="22" t="n">
        <v>0.0418</v>
      </c>
      <c r="L387" s="22" t="n">
        <v>0.0338</v>
      </c>
      <c r="M387" s="22" t="n">
        <v>0.0094</v>
      </c>
      <c r="N387" s="22" t="n">
        <v>0.0138</v>
      </c>
      <c r="O387" s="22" t="n">
        <v>0.0259</v>
      </c>
      <c r="P387" s="22" t="n">
        <v>0.0332</v>
      </c>
      <c r="Q387" s="22" t="n">
        <v>0.0463</v>
      </c>
      <c r="R387" s="22" t="n">
        <v>0.0774</v>
      </c>
      <c r="S387" s="22" t="n">
        <v>0.0701</v>
      </c>
      <c r="T387" s="22" t="n">
        <v>0.0491</v>
      </c>
      <c r="U387" s="22" t="n">
        <v>0.0386</v>
      </c>
      <c r="V387" s="22" t="n">
        <v>0.0336</v>
      </c>
      <c r="W387" s="22" t="n">
        <v>0.026</v>
      </c>
      <c r="X387" s="22" t="n">
        <v>0.016</v>
      </c>
      <c r="Y387" s="22" t="n">
        <v>0.0333</v>
      </c>
      <c r="Z387" s="22" t="n">
        <v>0.0069</v>
      </c>
      <c r="AA387" s="22" t="n">
        <v>0.002</v>
      </c>
      <c r="AB387" s="22" t="n">
        <v>0.0379</v>
      </c>
      <c r="AC387" s="22" t="n">
        <v>0.0456</v>
      </c>
      <c r="AD387" s="22" t="n">
        <v>0.1424</v>
      </c>
      <c r="AE387" s="22" t="n">
        <v>0.2782</v>
      </c>
      <c r="AF387" s="22" t="n">
        <v>0.3703</v>
      </c>
      <c r="AG387" s="22" t="n">
        <v>0.4021</v>
      </c>
      <c r="AH387" s="22" t="n">
        <v>0.3177</v>
      </c>
      <c r="AI387" s="22" t="n">
        <v>0.1774</v>
      </c>
      <c r="AJ387" s="22" t="n">
        <v>0.0897</v>
      </c>
      <c r="AK387" s="22" t="n">
        <v>0.0368</v>
      </c>
      <c r="AL387" s="22" t="n">
        <v>0.0117</v>
      </c>
      <c r="AM387" s="22" t="n">
        <v>-0.025</v>
      </c>
      <c r="AN387" s="22" t="n">
        <v>-0.0492</v>
      </c>
      <c r="AO387" s="22" t="n">
        <v>-0.0454</v>
      </c>
      <c r="AP387" s="22" t="n">
        <v>-0.0457</v>
      </c>
      <c r="AQ387" s="22" t="n">
        <v>-0.0359</v>
      </c>
      <c r="AR387" s="22" t="n">
        <v>-0.0268</v>
      </c>
      <c r="AS387" s="22" t="n">
        <v>-0.0235</v>
      </c>
      <c r="AT387" s="22" t="n">
        <v>-0.0274</v>
      </c>
      <c r="AU387" s="22" t="n">
        <v>-0.047</v>
      </c>
      <c r="AV387" s="22" t="n">
        <v>-0.0666</v>
      </c>
    </row>
    <row r="388" customFormat="false" ht="15" hidden="false" customHeight="false" outlineLevel="0" collapsed="false">
      <c r="A388" s="22" t="s">
        <v>546</v>
      </c>
      <c r="B388" s="22" t="s">
        <v>3</v>
      </c>
      <c r="C388" s="22" t="s">
        <v>546</v>
      </c>
      <c r="D388" s="22" t="n">
        <v>35940</v>
      </c>
      <c r="E388" s="22" t="s">
        <v>132</v>
      </c>
      <c r="F388" s="22" t="s">
        <v>135</v>
      </c>
      <c r="G388" s="22" t="s">
        <v>131</v>
      </c>
      <c r="H388" s="22" t="s">
        <v>131</v>
      </c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</row>
    <row r="389" customFormat="false" ht="15" hidden="false" customHeight="false" outlineLevel="0" collapsed="false">
      <c r="A389" s="22" t="s">
        <v>547</v>
      </c>
      <c r="B389" s="22" t="s">
        <v>3</v>
      </c>
      <c r="C389" s="22" t="s">
        <v>547</v>
      </c>
      <c r="D389" s="22" t="n">
        <v>35980</v>
      </c>
      <c r="E389" s="22" t="s">
        <v>132</v>
      </c>
      <c r="F389" s="22" t="s">
        <v>135</v>
      </c>
      <c r="G389" s="22" t="s">
        <v>131</v>
      </c>
      <c r="H389" s="22" t="s">
        <v>131</v>
      </c>
      <c r="I389" s="22" t="n">
        <v>0.0247</v>
      </c>
      <c r="J389" s="22" t="n">
        <v>-0.0009</v>
      </c>
      <c r="K389" s="22" t="n">
        <v>-0.0158</v>
      </c>
      <c r="L389" s="22" t="n">
        <v>-0.0024</v>
      </c>
      <c r="M389" s="22" t="n">
        <v>0.0091</v>
      </c>
      <c r="N389" s="22" t="n">
        <v>0.0358</v>
      </c>
      <c r="O389" s="22" t="n">
        <v>0.0388</v>
      </c>
      <c r="P389" s="22" t="n">
        <v>0.0264</v>
      </c>
      <c r="Q389" s="22" t="n">
        <v>0.008</v>
      </c>
      <c r="R389" s="22" t="n">
        <v>0.002</v>
      </c>
      <c r="S389" s="22" t="n">
        <v>0.0305</v>
      </c>
      <c r="T389" s="22" t="n">
        <v>0.0375</v>
      </c>
      <c r="U389" s="22" t="n">
        <v>0.0474</v>
      </c>
      <c r="V389" s="22" t="n">
        <v>0.0495</v>
      </c>
      <c r="W389" s="22" t="n">
        <v>0.0327</v>
      </c>
      <c r="X389" s="22" t="n">
        <v>0.0248</v>
      </c>
      <c r="Y389" s="22" t="n">
        <v>0.0261</v>
      </c>
      <c r="Z389" s="22" t="n">
        <v>0.0017</v>
      </c>
      <c r="AA389" s="22" t="n">
        <v>0.0037</v>
      </c>
      <c r="AB389" s="22" t="n">
        <v>0.0447</v>
      </c>
      <c r="AC389" s="22" t="n">
        <v>0.0484</v>
      </c>
      <c r="AD389" s="22" t="n">
        <v>0.1013</v>
      </c>
      <c r="AE389" s="22" t="n">
        <v>0.1502</v>
      </c>
      <c r="AF389" s="22" t="n">
        <v>0.1167</v>
      </c>
      <c r="AG389" s="22" t="n">
        <v>0.1295</v>
      </c>
      <c r="AH389" s="22" t="n">
        <v>0.1448</v>
      </c>
      <c r="AI389" s="22" t="n">
        <v>0.1292</v>
      </c>
      <c r="AJ389" s="22" t="n">
        <v>0.1244</v>
      </c>
      <c r="AK389" s="22" t="n">
        <v>0.0868</v>
      </c>
      <c r="AL389" s="22" t="n">
        <v>0.0634</v>
      </c>
      <c r="AM389" s="22" t="n">
        <v>0.0538</v>
      </c>
      <c r="AN389" s="22" t="n">
        <v>0.0862</v>
      </c>
      <c r="AO389" s="22" t="n">
        <v>0.1213</v>
      </c>
      <c r="AP389" s="22" t="n">
        <v>0.1209</v>
      </c>
      <c r="AQ389" s="22" t="n">
        <v>0.1162</v>
      </c>
      <c r="AR389" s="22" t="n">
        <v>0.0866</v>
      </c>
      <c r="AS389" s="22" t="n">
        <v>0.0434</v>
      </c>
      <c r="AT389" s="22" t="n">
        <v>0.0243</v>
      </c>
      <c r="AU389" s="22" t="n">
        <v>0.0045</v>
      </c>
      <c r="AV389" s="22" t="n">
        <v>-0.0053</v>
      </c>
    </row>
    <row r="390" customFormat="false" ht="15" hidden="false" customHeight="false" outlineLevel="0" collapsed="false">
      <c r="A390" s="22" t="s">
        <v>190</v>
      </c>
      <c r="B390" s="22" t="s">
        <v>3</v>
      </c>
      <c r="C390" s="22" t="s">
        <v>190</v>
      </c>
      <c r="D390" s="22" t="n">
        <v>36084</v>
      </c>
      <c r="E390" s="22" t="s">
        <v>132</v>
      </c>
      <c r="F390" s="22" t="s">
        <v>135</v>
      </c>
      <c r="G390" s="22" t="s">
        <v>131</v>
      </c>
      <c r="H390" s="22" t="s">
        <v>131</v>
      </c>
      <c r="I390" s="22" t="n">
        <v>0.0891</v>
      </c>
      <c r="J390" s="22" t="n">
        <v>0.0622</v>
      </c>
      <c r="K390" s="22" t="n">
        <v>0.0277</v>
      </c>
      <c r="L390" s="22" t="n">
        <v>0.0128</v>
      </c>
      <c r="M390" s="22" t="n">
        <v>0.0128</v>
      </c>
      <c r="N390" s="22" t="n">
        <v>0.0321</v>
      </c>
      <c r="O390" s="22" t="n">
        <v>0.0271</v>
      </c>
      <c r="P390" s="22" t="n">
        <v>0.0249</v>
      </c>
      <c r="Q390" s="22" t="n">
        <v>0.029</v>
      </c>
      <c r="R390" s="22" t="n">
        <v>0.0176</v>
      </c>
      <c r="S390" s="22" t="n">
        <v>0.0265</v>
      </c>
      <c r="T390" s="22" t="n">
        <v>0.0351</v>
      </c>
      <c r="U390" s="22" t="n">
        <v>0.0316</v>
      </c>
      <c r="V390" s="22" t="n">
        <v>0.0233</v>
      </c>
      <c r="W390" s="22" t="n">
        <v>0.0227</v>
      </c>
      <c r="X390" s="22" t="n">
        <v>0.0169</v>
      </c>
      <c r="Y390" s="22" t="n">
        <v>0.023</v>
      </c>
      <c r="Z390" s="22" t="n">
        <v>-0.0163</v>
      </c>
      <c r="AA390" s="22" t="n">
        <v>-0.0458</v>
      </c>
      <c r="AB390" s="22" t="n">
        <v>-0.0511</v>
      </c>
      <c r="AC390" s="22" t="n">
        <v>-0.0706</v>
      </c>
      <c r="AD390" s="22" t="n">
        <v>-0.0229</v>
      </c>
      <c r="AE390" s="22" t="n">
        <v>0.0469</v>
      </c>
      <c r="AF390" s="22" t="n">
        <v>0.0899</v>
      </c>
      <c r="AG390" s="22" t="n">
        <v>0.1273</v>
      </c>
      <c r="AH390" s="22" t="n">
        <v>0.1223</v>
      </c>
      <c r="AI390" s="22" t="n">
        <v>0.0952</v>
      </c>
      <c r="AJ390" s="22" t="n">
        <v>0.061</v>
      </c>
      <c r="AK390" s="22" t="n">
        <v>0.0274</v>
      </c>
      <c r="AL390" s="22" t="n">
        <v>0.0036</v>
      </c>
      <c r="AM390" s="22" t="n">
        <v>-0.0186</v>
      </c>
      <c r="AN390" s="22" t="n">
        <v>-0.0142</v>
      </c>
      <c r="AO390" s="22" t="n">
        <v>-0.0099</v>
      </c>
      <c r="AP390" s="22" t="n">
        <v>-0.0096</v>
      </c>
      <c r="AQ390" s="22" t="n">
        <v>-0.0097</v>
      </c>
      <c r="AR390" s="22" t="n">
        <v>-0.0062</v>
      </c>
      <c r="AS390" s="22" t="n">
        <v>0.007</v>
      </c>
      <c r="AT390" s="22" t="n">
        <v>0.024</v>
      </c>
      <c r="AU390" s="22" t="n">
        <v>0.0287</v>
      </c>
      <c r="AV390" s="22" t="n">
        <v>0.0211</v>
      </c>
    </row>
    <row r="391" customFormat="false" ht="15" hidden="false" customHeight="false" outlineLevel="0" collapsed="false">
      <c r="A391" s="22" t="s">
        <v>548</v>
      </c>
      <c r="B391" s="22" t="s">
        <v>3</v>
      </c>
      <c r="C391" s="22" t="s">
        <v>548</v>
      </c>
      <c r="D391" s="22" t="n">
        <v>36100</v>
      </c>
      <c r="E391" s="22" t="s">
        <v>132</v>
      </c>
      <c r="F391" s="22" t="s">
        <v>135</v>
      </c>
      <c r="G391" s="22" t="s">
        <v>131</v>
      </c>
      <c r="H391" s="22" t="s">
        <v>131</v>
      </c>
      <c r="I391" s="22" t="n">
        <v>0.0559</v>
      </c>
      <c r="J391" s="22" t="n">
        <v>0.0318</v>
      </c>
      <c r="K391" s="22" t="n">
        <v>0.0145</v>
      </c>
      <c r="L391" s="22" t="n">
        <v>0.0507</v>
      </c>
      <c r="M391" s="22" t="n">
        <v>0.027</v>
      </c>
      <c r="N391" s="22" t="n">
        <v>0.0682</v>
      </c>
      <c r="O391" s="22" t="n">
        <v>0.1289</v>
      </c>
      <c r="P391" s="22" t="n">
        <v>0.0817</v>
      </c>
      <c r="Q391" s="22" t="n">
        <v>0.0774</v>
      </c>
      <c r="R391" s="22" t="n">
        <v>0.0519</v>
      </c>
      <c r="S391" s="22" t="n">
        <v>0.014</v>
      </c>
      <c r="T391" s="22" t="n">
        <v>0.0138</v>
      </c>
      <c r="U391" s="22" t="n">
        <v>0.0178</v>
      </c>
      <c r="V391" s="22" t="n">
        <v>0.0656</v>
      </c>
      <c r="W391" s="22" t="n">
        <v>0.0801</v>
      </c>
      <c r="X391" s="22" t="n">
        <v>0.0898</v>
      </c>
      <c r="Y391" s="22" t="n">
        <v>0.1133</v>
      </c>
      <c r="Z391" s="22" t="n">
        <v>0.0613</v>
      </c>
      <c r="AA391" s="22" t="n">
        <v>0.0711</v>
      </c>
      <c r="AB391" s="22" t="n">
        <v>0.0851</v>
      </c>
      <c r="AC391" s="22" t="n">
        <v>0.0835</v>
      </c>
      <c r="AD391" s="22" t="n">
        <v>0.1057</v>
      </c>
      <c r="AE391" s="22" t="n">
        <v>0.1338</v>
      </c>
      <c r="AF391" s="22" t="n">
        <v>0.1727</v>
      </c>
      <c r="AG391" s="22" t="n">
        <v>0.1754</v>
      </c>
      <c r="AH391" s="22" t="n">
        <v>0.1686</v>
      </c>
      <c r="AI391" s="22" t="n">
        <v>0.1402</v>
      </c>
      <c r="AJ391" s="22" t="n">
        <v>0.0974</v>
      </c>
      <c r="AK391" s="22" t="n">
        <v>0.0523</v>
      </c>
      <c r="AL391" s="22" t="n">
        <v>0.0441</v>
      </c>
      <c r="AM391" s="22" t="n">
        <v>-0.0122</v>
      </c>
      <c r="AN391" s="22" t="n">
        <v>-0.0567</v>
      </c>
      <c r="AO391" s="22" t="n">
        <v>-0.0485</v>
      </c>
      <c r="AP391" s="22" t="n">
        <v>-0.0374</v>
      </c>
      <c r="AQ391" s="22" t="n">
        <v>0</v>
      </c>
      <c r="AR391" s="22" t="n">
        <v>0.0354</v>
      </c>
      <c r="AS391" s="22" t="n">
        <v>0.068</v>
      </c>
      <c r="AT391" s="22" t="n">
        <v>0.0338</v>
      </c>
      <c r="AU391" s="22" t="n">
        <v>0.0019</v>
      </c>
      <c r="AV391" s="22" t="n">
        <v>0.0214</v>
      </c>
    </row>
    <row r="392" customFormat="false" ht="15" hidden="false" customHeight="false" outlineLevel="0" collapsed="false">
      <c r="A392" s="22" t="s">
        <v>58</v>
      </c>
      <c r="B392" s="22" t="s">
        <v>3</v>
      </c>
      <c r="C392" s="22" t="s">
        <v>58</v>
      </c>
      <c r="D392" s="22" t="n">
        <v>36420</v>
      </c>
      <c r="E392" s="22" t="s">
        <v>132</v>
      </c>
      <c r="F392" s="22" t="s">
        <v>135</v>
      </c>
      <c r="G392" s="22" t="s">
        <v>131</v>
      </c>
      <c r="H392" s="22" t="s">
        <v>131</v>
      </c>
      <c r="I392" s="22" t="n">
        <v>-0.0015</v>
      </c>
      <c r="J392" s="22" t="n">
        <v>0.013</v>
      </c>
      <c r="K392" s="22" t="n">
        <v>0.0092</v>
      </c>
      <c r="L392" s="22" t="n">
        <v>0.0023</v>
      </c>
      <c r="M392" s="22" t="n">
        <v>-0.0041</v>
      </c>
      <c r="N392" s="22" t="n">
        <v>-0.0013</v>
      </c>
      <c r="O392" s="22" t="n">
        <v>0.0232</v>
      </c>
      <c r="P392" s="22" t="n">
        <v>0.0285</v>
      </c>
      <c r="Q392" s="22" t="n">
        <v>0.0425</v>
      </c>
      <c r="R392" s="22" t="n">
        <v>0.0466</v>
      </c>
      <c r="S392" s="22" t="n">
        <v>0.0436</v>
      </c>
      <c r="T392" s="22" t="n">
        <v>0.0536</v>
      </c>
      <c r="U392" s="22" t="n">
        <v>0.0427</v>
      </c>
      <c r="V392" s="22" t="n">
        <v>0.0373</v>
      </c>
      <c r="W392" s="22" t="n">
        <v>0.037</v>
      </c>
      <c r="X392" s="22" t="n">
        <v>0.0325</v>
      </c>
      <c r="Y392" s="22" t="n">
        <v>0.0372</v>
      </c>
      <c r="Z392" s="22" t="n">
        <v>0.0265</v>
      </c>
      <c r="AA392" s="22" t="n">
        <v>0.0204</v>
      </c>
      <c r="AB392" s="22" t="n">
        <v>0.0155</v>
      </c>
      <c r="AC392" s="22" t="n">
        <v>0.0196</v>
      </c>
      <c r="AD392" s="22" t="n">
        <v>0.0486</v>
      </c>
      <c r="AE392" s="22" t="n">
        <v>0.0907</v>
      </c>
      <c r="AF392" s="22" t="n">
        <v>0.1196</v>
      </c>
      <c r="AG392" s="22" t="n">
        <v>0.1264</v>
      </c>
      <c r="AH392" s="22" t="n">
        <v>0.1402</v>
      </c>
      <c r="AI392" s="22" t="n">
        <v>0.1231</v>
      </c>
      <c r="AJ392" s="22" t="n">
        <v>0.0904</v>
      </c>
      <c r="AK392" s="22" t="n">
        <v>0.0817</v>
      </c>
      <c r="AL392" s="22" t="n">
        <v>0.0505</v>
      </c>
      <c r="AM392" s="22" t="n">
        <v>0.0317</v>
      </c>
      <c r="AN392" s="22" t="n">
        <v>0.0376</v>
      </c>
      <c r="AO392" s="22" t="n">
        <v>0.0269</v>
      </c>
      <c r="AP392" s="22" t="n">
        <v>0.033</v>
      </c>
      <c r="AQ392" s="22" t="n">
        <v>0.0301</v>
      </c>
      <c r="AR392" s="22" t="n">
        <v>0.0199</v>
      </c>
      <c r="AS392" s="22" t="n">
        <v>0.0202</v>
      </c>
      <c r="AT392" s="22" t="n">
        <v>0.0271</v>
      </c>
      <c r="AU392" s="22" t="n">
        <v>0.0245</v>
      </c>
      <c r="AV392" s="22" t="n">
        <v>0.0298</v>
      </c>
    </row>
    <row r="393" customFormat="false" ht="15" hidden="false" customHeight="false" outlineLevel="0" collapsed="false">
      <c r="A393" s="22" t="s">
        <v>549</v>
      </c>
      <c r="B393" s="22" t="s">
        <v>3</v>
      </c>
      <c r="C393" s="22" t="s">
        <v>549</v>
      </c>
      <c r="D393" s="22" t="n">
        <v>36500</v>
      </c>
      <c r="E393" s="22" t="s">
        <v>132</v>
      </c>
      <c r="F393" s="22" t="s">
        <v>135</v>
      </c>
      <c r="G393" s="22" t="s">
        <v>131</v>
      </c>
      <c r="H393" s="22" t="s">
        <v>131</v>
      </c>
      <c r="I393" s="22" t="n">
        <v>0.039</v>
      </c>
      <c r="J393" s="22" t="n">
        <v>0.0719</v>
      </c>
      <c r="K393" s="22" t="n">
        <v>0.1022</v>
      </c>
      <c r="L393" s="22" t="n">
        <v>0.1075</v>
      </c>
      <c r="M393" s="22" t="n">
        <v>0.1228</v>
      </c>
      <c r="N393" s="22" t="n">
        <v>0.0973</v>
      </c>
      <c r="O393" s="22" t="n">
        <v>0.0901</v>
      </c>
      <c r="P393" s="22" t="n">
        <v>0.093</v>
      </c>
      <c r="Q393" s="22" t="n">
        <v>0.0621</v>
      </c>
      <c r="R393" s="22" t="n">
        <v>0.0598</v>
      </c>
      <c r="S393" s="22" t="n">
        <v>0.0591</v>
      </c>
      <c r="T393" s="22" t="n">
        <v>0.0522</v>
      </c>
      <c r="U393" s="22" t="n">
        <v>0.0518</v>
      </c>
      <c r="V393" s="22" t="n">
        <v>0.0551</v>
      </c>
      <c r="W393" s="22" t="n">
        <v>0.0424</v>
      </c>
      <c r="X393" s="22" t="n">
        <v>0.0485</v>
      </c>
      <c r="Y393" s="22" t="n">
        <v>0.0731</v>
      </c>
      <c r="Z393" s="22" t="n">
        <v>0.0534</v>
      </c>
      <c r="AA393" s="22" t="n">
        <v>0.0615</v>
      </c>
      <c r="AB393" s="22" t="n">
        <v>0.0807</v>
      </c>
      <c r="AC393" s="22" t="n">
        <v>0.078</v>
      </c>
      <c r="AD393" s="22" t="n">
        <v>0.0996</v>
      </c>
      <c r="AE393" s="22" t="n">
        <v>0.1173</v>
      </c>
      <c r="AF393" s="22" t="n">
        <v>0.115</v>
      </c>
      <c r="AG393" s="22" t="n">
        <v>0.121</v>
      </c>
      <c r="AH393" s="22" t="n">
        <v>0.1287</v>
      </c>
      <c r="AI393" s="22" t="n">
        <v>0.1043</v>
      </c>
      <c r="AJ393" s="22" t="n">
        <v>0.0569</v>
      </c>
      <c r="AK393" s="22" t="n">
        <v>0.0246</v>
      </c>
      <c r="AL393" s="22" t="n">
        <v>0.0195</v>
      </c>
      <c r="AM393" s="22" t="n">
        <v>0.0122</v>
      </c>
      <c r="AN393" s="22" t="n">
        <v>0.0271</v>
      </c>
      <c r="AO393" s="22" t="n">
        <v>0.0286</v>
      </c>
      <c r="AP393" s="22" t="n">
        <v>0.0186</v>
      </c>
      <c r="AQ393" s="22" t="n">
        <v>0.0097</v>
      </c>
      <c r="AR393" s="22" t="n">
        <v>0.0054</v>
      </c>
      <c r="AS393" s="22" t="n">
        <v>0.0117</v>
      </c>
      <c r="AT393" s="22" t="n">
        <v>0.0295</v>
      </c>
      <c r="AU393" s="22" t="n">
        <v>0.0478</v>
      </c>
      <c r="AV393" s="22" t="n">
        <v>0.0623</v>
      </c>
    </row>
    <row r="394" customFormat="false" ht="15" hidden="false" customHeight="false" outlineLevel="0" collapsed="false">
      <c r="A394" s="22" t="s">
        <v>34</v>
      </c>
      <c r="B394" s="22" t="s">
        <v>3</v>
      </c>
      <c r="C394" s="22" t="s">
        <v>34</v>
      </c>
      <c r="D394" s="22" t="n">
        <v>36540</v>
      </c>
      <c r="E394" s="22" t="s">
        <v>132</v>
      </c>
      <c r="F394" s="22" t="s">
        <v>135</v>
      </c>
      <c r="G394" s="22" t="s">
        <v>131</v>
      </c>
      <c r="H394" s="22" t="s">
        <v>131</v>
      </c>
      <c r="I394" s="22" t="n">
        <v>0.0329</v>
      </c>
      <c r="J394" s="22" t="n">
        <v>0.0457</v>
      </c>
      <c r="K394" s="22" t="n">
        <v>0.0277</v>
      </c>
      <c r="L394" s="22" t="n">
        <v>0.0176</v>
      </c>
      <c r="M394" s="22" t="n">
        <v>0.02</v>
      </c>
      <c r="N394" s="22" t="n">
        <v>0.0265</v>
      </c>
      <c r="O394" s="22" t="n">
        <v>0.0428</v>
      </c>
      <c r="P394" s="22" t="n">
        <v>0.0427</v>
      </c>
      <c r="Q394" s="22" t="n">
        <v>0.0392</v>
      </c>
      <c r="R394" s="22" t="n">
        <v>0.0333</v>
      </c>
      <c r="S394" s="22" t="n">
        <v>0.0291</v>
      </c>
      <c r="T394" s="22" t="n">
        <v>0.0336</v>
      </c>
      <c r="U394" s="22" t="n">
        <v>0.036</v>
      </c>
      <c r="V394" s="22" t="n">
        <v>0.0265</v>
      </c>
      <c r="W394" s="22" t="n">
        <v>0.0268</v>
      </c>
      <c r="X394" s="22" t="n">
        <v>0.0322</v>
      </c>
      <c r="Y394" s="22" t="n">
        <v>0.0377</v>
      </c>
      <c r="Z394" s="22" t="n">
        <v>0.0344</v>
      </c>
      <c r="AA394" s="22" t="n">
        <v>0.0266</v>
      </c>
      <c r="AB394" s="22" t="n">
        <v>0.017</v>
      </c>
      <c r="AC394" s="22" t="n">
        <v>0.0128</v>
      </c>
      <c r="AD394" s="22" t="n">
        <v>0.0331</v>
      </c>
      <c r="AE394" s="22" t="n">
        <v>0.0638</v>
      </c>
      <c r="AF394" s="22" t="n">
        <v>0.0884</v>
      </c>
      <c r="AG394" s="22" t="n">
        <v>0.1054</v>
      </c>
      <c r="AH394" s="22" t="n">
        <v>0.1088</v>
      </c>
      <c r="AI394" s="22" t="n">
        <v>0.1027</v>
      </c>
      <c r="AJ394" s="22" t="n">
        <v>0.0989</v>
      </c>
      <c r="AK394" s="22" t="n">
        <v>0.0894</v>
      </c>
      <c r="AL394" s="22" t="n">
        <v>0.0782</v>
      </c>
      <c r="AM394" s="22" t="n">
        <v>0.0696</v>
      </c>
      <c r="AN394" s="22" t="n">
        <v>0.0491</v>
      </c>
      <c r="AO394" s="22" t="n">
        <v>0.0444</v>
      </c>
      <c r="AP394" s="22" t="n">
        <v>0.041</v>
      </c>
      <c r="AQ394" s="22" t="n">
        <v>0.0473</v>
      </c>
      <c r="AR394" s="22" t="n">
        <v>0.0582</v>
      </c>
      <c r="AS394" s="22" t="n">
        <v>0.0587</v>
      </c>
      <c r="AT394" s="22" t="n">
        <v>0.0703</v>
      </c>
      <c r="AU394" s="22" t="n">
        <v>0.0588</v>
      </c>
      <c r="AV394" s="22" t="n">
        <v>0.0452</v>
      </c>
    </row>
    <row r="395" customFormat="false" ht="15" hidden="false" customHeight="false" outlineLevel="0" collapsed="false">
      <c r="A395" s="22" t="s">
        <v>550</v>
      </c>
      <c r="B395" s="22" t="s">
        <v>3</v>
      </c>
      <c r="C395" s="22" t="s">
        <v>550</v>
      </c>
      <c r="D395" s="22" t="n">
        <v>36700</v>
      </c>
      <c r="E395" s="22" t="s">
        <v>132</v>
      </c>
      <c r="F395" s="22" t="s">
        <v>135</v>
      </c>
      <c r="G395" s="22" t="s">
        <v>131</v>
      </c>
      <c r="H395" s="22" t="s">
        <v>131</v>
      </c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</row>
    <row r="396" customFormat="false" ht="15" hidden="false" customHeight="false" outlineLevel="0" collapsed="false">
      <c r="A396" s="22" t="s">
        <v>65</v>
      </c>
      <c r="B396" s="22" t="s">
        <v>3</v>
      </c>
      <c r="C396" s="22" t="s">
        <v>65</v>
      </c>
      <c r="D396" s="22" t="n">
        <v>36740</v>
      </c>
      <c r="E396" s="22" t="s">
        <v>132</v>
      </c>
      <c r="F396" s="22" t="s">
        <v>135</v>
      </c>
      <c r="G396" s="22" t="s">
        <v>131</v>
      </c>
      <c r="H396" s="22" t="s">
        <v>131</v>
      </c>
      <c r="I396" s="22" t="n">
        <v>0.0773</v>
      </c>
      <c r="J396" s="22" t="n">
        <v>0.0703</v>
      </c>
      <c r="K396" s="22" t="n">
        <v>0.0603</v>
      </c>
      <c r="L396" s="22" t="n">
        <v>0.057</v>
      </c>
      <c r="M396" s="22" t="n">
        <v>0.063</v>
      </c>
      <c r="N396" s="22" t="n">
        <v>0.0728</v>
      </c>
      <c r="O396" s="22" t="n">
        <v>0.0681</v>
      </c>
      <c r="P396" s="22" t="n">
        <v>0.0838</v>
      </c>
      <c r="Q396" s="22" t="n">
        <v>0.0878</v>
      </c>
      <c r="R396" s="22" t="n">
        <v>0.0829</v>
      </c>
      <c r="S396" s="22" t="n">
        <v>0.0757</v>
      </c>
      <c r="T396" s="22" t="n">
        <v>0.0581</v>
      </c>
      <c r="U396" s="22" t="n">
        <v>0.0504</v>
      </c>
      <c r="V396" s="22" t="n">
        <v>0.0468</v>
      </c>
      <c r="W396" s="22" t="n">
        <v>0.0409</v>
      </c>
      <c r="X396" s="22" t="n">
        <v>0.0309</v>
      </c>
      <c r="Y396" s="22" t="n">
        <v>0.0245</v>
      </c>
      <c r="Z396" s="22" t="n">
        <v>-0.0244</v>
      </c>
      <c r="AA396" s="22" t="n">
        <v>-0.0362</v>
      </c>
      <c r="AB396" s="22" t="n">
        <v>-0.033</v>
      </c>
      <c r="AC396" s="22" t="n">
        <v>-0.0247</v>
      </c>
      <c r="AD396" s="22" t="n">
        <v>0.0741</v>
      </c>
      <c r="AE396" s="22" t="n">
        <v>0.1836</v>
      </c>
      <c r="AF396" s="22" t="n">
        <v>0.2589</v>
      </c>
      <c r="AG396" s="22" t="n">
        <v>0.297</v>
      </c>
      <c r="AH396" s="22" t="n">
        <v>0.2741</v>
      </c>
      <c r="AI396" s="22" t="n">
        <v>0.1972</v>
      </c>
      <c r="AJ396" s="22" t="n">
        <v>0.1235</v>
      </c>
      <c r="AK396" s="22" t="n">
        <v>0.0776</v>
      </c>
      <c r="AL396" s="22" t="n">
        <v>0.0334</v>
      </c>
      <c r="AM396" s="22" t="n">
        <v>-0.0154</v>
      </c>
      <c r="AN396" s="22" t="n">
        <v>-0.0314</v>
      </c>
      <c r="AO396" s="22" t="n">
        <v>-0.0329</v>
      </c>
      <c r="AP396" s="22" t="n">
        <v>-0.0308</v>
      </c>
      <c r="AQ396" s="22" t="n">
        <v>-0.0182</v>
      </c>
      <c r="AR396" s="22" t="n">
        <v>-0.014</v>
      </c>
      <c r="AS396" s="22" t="n">
        <v>-0.0092</v>
      </c>
      <c r="AT396" s="22" t="n">
        <v>-0.0127</v>
      </c>
      <c r="AU396" s="22" t="n">
        <v>-0.0178</v>
      </c>
      <c r="AV396" s="22" t="n">
        <v>-0.0145</v>
      </c>
    </row>
    <row r="397" customFormat="false" ht="15" hidden="false" customHeight="false" outlineLevel="0" collapsed="false">
      <c r="A397" s="22" t="s">
        <v>551</v>
      </c>
      <c r="B397" s="22" t="s">
        <v>3</v>
      </c>
      <c r="C397" s="22" t="s">
        <v>551</v>
      </c>
      <c r="D397" s="22" t="n">
        <v>36780</v>
      </c>
      <c r="E397" s="22" t="s">
        <v>132</v>
      </c>
      <c r="F397" s="22" t="s">
        <v>135</v>
      </c>
      <c r="G397" s="22" t="s">
        <v>131</v>
      </c>
      <c r="H397" s="22" t="s">
        <v>131</v>
      </c>
      <c r="I397" s="22" t="n">
        <v>0.022</v>
      </c>
      <c r="J397" s="22" t="n">
        <v>0.0145</v>
      </c>
      <c r="K397" s="22" t="n">
        <v>0.0279</v>
      </c>
      <c r="L397" s="22" t="n">
        <v>0.0236</v>
      </c>
      <c r="M397" s="22" t="n">
        <v>0.0624</v>
      </c>
      <c r="N397" s="22" t="n">
        <v>0.0983</v>
      </c>
      <c r="O397" s="22" t="n">
        <v>0.0961</v>
      </c>
      <c r="P397" s="22" t="n">
        <v>0.0861</v>
      </c>
      <c r="Q397" s="22" t="n">
        <v>0.0184</v>
      </c>
      <c r="R397" s="22" t="n">
        <v>-0.0062</v>
      </c>
      <c r="S397" s="22" t="n">
        <v>-0.0257</v>
      </c>
      <c r="T397" s="22" t="n">
        <v>-0.0016</v>
      </c>
      <c r="U397" s="22" t="n">
        <v>0.0131</v>
      </c>
      <c r="V397" s="22" t="n">
        <v>0.0055</v>
      </c>
      <c r="W397" s="22" t="n">
        <v>0.0213</v>
      </c>
      <c r="X397" s="22" t="n">
        <v>0.0241</v>
      </c>
      <c r="Y397" s="22" t="n">
        <v>0.0176</v>
      </c>
      <c r="Z397" s="22" t="n">
        <v>0.0087</v>
      </c>
      <c r="AA397" s="22" t="n">
        <v>0.0197</v>
      </c>
      <c r="AB397" s="22" t="n">
        <v>0.0255</v>
      </c>
      <c r="AC397" s="22" t="n">
        <v>0.0406</v>
      </c>
      <c r="AD397" s="22" t="n">
        <v>0.1865</v>
      </c>
      <c r="AE397" s="22" t="n">
        <v>0.1779</v>
      </c>
      <c r="AF397" s="22" t="n">
        <v>0.1006</v>
      </c>
      <c r="AG397" s="22" t="n">
        <v>0.1076</v>
      </c>
      <c r="AH397" s="22" t="n">
        <v>0.0217</v>
      </c>
      <c r="AI397" s="22" t="n">
        <v>0.0213</v>
      </c>
      <c r="AJ397" s="22" t="n">
        <v>0.0853</v>
      </c>
      <c r="AK397" s="22" t="n">
        <v>0.168</v>
      </c>
      <c r="AL397" s="22" t="n">
        <v>0.1253</v>
      </c>
      <c r="AM397" s="22" t="n">
        <v>0.1959</v>
      </c>
      <c r="AN397" s="22" t="n">
        <v>0.2092</v>
      </c>
      <c r="AO397" s="22" t="n">
        <v>0.1335</v>
      </c>
      <c r="AP397" s="22" t="n">
        <v>0.2262</v>
      </c>
      <c r="AQ397" s="22" t="n">
        <v>0.1593</v>
      </c>
      <c r="AR397" s="22" t="n">
        <v>0.1584</v>
      </c>
      <c r="AS397" s="22" t="n">
        <v>0.1497</v>
      </c>
      <c r="AT397" s="22" t="n">
        <v>0.0923</v>
      </c>
      <c r="AU397" s="22" t="n">
        <v>0.0898</v>
      </c>
      <c r="AV397" s="22" t="n">
        <v>0.0841</v>
      </c>
    </row>
    <row r="398" customFormat="false" ht="15" hidden="false" customHeight="false" outlineLevel="0" collapsed="false">
      <c r="A398" s="22" t="s">
        <v>552</v>
      </c>
      <c r="B398" s="22" t="s">
        <v>3</v>
      </c>
      <c r="C398" s="22" t="s">
        <v>552</v>
      </c>
      <c r="D398" s="22" t="n">
        <v>36940</v>
      </c>
      <c r="E398" s="22" t="s">
        <v>132</v>
      </c>
      <c r="F398" s="22" t="s">
        <v>135</v>
      </c>
      <c r="G398" s="22" t="s">
        <v>131</v>
      </c>
      <c r="H398" s="22" t="s">
        <v>131</v>
      </c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 t="n">
        <v>0.2682</v>
      </c>
      <c r="Z398" s="22" t="n">
        <v>0.2897</v>
      </c>
      <c r="AA398" s="22" t="n">
        <v>0.3373</v>
      </c>
      <c r="AB398" s="22" t="n">
        <v>0.3021</v>
      </c>
      <c r="AC398" s="22" t="n">
        <v>0.0254</v>
      </c>
      <c r="AD398" s="22" t="n">
        <v>0.0515</v>
      </c>
      <c r="AE398" s="22" t="n">
        <v>0.0195</v>
      </c>
      <c r="AF398" s="22" t="n">
        <v>0.0376</v>
      </c>
      <c r="AG398" s="22" t="n">
        <v>-0.0093</v>
      </c>
      <c r="AH398" s="22" t="n">
        <v>-0.0515</v>
      </c>
      <c r="AI398" s="22" t="n">
        <v>-0.0442</v>
      </c>
      <c r="AJ398" s="22" t="n">
        <v>-0.0346</v>
      </c>
      <c r="AK398" s="22" t="n">
        <v>0.0312</v>
      </c>
      <c r="AL398" s="22" t="n">
        <v>0.057</v>
      </c>
      <c r="AM398" s="22"/>
      <c r="AN398" s="22"/>
      <c r="AO398" s="22"/>
      <c r="AP398" s="22"/>
      <c r="AQ398" s="22"/>
      <c r="AR398" s="22" t="n">
        <v>0.2938</v>
      </c>
      <c r="AS398" s="22" t="n">
        <v>0.277</v>
      </c>
      <c r="AT398" s="22"/>
      <c r="AU398" s="22"/>
      <c r="AV398" s="22"/>
    </row>
    <row r="399" customFormat="false" ht="15" hidden="false" customHeight="false" outlineLevel="0" collapsed="false">
      <c r="A399" s="22" t="s">
        <v>553</v>
      </c>
      <c r="B399" s="22" t="s">
        <v>3</v>
      </c>
      <c r="C399" s="22" t="s">
        <v>553</v>
      </c>
      <c r="D399" s="22" t="n">
        <v>36980</v>
      </c>
      <c r="E399" s="22" t="s">
        <v>132</v>
      </c>
      <c r="F399" s="22" t="s">
        <v>135</v>
      </c>
      <c r="G399" s="22" t="s">
        <v>131</v>
      </c>
      <c r="H399" s="22" t="s">
        <v>131</v>
      </c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 t="n">
        <v>-0.0194</v>
      </c>
      <c r="Y399" s="22" t="n">
        <v>-0.06</v>
      </c>
      <c r="Z399" s="22" t="n">
        <v>-0.0502</v>
      </c>
      <c r="AA399" s="22" t="n">
        <v>-0.067</v>
      </c>
      <c r="AB399" s="22" t="n">
        <v>-0.0056</v>
      </c>
      <c r="AC399" s="22" t="n">
        <v>0.0581</v>
      </c>
      <c r="AD399" s="22" t="n">
        <v>0.067</v>
      </c>
      <c r="AE399" s="22" t="n">
        <v>0.0813</v>
      </c>
      <c r="AF399" s="22" t="n">
        <v>0.1146</v>
      </c>
      <c r="AG399" s="22" t="n">
        <v>0.1065</v>
      </c>
      <c r="AH399" s="22" t="n">
        <v>0.1208</v>
      </c>
      <c r="AI399" s="22" t="n">
        <v>0.1646</v>
      </c>
      <c r="AJ399" s="22" t="n">
        <v>0.118</v>
      </c>
      <c r="AK399" s="22" t="n">
        <v>0.1426</v>
      </c>
      <c r="AL399" s="22" t="n">
        <v>0.1005</v>
      </c>
      <c r="AM399" s="22" t="n">
        <v>0.0629</v>
      </c>
      <c r="AN399" s="22" t="n">
        <v>0.0561</v>
      </c>
      <c r="AO399" s="22" t="n">
        <v>0.0467</v>
      </c>
      <c r="AP399" s="22" t="n">
        <v>0.0631</v>
      </c>
      <c r="AQ399" s="22" t="n">
        <v>0.0328</v>
      </c>
      <c r="AR399" s="22" t="n">
        <v>0.032</v>
      </c>
      <c r="AS399" s="22" t="n">
        <v>0.0214</v>
      </c>
      <c r="AT399" s="22" t="n">
        <v>0.0306</v>
      </c>
      <c r="AU399" s="22" t="n">
        <v>0.0814</v>
      </c>
      <c r="AV399" s="22" t="n">
        <v>0.0623</v>
      </c>
    </row>
    <row r="400" customFormat="false" ht="15" hidden="false" customHeight="false" outlineLevel="0" collapsed="false">
      <c r="A400" s="22" t="s">
        <v>554</v>
      </c>
      <c r="B400" s="22" t="s">
        <v>3</v>
      </c>
      <c r="C400" s="22" t="s">
        <v>554</v>
      </c>
      <c r="D400" s="22" t="n">
        <v>37020</v>
      </c>
      <c r="E400" s="22" t="s">
        <v>132</v>
      </c>
      <c r="F400" s="22" t="s">
        <v>135</v>
      </c>
      <c r="G400" s="22" t="s">
        <v>131</v>
      </c>
      <c r="H400" s="22" t="s">
        <v>131</v>
      </c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 t="n">
        <v>-0.0047</v>
      </c>
      <c r="AO400" s="22" t="n">
        <v>-0.0134</v>
      </c>
      <c r="AP400" s="22" t="n">
        <v>-0.0141</v>
      </c>
      <c r="AQ400" s="22" t="n">
        <v>0.0835</v>
      </c>
      <c r="AR400" s="22" t="n">
        <v>0.4272</v>
      </c>
      <c r="AS400" s="22" t="n">
        <v>0.4787</v>
      </c>
      <c r="AT400" s="22" t="n">
        <v>0.4988</v>
      </c>
      <c r="AU400" s="22" t="n">
        <v>0.3396</v>
      </c>
      <c r="AV400" s="22" t="n">
        <v>0.0385</v>
      </c>
    </row>
    <row r="401" customFormat="false" ht="15" hidden="false" customHeight="false" outlineLevel="0" collapsed="false">
      <c r="A401" s="22" t="s">
        <v>555</v>
      </c>
      <c r="B401" s="22" t="s">
        <v>3</v>
      </c>
      <c r="C401" s="22" t="s">
        <v>555</v>
      </c>
      <c r="D401" s="22" t="n">
        <v>37060</v>
      </c>
      <c r="E401" s="22" t="s">
        <v>132</v>
      </c>
      <c r="F401" s="22" t="s">
        <v>135</v>
      </c>
      <c r="G401" s="22" t="s">
        <v>131</v>
      </c>
      <c r="H401" s="22" t="s">
        <v>131</v>
      </c>
      <c r="I401" s="22" t="n">
        <v>0.1595</v>
      </c>
      <c r="J401" s="22" t="n">
        <v>0.1869</v>
      </c>
      <c r="K401" s="22" t="n">
        <v>0.1732</v>
      </c>
      <c r="L401" s="22" t="n">
        <v>0.1621</v>
      </c>
      <c r="M401" s="22" t="n">
        <v>0.0237</v>
      </c>
      <c r="N401" s="22" t="n">
        <v>0.0166</v>
      </c>
      <c r="O401" s="22" t="n">
        <v>0.0097</v>
      </c>
      <c r="P401" s="22" t="n">
        <v>0.0016</v>
      </c>
      <c r="Q401" s="22" t="n">
        <v>0.0128</v>
      </c>
      <c r="R401" s="22" t="n">
        <v>-0.0043</v>
      </c>
      <c r="S401" s="22" t="n">
        <v>-0.0084</v>
      </c>
      <c r="T401" s="22" t="n">
        <v>0.0037</v>
      </c>
      <c r="U401" s="22" t="n">
        <v>0.0038</v>
      </c>
      <c r="V401" s="22" t="n">
        <v>0.014</v>
      </c>
      <c r="W401" s="22" t="n">
        <v>-0.0657</v>
      </c>
      <c r="X401" s="22" t="n">
        <v>0.0296</v>
      </c>
      <c r="Y401" s="22" t="n">
        <v>0.0202</v>
      </c>
      <c r="Z401" s="22" t="n">
        <v>-0.0037</v>
      </c>
      <c r="AA401" s="22" t="n">
        <v>-0.0452</v>
      </c>
      <c r="AB401" s="22" t="n">
        <v>-0.0017</v>
      </c>
      <c r="AC401" s="22" t="n">
        <v>-0.101</v>
      </c>
      <c r="AD401" s="22" t="n">
        <v>0.0254</v>
      </c>
      <c r="AE401" s="22" t="n">
        <v>0.2161</v>
      </c>
      <c r="AF401" s="22" t="n">
        <v>0.049</v>
      </c>
      <c r="AG401" s="22" t="n">
        <v>0.1852</v>
      </c>
      <c r="AH401" s="22" t="n">
        <v>0.0988</v>
      </c>
      <c r="AI401" s="22" t="n">
        <v>0.0986</v>
      </c>
      <c r="AJ401" s="22" t="n">
        <v>0.118</v>
      </c>
      <c r="AK401" s="22" t="n">
        <v>0.117</v>
      </c>
      <c r="AL401" s="22" t="n">
        <v>0.1384</v>
      </c>
      <c r="AM401" s="22" t="n">
        <v>0.1361</v>
      </c>
      <c r="AN401" s="22" t="n">
        <v>0.1744</v>
      </c>
      <c r="AO401" s="22" t="n">
        <v>0.1804</v>
      </c>
      <c r="AP401" s="22" t="n">
        <v>0.177</v>
      </c>
      <c r="AQ401" s="22" t="n">
        <v>0.1817</v>
      </c>
      <c r="AR401" s="22" t="n">
        <v>0.1379</v>
      </c>
      <c r="AS401" s="22" t="n">
        <v>0.1622</v>
      </c>
      <c r="AT401" s="22" t="n">
        <v>0.1728</v>
      </c>
      <c r="AU401" s="22" t="n">
        <v>0.1273</v>
      </c>
      <c r="AV401" s="22" t="n">
        <v>0.0963</v>
      </c>
    </row>
    <row r="402" customFormat="false" ht="15" hidden="false" customHeight="false" outlineLevel="0" collapsed="false">
      <c r="A402" s="22" t="s">
        <v>191</v>
      </c>
      <c r="B402" s="22" t="s">
        <v>3</v>
      </c>
      <c r="C402" s="22" t="s">
        <v>191</v>
      </c>
      <c r="D402" s="22" t="n">
        <v>37100</v>
      </c>
      <c r="E402" s="22" t="s">
        <v>132</v>
      </c>
      <c r="F402" s="22" t="s">
        <v>135</v>
      </c>
      <c r="G402" s="22" t="s">
        <v>131</v>
      </c>
      <c r="H402" s="22" t="s">
        <v>131</v>
      </c>
      <c r="I402" s="22" t="n">
        <v>0.0713</v>
      </c>
      <c r="J402" s="22" t="n">
        <v>0.053</v>
      </c>
      <c r="K402" s="22" t="n">
        <v>0.0382</v>
      </c>
      <c r="L402" s="22" t="n">
        <v>0.043</v>
      </c>
      <c r="M402" s="22" t="n">
        <v>0.0364</v>
      </c>
      <c r="N402" s="22" t="n">
        <v>0.0557</v>
      </c>
      <c r="O402" s="22" t="n">
        <v>0.0555</v>
      </c>
      <c r="P402" s="22" t="n">
        <v>0.0329</v>
      </c>
      <c r="Q402" s="22" t="n">
        <v>0.0376</v>
      </c>
      <c r="R402" s="22" t="n">
        <v>0.0255</v>
      </c>
      <c r="S402" s="22" t="n">
        <v>0.0367</v>
      </c>
      <c r="T402" s="22" t="n">
        <v>0.0488</v>
      </c>
      <c r="U402" s="22" t="n">
        <v>0.0459</v>
      </c>
      <c r="V402" s="22" t="n">
        <v>0.0423</v>
      </c>
      <c r="W402" s="22" t="n">
        <v>0.0339</v>
      </c>
      <c r="X402" s="22" t="n">
        <v>0.0422</v>
      </c>
      <c r="Y402" s="22" t="n">
        <v>0.0356</v>
      </c>
      <c r="Z402" s="22" t="n">
        <v>-0.0111</v>
      </c>
      <c r="AA402" s="22" t="n">
        <v>0.0072</v>
      </c>
      <c r="AB402" s="22" t="n">
        <v>0.0368</v>
      </c>
      <c r="AC402" s="22" t="n">
        <v>0.0554</v>
      </c>
      <c r="AD402" s="22" t="n">
        <v>0.1273</v>
      </c>
      <c r="AE402" s="22" t="n">
        <v>0.1492</v>
      </c>
      <c r="AF402" s="22" t="n">
        <v>0.1778</v>
      </c>
      <c r="AG402" s="22" t="n">
        <v>0.1664</v>
      </c>
      <c r="AH402" s="22" t="n">
        <v>0.1394</v>
      </c>
      <c r="AI402" s="22" t="n">
        <v>0.1044</v>
      </c>
      <c r="AJ402" s="22" t="n">
        <v>0.0354</v>
      </c>
      <c r="AK402" s="22" t="n">
        <v>0.0236</v>
      </c>
      <c r="AL402" s="22" t="n">
        <v>0.0308</v>
      </c>
      <c r="AM402" s="22" t="n">
        <v>0.028</v>
      </c>
      <c r="AN402" s="22" t="n">
        <v>0.0381</v>
      </c>
      <c r="AO402" s="22" t="n">
        <v>0.0348</v>
      </c>
      <c r="AP402" s="22" t="n">
        <v>0.0143</v>
      </c>
      <c r="AQ402" s="22" t="n">
        <v>0.0078</v>
      </c>
      <c r="AR402" s="22" t="n">
        <v>-0.0071</v>
      </c>
      <c r="AS402" s="22" t="n">
        <v>0.0121</v>
      </c>
      <c r="AT402" s="22" t="n">
        <v>0.0297</v>
      </c>
      <c r="AU402" s="22" t="n">
        <v>0.0031</v>
      </c>
      <c r="AV402" s="22" t="n">
        <v>0.0103</v>
      </c>
    </row>
    <row r="403" customFormat="false" ht="15" hidden="false" customHeight="false" outlineLevel="0" collapsed="false">
      <c r="A403" s="22" t="s">
        <v>556</v>
      </c>
      <c r="B403" s="22" t="s">
        <v>3</v>
      </c>
      <c r="C403" s="22" t="s">
        <v>556</v>
      </c>
      <c r="D403" s="22" t="n">
        <v>37140</v>
      </c>
      <c r="E403" s="22" t="s">
        <v>132</v>
      </c>
      <c r="F403" s="22" t="s">
        <v>135</v>
      </c>
      <c r="G403" s="22" t="s">
        <v>131</v>
      </c>
      <c r="H403" s="22" t="s">
        <v>131</v>
      </c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 t="n">
        <v>0.0498</v>
      </c>
      <c r="AO403" s="22" t="n">
        <v>0.2065</v>
      </c>
      <c r="AP403" s="22" t="n">
        <v>0.1198</v>
      </c>
      <c r="AQ403" s="22" t="n">
        <v>0.0903</v>
      </c>
      <c r="AR403" s="22" t="n">
        <v>0.0191</v>
      </c>
      <c r="AS403" s="22" t="n">
        <v>0.007</v>
      </c>
      <c r="AT403" s="22" t="n">
        <v>0.0445</v>
      </c>
      <c r="AU403" s="22" t="n">
        <v>0.0427</v>
      </c>
      <c r="AV403" s="22" t="n">
        <v>-0.0039</v>
      </c>
    </row>
    <row r="404" customFormat="false" ht="15" hidden="false" customHeight="false" outlineLevel="0" collapsed="false">
      <c r="A404" s="22" t="s">
        <v>557</v>
      </c>
      <c r="B404" s="22" t="s">
        <v>3</v>
      </c>
      <c r="C404" s="22" t="s">
        <v>557</v>
      </c>
      <c r="D404" s="22" t="n">
        <v>37260</v>
      </c>
      <c r="E404" s="22" t="s">
        <v>132</v>
      </c>
      <c r="F404" s="22" t="s">
        <v>135</v>
      </c>
      <c r="G404" s="22" t="s">
        <v>131</v>
      </c>
      <c r="H404" s="22" t="s">
        <v>131</v>
      </c>
      <c r="I404" s="22"/>
      <c r="J404" s="22" t="n">
        <v>0.0123</v>
      </c>
      <c r="K404" s="22"/>
      <c r="L404" s="22"/>
      <c r="M404" s="22"/>
      <c r="N404" s="22" t="n">
        <v>0.1299</v>
      </c>
      <c r="O404" s="22" t="n">
        <v>0.1691</v>
      </c>
      <c r="P404" s="22" t="n">
        <v>0.2729</v>
      </c>
      <c r="Q404" s="22" t="n">
        <v>0.1005</v>
      </c>
      <c r="R404" s="22" t="n">
        <v>0.1516</v>
      </c>
      <c r="S404" s="22" t="n">
        <v>0.0789</v>
      </c>
      <c r="T404" s="22" t="n">
        <v>-0.1899</v>
      </c>
      <c r="U404" s="22" t="n">
        <v>-0.1202</v>
      </c>
      <c r="V404" s="22" t="n">
        <v>-0.1078</v>
      </c>
      <c r="W404" s="22" t="n">
        <v>-0.1571</v>
      </c>
      <c r="X404" s="22" t="n">
        <v>0.016</v>
      </c>
      <c r="Y404" s="22" t="n">
        <v>0.0531</v>
      </c>
      <c r="Z404" s="22" t="n">
        <v>0.0119</v>
      </c>
      <c r="AA404" s="22" t="n">
        <v>0.0548</v>
      </c>
      <c r="AB404" s="22" t="n">
        <v>0.1158</v>
      </c>
      <c r="AC404" s="22" t="n">
        <v>0.1483</v>
      </c>
      <c r="AD404" s="22" t="n">
        <v>0.1464</v>
      </c>
      <c r="AE404" s="22" t="n">
        <v>0.1429</v>
      </c>
      <c r="AF404" s="22" t="n">
        <v>0.0853</v>
      </c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</row>
    <row r="405" customFormat="false" ht="15" hidden="false" customHeight="false" outlineLevel="0" collapsed="false">
      <c r="A405" s="22" t="s">
        <v>69</v>
      </c>
      <c r="B405" s="22" t="s">
        <v>3</v>
      </c>
      <c r="C405" s="22" t="s">
        <v>69</v>
      </c>
      <c r="D405" s="22" t="n">
        <v>37340</v>
      </c>
      <c r="E405" s="22" t="s">
        <v>132</v>
      </c>
      <c r="F405" s="22" t="s">
        <v>135</v>
      </c>
      <c r="G405" s="22" t="s">
        <v>131</v>
      </c>
      <c r="H405" s="22" t="s">
        <v>131</v>
      </c>
      <c r="I405" s="22" t="n">
        <v>0.0706</v>
      </c>
      <c r="J405" s="22" t="n">
        <v>0.0706</v>
      </c>
      <c r="K405" s="22" t="n">
        <v>0.0651</v>
      </c>
      <c r="L405" s="22" t="n">
        <v>0.0667</v>
      </c>
      <c r="M405" s="22" t="n">
        <v>0.0868</v>
      </c>
      <c r="N405" s="22" t="n">
        <v>0.0668</v>
      </c>
      <c r="O405" s="22" t="n">
        <v>0.0567</v>
      </c>
      <c r="P405" s="22" t="n">
        <v>0.0536</v>
      </c>
      <c r="Q405" s="22" t="n">
        <v>0.0227</v>
      </c>
      <c r="R405" s="22" t="n">
        <v>0.0539</v>
      </c>
      <c r="S405" s="22" t="n">
        <v>0.0696</v>
      </c>
      <c r="T405" s="22" t="n">
        <v>0.0636</v>
      </c>
      <c r="U405" s="22" t="n">
        <v>0.0436</v>
      </c>
      <c r="V405" s="22" t="n">
        <v>0.0239</v>
      </c>
      <c r="W405" s="22" t="n">
        <v>0.0171</v>
      </c>
      <c r="X405" s="22" t="n">
        <v>0.0445</v>
      </c>
      <c r="Y405" s="22" t="n">
        <v>0.0855</v>
      </c>
      <c r="Z405" s="22" t="n">
        <v>0.0554</v>
      </c>
      <c r="AA405" s="22" t="n">
        <v>0.071</v>
      </c>
      <c r="AB405" s="22" t="n">
        <v>0.0427</v>
      </c>
      <c r="AC405" s="22" t="n">
        <v>0.0435</v>
      </c>
      <c r="AD405" s="22" t="n">
        <v>0.1248</v>
      </c>
      <c r="AE405" s="22" t="n">
        <v>0.2104</v>
      </c>
      <c r="AF405" s="22" t="n">
        <v>0.2571</v>
      </c>
      <c r="AG405" s="22" t="n">
        <v>0.2578</v>
      </c>
      <c r="AH405" s="22" t="n">
        <v>0.2341</v>
      </c>
      <c r="AI405" s="22" t="n">
        <v>0.1622</v>
      </c>
      <c r="AJ405" s="22" t="n">
        <v>0.1148</v>
      </c>
      <c r="AK405" s="22" t="n">
        <v>0.0999</v>
      </c>
      <c r="AL405" s="22" t="n">
        <v>0.0655</v>
      </c>
      <c r="AM405" s="22" t="n">
        <v>0.017</v>
      </c>
      <c r="AN405" s="22" t="n">
        <v>-0.0095</v>
      </c>
      <c r="AO405" s="22" t="n">
        <v>-0.0222</v>
      </c>
      <c r="AP405" s="22" t="n">
        <v>-0.0206</v>
      </c>
      <c r="AQ405" s="22" t="n">
        <v>-0.0134</v>
      </c>
      <c r="AR405" s="22" t="n">
        <v>0.015</v>
      </c>
      <c r="AS405" s="22" t="n">
        <v>0.0104</v>
      </c>
      <c r="AT405" s="22" t="n">
        <v>0.0138</v>
      </c>
      <c r="AU405" s="22" t="n">
        <v>0.0059</v>
      </c>
      <c r="AV405" s="22" t="n">
        <v>0.0004</v>
      </c>
    </row>
    <row r="406" customFormat="false" ht="15" hidden="false" customHeight="false" outlineLevel="0" collapsed="false">
      <c r="A406" s="22" t="s">
        <v>558</v>
      </c>
      <c r="B406" s="22" t="s">
        <v>3</v>
      </c>
      <c r="C406" s="22" t="s">
        <v>558</v>
      </c>
      <c r="D406" s="22" t="n">
        <v>37460</v>
      </c>
      <c r="E406" s="22" t="s">
        <v>132</v>
      </c>
      <c r="F406" s="22" t="s">
        <v>135</v>
      </c>
      <c r="G406" s="22" t="s">
        <v>131</v>
      </c>
      <c r="H406" s="22" t="s">
        <v>131</v>
      </c>
      <c r="I406" s="22" t="n">
        <v>0.018</v>
      </c>
      <c r="J406" s="22" t="n">
        <v>0.0149</v>
      </c>
      <c r="K406" s="22" t="n">
        <v>0.0328</v>
      </c>
      <c r="L406" s="22" t="n">
        <v>0.0187</v>
      </c>
      <c r="M406" s="22" t="n">
        <v>0.032</v>
      </c>
      <c r="N406" s="22" t="n">
        <v>0.0523</v>
      </c>
      <c r="O406" s="22" t="n">
        <v>0.0565</v>
      </c>
      <c r="P406" s="22" t="n">
        <v>0.0493</v>
      </c>
      <c r="Q406" s="22" t="n">
        <v>0.0374</v>
      </c>
      <c r="R406" s="22" t="n">
        <v>0.0312</v>
      </c>
      <c r="S406" s="22" t="n">
        <v>0.037</v>
      </c>
      <c r="T406" s="22" t="n">
        <v>0.1155</v>
      </c>
      <c r="U406" s="22" t="n">
        <v>0.2254</v>
      </c>
      <c r="V406" s="22" t="n">
        <v>0.2719</v>
      </c>
      <c r="W406" s="22" t="n">
        <v>0.3195</v>
      </c>
      <c r="X406" s="22" t="n">
        <v>0.1915</v>
      </c>
      <c r="Y406" s="22" t="n">
        <v>0.0088</v>
      </c>
      <c r="Z406" s="22" t="n">
        <v>-0.1139</v>
      </c>
      <c r="AA406" s="22" t="n">
        <v>-0.1348</v>
      </c>
      <c r="AB406" s="22" t="n">
        <v>-0.0697</v>
      </c>
      <c r="AC406" s="22" t="n">
        <v>0.01</v>
      </c>
      <c r="AD406" s="22" t="n">
        <v>0.131</v>
      </c>
      <c r="AE406" s="22" t="n">
        <v>0.163</v>
      </c>
      <c r="AF406" s="22" t="n">
        <v>0.1793</v>
      </c>
      <c r="AG406" s="22" t="n">
        <v>0.1657</v>
      </c>
      <c r="AH406" s="22" t="n">
        <v>0.1301</v>
      </c>
      <c r="AI406" s="22" t="n">
        <v>0.0912</v>
      </c>
      <c r="AJ406" s="22" t="n">
        <v>0.0408</v>
      </c>
      <c r="AK406" s="22" t="n">
        <v>0.0255</v>
      </c>
      <c r="AL406" s="22" t="n">
        <v>0.0066</v>
      </c>
      <c r="AM406" s="22" t="n">
        <v>-0.0083</v>
      </c>
      <c r="AN406" s="22" t="n">
        <v>-0.0152</v>
      </c>
      <c r="AO406" s="22" t="n">
        <v>-0.0078</v>
      </c>
      <c r="AP406" s="22" t="n">
        <v>0.0035</v>
      </c>
      <c r="AQ406" s="22" t="n">
        <v>0.014</v>
      </c>
      <c r="AR406" s="22" t="n">
        <v>-0.0012</v>
      </c>
      <c r="AS406" s="22" t="n">
        <v>-0.0146</v>
      </c>
      <c r="AT406" s="22" t="n">
        <v>-0.0132</v>
      </c>
      <c r="AU406" s="22" t="n">
        <v>-0.0338</v>
      </c>
      <c r="AV406" s="22" t="n">
        <v>-0.0096</v>
      </c>
    </row>
    <row r="407" customFormat="false" ht="15" hidden="false" customHeight="false" outlineLevel="0" collapsed="false">
      <c r="A407" s="22" t="s">
        <v>559</v>
      </c>
      <c r="B407" s="22" t="s">
        <v>3</v>
      </c>
      <c r="C407" s="22" t="s">
        <v>559</v>
      </c>
      <c r="D407" s="22" t="n">
        <v>37580</v>
      </c>
      <c r="E407" s="22" t="s">
        <v>132</v>
      </c>
      <c r="F407" s="22" t="s">
        <v>135</v>
      </c>
      <c r="G407" s="22" t="s">
        <v>131</v>
      </c>
      <c r="H407" s="22" t="s">
        <v>131</v>
      </c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</row>
    <row r="408" customFormat="false" ht="15" hidden="false" customHeight="false" outlineLevel="0" collapsed="false">
      <c r="A408" s="22" t="s">
        <v>560</v>
      </c>
      <c r="B408" s="22" t="s">
        <v>3</v>
      </c>
      <c r="C408" s="22" t="s">
        <v>560</v>
      </c>
      <c r="D408" s="22" t="n">
        <v>37620</v>
      </c>
      <c r="E408" s="22" t="s">
        <v>132</v>
      </c>
      <c r="F408" s="22" t="s">
        <v>135</v>
      </c>
      <c r="G408" s="22" t="s">
        <v>131</v>
      </c>
      <c r="H408" s="22" t="s">
        <v>131</v>
      </c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</row>
    <row r="409" customFormat="false" ht="15" hidden="false" customHeight="false" outlineLevel="0" collapsed="false">
      <c r="A409" s="22" t="s">
        <v>192</v>
      </c>
      <c r="B409" s="22" t="s">
        <v>3</v>
      </c>
      <c r="C409" s="22" t="s">
        <v>192</v>
      </c>
      <c r="D409" s="22" t="n">
        <v>37860</v>
      </c>
      <c r="E409" s="22" t="s">
        <v>132</v>
      </c>
      <c r="F409" s="22" t="s">
        <v>135</v>
      </c>
      <c r="G409" s="22" t="s">
        <v>131</v>
      </c>
      <c r="H409" s="22" t="s">
        <v>131</v>
      </c>
      <c r="I409" s="22" t="n">
        <v>0.0271</v>
      </c>
      <c r="J409" s="22" t="n">
        <v>0.0235</v>
      </c>
      <c r="K409" s="22" t="n">
        <v>0.0145</v>
      </c>
      <c r="L409" s="22" t="n">
        <v>0.0189</v>
      </c>
      <c r="M409" s="22" t="n">
        <v>0.0428</v>
      </c>
      <c r="N409" s="22" t="n">
        <v>0.0357</v>
      </c>
      <c r="O409" s="22" t="n">
        <v>0.0521</v>
      </c>
      <c r="P409" s="22" t="n">
        <v>0.0519</v>
      </c>
      <c r="Q409" s="22" t="n">
        <v>0.0496</v>
      </c>
      <c r="R409" s="22" t="n">
        <v>0.0671</v>
      </c>
      <c r="S409" s="22" t="n">
        <v>0.092</v>
      </c>
      <c r="T409" s="22" t="n">
        <v>0.087</v>
      </c>
      <c r="U409" s="22" t="n">
        <v>0.0787</v>
      </c>
      <c r="V409" s="22" t="n">
        <v>0.0743</v>
      </c>
      <c r="W409" s="22" t="n">
        <v>0.0667</v>
      </c>
      <c r="X409" s="22" t="n">
        <v>0.0644</v>
      </c>
      <c r="Y409" s="22" t="n">
        <v>0.0742</v>
      </c>
      <c r="Z409" s="22" t="n">
        <v>0.0552</v>
      </c>
      <c r="AA409" s="22" t="n">
        <v>0.0472</v>
      </c>
      <c r="AB409" s="22" t="n">
        <v>0.0683</v>
      </c>
      <c r="AC409" s="22" t="n">
        <v>0.0766</v>
      </c>
      <c r="AD409" s="22" t="n">
        <v>0.1108</v>
      </c>
      <c r="AE409" s="22" t="n">
        <v>0.1746</v>
      </c>
      <c r="AF409" s="22" t="n">
        <v>0.1957</v>
      </c>
      <c r="AG409" s="22" t="n">
        <v>0.2017</v>
      </c>
      <c r="AH409" s="22" t="n">
        <v>0.1919</v>
      </c>
      <c r="AI409" s="22" t="n">
        <v>0.1311</v>
      </c>
      <c r="AJ409" s="22" t="n">
        <v>0.0798</v>
      </c>
      <c r="AK409" s="22" t="n">
        <v>0.0502</v>
      </c>
      <c r="AL409" s="22" t="n">
        <v>0.0268</v>
      </c>
      <c r="AM409" s="22" t="n">
        <v>-0.009</v>
      </c>
      <c r="AN409" s="22" t="n">
        <v>-0.009</v>
      </c>
      <c r="AO409" s="22" t="n">
        <v>-0.0105</v>
      </c>
      <c r="AP409" s="22" t="n">
        <v>0.018</v>
      </c>
      <c r="AQ409" s="22" t="n">
        <v>0.0488</v>
      </c>
      <c r="AR409" s="22" t="n">
        <v>0.0344</v>
      </c>
      <c r="AS409" s="22" t="n">
        <v>0.0353</v>
      </c>
      <c r="AT409" s="22" t="n">
        <v>0.0168</v>
      </c>
      <c r="AU409" s="22" t="n">
        <v>0.0013</v>
      </c>
      <c r="AV409" s="22" t="n">
        <v>0.0189</v>
      </c>
    </row>
    <row r="410" customFormat="false" ht="15" hidden="false" customHeight="false" outlineLevel="0" collapsed="false">
      <c r="A410" s="22" t="s">
        <v>561</v>
      </c>
      <c r="B410" s="22" t="s">
        <v>3</v>
      </c>
      <c r="C410" s="22" t="s">
        <v>561</v>
      </c>
      <c r="D410" s="22" t="n">
        <v>37900</v>
      </c>
      <c r="E410" s="22" t="s">
        <v>132</v>
      </c>
      <c r="F410" s="22" t="s">
        <v>135</v>
      </c>
      <c r="G410" s="22" t="s">
        <v>131</v>
      </c>
      <c r="H410" s="22" t="s">
        <v>131</v>
      </c>
      <c r="I410" s="22" t="n">
        <v>0.0229</v>
      </c>
      <c r="J410" s="22" t="n">
        <v>0.0478</v>
      </c>
      <c r="K410" s="22" t="n">
        <v>-0.0641</v>
      </c>
      <c r="L410" s="22" t="n">
        <v>-0.0783</v>
      </c>
      <c r="M410" s="22" t="n">
        <v>-0.0679</v>
      </c>
      <c r="N410" s="22" t="n">
        <v>-0.137</v>
      </c>
      <c r="O410" s="22" t="n">
        <v>-0.0279</v>
      </c>
      <c r="P410" s="22" t="n">
        <v>0.0075</v>
      </c>
      <c r="Q410" s="22" t="n">
        <v>0.0435</v>
      </c>
      <c r="R410" s="22" t="n">
        <v>0.0302</v>
      </c>
      <c r="S410" s="22" t="n">
        <v>0.0076</v>
      </c>
      <c r="T410" s="22" t="n">
        <v>-0.0158</v>
      </c>
      <c r="U410" s="22" t="n">
        <v>-0.0045</v>
      </c>
      <c r="V410" s="22" t="n">
        <v>0.0398</v>
      </c>
      <c r="W410" s="22" t="n">
        <v>0.0498</v>
      </c>
      <c r="X410" s="22" t="n">
        <v>0.0574</v>
      </c>
      <c r="Y410" s="22" t="n">
        <v>0.0462</v>
      </c>
      <c r="Z410" s="22" t="n">
        <v>-0.0031</v>
      </c>
      <c r="AA410" s="22" t="n">
        <v>0.013</v>
      </c>
      <c r="AB410" s="22" t="n">
        <v>0.0212</v>
      </c>
      <c r="AC410" s="22" t="n">
        <v>0.0138</v>
      </c>
      <c r="AD410" s="22" t="n">
        <v>0.0365</v>
      </c>
      <c r="AE410" s="22" t="n">
        <v>0.0523</v>
      </c>
      <c r="AF410" s="22" t="n">
        <v>0.0324</v>
      </c>
      <c r="AG410" s="22" t="n">
        <v>0.0791</v>
      </c>
      <c r="AH410" s="22" t="n">
        <v>0.1019</v>
      </c>
      <c r="AI410" s="22" t="n">
        <v>0.1195</v>
      </c>
      <c r="AJ410" s="22" t="n">
        <v>0.1309</v>
      </c>
      <c r="AK410" s="22" t="n">
        <v>0.1092</v>
      </c>
      <c r="AL410" s="22" t="n">
        <v>0.0864</v>
      </c>
      <c r="AM410" s="22" t="n">
        <v>0.0916</v>
      </c>
      <c r="AN410" s="22" t="n">
        <v>0.1169</v>
      </c>
      <c r="AO410" s="22" t="n">
        <v>0.0827</v>
      </c>
      <c r="AP410" s="22" t="n">
        <v>0.1065</v>
      </c>
      <c r="AQ410" s="22" t="n">
        <v>0.0731</v>
      </c>
      <c r="AR410" s="22" t="n">
        <v>0.0217</v>
      </c>
      <c r="AS410" s="22" t="n">
        <v>0.0467</v>
      </c>
      <c r="AT410" s="22" t="n">
        <v>0.0217</v>
      </c>
      <c r="AU410" s="22" t="n">
        <v>-0.0019</v>
      </c>
      <c r="AV410" s="22" t="n">
        <v>0.0371</v>
      </c>
    </row>
    <row r="411" customFormat="false" ht="15" hidden="false" customHeight="false" outlineLevel="0" collapsed="false">
      <c r="A411" s="22" t="s">
        <v>562</v>
      </c>
      <c r="B411" s="22" t="s">
        <v>3</v>
      </c>
      <c r="C411" s="22" t="s">
        <v>562</v>
      </c>
      <c r="D411" s="22" t="n">
        <v>37940</v>
      </c>
      <c r="E411" s="22" t="s">
        <v>132</v>
      </c>
      <c r="F411" s="22" t="s">
        <v>135</v>
      </c>
      <c r="G411" s="22" t="s">
        <v>131</v>
      </c>
      <c r="H411" s="22" t="s">
        <v>131</v>
      </c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</row>
    <row r="412" customFormat="false" ht="15" hidden="false" customHeight="false" outlineLevel="0" collapsed="false">
      <c r="A412" s="22" t="s">
        <v>193</v>
      </c>
      <c r="B412" s="22" t="s">
        <v>3</v>
      </c>
      <c r="C412" s="22" t="s">
        <v>193</v>
      </c>
      <c r="D412" s="22" t="n">
        <v>37980</v>
      </c>
      <c r="E412" s="22" t="s">
        <v>132</v>
      </c>
      <c r="F412" s="22" t="s">
        <v>135</v>
      </c>
      <c r="G412" s="22" t="s">
        <v>131</v>
      </c>
      <c r="H412" s="22" t="s">
        <v>131</v>
      </c>
      <c r="I412" s="22" t="n">
        <v>0.0193</v>
      </c>
      <c r="J412" s="22" t="n">
        <v>0.0287</v>
      </c>
      <c r="K412" s="22" t="n">
        <v>0.0126</v>
      </c>
      <c r="L412" s="22" t="n">
        <v>0.0179</v>
      </c>
      <c r="M412" s="22" t="n">
        <v>0.0224</v>
      </c>
      <c r="N412" s="22" t="n">
        <v>0.0149</v>
      </c>
      <c r="O412" s="22" t="n">
        <v>0.0308</v>
      </c>
      <c r="P412" s="22" t="n">
        <v>0.0319</v>
      </c>
      <c r="Q412" s="22" t="n">
        <v>0.034</v>
      </c>
      <c r="R412" s="22" t="n">
        <v>0.0287</v>
      </c>
      <c r="S412" s="22" t="n">
        <v>0.0415</v>
      </c>
      <c r="T412" s="22" t="n">
        <v>0.0517</v>
      </c>
      <c r="U412" s="22" t="n">
        <v>0.0492</v>
      </c>
      <c r="V412" s="22" t="n">
        <v>0.0561</v>
      </c>
      <c r="W412" s="22" t="n">
        <v>0.0565</v>
      </c>
      <c r="X412" s="22" t="n">
        <v>0.0492</v>
      </c>
      <c r="Y412" s="22" t="n">
        <v>0.0553</v>
      </c>
      <c r="Z412" s="22" t="n">
        <v>0.0268</v>
      </c>
      <c r="AA412" s="22" t="n">
        <v>0.0161</v>
      </c>
      <c r="AB412" s="22" t="n">
        <v>0.0216</v>
      </c>
      <c r="AC412" s="22" t="n">
        <v>0.0186</v>
      </c>
      <c r="AD412" s="22" t="n">
        <v>0.0553</v>
      </c>
      <c r="AE412" s="22" t="n">
        <v>0.1025</v>
      </c>
      <c r="AF412" s="22" t="n">
        <v>0.1337</v>
      </c>
      <c r="AG412" s="22" t="n">
        <v>0.1493</v>
      </c>
      <c r="AH412" s="22" t="n">
        <v>0.1457</v>
      </c>
      <c r="AI412" s="22" t="n">
        <v>0.1251</v>
      </c>
      <c r="AJ412" s="22" t="n">
        <v>0.0887</v>
      </c>
      <c r="AK412" s="22" t="n">
        <v>0.0652</v>
      </c>
      <c r="AL412" s="22" t="n">
        <v>0.051</v>
      </c>
      <c r="AM412" s="22" t="n">
        <v>0.0292</v>
      </c>
      <c r="AN412" s="22" t="n">
        <v>0.0285</v>
      </c>
      <c r="AO412" s="22" t="n">
        <v>0.0297</v>
      </c>
      <c r="AP412" s="22" t="n">
        <v>0.0258</v>
      </c>
      <c r="AQ412" s="22" t="n">
        <v>0.0268</v>
      </c>
      <c r="AR412" s="22" t="n">
        <v>0.021</v>
      </c>
      <c r="AS412" s="22" t="n">
        <v>0.0289</v>
      </c>
      <c r="AT412" s="22" t="n">
        <v>0.0413</v>
      </c>
      <c r="AU412" s="22" t="n">
        <v>0.0426</v>
      </c>
      <c r="AV412" s="22" t="n">
        <v>0.0382</v>
      </c>
    </row>
    <row r="413" customFormat="false" ht="15" hidden="false" customHeight="false" outlineLevel="0" collapsed="false">
      <c r="A413" s="22" t="s">
        <v>75</v>
      </c>
      <c r="B413" s="22" t="s">
        <v>3</v>
      </c>
      <c r="C413" s="22" t="s">
        <v>75</v>
      </c>
      <c r="D413" s="22" t="n">
        <v>38060</v>
      </c>
      <c r="E413" s="22" t="s">
        <v>132</v>
      </c>
      <c r="F413" s="22" t="s">
        <v>135</v>
      </c>
      <c r="G413" s="22" t="s">
        <v>131</v>
      </c>
      <c r="H413" s="22" t="s">
        <v>131</v>
      </c>
      <c r="I413" s="22" t="n">
        <v>0.0785</v>
      </c>
      <c r="J413" s="22" t="n">
        <v>0.0915</v>
      </c>
      <c r="K413" s="22" t="n">
        <v>0.0771</v>
      </c>
      <c r="L413" s="22" t="n">
        <v>0.0633</v>
      </c>
      <c r="M413" s="22" t="n">
        <v>0.0697</v>
      </c>
      <c r="N413" s="22" t="n">
        <v>0.0681</v>
      </c>
      <c r="O413" s="22" t="n">
        <v>0.0692</v>
      </c>
      <c r="P413" s="22" t="n">
        <v>0.0695</v>
      </c>
      <c r="Q413" s="22" t="n">
        <v>0.061</v>
      </c>
      <c r="R413" s="22" t="n">
        <v>0.0541</v>
      </c>
      <c r="S413" s="22" t="n">
        <v>0.0665</v>
      </c>
      <c r="T413" s="22" t="n">
        <v>0.0814</v>
      </c>
      <c r="U413" s="22" t="n">
        <v>0.0999</v>
      </c>
      <c r="V413" s="22" t="n">
        <v>0.1079</v>
      </c>
      <c r="W413" s="22" t="n">
        <v>0.1049</v>
      </c>
      <c r="X413" s="22" t="n">
        <v>0.104</v>
      </c>
      <c r="Y413" s="22" t="n">
        <v>0.0953</v>
      </c>
      <c r="Z413" s="22" t="n">
        <v>0.0399</v>
      </c>
      <c r="AA413" s="22" t="n">
        <v>0.0409</v>
      </c>
      <c r="AB413" s="22" t="n">
        <v>0.0498</v>
      </c>
      <c r="AC413" s="22" t="n">
        <v>0.057</v>
      </c>
      <c r="AD413" s="22" t="n">
        <v>0.1685</v>
      </c>
      <c r="AE413" s="22" t="n">
        <v>0.2605</v>
      </c>
      <c r="AF413" s="22" t="n">
        <v>0.2863</v>
      </c>
      <c r="AG413" s="22" t="n">
        <v>0.28</v>
      </c>
      <c r="AH413" s="22" t="n">
        <v>0.2089</v>
      </c>
      <c r="AI413" s="22" t="n">
        <v>0.0985</v>
      </c>
      <c r="AJ413" s="22" t="n">
        <v>0.0228</v>
      </c>
      <c r="AK413" s="22" t="n">
        <v>-0.0102</v>
      </c>
      <c r="AL413" s="22" t="n">
        <v>-0.0368</v>
      </c>
      <c r="AM413" s="22" t="n">
        <v>-0.0406</v>
      </c>
      <c r="AN413" s="22" t="n">
        <v>-0.0375</v>
      </c>
      <c r="AO413" s="22" t="n">
        <v>-0.0282</v>
      </c>
      <c r="AP413" s="22" t="n">
        <v>-0.0239</v>
      </c>
      <c r="AQ413" s="22" t="n">
        <v>-0.0348</v>
      </c>
      <c r="AR413" s="22" t="n">
        <v>-0.0356</v>
      </c>
      <c r="AS413" s="22" t="n">
        <v>-0.039</v>
      </c>
      <c r="AT413" s="22" t="n">
        <v>-0.0341</v>
      </c>
      <c r="AU413" s="22" t="n">
        <v>-0.0352</v>
      </c>
      <c r="AV413" s="22" t="n">
        <v>-0.0374</v>
      </c>
    </row>
    <row r="414" customFormat="false" ht="15" hidden="false" customHeight="false" outlineLevel="0" collapsed="false">
      <c r="A414" s="22" t="s">
        <v>563</v>
      </c>
      <c r="B414" s="22" t="s">
        <v>3</v>
      </c>
      <c r="C414" s="22" t="s">
        <v>563</v>
      </c>
      <c r="D414" s="22" t="n">
        <v>38180</v>
      </c>
      <c r="E414" s="22" t="s">
        <v>132</v>
      </c>
      <c r="F414" s="22" t="s">
        <v>135</v>
      </c>
      <c r="G414" s="22" t="s">
        <v>131</v>
      </c>
      <c r="H414" s="22" t="s">
        <v>131</v>
      </c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</row>
    <row r="415" customFormat="false" ht="15" hidden="false" customHeight="false" outlineLevel="0" collapsed="false">
      <c r="A415" s="22" t="s">
        <v>564</v>
      </c>
      <c r="B415" s="22" t="s">
        <v>3</v>
      </c>
      <c r="C415" s="22" t="s">
        <v>564</v>
      </c>
      <c r="D415" s="22" t="n">
        <v>38220</v>
      </c>
      <c r="E415" s="22" t="s">
        <v>132</v>
      </c>
      <c r="F415" s="22" t="s">
        <v>135</v>
      </c>
      <c r="G415" s="22" t="s">
        <v>131</v>
      </c>
      <c r="H415" s="22" t="s">
        <v>131</v>
      </c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</row>
    <row r="416" customFormat="false" ht="15" hidden="false" customHeight="false" outlineLevel="0" collapsed="false">
      <c r="A416" s="22" t="s">
        <v>565</v>
      </c>
      <c r="B416" s="22" t="s">
        <v>3</v>
      </c>
      <c r="C416" s="22" t="s">
        <v>565</v>
      </c>
      <c r="D416" s="22" t="n">
        <v>38240</v>
      </c>
      <c r="E416" s="22" t="s">
        <v>132</v>
      </c>
      <c r="F416" s="22" t="s">
        <v>135</v>
      </c>
      <c r="G416" s="22" t="s">
        <v>131</v>
      </c>
      <c r="H416" s="22" t="s">
        <v>131</v>
      </c>
      <c r="I416" s="22"/>
      <c r="J416" s="22"/>
      <c r="K416" s="22"/>
      <c r="L416" s="22"/>
      <c r="M416" s="22"/>
      <c r="N416" s="22"/>
      <c r="O416" s="22" t="n">
        <v>0.3686</v>
      </c>
      <c r="P416" s="22" t="n">
        <v>0.2602</v>
      </c>
      <c r="Q416" s="22" t="n">
        <v>0.2623</v>
      </c>
      <c r="R416" s="22" t="n">
        <v>0.184</v>
      </c>
      <c r="S416" s="22" t="n">
        <v>0.0294</v>
      </c>
      <c r="T416" s="22" t="n">
        <v>0.0093</v>
      </c>
      <c r="U416" s="22" t="n">
        <v>0.0364</v>
      </c>
      <c r="V416" s="22" t="n">
        <v>0.0781</v>
      </c>
      <c r="W416" s="22" t="n">
        <v>0.0526</v>
      </c>
      <c r="X416" s="22" t="n">
        <v>0.0944</v>
      </c>
      <c r="Y416" s="22" t="n">
        <v>0.0941</v>
      </c>
      <c r="Z416" s="22" t="n">
        <v>0.1056</v>
      </c>
      <c r="AA416" s="22" t="n">
        <v>0.1199</v>
      </c>
      <c r="AB416" s="22" t="n">
        <v>0.058</v>
      </c>
      <c r="AC416" s="22" t="n">
        <v>0.0686</v>
      </c>
      <c r="AD416" s="22" t="n">
        <v>0.0648</v>
      </c>
      <c r="AE416" s="22" t="n">
        <v>0.0785</v>
      </c>
      <c r="AF416" s="22" t="n">
        <v>0.1328</v>
      </c>
      <c r="AG416" s="22" t="n">
        <v>0.2516</v>
      </c>
      <c r="AH416" s="22" t="n">
        <v>0.2613</v>
      </c>
      <c r="AI416" s="22" t="n">
        <v>0.2186</v>
      </c>
      <c r="AJ416" s="22" t="n">
        <v>0.1929</v>
      </c>
      <c r="AK416" s="22" t="n">
        <v>0.0892</v>
      </c>
      <c r="AL416" s="22" t="n">
        <v>0.0445</v>
      </c>
      <c r="AM416" s="22" t="n">
        <v>0.0401</v>
      </c>
      <c r="AN416" s="22" t="n">
        <v>-0.0365</v>
      </c>
      <c r="AO416" s="22" t="n">
        <v>-0.0385</v>
      </c>
      <c r="AP416" s="22" t="n">
        <v>-0.0571</v>
      </c>
      <c r="AQ416" s="22" t="n">
        <v>-0.07</v>
      </c>
      <c r="AR416" s="22" t="n">
        <v>0.0135</v>
      </c>
      <c r="AS416" s="22" t="n">
        <v>0.0128</v>
      </c>
      <c r="AT416" s="22" t="n">
        <v>0.0214</v>
      </c>
      <c r="AU416" s="22" t="n">
        <v>0.0052</v>
      </c>
      <c r="AV416" s="22" t="n">
        <v>-0.0771</v>
      </c>
    </row>
    <row r="417" customFormat="false" ht="15" hidden="false" customHeight="false" outlineLevel="0" collapsed="false">
      <c r="A417" s="22" t="s">
        <v>194</v>
      </c>
      <c r="B417" s="22" t="s">
        <v>3</v>
      </c>
      <c r="C417" s="22" t="s">
        <v>194</v>
      </c>
      <c r="D417" s="22" t="n">
        <v>38300</v>
      </c>
      <c r="E417" s="22" t="s">
        <v>132</v>
      </c>
      <c r="F417" s="22" t="s">
        <v>135</v>
      </c>
      <c r="G417" s="22" t="s">
        <v>131</v>
      </c>
      <c r="H417" s="22" t="s">
        <v>131</v>
      </c>
      <c r="I417" s="22" t="n">
        <v>0.0139</v>
      </c>
      <c r="J417" s="22" t="n">
        <v>0.0147</v>
      </c>
      <c r="K417" s="22" t="n">
        <v>-0.0073</v>
      </c>
      <c r="L417" s="22" t="n">
        <v>-0.0008</v>
      </c>
      <c r="M417" s="22" t="n">
        <v>0.0028</v>
      </c>
      <c r="N417" s="22" t="n">
        <v>0.0167</v>
      </c>
      <c r="O417" s="22" t="n">
        <v>0.0276</v>
      </c>
      <c r="P417" s="22" t="n">
        <v>0.0172</v>
      </c>
      <c r="Q417" s="22" t="n">
        <v>0.023</v>
      </c>
      <c r="R417" s="22" t="n">
        <v>0.0201</v>
      </c>
      <c r="S417" s="22" t="n">
        <v>0.0345</v>
      </c>
      <c r="T417" s="22" t="n">
        <v>0.0472</v>
      </c>
      <c r="U417" s="22" t="n">
        <v>0.0607</v>
      </c>
      <c r="V417" s="22" t="n">
        <v>0.0771</v>
      </c>
      <c r="W417" s="22" t="n">
        <v>0.0585</v>
      </c>
      <c r="X417" s="22" t="n">
        <v>0.0633</v>
      </c>
      <c r="Y417" s="22" t="n">
        <v>0.0528</v>
      </c>
      <c r="Z417" s="22" t="n">
        <v>0.0147</v>
      </c>
      <c r="AA417" s="22" t="n">
        <v>0.0122</v>
      </c>
      <c r="AB417" s="22" t="n">
        <v>-0.0061</v>
      </c>
      <c r="AC417" s="22" t="n">
        <v>0.0012</v>
      </c>
      <c r="AD417" s="22" t="n">
        <v>0.0152</v>
      </c>
      <c r="AE417" s="22" t="n">
        <v>0.0503</v>
      </c>
      <c r="AF417" s="22" t="n">
        <v>0.0974</v>
      </c>
      <c r="AG417" s="22" t="n">
        <v>0.1058</v>
      </c>
      <c r="AH417" s="22" t="n">
        <v>0.1358</v>
      </c>
      <c r="AI417" s="22" t="n">
        <v>0.1302</v>
      </c>
      <c r="AJ417" s="22" t="n">
        <v>0.1074</v>
      </c>
      <c r="AK417" s="22" t="n">
        <v>0.11</v>
      </c>
      <c r="AL417" s="22" t="n">
        <v>0.0789</v>
      </c>
      <c r="AM417" s="22" t="n">
        <v>0.0542</v>
      </c>
      <c r="AN417" s="22" t="n">
        <v>0.0435</v>
      </c>
      <c r="AO417" s="22" t="n">
        <v>0.0358</v>
      </c>
      <c r="AP417" s="22" t="n">
        <v>0.0389</v>
      </c>
      <c r="AQ417" s="22" t="n">
        <v>0.0326</v>
      </c>
      <c r="AR417" s="22" t="n">
        <v>0.0363</v>
      </c>
      <c r="AS417" s="22" t="n">
        <v>0.0418</v>
      </c>
      <c r="AT417" s="22" t="n">
        <v>0.048</v>
      </c>
      <c r="AU417" s="22" t="n">
        <v>0.0589</v>
      </c>
      <c r="AV417" s="22" t="n">
        <v>0.0419</v>
      </c>
    </row>
    <row r="418" customFormat="false" ht="15" hidden="false" customHeight="false" outlineLevel="0" collapsed="false">
      <c r="A418" s="22" t="s">
        <v>566</v>
      </c>
      <c r="B418" s="22" t="s">
        <v>3</v>
      </c>
      <c r="C418" s="22" t="s">
        <v>566</v>
      </c>
      <c r="D418" s="22" t="n">
        <v>38540</v>
      </c>
      <c r="E418" s="22" t="s">
        <v>132</v>
      </c>
      <c r="F418" s="22" t="s">
        <v>135</v>
      </c>
      <c r="G418" s="22" t="s">
        <v>131</v>
      </c>
      <c r="H418" s="22" t="s">
        <v>131</v>
      </c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 t="n">
        <v>0.195</v>
      </c>
      <c r="T418" s="22" t="n">
        <v>0.1669</v>
      </c>
      <c r="U418" s="22" t="n">
        <v>0.1748</v>
      </c>
      <c r="V418" s="22" t="n">
        <v>0.1903</v>
      </c>
      <c r="W418" s="22" t="n">
        <v>-0.0036</v>
      </c>
      <c r="X418" s="22" t="n">
        <v>0.0314</v>
      </c>
      <c r="Y418" s="22" t="n">
        <v>0.0153</v>
      </c>
      <c r="Z418" s="22" t="n">
        <v>0.0019</v>
      </c>
      <c r="AA418" s="22" t="n">
        <v>0.0155</v>
      </c>
      <c r="AB418" s="22" t="n">
        <v>0.0529</v>
      </c>
      <c r="AC418" s="22" t="n">
        <v>0.0633</v>
      </c>
      <c r="AD418" s="22" t="n">
        <v>0.0727</v>
      </c>
      <c r="AE418" s="22" t="n">
        <v>0.1039</v>
      </c>
      <c r="AF418" s="22" t="n">
        <v>0.0682</v>
      </c>
      <c r="AG418" s="22"/>
      <c r="AH418" s="22"/>
      <c r="AI418" s="22"/>
      <c r="AJ418" s="22"/>
      <c r="AK418" s="22"/>
      <c r="AL418" s="22"/>
      <c r="AM418" s="22"/>
      <c r="AN418" s="22"/>
      <c r="AO418" s="22" t="n">
        <v>-0.0518</v>
      </c>
      <c r="AP418" s="22" t="n">
        <v>0.3338</v>
      </c>
      <c r="AQ418" s="22" t="n">
        <v>0.4672</v>
      </c>
      <c r="AR418" s="22" t="n">
        <v>0.3316</v>
      </c>
      <c r="AS418" s="22" t="n">
        <v>0.1457</v>
      </c>
      <c r="AT418" s="22" t="n">
        <v>0.1582</v>
      </c>
      <c r="AU418" s="22" t="n">
        <v>0.2562</v>
      </c>
      <c r="AV418" s="22" t="n">
        <v>0.3013</v>
      </c>
    </row>
    <row r="419" customFormat="false" ht="15" hidden="false" customHeight="false" outlineLevel="0" collapsed="false">
      <c r="A419" s="22" t="s">
        <v>567</v>
      </c>
      <c r="B419" s="22" t="s">
        <v>3</v>
      </c>
      <c r="C419" s="22" t="s">
        <v>567</v>
      </c>
      <c r="D419" s="22" t="n">
        <v>38620</v>
      </c>
      <c r="E419" s="22" t="s">
        <v>132</v>
      </c>
      <c r="F419" s="22" t="s">
        <v>135</v>
      </c>
      <c r="G419" s="22" t="s">
        <v>131</v>
      </c>
      <c r="H419" s="22" t="s">
        <v>131</v>
      </c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</row>
    <row r="420" customFormat="false" ht="15" hidden="false" customHeight="false" outlineLevel="0" collapsed="false">
      <c r="A420" s="22" t="s">
        <v>195</v>
      </c>
      <c r="B420" s="22" t="s">
        <v>3</v>
      </c>
      <c r="C420" s="22" t="s">
        <v>195</v>
      </c>
      <c r="D420" s="22" t="n">
        <v>38860</v>
      </c>
      <c r="E420" s="22" t="s">
        <v>132</v>
      </c>
      <c r="F420" s="22" t="s">
        <v>135</v>
      </c>
      <c r="G420" s="22" t="s">
        <v>131</v>
      </c>
      <c r="H420" s="22" t="s">
        <v>131</v>
      </c>
      <c r="I420" s="22" t="n">
        <v>0.0957</v>
      </c>
      <c r="J420" s="22" t="n">
        <v>0.0441</v>
      </c>
      <c r="K420" s="22" t="n">
        <v>0.0474</v>
      </c>
      <c r="L420" s="22" t="n">
        <v>0.0779</v>
      </c>
      <c r="M420" s="22" t="n">
        <v>0.0489</v>
      </c>
      <c r="N420" s="22" t="n">
        <v>0.0773</v>
      </c>
      <c r="O420" s="22" t="n">
        <v>0.0623</v>
      </c>
      <c r="P420" s="22" t="n">
        <v>0.0592</v>
      </c>
      <c r="Q420" s="22" t="n">
        <v>0.0671</v>
      </c>
      <c r="R420" s="22" t="n">
        <v>0.0393</v>
      </c>
      <c r="S420" s="22" t="n">
        <v>0.0744</v>
      </c>
      <c r="T420" s="22" t="n">
        <v>0.0432</v>
      </c>
      <c r="U420" s="22" t="n">
        <v>0.0421</v>
      </c>
      <c r="V420" s="22" t="n">
        <v>0.0501</v>
      </c>
      <c r="W420" s="22" t="n">
        <v>0.0675</v>
      </c>
      <c r="X420" s="22" t="n">
        <v>0.023</v>
      </c>
      <c r="Y420" s="22" t="n">
        <v>0.0308</v>
      </c>
      <c r="Z420" s="22" t="n">
        <v>0.0104</v>
      </c>
      <c r="AA420" s="22" t="n">
        <v>-0.0142</v>
      </c>
      <c r="AB420" s="22" t="n">
        <v>0.0821</v>
      </c>
      <c r="AC420" s="22" t="n">
        <v>0.0724</v>
      </c>
      <c r="AD420" s="22" t="n">
        <v>0.1124</v>
      </c>
      <c r="AE420" s="22" t="n">
        <v>0.1474</v>
      </c>
      <c r="AF420" s="22" t="n">
        <v>0.0783</v>
      </c>
      <c r="AG420" s="22" t="n">
        <v>0.0664</v>
      </c>
      <c r="AH420" s="22" t="n">
        <v>0.0768</v>
      </c>
      <c r="AI420" s="22" t="n">
        <v>0.0614</v>
      </c>
      <c r="AJ420" s="22" t="n">
        <v>0.0701</v>
      </c>
      <c r="AK420" s="22" t="n">
        <v>0.0771</v>
      </c>
      <c r="AL420" s="22" t="n">
        <v>0.0517</v>
      </c>
      <c r="AM420" s="22" t="n">
        <v>0.0368</v>
      </c>
      <c r="AN420" s="22" t="n">
        <v>0.032</v>
      </c>
      <c r="AO420" s="22" t="n">
        <v>0.0358</v>
      </c>
      <c r="AP420" s="22" t="n">
        <v>0.0199</v>
      </c>
      <c r="AQ420" s="22" t="n">
        <v>0.0521</v>
      </c>
      <c r="AR420" s="22" t="n">
        <v>0.0803</v>
      </c>
      <c r="AS420" s="22" t="n">
        <v>0.0903</v>
      </c>
      <c r="AT420" s="22" t="n">
        <v>0.1109</v>
      </c>
      <c r="AU420" s="22" t="n">
        <v>0.0945</v>
      </c>
      <c r="AV420" s="22" t="n">
        <v>0.0529</v>
      </c>
    </row>
    <row r="421" customFormat="false" ht="15" hidden="false" customHeight="false" outlineLevel="0" collapsed="false">
      <c r="A421" s="22" t="s">
        <v>196</v>
      </c>
      <c r="B421" s="22" t="s">
        <v>3</v>
      </c>
      <c r="C421" s="22" t="s">
        <v>196</v>
      </c>
      <c r="D421" s="22" t="n">
        <v>38900</v>
      </c>
      <c r="E421" s="22" t="s">
        <v>132</v>
      </c>
      <c r="F421" s="22" t="s">
        <v>135</v>
      </c>
      <c r="G421" s="22" t="s">
        <v>131</v>
      </c>
      <c r="H421" s="22" t="s">
        <v>131</v>
      </c>
      <c r="I421" s="22" t="n">
        <v>0.1375</v>
      </c>
      <c r="J421" s="22" t="n">
        <v>0.1085</v>
      </c>
      <c r="K421" s="22" t="n">
        <v>0.0681</v>
      </c>
      <c r="L421" s="22" t="n">
        <v>0.0562</v>
      </c>
      <c r="M421" s="22" t="n">
        <v>0.044</v>
      </c>
      <c r="N421" s="22" t="n">
        <v>0.0391</v>
      </c>
      <c r="O421" s="22" t="n">
        <v>0.0396</v>
      </c>
      <c r="P421" s="22" t="n">
        <v>0.0336</v>
      </c>
      <c r="Q421" s="22" t="n">
        <v>0.0195</v>
      </c>
      <c r="R421" s="22" t="n">
        <v>0.0108</v>
      </c>
      <c r="S421" s="22" t="n">
        <v>0.0248</v>
      </c>
      <c r="T421" s="22" t="n">
        <v>0.0318</v>
      </c>
      <c r="U421" s="22" t="n">
        <v>0.042</v>
      </c>
      <c r="V421" s="22" t="n">
        <v>0.0492</v>
      </c>
      <c r="W421" s="22" t="n">
        <v>0.0419</v>
      </c>
      <c r="X421" s="22" t="n">
        <v>0.0395</v>
      </c>
      <c r="Y421" s="22" t="n">
        <v>0.0422</v>
      </c>
      <c r="Z421" s="22" t="n">
        <v>0.0074</v>
      </c>
      <c r="AA421" s="22" t="n">
        <v>-0.0069</v>
      </c>
      <c r="AB421" s="22" t="n">
        <v>-0.0031</v>
      </c>
      <c r="AC421" s="22" t="n">
        <v>0.0013</v>
      </c>
      <c r="AD421" s="22" t="n">
        <v>0.0502</v>
      </c>
      <c r="AE421" s="22" t="n">
        <v>0.1036</v>
      </c>
      <c r="AF421" s="22" t="n">
        <v>0.1377</v>
      </c>
      <c r="AG421" s="22" t="n">
        <v>0.1374</v>
      </c>
      <c r="AH421" s="22" t="n">
        <v>0.1338</v>
      </c>
      <c r="AI421" s="22" t="n">
        <v>0.113</v>
      </c>
      <c r="AJ421" s="22" t="n">
        <v>0.0768</v>
      </c>
      <c r="AK421" s="22" t="n">
        <v>0.0639</v>
      </c>
      <c r="AL421" s="22" t="n">
        <v>0.0244</v>
      </c>
      <c r="AM421" s="22" t="n">
        <v>-0.0171</v>
      </c>
      <c r="AN421" s="22" t="n">
        <v>-0.0262</v>
      </c>
      <c r="AO421" s="22" t="n">
        <v>-0.0223</v>
      </c>
      <c r="AP421" s="22" t="n">
        <v>-0.005</v>
      </c>
      <c r="AQ421" s="22" t="n">
        <v>0.0072</v>
      </c>
      <c r="AR421" s="22" t="n">
        <v>0.0105</v>
      </c>
      <c r="AS421" s="22" t="n">
        <v>0.0091</v>
      </c>
      <c r="AT421" s="22" t="n">
        <v>0.0133</v>
      </c>
      <c r="AU421" s="22" t="n">
        <v>0.0049</v>
      </c>
      <c r="AV421" s="22" t="n">
        <v>-0.001</v>
      </c>
    </row>
    <row r="422" customFormat="false" ht="15" hidden="false" customHeight="false" outlineLevel="0" collapsed="false">
      <c r="A422" s="22" t="s">
        <v>28</v>
      </c>
      <c r="B422" s="22" t="s">
        <v>3</v>
      </c>
      <c r="C422" s="22" t="s">
        <v>28</v>
      </c>
      <c r="D422" s="22" t="n">
        <v>238940</v>
      </c>
      <c r="E422" s="22" t="s">
        <v>132</v>
      </c>
      <c r="F422" s="22" t="s">
        <v>135</v>
      </c>
      <c r="G422" s="22" t="s">
        <v>131</v>
      </c>
      <c r="H422" s="22" t="s">
        <v>131</v>
      </c>
      <c r="I422" s="22" t="n">
        <v>0.0772</v>
      </c>
      <c r="J422" s="22" t="n">
        <v>0.1004</v>
      </c>
      <c r="K422" s="22" t="n">
        <v>0.0845</v>
      </c>
      <c r="L422" s="22" t="n">
        <v>0.0722</v>
      </c>
      <c r="M422" s="22" t="n">
        <v>0.0777</v>
      </c>
      <c r="N422" s="22" t="n">
        <v>0.0633</v>
      </c>
      <c r="O422" s="22" t="n">
        <v>0.0648</v>
      </c>
      <c r="P422" s="22" t="n">
        <v>0.0625</v>
      </c>
      <c r="Q422" s="22" t="n">
        <v>0.0384</v>
      </c>
      <c r="R422" s="22" t="n">
        <v>0.0386</v>
      </c>
      <c r="S422" s="22" t="n">
        <v>0.0367</v>
      </c>
      <c r="T422" s="22" t="n">
        <v>0.0309</v>
      </c>
      <c r="U422" s="22" t="n">
        <v>0.0326</v>
      </c>
      <c r="V422" s="22" t="n">
        <v>0.0206</v>
      </c>
      <c r="W422" s="22" t="n">
        <v>0.0273</v>
      </c>
      <c r="X422" s="22" t="n">
        <v>0.046</v>
      </c>
      <c r="Y422" s="22" t="n">
        <v>0.0725</v>
      </c>
      <c r="Z422" s="22" t="n">
        <v>0.0586</v>
      </c>
      <c r="AA422" s="22" t="n">
        <v>0.0587</v>
      </c>
      <c r="AB422" s="22" t="n">
        <v>0.0604</v>
      </c>
      <c r="AC422" s="22" t="n">
        <v>0.0436</v>
      </c>
      <c r="AD422" s="22" t="n">
        <v>0.1362</v>
      </c>
      <c r="AE422" s="22" t="n">
        <v>0.2453</v>
      </c>
      <c r="AF422" s="22" t="n">
        <v>0.284</v>
      </c>
      <c r="AG422" s="22" t="n">
        <v>0.3033</v>
      </c>
      <c r="AH422" s="22" t="n">
        <v>0.2529</v>
      </c>
      <c r="AI422" s="22" t="n">
        <v>0.1417</v>
      </c>
      <c r="AJ422" s="22" t="n">
        <v>0.0966</v>
      </c>
      <c r="AK422" s="22" t="n">
        <v>0.0554</v>
      </c>
      <c r="AL422" s="22" t="n">
        <v>0.0221</v>
      </c>
      <c r="AM422" s="22" t="n">
        <v>0.0196</v>
      </c>
      <c r="AN422" s="22" t="n">
        <v>0.0048</v>
      </c>
      <c r="AO422" s="22" t="n">
        <v>-0.0148</v>
      </c>
      <c r="AP422" s="22" t="n">
        <v>-0.0161</v>
      </c>
      <c r="AQ422" s="22" t="n">
        <v>-0.0042</v>
      </c>
      <c r="AR422" s="22" t="n">
        <v>0.0004</v>
      </c>
      <c r="AS422" s="22" t="n">
        <v>0.0655</v>
      </c>
      <c r="AT422" s="22" t="n">
        <v>0.062</v>
      </c>
      <c r="AU422" s="22" t="n">
        <v>0.0412</v>
      </c>
      <c r="AV422" s="22" t="n">
        <v>0.0234</v>
      </c>
    </row>
    <row r="423" customFormat="false" ht="15" hidden="false" customHeight="false" outlineLevel="0" collapsed="false">
      <c r="A423" s="22" t="s">
        <v>568</v>
      </c>
      <c r="B423" s="22" t="s">
        <v>3</v>
      </c>
      <c r="C423" s="22" t="s">
        <v>568</v>
      </c>
      <c r="D423" s="22" t="n">
        <v>39060</v>
      </c>
      <c r="E423" s="22" t="s">
        <v>132</v>
      </c>
      <c r="F423" s="22" t="s">
        <v>135</v>
      </c>
      <c r="G423" s="22" t="s">
        <v>131</v>
      </c>
      <c r="H423" s="22" t="s">
        <v>131</v>
      </c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</row>
    <row r="424" customFormat="false" ht="15" hidden="false" customHeight="false" outlineLevel="0" collapsed="false">
      <c r="A424" s="22" t="s">
        <v>569</v>
      </c>
      <c r="B424" s="22" t="s">
        <v>3</v>
      </c>
      <c r="C424" s="22" t="s">
        <v>569</v>
      </c>
      <c r="D424" s="22" t="n">
        <v>39150</v>
      </c>
      <c r="E424" s="22" t="s">
        <v>132</v>
      </c>
      <c r="F424" s="22" t="s">
        <v>135</v>
      </c>
      <c r="G424" s="22" t="s">
        <v>131</v>
      </c>
      <c r="H424" s="22" t="s">
        <v>131</v>
      </c>
      <c r="I424" s="22" t="n">
        <v>0.0714</v>
      </c>
      <c r="J424" s="22" t="n">
        <v>0.1123</v>
      </c>
      <c r="K424" s="22" t="n">
        <v>-0.0633</v>
      </c>
      <c r="L424" s="22" t="n">
        <v>-0.0686</v>
      </c>
      <c r="M424" s="22" t="n">
        <v>-0.0644</v>
      </c>
      <c r="N424" s="22" t="n">
        <v>-0.0618</v>
      </c>
      <c r="O424" s="22" t="n">
        <v>0.073</v>
      </c>
      <c r="P424" s="22" t="n">
        <v>0.0547</v>
      </c>
      <c r="Q424" s="22" t="n">
        <v>0.0474</v>
      </c>
      <c r="R424" s="22" t="n">
        <v>0.0419</v>
      </c>
      <c r="S424" s="22" t="n">
        <v>0.0217</v>
      </c>
      <c r="T424" s="22" t="n">
        <v>0.0336</v>
      </c>
      <c r="U424" s="22" t="n">
        <v>-0.0788</v>
      </c>
      <c r="V424" s="22" t="n">
        <v>-0.0725</v>
      </c>
      <c r="W424" s="22" t="n">
        <v>-0.0304</v>
      </c>
      <c r="X424" s="22" t="n">
        <v>0.2096</v>
      </c>
      <c r="Y424" s="22" t="n">
        <v>0.3571</v>
      </c>
      <c r="Z424" s="22" t="n">
        <v>0.3975</v>
      </c>
      <c r="AA424" s="22" t="n">
        <v>0.3828</v>
      </c>
      <c r="AB424" s="22" t="n">
        <v>0.174</v>
      </c>
      <c r="AC424" s="22" t="n">
        <v>0.1578</v>
      </c>
      <c r="AD424" s="22" t="n">
        <v>0.1716</v>
      </c>
      <c r="AE424" s="22" t="n">
        <v>0.2005</v>
      </c>
      <c r="AF424" s="22" t="n">
        <v>0.1352</v>
      </c>
      <c r="AG424" s="22" t="n">
        <v>0.155</v>
      </c>
      <c r="AH424" s="22" t="n">
        <v>0.1226</v>
      </c>
      <c r="AI424" s="22" t="n">
        <v>0.144</v>
      </c>
      <c r="AJ424" s="22" t="n">
        <v>0.1458</v>
      </c>
      <c r="AK424" s="22" t="n">
        <v>0.1107</v>
      </c>
      <c r="AL424" s="22" t="n">
        <v>0.1191</v>
      </c>
      <c r="AM424" s="22" t="n">
        <v>0.0421</v>
      </c>
      <c r="AN424" s="22" t="n">
        <v>0.0129</v>
      </c>
      <c r="AO424" s="22" t="n">
        <v>0.0051</v>
      </c>
      <c r="AP424" s="22" t="n">
        <v>-0.0289</v>
      </c>
      <c r="AQ424" s="22" t="n">
        <v>-0.0677</v>
      </c>
      <c r="AR424" s="22" t="n">
        <v>-0.0543</v>
      </c>
      <c r="AS424" s="22" t="n">
        <v>-0.0111</v>
      </c>
      <c r="AT424" s="22" t="n">
        <v>0.0017</v>
      </c>
      <c r="AU424" s="22" t="n">
        <v>0.0348</v>
      </c>
      <c r="AV424" s="22" t="n">
        <v>0.0385</v>
      </c>
    </row>
    <row r="425" customFormat="false" ht="15" hidden="false" customHeight="false" outlineLevel="0" collapsed="false">
      <c r="A425" s="22" t="s">
        <v>197</v>
      </c>
      <c r="B425" s="22" t="s">
        <v>3</v>
      </c>
      <c r="C425" s="22" t="s">
        <v>197</v>
      </c>
      <c r="D425" s="22" t="n">
        <v>39300</v>
      </c>
      <c r="E425" s="22" t="s">
        <v>132</v>
      </c>
      <c r="F425" s="22" t="s">
        <v>135</v>
      </c>
      <c r="G425" s="22" t="s">
        <v>131</v>
      </c>
      <c r="H425" s="22" t="s">
        <v>131</v>
      </c>
      <c r="I425" s="22" t="n">
        <v>0.052</v>
      </c>
      <c r="J425" s="22" t="n">
        <v>0.0459</v>
      </c>
      <c r="K425" s="22" t="n">
        <v>0.029</v>
      </c>
      <c r="L425" s="22" t="n">
        <v>0.0182</v>
      </c>
      <c r="M425" s="22" t="n">
        <v>0.0258</v>
      </c>
      <c r="N425" s="22" t="n">
        <v>0.0253</v>
      </c>
      <c r="O425" s="22" t="n">
        <v>0.047</v>
      </c>
      <c r="P425" s="22" t="n">
        <v>0.0534</v>
      </c>
      <c r="Q425" s="22" t="n">
        <v>0.0311</v>
      </c>
      <c r="R425" s="22" t="n">
        <v>0.045</v>
      </c>
      <c r="S425" s="22" t="n">
        <v>0.0345</v>
      </c>
      <c r="T425" s="22" t="n">
        <v>0.0176</v>
      </c>
      <c r="U425" s="22" t="n">
        <v>0.0323</v>
      </c>
      <c r="V425" s="22" t="n">
        <v>0.0219</v>
      </c>
      <c r="W425" s="22" t="n">
        <v>0.03</v>
      </c>
      <c r="X425" s="22" t="n">
        <v>0.0587</v>
      </c>
      <c r="Y425" s="22" t="n">
        <v>0.0559</v>
      </c>
      <c r="Z425" s="22" t="n">
        <v>0.0334</v>
      </c>
      <c r="AA425" s="22" t="n">
        <v>0.0343</v>
      </c>
      <c r="AB425" s="22" t="n">
        <v>0.0346</v>
      </c>
      <c r="AC425" s="22" t="n">
        <v>0.0339</v>
      </c>
      <c r="AD425" s="22" t="n">
        <v>0.0661</v>
      </c>
      <c r="AE425" s="22" t="n">
        <v>0.0897</v>
      </c>
      <c r="AF425" s="22" t="n">
        <v>0.0937</v>
      </c>
      <c r="AG425" s="22" t="n">
        <v>0.111</v>
      </c>
      <c r="AH425" s="22" t="n">
        <v>0.1187</v>
      </c>
      <c r="AI425" s="22" t="n">
        <v>0.1093</v>
      </c>
      <c r="AJ425" s="22" t="n">
        <v>0.0931</v>
      </c>
      <c r="AK425" s="22" t="n">
        <v>0.0782</v>
      </c>
      <c r="AL425" s="22" t="n">
        <v>0.0668</v>
      </c>
      <c r="AM425" s="22" t="n">
        <v>0.0481</v>
      </c>
      <c r="AN425" s="22" t="n">
        <v>0.0485</v>
      </c>
      <c r="AO425" s="22" t="n">
        <v>0.0448</v>
      </c>
      <c r="AP425" s="22" t="n">
        <v>0.04</v>
      </c>
      <c r="AQ425" s="22" t="n">
        <v>0.0449</v>
      </c>
      <c r="AR425" s="22" t="n">
        <v>0.0476</v>
      </c>
      <c r="AS425" s="22" t="n">
        <v>0.0696</v>
      </c>
      <c r="AT425" s="22" t="n">
        <v>0.0762</v>
      </c>
      <c r="AU425" s="22" t="n">
        <v>0.0665</v>
      </c>
      <c r="AV425" s="22" t="n">
        <v>0.0502</v>
      </c>
    </row>
    <row r="426" customFormat="false" ht="15" hidden="false" customHeight="false" outlineLevel="0" collapsed="false">
      <c r="A426" s="22" t="s">
        <v>198</v>
      </c>
      <c r="B426" s="22" t="s">
        <v>3</v>
      </c>
      <c r="C426" s="22" t="s">
        <v>198</v>
      </c>
      <c r="D426" s="22" t="n">
        <v>39340</v>
      </c>
      <c r="E426" s="22" t="s">
        <v>132</v>
      </c>
      <c r="F426" s="22" t="s">
        <v>135</v>
      </c>
      <c r="G426" s="22" t="s">
        <v>131</v>
      </c>
      <c r="H426" s="22" t="s">
        <v>131</v>
      </c>
      <c r="I426" s="22" t="n">
        <v>0.1409</v>
      </c>
      <c r="J426" s="22" t="n">
        <v>0.1125</v>
      </c>
      <c r="K426" s="22" t="n">
        <v>0.074</v>
      </c>
      <c r="L426" s="22" t="n">
        <v>0.0588</v>
      </c>
      <c r="M426" s="22" t="n">
        <v>0.0307</v>
      </c>
      <c r="N426" s="22" t="n">
        <v>0.0521</v>
      </c>
      <c r="O426" s="22" t="n">
        <v>0.0543</v>
      </c>
      <c r="P426" s="22" t="n">
        <v>0.05</v>
      </c>
      <c r="Q426" s="22" t="n">
        <v>0.062</v>
      </c>
      <c r="R426" s="22" t="n">
        <v>0.0314</v>
      </c>
      <c r="S426" s="22" t="n">
        <v>0.0122</v>
      </c>
      <c r="T426" s="22" t="n">
        <v>0.0078</v>
      </c>
      <c r="U426" s="22" t="n">
        <v>0.0013</v>
      </c>
      <c r="V426" s="22" t="n">
        <v>0.0296</v>
      </c>
      <c r="W426" s="22" t="n">
        <v>0.0462</v>
      </c>
      <c r="X426" s="22" t="n">
        <v>0.0431</v>
      </c>
      <c r="Y426" s="22" t="n">
        <v>0.0159</v>
      </c>
      <c r="Z426" s="22" t="n">
        <v>-0.0117</v>
      </c>
      <c r="AA426" s="22" t="n">
        <v>-0.0064</v>
      </c>
      <c r="AB426" s="22" t="n">
        <v>0.0027</v>
      </c>
      <c r="AC426" s="22" t="n">
        <v>0.0477</v>
      </c>
      <c r="AD426" s="22" t="n">
        <v>0.1075</v>
      </c>
      <c r="AE426" s="22" t="n">
        <v>0.1468</v>
      </c>
      <c r="AF426" s="22" t="n">
        <v>0.18</v>
      </c>
      <c r="AG426" s="22" t="n">
        <v>0.1861</v>
      </c>
      <c r="AH426" s="22" t="n">
        <v>0.18</v>
      </c>
      <c r="AI426" s="22" t="n">
        <v>0.1432</v>
      </c>
      <c r="AJ426" s="22" t="n">
        <v>0.0887</v>
      </c>
      <c r="AK426" s="22" t="n">
        <v>0.0515</v>
      </c>
      <c r="AL426" s="22" t="n">
        <v>0.0066</v>
      </c>
      <c r="AM426" s="22" t="n">
        <v>-0.0107</v>
      </c>
      <c r="AN426" s="22" t="n">
        <v>-0.017</v>
      </c>
      <c r="AO426" s="22" t="n">
        <v>-0.0012</v>
      </c>
      <c r="AP426" s="22" t="n">
        <v>0.0018</v>
      </c>
      <c r="AQ426" s="22" t="n">
        <v>-0.0092</v>
      </c>
      <c r="AR426" s="22" t="n">
        <v>-0.0203</v>
      </c>
      <c r="AS426" s="22" t="n">
        <v>-0.0315</v>
      </c>
      <c r="AT426" s="22" t="n">
        <v>-0.0137</v>
      </c>
      <c r="AU426" s="22" t="n">
        <v>-0.0044</v>
      </c>
      <c r="AV426" s="22" t="n">
        <v>0.0041</v>
      </c>
    </row>
    <row r="427" customFormat="false" ht="15" hidden="false" customHeight="false" outlineLevel="0" collapsed="false">
      <c r="A427" s="22" t="s">
        <v>570</v>
      </c>
      <c r="B427" s="22" t="s">
        <v>3</v>
      </c>
      <c r="C427" s="22" t="s">
        <v>570</v>
      </c>
      <c r="D427" s="22" t="n">
        <v>39380</v>
      </c>
      <c r="E427" s="22" t="s">
        <v>132</v>
      </c>
      <c r="F427" s="22" t="s">
        <v>135</v>
      </c>
      <c r="G427" s="22" t="s">
        <v>131</v>
      </c>
      <c r="H427" s="22" t="s">
        <v>131</v>
      </c>
      <c r="I427" s="22" t="n">
        <v>-0.0924</v>
      </c>
      <c r="J427" s="22" t="n">
        <v>-0.0798</v>
      </c>
      <c r="K427" s="22" t="n">
        <v>-0.0705</v>
      </c>
      <c r="L427" s="22" t="n">
        <v>0.0444</v>
      </c>
      <c r="M427" s="22" t="n">
        <v>0.0825</v>
      </c>
      <c r="N427" s="22" t="n">
        <v>0.2351</v>
      </c>
      <c r="O427" s="22" t="n">
        <v>0.3146</v>
      </c>
      <c r="P427" s="22" t="n">
        <v>0.3137</v>
      </c>
      <c r="Q427" s="22" t="n">
        <v>0.2429</v>
      </c>
      <c r="R427" s="22" t="n">
        <v>0.097</v>
      </c>
      <c r="S427" s="22" t="n">
        <v>0.025</v>
      </c>
      <c r="T427" s="22" t="n">
        <v>0.0306</v>
      </c>
      <c r="U427" s="22" t="n">
        <v>0.0186</v>
      </c>
      <c r="V427" s="22" t="n">
        <v>0.013</v>
      </c>
      <c r="W427" s="22" t="n">
        <v>0.0148</v>
      </c>
      <c r="X427" s="22" t="n">
        <v>0.015</v>
      </c>
      <c r="Y427" s="22" t="n">
        <v>0.0133</v>
      </c>
      <c r="Z427" s="22" t="n">
        <v>0.0093</v>
      </c>
      <c r="AA427" s="22" t="n">
        <v>0.0218</v>
      </c>
      <c r="AB427" s="22" t="n">
        <v>0.0487</v>
      </c>
      <c r="AC427" s="22" t="n">
        <v>0.0812</v>
      </c>
      <c r="AD427" s="22" t="n">
        <v>0.1303</v>
      </c>
      <c r="AE427" s="22" t="n">
        <v>0.1201</v>
      </c>
      <c r="AF427" s="22" t="n">
        <v>0.0805</v>
      </c>
      <c r="AG427" s="22" t="n">
        <v>0.1362</v>
      </c>
      <c r="AH427" s="22" t="n">
        <v>0.1241</v>
      </c>
      <c r="AI427" s="22" t="n">
        <v>0.1615</v>
      </c>
      <c r="AJ427" s="22" t="n">
        <v>0.1737</v>
      </c>
      <c r="AK427" s="22" t="n">
        <v>0.0706</v>
      </c>
      <c r="AL427" s="22" t="n">
        <v>0.0663</v>
      </c>
      <c r="AM427" s="22" t="n">
        <v>0.0061</v>
      </c>
      <c r="AN427" s="22" t="n">
        <v>0.0575</v>
      </c>
      <c r="AO427" s="22" t="n">
        <v>0.091</v>
      </c>
      <c r="AP427" s="22" t="n">
        <v>0.0526</v>
      </c>
      <c r="AQ427" s="22" t="n">
        <v>0.0479</v>
      </c>
      <c r="AR427" s="22" t="n">
        <v>-0.034</v>
      </c>
      <c r="AS427" s="22" t="n">
        <v>-0.0157</v>
      </c>
      <c r="AT427" s="22" t="n">
        <v>-0.0473</v>
      </c>
      <c r="AU427" s="22" t="n">
        <v>-0.0414</v>
      </c>
      <c r="AV427" s="22" t="n">
        <v>-0.0364</v>
      </c>
    </row>
    <row r="428" customFormat="false" ht="15" hidden="false" customHeight="false" outlineLevel="0" collapsed="false">
      <c r="A428" s="22" t="s">
        <v>571</v>
      </c>
      <c r="B428" s="22" t="s">
        <v>3</v>
      </c>
      <c r="C428" s="22" t="s">
        <v>571</v>
      </c>
      <c r="D428" s="22" t="n">
        <v>39420</v>
      </c>
      <c r="E428" s="22" t="s">
        <v>132</v>
      </c>
      <c r="F428" s="22" t="s">
        <v>135</v>
      </c>
      <c r="G428" s="22" t="s">
        <v>131</v>
      </c>
      <c r="H428" s="22" t="s">
        <v>131</v>
      </c>
      <c r="I428" s="22" t="n">
        <v>0.0146</v>
      </c>
      <c r="J428" s="22" t="n">
        <v>-0.0184</v>
      </c>
      <c r="K428" s="22" t="n">
        <v>-0.0313</v>
      </c>
      <c r="L428" s="22" t="n">
        <v>0.003</v>
      </c>
      <c r="M428" s="22" t="n">
        <v>0.0416</v>
      </c>
      <c r="N428" s="22" t="n">
        <v>0.0421</v>
      </c>
      <c r="O428" s="22" t="n">
        <v>0.0791</v>
      </c>
      <c r="P428" s="22" t="n">
        <v>0.0547</v>
      </c>
      <c r="Q428" s="22" t="n">
        <v>0.0272</v>
      </c>
      <c r="R428" s="22" t="n">
        <v>0.0495</v>
      </c>
      <c r="S428" s="22" t="n">
        <v>0.0471</v>
      </c>
      <c r="T428" s="22" t="n">
        <v>0.051</v>
      </c>
      <c r="U428" s="22" t="n">
        <v>0.0614</v>
      </c>
      <c r="V428" s="22" t="n">
        <v>0.0552</v>
      </c>
      <c r="W428" s="22" t="n">
        <v>0.0765</v>
      </c>
      <c r="X428" s="22" t="n">
        <v>0.0568</v>
      </c>
      <c r="Y428" s="22" t="n">
        <v>0.0411</v>
      </c>
      <c r="Z428" s="22" t="n">
        <v>0.0294</v>
      </c>
      <c r="AA428" s="22" t="n">
        <v>-0.0138</v>
      </c>
      <c r="AB428" s="22" t="n">
        <v>-0.0057</v>
      </c>
      <c r="AC428" s="22" t="n">
        <v>-0.0199</v>
      </c>
      <c r="AD428" s="22" t="n">
        <v>-0.0315</v>
      </c>
      <c r="AE428" s="22" t="n">
        <v>0.0218</v>
      </c>
      <c r="AF428" s="22" t="n">
        <v>0.006</v>
      </c>
      <c r="AG428" s="22" t="n">
        <v>0.0447</v>
      </c>
      <c r="AH428" s="22" t="n">
        <v>0.0673</v>
      </c>
      <c r="AI428" s="22" t="n">
        <v>0.0247</v>
      </c>
      <c r="AJ428" s="22" t="n">
        <v>0.0413</v>
      </c>
      <c r="AK428" s="22" t="n">
        <v>0.0568</v>
      </c>
      <c r="AL428" s="22" t="n">
        <v>0.0626</v>
      </c>
      <c r="AM428" s="22" t="n">
        <v>0.0742</v>
      </c>
      <c r="AN428" s="22" t="n">
        <v>0.0908</v>
      </c>
      <c r="AO428" s="22" t="n">
        <v>0.0534</v>
      </c>
      <c r="AP428" s="22" t="n">
        <v>0.0411</v>
      </c>
      <c r="AQ428" s="22" t="n">
        <v>0.027</v>
      </c>
      <c r="AR428" s="22" t="n">
        <v>-0.0005</v>
      </c>
      <c r="AS428" s="22" t="n">
        <v>-0.0047</v>
      </c>
      <c r="AT428" s="22" t="n">
        <v>-0.015</v>
      </c>
      <c r="AU428" s="22" t="n">
        <v>-0.0226</v>
      </c>
      <c r="AV428" s="22" t="n">
        <v>-0.0301</v>
      </c>
    </row>
    <row r="429" customFormat="false" ht="15" hidden="false" customHeight="false" outlineLevel="0" collapsed="false">
      <c r="A429" s="22" t="s">
        <v>73</v>
      </c>
      <c r="B429" s="22" t="s">
        <v>3</v>
      </c>
      <c r="C429" s="22" t="s">
        <v>73</v>
      </c>
      <c r="D429" s="22" t="n">
        <v>239580</v>
      </c>
      <c r="E429" s="22" t="s">
        <v>132</v>
      </c>
      <c r="F429" s="22" t="s">
        <v>135</v>
      </c>
      <c r="G429" s="22" t="s">
        <v>131</v>
      </c>
      <c r="H429" s="22" t="s">
        <v>131</v>
      </c>
      <c r="I429" s="22" t="n">
        <v>0.0656</v>
      </c>
      <c r="J429" s="22" t="n">
        <v>0.0707</v>
      </c>
      <c r="K429" s="22" t="n">
        <v>0.0701</v>
      </c>
      <c r="L429" s="22" t="n">
        <v>0.0656</v>
      </c>
      <c r="M429" s="22" t="n">
        <v>0.0588</v>
      </c>
      <c r="N429" s="22" t="n">
        <v>0.0434</v>
      </c>
      <c r="O429" s="22" t="n">
        <v>0.0245</v>
      </c>
      <c r="P429" s="22" t="n">
        <v>0.0245</v>
      </c>
      <c r="Q429" s="22" t="n">
        <v>0.0241</v>
      </c>
      <c r="R429" s="22" t="n">
        <v>0.0237</v>
      </c>
      <c r="S429" s="22" t="n">
        <v>0.0333</v>
      </c>
      <c r="T429" s="22" t="n">
        <v>0.0433</v>
      </c>
      <c r="U429" s="22" t="n">
        <v>0.0456</v>
      </c>
      <c r="V429" s="22" t="n">
        <v>0.0584</v>
      </c>
      <c r="W429" s="22" t="n">
        <v>0.0638</v>
      </c>
      <c r="X429" s="22" t="n">
        <v>0.0571</v>
      </c>
      <c r="Y429" s="22" t="n">
        <v>0.0542</v>
      </c>
      <c r="Z429" s="22" t="n">
        <v>0.0094</v>
      </c>
      <c r="AA429" s="22" t="n">
        <v>0.006</v>
      </c>
      <c r="AB429" s="22" t="n">
        <v>0.0128</v>
      </c>
      <c r="AC429" s="22" t="n">
        <v>0.0137</v>
      </c>
      <c r="AD429" s="22" t="n">
        <v>0.0854</v>
      </c>
      <c r="AE429" s="22" t="n">
        <v>0.1765</v>
      </c>
      <c r="AF429" s="22" t="n">
        <v>0.2229</v>
      </c>
      <c r="AG429" s="22" t="n">
        <v>0.2371</v>
      </c>
      <c r="AH429" s="22" t="n">
        <v>0.2163</v>
      </c>
      <c r="AI429" s="22" t="n">
        <v>0.1476</v>
      </c>
      <c r="AJ429" s="22" t="n">
        <v>0.076</v>
      </c>
      <c r="AK429" s="22" t="n">
        <v>0.0476</v>
      </c>
      <c r="AL429" s="22" t="n">
        <v>0.0141</v>
      </c>
      <c r="AM429" s="22" t="n">
        <v>-0.0209</v>
      </c>
      <c r="AN429" s="22" t="n">
        <v>-0.0176</v>
      </c>
      <c r="AO429" s="22" t="n">
        <v>-0.0198</v>
      </c>
      <c r="AP429" s="22" t="n">
        <v>-0.0319</v>
      </c>
      <c r="AQ429" s="22" t="n">
        <v>-0.0362</v>
      </c>
      <c r="AR429" s="22" t="n">
        <v>-0.033</v>
      </c>
      <c r="AS429" s="22" t="n">
        <v>-0.0208</v>
      </c>
      <c r="AT429" s="22" t="n">
        <v>-0.0047</v>
      </c>
      <c r="AU429" s="22" t="n">
        <v>-0.0096</v>
      </c>
      <c r="AV429" s="22" t="n">
        <v>-0.0149</v>
      </c>
    </row>
    <row r="430" customFormat="false" ht="15" hidden="false" customHeight="false" outlineLevel="0" collapsed="false">
      <c r="A430" s="22" t="s">
        <v>572</v>
      </c>
      <c r="B430" s="22" t="s">
        <v>3</v>
      </c>
      <c r="C430" s="22" t="s">
        <v>572</v>
      </c>
      <c r="D430" s="22" t="n">
        <v>39660</v>
      </c>
      <c r="E430" s="22" t="s">
        <v>132</v>
      </c>
      <c r="F430" s="22" t="s">
        <v>135</v>
      </c>
      <c r="G430" s="22" t="s">
        <v>131</v>
      </c>
      <c r="H430" s="22" t="s">
        <v>131</v>
      </c>
      <c r="I430" s="22"/>
      <c r="J430" s="22" t="n">
        <v>0.0454</v>
      </c>
      <c r="K430" s="22" t="n">
        <v>0.119</v>
      </c>
      <c r="L430" s="22" t="n">
        <v>0.2131</v>
      </c>
      <c r="M430" s="22" t="n">
        <v>0.1289</v>
      </c>
      <c r="N430" s="22" t="n">
        <v>0.2123</v>
      </c>
      <c r="O430" s="22" t="n">
        <v>0.128</v>
      </c>
      <c r="P430" s="22" t="n">
        <v>-0.0135</v>
      </c>
      <c r="Q430" s="22" t="n">
        <v>-0.0372</v>
      </c>
      <c r="R430" s="22" t="n">
        <v>-0.0572</v>
      </c>
      <c r="S430" s="22" t="n">
        <v>0.0034</v>
      </c>
      <c r="T430" s="22" t="n">
        <v>0.0996</v>
      </c>
      <c r="U430" s="22" t="n">
        <v>0.0778</v>
      </c>
      <c r="V430" s="22" t="n">
        <v>0.0822</v>
      </c>
      <c r="W430" s="22" t="n">
        <v>0.0339</v>
      </c>
      <c r="X430" s="22" t="n">
        <v>-0.0115</v>
      </c>
      <c r="Y430" s="22" t="n">
        <v>0.0475</v>
      </c>
      <c r="Z430" s="22" t="n">
        <v>0.0306</v>
      </c>
      <c r="AA430" s="22" t="n">
        <v>0.0282</v>
      </c>
      <c r="AB430" s="22" t="n">
        <v>0.0399</v>
      </c>
      <c r="AC430" s="22" t="n">
        <v>0.0295</v>
      </c>
      <c r="AD430" s="22" t="n">
        <v>0.0542</v>
      </c>
      <c r="AE430" s="22" t="n">
        <v>0.0704</v>
      </c>
      <c r="AF430" s="22" t="n">
        <v>0.1038</v>
      </c>
      <c r="AG430" s="22" t="n">
        <v>0.1198</v>
      </c>
      <c r="AH430" s="22" t="n">
        <v>0.1234</v>
      </c>
      <c r="AI430" s="22" t="n">
        <v>0.1563</v>
      </c>
      <c r="AJ430" s="22" t="n">
        <v>0.1623</v>
      </c>
      <c r="AK430" s="22" t="n">
        <v>0.1095</v>
      </c>
      <c r="AL430" s="22" t="n">
        <v>0.0859</v>
      </c>
      <c r="AM430" s="22" t="n">
        <v>0.0335</v>
      </c>
      <c r="AN430" s="22" t="n">
        <v>0.0041</v>
      </c>
      <c r="AO430" s="22" t="n">
        <v>-0.007</v>
      </c>
      <c r="AP430" s="22" t="n">
        <v>0.0162</v>
      </c>
      <c r="AQ430" s="22" t="n">
        <v>-0.0017</v>
      </c>
      <c r="AR430" s="22" t="n">
        <v>-0.0325</v>
      </c>
      <c r="AS430" s="22" t="n">
        <v>0.0021</v>
      </c>
      <c r="AT430" s="22" t="n">
        <v>-0.0121</v>
      </c>
      <c r="AU430" s="22" t="n">
        <v>0.0237</v>
      </c>
      <c r="AV430" s="22" t="n">
        <v>0.0273</v>
      </c>
    </row>
    <row r="431" customFormat="false" ht="15" hidden="false" customHeight="false" outlineLevel="0" collapsed="false">
      <c r="A431" s="22" t="s">
        <v>573</v>
      </c>
      <c r="B431" s="22" t="s">
        <v>3</v>
      </c>
      <c r="C431" s="22" t="s">
        <v>573</v>
      </c>
      <c r="D431" s="22" t="n">
        <v>39740</v>
      </c>
      <c r="E431" s="22" t="s">
        <v>132</v>
      </c>
      <c r="F431" s="22" t="s">
        <v>135</v>
      </c>
      <c r="G431" s="22" t="s">
        <v>131</v>
      </c>
      <c r="H431" s="22" t="s">
        <v>131</v>
      </c>
      <c r="I431" s="22" t="n">
        <v>-0.0562</v>
      </c>
      <c r="J431" s="22" t="n">
        <v>-0.005</v>
      </c>
      <c r="K431" s="22" t="n">
        <v>-0.0435</v>
      </c>
      <c r="L431" s="22" t="n">
        <v>-0.0465</v>
      </c>
      <c r="M431" s="22" t="n">
        <v>-0.0014</v>
      </c>
      <c r="N431" s="22" t="n">
        <v>-0.0287</v>
      </c>
      <c r="O431" s="22" t="n">
        <v>0.0045</v>
      </c>
      <c r="P431" s="22" t="n">
        <v>0.0223</v>
      </c>
      <c r="Q431" s="22" t="n">
        <v>0.0389</v>
      </c>
      <c r="R431" s="22" t="n">
        <v>0.0313</v>
      </c>
      <c r="S431" s="22" t="n">
        <v>0.045</v>
      </c>
      <c r="T431" s="22" t="n">
        <v>0.0489</v>
      </c>
      <c r="U431" s="22" t="n">
        <v>-0.0015</v>
      </c>
      <c r="V431" s="22" t="n">
        <v>-0.0013</v>
      </c>
      <c r="W431" s="22" t="n">
        <v>0.0028</v>
      </c>
      <c r="X431" s="22" t="n">
        <v>0.0086</v>
      </c>
      <c r="Y431" s="22" t="n">
        <v>0.08</v>
      </c>
      <c r="Z431" s="22" t="n">
        <v>0.0632</v>
      </c>
      <c r="AA431" s="22" t="n">
        <v>0.0609</v>
      </c>
      <c r="AB431" s="22" t="n">
        <v>0.0795</v>
      </c>
      <c r="AC431" s="22" t="n">
        <v>0.0638</v>
      </c>
      <c r="AD431" s="22" t="n">
        <v>0.0875</v>
      </c>
      <c r="AE431" s="22" t="n">
        <v>0.1043</v>
      </c>
      <c r="AF431" s="22" t="n">
        <v>0.0955</v>
      </c>
      <c r="AG431" s="22" t="n">
        <v>0.137</v>
      </c>
      <c r="AH431" s="22" t="n">
        <v>0.16</v>
      </c>
      <c r="AI431" s="22" t="n">
        <v>0.1383</v>
      </c>
      <c r="AJ431" s="22" t="n">
        <v>0.1179</v>
      </c>
      <c r="AK431" s="22" t="n">
        <v>0.0573</v>
      </c>
      <c r="AL431" s="22" t="n">
        <v>0.0221</v>
      </c>
      <c r="AM431" s="22" t="n">
        <v>0.0156</v>
      </c>
      <c r="AN431" s="22" t="n">
        <v>0.0197</v>
      </c>
      <c r="AO431" s="22" t="n">
        <v>0.0317</v>
      </c>
      <c r="AP431" s="22" t="n">
        <v>0.0602</v>
      </c>
      <c r="AQ431" s="22" t="n">
        <v>0.0575</v>
      </c>
      <c r="AR431" s="22" t="n">
        <v>0.0424</v>
      </c>
      <c r="AS431" s="22" t="n">
        <v>0.0459</v>
      </c>
      <c r="AT431" s="22" t="n">
        <v>0.0272</v>
      </c>
      <c r="AU431" s="22" t="n">
        <v>0.0564</v>
      </c>
      <c r="AV431" s="22" t="n">
        <v>0.0419</v>
      </c>
    </row>
    <row r="432" customFormat="false" ht="15" hidden="false" customHeight="false" outlineLevel="0" collapsed="false">
      <c r="A432" s="22" t="s">
        <v>574</v>
      </c>
      <c r="B432" s="22" t="s">
        <v>3</v>
      </c>
      <c r="C432" s="22" t="s">
        <v>574</v>
      </c>
      <c r="D432" s="22" t="n">
        <v>39780</v>
      </c>
      <c r="E432" s="22" t="s">
        <v>132</v>
      </c>
      <c r="F432" s="22" t="s">
        <v>135</v>
      </c>
      <c r="G432" s="22" t="s">
        <v>131</v>
      </c>
      <c r="H432" s="22" t="s">
        <v>131</v>
      </c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</row>
    <row r="433" customFormat="false" ht="15" hidden="false" customHeight="false" outlineLevel="0" collapsed="false">
      <c r="A433" s="22" t="s">
        <v>575</v>
      </c>
      <c r="B433" s="22" t="s">
        <v>3</v>
      </c>
      <c r="C433" s="22" t="s">
        <v>575</v>
      </c>
      <c r="D433" s="22" t="n">
        <v>39820</v>
      </c>
      <c r="E433" s="22" t="s">
        <v>132</v>
      </c>
      <c r="F433" s="22" t="s">
        <v>135</v>
      </c>
      <c r="G433" s="22" t="s">
        <v>131</v>
      </c>
      <c r="H433" s="22" t="s">
        <v>131</v>
      </c>
      <c r="I433" s="22"/>
      <c r="J433" s="22"/>
      <c r="K433" s="22"/>
      <c r="L433" s="22"/>
      <c r="M433" s="22"/>
      <c r="N433" s="22"/>
      <c r="O433" s="22"/>
      <c r="P433" s="22"/>
      <c r="Q433" s="22" t="n">
        <v>0.0357</v>
      </c>
      <c r="R433" s="22" t="n">
        <v>0.0203</v>
      </c>
      <c r="S433" s="22" t="n">
        <v>0.0373</v>
      </c>
      <c r="T433" s="22" t="n">
        <v>0.0499</v>
      </c>
      <c r="U433" s="22" t="n">
        <v>0.0696</v>
      </c>
      <c r="V433" s="22" t="n">
        <v>0.0672</v>
      </c>
      <c r="W433" s="22" t="n">
        <v>0.0314</v>
      </c>
      <c r="X433" s="22" t="n">
        <v>0.013</v>
      </c>
      <c r="Y433" s="22" t="n">
        <v>0.0243</v>
      </c>
      <c r="Z433" s="22" t="n">
        <v>0.0392</v>
      </c>
      <c r="AA433" s="22" t="n">
        <v>0.0343</v>
      </c>
      <c r="AB433" s="22" t="n">
        <v>0.037</v>
      </c>
      <c r="AC433" s="22" t="n">
        <v>0.0175</v>
      </c>
      <c r="AD433" s="22" t="n">
        <v>0.0309</v>
      </c>
      <c r="AE433" s="22" t="n">
        <v>0.0754</v>
      </c>
      <c r="AF433" s="22" t="n">
        <v>0.0991</v>
      </c>
      <c r="AG433" s="22" t="n">
        <v>0.0947</v>
      </c>
      <c r="AH433" s="22" t="n">
        <v>0.0911</v>
      </c>
      <c r="AI433" s="22" t="n">
        <v>0.0668</v>
      </c>
      <c r="AJ433" s="22" t="n">
        <v>0.0506</v>
      </c>
      <c r="AK433" s="22" t="n">
        <v>0.0692</v>
      </c>
      <c r="AL433" s="22" t="n">
        <v>0.0774</v>
      </c>
      <c r="AM433" s="22" t="n">
        <v>0.1018</v>
      </c>
      <c r="AN433" s="22" t="n">
        <v>0.144</v>
      </c>
      <c r="AO433" s="22" t="n">
        <v>0.1315</v>
      </c>
      <c r="AP433" s="22" t="n">
        <v>0.1599</v>
      </c>
      <c r="AQ433" s="22" t="n">
        <v>-0.0082</v>
      </c>
      <c r="AR433" s="22" t="n">
        <v>-0.055</v>
      </c>
      <c r="AS433" s="22" t="n">
        <v>-0.0337</v>
      </c>
      <c r="AT433" s="22" t="n">
        <v>-0.0848</v>
      </c>
      <c r="AU433" s="22" t="n">
        <v>0.1164</v>
      </c>
      <c r="AV433" s="22" t="n">
        <v>0.0731</v>
      </c>
    </row>
    <row r="434" customFormat="false" ht="15" hidden="false" customHeight="false" outlineLevel="0" collapsed="false">
      <c r="A434" s="22" t="s">
        <v>576</v>
      </c>
      <c r="B434" s="22" t="s">
        <v>3</v>
      </c>
      <c r="C434" s="22" t="s">
        <v>576</v>
      </c>
      <c r="D434" s="22" t="n">
        <v>39860</v>
      </c>
      <c r="E434" s="22" t="s">
        <v>132</v>
      </c>
      <c r="F434" s="22" t="s">
        <v>135</v>
      </c>
      <c r="G434" s="22" t="s">
        <v>131</v>
      </c>
      <c r="H434" s="22" t="s">
        <v>131</v>
      </c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</row>
    <row r="435" customFormat="false" ht="15" hidden="false" customHeight="false" outlineLevel="0" collapsed="false">
      <c r="A435" s="22" t="s">
        <v>25</v>
      </c>
      <c r="B435" s="22" t="s">
        <v>3</v>
      </c>
      <c r="C435" s="22" t="s">
        <v>25</v>
      </c>
      <c r="D435" s="22" t="n">
        <v>39900</v>
      </c>
      <c r="E435" s="22" t="s">
        <v>132</v>
      </c>
      <c r="F435" s="22" t="s">
        <v>135</v>
      </c>
      <c r="G435" s="22" t="s">
        <v>131</v>
      </c>
      <c r="H435" s="22" t="s">
        <v>131</v>
      </c>
      <c r="I435" s="22" t="n">
        <v>0.1035</v>
      </c>
      <c r="J435" s="22" t="n">
        <v>0.1213</v>
      </c>
      <c r="K435" s="22" t="n">
        <v>0.1147</v>
      </c>
      <c r="L435" s="22" t="n">
        <v>0.1151</v>
      </c>
      <c r="M435" s="22" t="n">
        <v>0.0917</v>
      </c>
      <c r="N435" s="22" t="n">
        <v>0.0948</v>
      </c>
      <c r="O435" s="22" t="n">
        <v>0.113</v>
      </c>
      <c r="P435" s="22" t="n">
        <v>0.1044</v>
      </c>
      <c r="Q435" s="22" t="n">
        <v>0.0901</v>
      </c>
      <c r="R435" s="22" t="n">
        <v>0.078</v>
      </c>
      <c r="S435" s="22" t="n">
        <v>0.0767</v>
      </c>
      <c r="T435" s="22" t="n">
        <v>0.0882</v>
      </c>
      <c r="U435" s="22" t="n">
        <v>0.1009</v>
      </c>
      <c r="V435" s="22" t="n">
        <v>0.0905</v>
      </c>
      <c r="W435" s="22" t="n">
        <v>0.0747</v>
      </c>
      <c r="X435" s="22" t="n">
        <v>0.0517</v>
      </c>
      <c r="Y435" s="22" t="n">
        <v>0.0563</v>
      </c>
      <c r="Z435" s="22" t="n">
        <v>0.027</v>
      </c>
      <c r="AA435" s="22" t="n">
        <v>0.0348</v>
      </c>
      <c r="AB435" s="22" t="n">
        <v>0.0715</v>
      </c>
      <c r="AC435" s="22" t="n">
        <v>0.0777</v>
      </c>
      <c r="AD435" s="22" t="n">
        <v>0.137</v>
      </c>
      <c r="AE435" s="22" t="n">
        <v>0.1719</v>
      </c>
      <c r="AF435" s="22" t="n">
        <v>0.1404</v>
      </c>
      <c r="AG435" s="22" t="n">
        <v>0.1327</v>
      </c>
      <c r="AH435" s="22" t="n">
        <v>0.0999</v>
      </c>
      <c r="AI435" s="22" t="n">
        <v>0.0366</v>
      </c>
      <c r="AJ435" s="22" t="n">
        <v>0.0185</v>
      </c>
      <c r="AK435" s="22" t="n">
        <v>-0.0032</v>
      </c>
      <c r="AL435" s="22" t="n">
        <v>-0.0153</v>
      </c>
      <c r="AM435" s="22" t="n">
        <v>-0.0126</v>
      </c>
      <c r="AN435" s="22" t="n">
        <v>-0.0133</v>
      </c>
      <c r="AO435" s="22" t="n">
        <v>-0.0046</v>
      </c>
      <c r="AP435" s="22" t="n">
        <v>0.0146</v>
      </c>
      <c r="AQ435" s="22" t="n">
        <v>0.0282</v>
      </c>
      <c r="AR435" s="22" t="n">
        <v>0.0278</v>
      </c>
      <c r="AS435" s="22" t="n">
        <v>0.05</v>
      </c>
      <c r="AT435" s="22" t="n">
        <v>0.049</v>
      </c>
      <c r="AU435" s="22" t="n">
        <v>0.0447</v>
      </c>
      <c r="AV435" s="22" t="n">
        <v>0.0665</v>
      </c>
    </row>
    <row r="436" customFormat="false" ht="15" hidden="false" customHeight="false" outlineLevel="0" collapsed="false">
      <c r="A436" s="22" t="s">
        <v>577</v>
      </c>
      <c r="B436" s="22" t="s">
        <v>3</v>
      </c>
      <c r="C436" s="22" t="s">
        <v>577</v>
      </c>
      <c r="D436" s="22" t="n">
        <v>39940</v>
      </c>
      <c r="E436" s="22" t="s">
        <v>132</v>
      </c>
      <c r="F436" s="22" t="s">
        <v>135</v>
      </c>
      <c r="G436" s="22" t="s">
        <v>131</v>
      </c>
      <c r="H436" s="22" t="s">
        <v>131</v>
      </c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 t="n">
        <v>0.058</v>
      </c>
      <c r="AE436" s="22" t="n">
        <v>0.1219</v>
      </c>
      <c r="AF436" s="22" t="n">
        <v>0.1624</v>
      </c>
      <c r="AG436" s="22" t="n">
        <v>0.1708</v>
      </c>
      <c r="AH436" s="22" t="n">
        <v>0.107</v>
      </c>
      <c r="AI436" s="22" t="n">
        <v>0.047</v>
      </c>
      <c r="AJ436" s="22" t="n">
        <v>0.0622</v>
      </c>
      <c r="AK436" s="22" t="n">
        <v>0.0474</v>
      </c>
      <c r="AL436" s="22" t="n">
        <v>0.042</v>
      </c>
      <c r="AM436" s="22" t="n">
        <v>0.0183</v>
      </c>
      <c r="AN436" s="22" t="n">
        <v>-0.0092</v>
      </c>
      <c r="AO436" s="22" t="n">
        <v>-0.0113</v>
      </c>
      <c r="AP436" s="22" t="n">
        <v>-0.003</v>
      </c>
      <c r="AQ436" s="22" t="n">
        <v>0.0066</v>
      </c>
      <c r="AR436" s="22" t="n">
        <v>0.0201</v>
      </c>
      <c r="AS436" s="22" t="n">
        <v>0.019</v>
      </c>
      <c r="AT436" s="22" t="n">
        <v>0.0213</v>
      </c>
      <c r="AU436" s="22" t="n">
        <v>0.0448</v>
      </c>
      <c r="AV436" s="22" t="n">
        <v>0.044</v>
      </c>
    </row>
    <row r="437" customFormat="false" ht="15" hidden="false" customHeight="false" outlineLevel="0" collapsed="false">
      <c r="A437" s="22" t="s">
        <v>578</v>
      </c>
      <c r="B437" s="22" t="s">
        <v>3</v>
      </c>
      <c r="C437" s="22" t="s">
        <v>578</v>
      </c>
      <c r="D437" s="22" t="n">
        <v>40080</v>
      </c>
      <c r="E437" s="22" t="s">
        <v>132</v>
      </c>
      <c r="F437" s="22" t="s">
        <v>135</v>
      </c>
      <c r="G437" s="22" t="s">
        <v>131</v>
      </c>
      <c r="H437" s="22" t="s">
        <v>131</v>
      </c>
      <c r="I437" s="22"/>
      <c r="J437" s="22"/>
      <c r="K437" s="22" t="n">
        <v>0.0227</v>
      </c>
      <c r="L437" s="22" t="n">
        <v>0.0095</v>
      </c>
      <c r="M437" s="22" t="n">
        <v>0.0457</v>
      </c>
      <c r="N437" s="22" t="n">
        <v>-0.0018</v>
      </c>
      <c r="O437" s="22" t="n">
        <v>0.0488</v>
      </c>
      <c r="P437" s="22" t="n">
        <v>0.0991</v>
      </c>
      <c r="Q437" s="22" t="n">
        <v>0.0215</v>
      </c>
      <c r="R437" s="22" t="n">
        <v>-0.0127</v>
      </c>
      <c r="S437" s="22" t="n">
        <v>-0.0419</v>
      </c>
      <c r="T437" s="22" t="n">
        <v>-0.0644</v>
      </c>
      <c r="U437" s="22" t="n">
        <v>-0.0074</v>
      </c>
      <c r="V437" s="22"/>
      <c r="W437" s="22"/>
      <c r="X437" s="22"/>
      <c r="Y437" s="22"/>
      <c r="Z437" s="22"/>
      <c r="AA437" s="22" t="n">
        <v>0.1174</v>
      </c>
      <c r="AB437" s="22" t="n">
        <v>0.082</v>
      </c>
      <c r="AC437" s="22" t="n">
        <v>0.0433</v>
      </c>
      <c r="AD437" s="22" t="n">
        <v>0.097</v>
      </c>
      <c r="AE437" s="22" t="n">
        <v>0.136</v>
      </c>
      <c r="AF437" s="22" t="n">
        <v>0.1406</v>
      </c>
      <c r="AG437" s="22" t="n">
        <v>0.0889</v>
      </c>
      <c r="AH437" s="22" t="n">
        <v>0.0692</v>
      </c>
      <c r="AI437" s="22" t="n">
        <v>0.0205</v>
      </c>
      <c r="AJ437" s="22" t="n">
        <v>0.0597</v>
      </c>
      <c r="AK437" s="22" t="n">
        <v>0.1013</v>
      </c>
      <c r="AL437" s="22" t="n">
        <v>0.1167</v>
      </c>
      <c r="AM437" s="22" t="n">
        <v>0.1029</v>
      </c>
      <c r="AN437" s="22" t="n">
        <v>0.0591</v>
      </c>
      <c r="AO437" s="22"/>
      <c r="AP437" s="22"/>
      <c r="AQ437" s="22"/>
      <c r="AR437" s="22"/>
      <c r="AS437" s="22"/>
      <c r="AT437" s="22" t="n">
        <v>0.0515</v>
      </c>
      <c r="AU437" s="22"/>
      <c r="AV437" s="22"/>
    </row>
    <row r="438" customFormat="false" ht="15" hidden="false" customHeight="false" outlineLevel="0" collapsed="false">
      <c r="A438" s="22" t="s">
        <v>579</v>
      </c>
      <c r="B438" s="22" t="s">
        <v>3</v>
      </c>
      <c r="C438" s="22" t="s">
        <v>579</v>
      </c>
      <c r="D438" s="22" t="n">
        <v>39980</v>
      </c>
      <c r="E438" s="22" t="s">
        <v>132</v>
      </c>
      <c r="F438" s="22" t="s">
        <v>135</v>
      </c>
      <c r="G438" s="22" t="s">
        <v>131</v>
      </c>
      <c r="H438" s="22" t="s">
        <v>131</v>
      </c>
      <c r="I438" s="22" t="n">
        <v>0.0886</v>
      </c>
      <c r="J438" s="22"/>
      <c r="K438" s="22"/>
      <c r="L438" s="22"/>
      <c r="M438" s="22"/>
      <c r="N438" s="22" t="n">
        <v>0.0042</v>
      </c>
      <c r="O438" s="22" t="n">
        <v>-0.0857</v>
      </c>
      <c r="P438" s="22" t="n">
        <v>-0.0341</v>
      </c>
      <c r="Q438" s="22" t="n">
        <v>-0.0158</v>
      </c>
      <c r="R438" s="22" t="n">
        <v>0.0374</v>
      </c>
      <c r="S438" s="22" t="n">
        <v>0.0396</v>
      </c>
      <c r="T438" s="22" t="n">
        <v>0.0263</v>
      </c>
      <c r="U438" s="22" t="n">
        <v>0.0214</v>
      </c>
      <c r="V438" s="22" t="n">
        <v>0.0186</v>
      </c>
      <c r="W438" s="22" t="n">
        <v>0.0224</v>
      </c>
      <c r="X438" s="22" t="n">
        <v>0.046</v>
      </c>
      <c r="Y438" s="22" t="n">
        <v>0.0218</v>
      </c>
      <c r="Z438" s="22" t="n">
        <v>0.0157</v>
      </c>
      <c r="AA438" s="22" t="n">
        <v>0.0941</v>
      </c>
      <c r="AB438" s="22" t="n">
        <v>0.0275</v>
      </c>
      <c r="AC438" s="22" t="n">
        <v>0.0317</v>
      </c>
      <c r="AD438" s="22" t="n">
        <v>0.0342</v>
      </c>
      <c r="AE438" s="22" t="n">
        <v>-0.0398</v>
      </c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</row>
    <row r="439" customFormat="false" ht="15" hidden="false" customHeight="false" outlineLevel="0" collapsed="false">
      <c r="A439" s="22" t="s">
        <v>31</v>
      </c>
      <c r="B439" s="22" t="s">
        <v>3</v>
      </c>
      <c r="C439" s="22" t="s">
        <v>31</v>
      </c>
      <c r="D439" s="22" t="n">
        <v>40060</v>
      </c>
      <c r="E439" s="22" t="s">
        <v>132</v>
      </c>
      <c r="F439" s="22" t="s">
        <v>135</v>
      </c>
      <c r="G439" s="22" t="s">
        <v>131</v>
      </c>
      <c r="H439" s="22" t="s">
        <v>131</v>
      </c>
      <c r="I439" s="22" t="n">
        <v>0.038</v>
      </c>
      <c r="J439" s="22" t="n">
        <v>0.0435</v>
      </c>
      <c r="K439" s="22" t="n">
        <v>0.0506</v>
      </c>
      <c r="L439" s="22" t="n">
        <v>0.0405</v>
      </c>
      <c r="M439" s="22" t="n">
        <v>0.0445</v>
      </c>
      <c r="N439" s="22" t="n">
        <v>0.0448</v>
      </c>
      <c r="O439" s="22" t="n">
        <v>0.0467</v>
      </c>
      <c r="P439" s="22" t="n">
        <v>0.0528</v>
      </c>
      <c r="Q439" s="22" t="n">
        <v>0.0502</v>
      </c>
      <c r="R439" s="22" t="n">
        <v>0.0469</v>
      </c>
      <c r="S439" s="22" t="n">
        <v>0.0401</v>
      </c>
      <c r="T439" s="22" t="n">
        <v>0.0485</v>
      </c>
      <c r="U439" s="22" t="n">
        <v>0.0526</v>
      </c>
      <c r="V439" s="22" t="n">
        <v>0.0563</v>
      </c>
      <c r="W439" s="22" t="n">
        <v>0.0581</v>
      </c>
      <c r="X439" s="22" t="n">
        <v>0.0395</v>
      </c>
      <c r="Y439" s="22" t="n">
        <v>0.0346</v>
      </c>
      <c r="Z439" s="22" t="n">
        <v>0.0143</v>
      </c>
      <c r="AA439" s="22" t="n">
        <v>0.0343</v>
      </c>
      <c r="AB439" s="22" t="n">
        <v>0.0535</v>
      </c>
      <c r="AC439" s="22" t="n">
        <v>0.0774</v>
      </c>
      <c r="AD439" s="22" t="n">
        <v>0.1127</v>
      </c>
      <c r="AE439" s="22" t="n">
        <v>0.1301</v>
      </c>
      <c r="AF439" s="22" t="n">
        <v>0.156</v>
      </c>
      <c r="AG439" s="22" t="n">
        <v>0.1436</v>
      </c>
      <c r="AH439" s="22" t="n">
        <v>0.1446</v>
      </c>
      <c r="AI439" s="22" t="n">
        <v>0.1235</v>
      </c>
      <c r="AJ439" s="22" t="n">
        <v>0.0863</v>
      </c>
      <c r="AK439" s="22" t="n">
        <v>0.0711</v>
      </c>
      <c r="AL439" s="22" t="n">
        <v>0.0432</v>
      </c>
      <c r="AM439" s="22" t="n">
        <v>0.0217</v>
      </c>
      <c r="AN439" s="22" t="n">
        <v>0.0077</v>
      </c>
      <c r="AO439" s="22" t="n">
        <v>0.0116</v>
      </c>
      <c r="AP439" s="22" t="n">
        <v>0.011</v>
      </c>
      <c r="AQ439" s="22" t="n">
        <v>0.0242</v>
      </c>
      <c r="AR439" s="22" t="n">
        <v>0.0423</v>
      </c>
      <c r="AS439" s="22" t="n">
        <v>0.0372</v>
      </c>
      <c r="AT439" s="22" t="n">
        <v>0.0392</v>
      </c>
      <c r="AU439" s="22" t="n">
        <v>0.0223</v>
      </c>
      <c r="AV439" s="22" t="n">
        <v>0.0113</v>
      </c>
    </row>
    <row r="440" customFormat="false" ht="15" hidden="false" customHeight="false" outlineLevel="0" collapsed="false">
      <c r="A440" s="22" t="s">
        <v>580</v>
      </c>
      <c r="B440" s="22" t="s">
        <v>3</v>
      </c>
      <c r="C440" s="22" t="s">
        <v>580</v>
      </c>
      <c r="D440" s="22" t="n">
        <v>40090</v>
      </c>
      <c r="E440" s="22" t="s">
        <v>132</v>
      </c>
      <c r="F440" s="22" t="s">
        <v>135</v>
      </c>
      <c r="G440" s="22" t="s">
        <v>131</v>
      </c>
      <c r="H440" s="22" t="s">
        <v>131</v>
      </c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 t="n">
        <v>0.1122</v>
      </c>
      <c r="AC440" s="22" t="n">
        <v>0.1247</v>
      </c>
      <c r="AD440" s="22" t="n">
        <v>0.1403</v>
      </c>
      <c r="AE440" s="22" t="n">
        <v>0.1958</v>
      </c>
      <c r="AF440" s="22" t="n">
        <v>0.1143</v>
      </c>
      <c r="AG440" s="22" t="n">
        <v>0.1279</v>
      </c>
      <c r="AH440" s="22" t="n">
        <v>0.1204</v>
      </c>
      <c r="AI440" s="22" t="n">
        <v>0.1406</v>
      </c>
      <c r="AJ440" s="22" t="n">
        <v>0.1561</v>
      </c>
      <c r="AK440" s="22" t="n">
        <v>0.1692</v>
      </c>
      <c r="AL440" s="22" t="n">
        <v>0.1651</v>
      </c>
      <c r="AM440" s="22" t="n">
        <v>0.1291</v>
      </c>
      <c r="AN440" s="22" t="n">
        <v>0.0743</v>
      </c>
      <c r="AO440" s="22" t="n">
        <v>0.1292</v>
      </c>
      <c r="AP440" s="22" t="n">
        <v>0.1468</v>
      </c>
      <c r="AQ440" s="22" t="n">
        <v>0.1537</v>
      </c>
      <c r="AR440" s="22" t="n">
        <v>0.1504</v>
      </c>
      <c r="AS440" s="22" t="n">
        <v>0.0537</v>
      </c>
      <c r="AT440" s="22" t="n">
        <v>0.0665</v>
      </c>
      <c r="AU440" s="22" t="n">
        <v>0.0485</v>
      </c>
      <c r="AV440" s="22" t="n">
        <v>0.0118</v>
      </c>
    </row>
    <row r="441" customFormat="false" ht="15" hidden="false" customHeight="false" outlineLevel="0" collapsed="false">
      <c r="A441" s="22" t="s">
        <v>199</v>
      </c>
      <c r="B441" s="22" t="s">
        <v>3</v>
      </c>
      <c r="C441" s="22" t="s">
        <v>199</v>
      </c>
      <c r="D441" s="22" t="n">
        <v>40140</v>
      </c>
      <c r="E441" s="22" t="s">
        <v>132</v>
      </c>
      <c r="F441" s="22" t="s">
        <v>135</v>
      </c>
      <c r="G441" s="22" t="s">
        <v>131</v>
      </c>
      <c r="H441" s="22" t="s">
        <v>131</v>
      </c>
      <c r="I441" s="22" t="n">
        <v>0.0803</v>
      </c>
      <c r="J441" s="22" t="n">
        <v>0.0793</v>
      </c>
      <c r="K441" s="22" t="n">
        <v>0.0712</v>
      </c>
      <c r="L441" s="22" t="n">
        <v>0.0675</v>
      </c>
      <c r="M441" s="22" t="n">
        <v>0.0508</v>
      </c>
      <c r="N441" s="22" t="n">
        <v>0.0477</v>
      </c>
      <c r="O441" s="22" t="n">
        <v>0.0508</v>
      </c>
      <c r="P441" s="22" t="n">
        <v>0.0521</v>
      </c>
      <c r="Q441" s="22" t="n">
        <v>0.0544</v>
      </c>
      <c r="R441" s="22" t="n">
        <v>0.0538</v>
      </c>
      <c r="S441" s="22" t="n">
        <v>0.0543</v>
      </c>
      <c r="T441" s="22" t="n">
        <v>0.0487</v>
      </c>
      <c r="U441" s="22" t="n">
        <v>0.0545</v>
      </c>
      <c r="V441" s="22" t="n">
        <v>0.0531</v>
      </c>
      <c r="W441" s="22" t="n">
        <v>0.0497</v>
      </c>
      <c r="X441" s="22" t="n">
        <v>0.0504</v>
      </c>
      <c r="Y441" s="22" t="n">
        <v>0.0569</v>
      </c>
      <c r="Z441" s="22" t="n">
        <v>0.0325</v>
      </c>
      <c r="AA441" s="22" t="n">
        <v>0.0557</v>
      </c>
      <c r="AB441" s="22" t="n">
        <v>0.0928</v>
      </c>
      <c r="AC441" s="22" t="n">
        <v>0.1076</v>
      </c>
      <c r="AD441" s="22" t="n">
        <v>0.162</v>
      </c>
      <c r="AE441" s="22" t="n">
        <v>0.1828</v>
      </c>
      <c r="AF441" s="22" t="n">
        <v>0.1824</v>
      </c>
      <c r="AG441" s="22" t="n">
        <v>0.181</v>
      </c>
      <c r="AH441" s="22" t="n">
        <v>0.1736</v>
      </c>
      <c r="AI441" s="22" t="n">
        <v>0.1362</v>
      </c>
      <c r="AJ441" s="22" t="n">
        <v>0.0799</v>
      </c>
      <c r="AK441" s="22" t="n">
        <v>0.0539</v>
      </c>
      <c r="AL441" s="22" t="n">
        <v>0.0274</v>
      </c>
      <c r="AM441" s="22" t="n">
        <v>0.0036</v>
      </c>
      <c r="AN441" s="22" t="n">
        <v>0</v>
      </c>
      <c r="AO441" s="22" t="n">
        <v>-0.0035</v>
      </c>
      <c r="AP441" s="22" t="n">
        <v>-0.0015</v>
      </c>
      <c r="AQ441" s="22" t="n">
        <v>0.0038</v>
      </c>
      <c r="AR441" s="22" t="n">
        <v>0.0091</v>
      </c>
      <c r="AS441" s="22" t="n">
        <v>0.0167</v>
      </c>
      <c r="AT441" s="22" t="n">
        <v>0.0219</v>
      </c>
      <c r="AU441" s="22" t="n">
        <v>0.0321</v>
      </c>
      <c r="AV441" s="22" t="n">
        <v>0.0348</v>
      </c>
    </row>
    <row r="442" customFormat="false" ht="15" hidden="false" customHeight="false" outlineLevel="0" collapsed="false">
      <c r="A442" s="22" t="s">
        <v>581</v>
      </c>
      <c r="B442" s="22" t="s">
        <v>3</v>
      </c>
      <c r="C442" s="22" t="s">
        <v>581</v>
      </c>
      <c r="D442" s="22" t="n">
        <v>40220</v>
      </c>
      <c r="E442" s="22" t="s">
        <v>132</v>
      </c>
      <c r="F442" s="22" t="s">
        <v>135</v>
      </c>
      <c r="G442" s="22" t="s">
        <v>131</v>
      </c>
      <c r="H442" s="22" t="s">
        <v>131</v>
      </c>
      <c r="I442" s="22" t="n">
        <v>0.01</v>
      </c>
      <c r="J442" s="22" t="n">
        <v>0.0021</v>
      </c>
      <c r="K442" s="22" t="n">
        <v>-0.0002</v>
      </c>
      <c r="L442" s="22" t="n">
        <v>0.0187</v>
      </c>
      <c r="M442" s="22" t="n">
        <v>-0.0259</v>
      </c>
      <c r="N442" s="22" t="n">
        <v>-0.0298</v>
      </c>
      <c r="O442" s="22" t="n">
        <v>-0.02</v>
      </c>
      <c r="P442" s="22" t="n">
        <v>-0.0336</v>
      </c>
      <c r="Q442" s="22" t="n">
        <v>0.0135</v>
      </c>
      <c r="R442" s="22" t="n">
        <v>0.0142</v>
      </c>
      <c r="S442" s="22" t="n">
        <v>0.0407</v>
      </c>
      <c r="T442" s="22" t="n">
        <v>0.0883</v>
      </c>
      <c r="U442" s="22" t="n">
        <v>0.104</v>
      </c>
      <c r="V442" s="22" t="n">
        <v>0.1219</v>
      </c>
      <c r="W442" s="22" t="n">
        <v>0.1266</v>
      </c>
      <c r="X442" s="22" t="n">
        <v>0.0821</v>
      </c>
      <c r="Y442" s="22" t="n">
        <v>0.0324</v>
      </c>
      <c r="Z442" s="22" t="n">
        <v>-0.0088</v>
      </c>
      <c r="AA442" s="22" t="n">
        <v>-0.0275</v>
      </c>
      <c r="AB442" s="22" t="n">
        <v>-0.0077</v>
      </c>
      <c r="AC442" s="22" t="n">
        <v>0.0234</v>
      </c>
      <c r="AD442" s="22" t="n">
        <v>0.0859</v>
      </c>
      <c r="AE442" s="22" t="n">
        <v>0.1597</v>
      </c>
      <c r="AF442" s="22" t="n">
        <v>0.1559</v>
      </c>
      <c r="AG442" s="22" t="n">
        <v>0.1722</v>
      </c>
      <c r="AH442" s="22" t="n">
        <v>0.2049</v>
      </c>
      <c r="AI442" s="22" t="n">
        <v>0.1458</v>
      </c>
      <c r="AJ442" s="22" t="n">
        <v>0.0967</v>
      </c>
      <c r="AK442" s="22" t="n">
        <v>0.0703</v>
      </c>
      <c r="AL442" s="22" t="n">
        <v>0.0554</v>
      </c>
      <c r="AM442" s="22" t="n">
        <v>0.038</v>
      </c>
      <c r="AN442" s="22" t="n">
        <v>0.0639</v>
      </c>
      <c r="AO442" s="22" t="n">
        <v>0.054</v>
      </c>
      <c r="AP442" s="22" t="n">
        <v>0.0197</v>
      </c>
      <c r="AQ442" s="22" t="n">
        <v>0.03</v>
      </c>
      <c r="AR442" s="22" t="n">
        <v>0.0579</v>
      </c>
      <c r="AS442" s="22" t="n">
        <v>0.0762</v>
      </c>
      <c r="AT442" s="22" t="n">
        <v>0.0627</v>
      </c>
      <c r="AU442" s="22" t="n">
        <v>0.0571</v>
      </c>
      <c r="AV442" s="22" t="n">
        <v>0.0447</v>
      </c>
    </row>
    <row r="443" customFormat="false" ht="15" hidden="false" customHeight="false" outlineLevel="0" collapsed="false">
      <c r="A443" s="22" t="s">
        <v>582</v>
      </c>
      <c r="B443" s="22" t="s">
        <v>3</v>
      </c>
      <c r="C443" s="22" t="s">
        <v>582</v>
      </c>
      <c r="D443" s="22" t="n">
        <v>40340</v>
      </c>
      <c r="E443" s="22" t="s">
        <v>132</v>
      </c>
      <c r="F443" s="22" t="s">
        <v>135</v>
      </c>
      <c r="G443" s="22" t="s">
        <v>131</v>
      </c>
      <c r="H443" s="22" t="s">
        <v>131</v>
      </c>
      <c r="I443" s="22" t="n">
        <v>-0.0284</v>
      </c>
      <c r="J443" s="22" t="n">
        <v>0.0049</v>
      </c>
      <c r="K443" s="22" t="n">
        <v>0.0659</v>
      </c>
      <c r="L443" s="22" t="n">
        <v>-0.0171</v>
      </c>
      <c r="M443" s="22" t="n">
        <v>-0.0386</v>
      </c>
      <c r="N443" s="22" t="n">
        <v>-0.0848</v>
      </c>
      <c r="O443" s="22" t="n">
        <v>-0.0791</v>
      </c>
      <c r="P443" s="22" t="n">
        <v>-0.0293</v>
      </c>
      <c r="Q443" s="22" t="n">
        <v>-0.0414</v>
      </c>
      <c r="R443" s="22" t="n">
        <v>0.0208</v>
      </c>
      <c r="S443" s="22" t="n">
        <v>0.0359</v>
      </c>
      <c r="T443" s="22" t="n">
        <v>0.0415</v>
      </c>
      <c r="U443" s="22" t="n">
        <v>0.0781</v>
      </c>
      <c r="V443" s="22" t="n">
        <v>0.0444</v>
      </c>
      <c r="W443" s="22" t="n">
        <v>0.0554</v>
      </c>
      <c r="X443" s="22" t="n">
        <v>0.0451</v>
      </c>
      <c r="Y443" s="22" t="n">
        <v>0.0319</v>
      </c>
      <c r="Z443" s="22" t="n">
        <v>-0.0027</v>
      </c>
      <c r="AA443" s="22" t="n">
        <v>-0.0173</v>
      </c>
      <c r="AB443" s="22" t="n">
        <v>-0.0112</v>
      </c>
      <c r="AC443" s="22" t="n">
        <v>-0.0022</v>
      </c>
      <c r="AD443" s="22" t="n">
        <v>0.0409</v>
      </c>
      <c r="AE443" s="22" t="n">
        <v>0.045</v>
      </c>
      <c r="AF443" s="22" t="n">
        <v>0.1662</v>
      </c>
      <c r="AG443" s="22" t="n">
        <v>0.1725</v>
      </c>
      <c r="AH443" s="22" t="n">
        <v>0.1681</v>
      </c>
      <c r="AI443" s="22" t="n">
        <v>0.1484</v>
      </c>
      <c r="AJ443" s="22" t="n">
        <v>0.0431</v>
      </c>
      <c r="AK443" s="22" t="n">
        <v>0.0247</v>
      </c>
      <c r="AL443" s="22" t="n">
        <v>0.0196</v>
      </c>
      <c r="AM443" s="22" t="n">
        <v>0.0191</v>
      </c>
      <c r="AN443" s="22" t="n">
        <v>0.0162</v>
      </c>
      <c r="AO443" s="22" t="n">
        <v>0.0272</v>
      </c>
      <c r="AP443" s="22" t="n">
        <v>0.0203</v>
      </c>
      <c r="AQ443" s="22" t="n">
        <v>0.0202</v>
      </c>
      <c r="AR443" s="22" t="n">
        <v>0.0267</v>
      </c>
      <c r="AS443" s="22" t="n">
        <v>0.0373</v>
      </c>
      <c r="AT443" s="22" t="n">
        <v>0.0531</v>
      </c>
      <c r="AU443" s="22" t="n">
        <v>0.0476</v>
      </c>
      <c r="AV443" s="22" t="n">
        <v>0.0534</v>
      </c>
    </row>
    <row r="444" customFormat="false" ht="15" hidden="false" customHeight="false" outlineLevel="0" collapsed="false">
      <c r="A444" s="22" t="s">
        <v>200</v>
      </c>
      <c r="B444" s="22" t="s">
        <v>3</v>
      </c>
      <c r="C444" s="22" t="s">
        <v>200</v>
      </c>
      <c r="D444" s="22" t="n">
        <v>40380</v>
      </c>
      <c r="E444" s="22" t="s">
        <v>132</v>
      </c>
      <c r="F444" s="22" t="s">
        <v>135</v>
      </c>
      <c r="G444" s="22" t="s">
        <v>131</v>
      </c>
      <c r="H444" s="22" t="s">
        <v>131</v>
      </c>
      <c r="I444" s="22" t="n">
        <v>0.0411</v>
      </c>
      <c r="J444" s="22" t="n">
        <v>0.0542</v>
      </c>
      <c r="K444" s="22" t="n">
        <v>0.0388</v>
      </c>
      <c r="L444" s="22" t="n">
        <v>0.0497</v>
      </c>
      <c r="M444" s="22" t="n">
        <v>0.0469</v>
      </c>
      <c r="N444" s="22" t="n">
        <v>0.0477</v>
      </c>
      <c r="O444" s="22" t="n">
        <v>0.0638</v>
      </c>
      <c r="P444" s="22" t="n">
        <v>0.0445</v>
      </c>
      <c r="Q444" s="22" t="n">
        <v>0.0327</v>
      </c>
      <c r="R444" s="22" t="n">
        <v>0.0297</v>
      </c>
      <c r="S444" s="22" t="n">
        <v>0.0325</v>
      </c>
      <c r="T444" s="22" t="n">
        <v>0.0359</v>
      </c>
      <c r="U444" s="22" t="n">
        <v>0.039</v>
      </c>
      <c r="V444" s="22" t="n">
        <v>0.0397</v>
      </c>
      <c r="W444" s="22" t="n">
        <v>0.0278</v>
      </c>
      <c r="X444" s="22" t="n">
        <v>0.0286</v>
      </c>
      <c r="Y444" s="22" t="n">
        <v>0.0292</v>
      </c>
      <c r="Z444" s="22" t="n">
        <v>0.0214</v>
      </c>
      <c r="AA444" s="22" t="n">
        <v>0.0353</v>
      </c>
      <c r="AB444" s="22" t="n">
        <v>0.0484</v>
      </c>
      <c r="AC444" s="22" t="n">
        <v>0.067</v>
      </c>
      <c r="AD444" s="22" t="n">
        <v>0.0754</v>
      </c>
      <c r="AE444" s="22" t="n">
        <v>0.083</v>
      </c>
      <c r="AF444" s="22" t="n">
        <v>0.0784</v>
      </c>
      <c r="AG444" s="22" t="n">
        <v>0.0752</v>
      </c>
      <c r="AH444" s="22" t="n">
        <v>0.0941</v>
      </c>
      <c r="AI444" s="22" t="n">
        <v>0.1094</v>
      </c>
      <c r="AJ444" s="22" t="n">
        <v>0.1012</v>
      </c>
      <c r="AK444" s="22" t="n">
        <v>0.0893</v>
      </c>
      <c r="AL444" s="22" t="n">
        <v>0.0915</v>
      </c>
      <c r="AM444" s="22" t="n">
        <v>0.0644</v>
      </c>
      <c r="AN444" s="22" t="n">
        <v>0.0742</v>
      </c>
      <c r="AO444" s="22" t="n">
        <v>0.0726</v>
      </c>
      <c r="AP444" s="22" t="n">
        <v>0.0506</v>
      </c>
      <c r="AQ444" s="22" t="n">
        <v>0.0509</v>
      </c>
      <c r="AR444" s="22" t="n">
        <v>0.0496</v>
      </c>
      <c r="AS444" s="22" t="n">
        <v>0.0511</v>
      </c>
      <c r="AT444" s="22" t="n">
        <v>0.0504</v>
      </c>
      <c r="AU444" s="22" t="n">
        <v>0.0522</v>
      </c>
      <c r="AV444" s="22" t="n">
        <v>0.0436</v>
      </c>
    </row>
    <row r="445" customFormat="false" ht="15" hidden="false" customHeight="false" outlineLevel="0" collapsed="false">
      <c r="A445" s="22" t="s">
        <v>583</v>
      </c>
      <c r="B445" s="22" t="s">
        <v>3</v>
      </c>
      <c r="C445" s="22" t="s">
        <v>583</v>
      </c>
      <c r="D445" s="22" t="n">
        <v>40420</v>
      </c>
      <c r="E445" s="22" t="s">
        <v>132</v>
      </c>
      <c r="F445" s="22" t="s">
        <v>135</v>
      </c>
      <c r="G445" s="22" t="s">
        <v>131</v>
      </c>
      <c r="H445" s="22" t="s">
        <v>131</v>
      </c>
      <c r="I445" s="22" t="n">
        <v>0.0189</v>
      </c>
      <c r="J445" s="22" t="n">
        <v>0.0153</v>
      </c>
      <c r="K445" s="22" t="n">
        <v>0.0875</v>
      </c>
      <c r="L445" s="22" t="n">
        <v>0.1792</v>
      </c>
      <c r="M445" s="22" t="n">
        <v>0.1921</v>
      </c>
      <c r="N445" s="22" t="n">
        <v>0.2002</v>
      </c>
      <c r="O445" s="22" t="n">
        <v>0.1785</v>
      </c>
      <c r="P445" s="22" t="n">
        <v>0.0694</v>
      </c>
      <c r="Q445" s="22" t="n">
        <v>0.0427</v>
      </c>
      <c r="R445" s="22" t="n">
        <v>0.0439</v>
      </c>
      <c r="S445" s="22" t="n">
        <v>0.0042</v>
      </c>
      <c r="T445" s="22" t="n">
        <v>-0.0061</v>
      </c>
      <c r="U445" s="22" t="n">
        <v>0.0091</v>
      </c>
      <c r="V445" s="22" t="n">
        <v>0.0071</v>
      </c>
      <c r="W445" s="22" t="n">
        <v>0.0271</v>
      </c>
      <c r="X445" s="22" t="n">
        <v>0.0505</v>
      </c>
      <c r="Y445" s="22" t="n">
        <v>0.0846</v>
      </c>
      <c r="Z445" s="22" t="n">
        <v>0.0852</v>
      </c>
      <c r="AA445" s="22" t="n">
        <v>0.0697</v>
      </c>
      <c r="AB445" s="22" t="n">
        <v>0.059</v>
      </c>
      <c r="AC445" s="22" t="n">
        <v>0.0358</v>
      </c>
      <c r="AD445" s="22" t="n">
        <v>0.046</v>
      </c>
      <c r="AE445" s="22" t="n">
        <v>0.0599</v>
      </c>
      <c r="AF445" s="22" t="n">
        <v>0.1022</v>
      </c>
      <c r="AG445" s="22" t="n">
        <v>0.1568</v>
      </c>
      <c r="AH445" s="22" t="n">
        <v>0.1586</v>
      </c>
      <c r="AI445" s="22" t="n">
        <v>0.1249</v>
      </c>
      <c r="AJ445" s="22" t="n">
        <v>0.1137</v>
      </c>
      <c r="AK445" s="22" t="n">
        <v>0.0854</v>
      </c>
      <c r="AL445" s="22" t="n">
        <v>0.0831</v>
      </c>
      <c r="AM445" s="22" t="n">
        <v>0.1094</v>
      </c>
      <c r="AN445" s="22" t="n">
        <v>0.1103</v>
      </c>
      <c r="AO445" s="22" t="n">
        <v>0.0784</v>
      </c>
      <c r="AP445" s="22" t="n">
        <v>0.0895</v>
      </c>
      <c r="AQ445" s="22" t="n">
        <v>0.075</v>
      </c>
      <c r="AR445" s="22" t="n">
        <v>0.0545</v>
      </c>
      <c r="AS445" s="22" t="n">
        <v>0.0516</v>
      </c>
      <c r="AT445" s="22" t="n">
        <v>0.0129</v>
      </c>
      <c r="AU445" s="22" t="n">
        <v>0.0299</v>
      </c>
      <c r="AV445" s="22" t="n">
        <v>0.0392</v>
      </c>
    </row>
    <row r="446" customFormat="false" ht="15" hidden="false" customHeight="false" outlineLevel="0" collapsed="false">
      <c r="A446" s="22" t="s">
        <v>584</v>
      </c>
      <c r="B446" s="22" t="s">
        <v>3</v>
      </c>
      <c r="C446" s="22" t="s">
        <v>584</v>
      </c>
      <c r="D446" s="22" t="n">
        <v>40540</v>
      </c>
      <c r="E446" s="22" t="s">
        <v>132</v>
      </c>
      <c r="F446" s="22" t="s">
        <v>135</v>
      </c>
      <c r="G446" s="22" t="s">
        <v>131</v>
      </c>
      <c r="H446" s="22" t="s">
        <v>131</v>
      </c>
      <c r="I446" s="22" t="n">
        <v>-0.1695</v>
      </c>
      <c r="J446" s="22" t="n">
        <v>0.101</v>
      </c>
      <c r="K446" s="22" t="n">
        <v>-0.1223</v>
      </c>
      <c r="L446" s="22" t="n">
        <v>-0.1492</v>
      </c>
      <c r="M446" s="22" t="n">
        <v>-0.0048</v>
      </c>
      <c r="N446" s="22" t="n">
        <v>-0.2344</v>
      </c>
      <c r="O446" s="22" t="n">
        <v>-0.1655</v>
      </c>
      <c r="P446" s="22" t="n">
        <v>-0.0404</v>
      </c>
      <c r="Q446" s="22" t="n">
        <v>-0.0585</v>
      </c>
      <c r="R446" s="22" t="n">
        <v>0.1427</v>
      </c>
      <c r="S446" s="22" t="n">
        <v>0.0497</v>
      </c>
      <c r="T446" s="22" t="n">
        <v>-0.0559</v>
      </c>
      <c r="U446" s="22" t="n">
        <v>-0.0376</v>
      </c>
      <c r="V446" s="22" t="n">
        <v>0.0049</v>
      </c>
      <c r="W446" s="22" t="n">
        <v>0.0245</v>
      </c>
      <c r="X446" s="22" t="n">
        <v>0.0719</v>
      </c>
      <c r="Y446" s="22" t="n">
        <v>-0.0157</v>
      </c>
      <c r="Z446" s="22" t="n">
        <v>-0.1245</v>
      </c>
      <c r="AA446" s="22" t="n">
        <v>-0.0706</v>
      </c>
      <c r="AB446" s="22" t="n">
        <v>-0.096</v>
      </c>
      <c r="AC446" s="22" t="n">
        <v>-0.028</v>
      </c>
      <c r="AD446" s="22" t="n">
        <v>0.123</v>
      </c>
      <c r="AE446" s="22" t="n">
        <v>0.1463</v>
      </c>
      <c r="AF446" s="22" t="n">
        <v>0.2444</v>
      </c>
      <c r="AG446" s="22" t="n">
        <v>0.246</v>
      </c>
      <c r="AH446" s="22" t="n">
        <v>0.1678</v>
      </c>
      <c r="AI446" s="22" t="n">
        <v>0.1618</v>
      </c>
      <c r="AJ446" s="22" t="n">
        <v>0.1283</v>
      </c>
      <c r="AK446" s="22" t="n">
        <v>0.0582</v>
      </c>
      <c r="AL446" s="22" t="n">
        <v>0.0277</v>
      </c>
      <c r="AM446" s="22" t="n">
        <v>-0.0011</v>
      </c>
      <c r="AN446" s="22" t="n">
        <v>-0.0079</v>
      </c>
      <c r="AO446" s="22" t="n">
        <v>0.0396</v>
      </c>
      <c r="AP446" s="22" t="n">
        <v>0.0526</v>
      </c>
      <c r="AQ446" s="22" t="n">
        <v>0.0712</v>
      </c>
      <c r="AR446" s="22" t="n">
        <v>0.0637</v>
      </c>
      <c r="AS446" s="22" t="n">
        <v>-0.0594</v>
      </c>
      <c r="AT446" s="22" t="n">
        <v>-0.0354</v>
      </c>
      <c r="AU446" s="22" t="n">
        <v>-0.0747</v>
      </c>
      <c r="AV446" s="22" t="n">
        <v>-0.1259</v>
      </c>
    </row>
    <row r="447" customFormat="false" ht="15" hidden="false" customHeight="false" outlineLevel="0" collapsed="false">
      <c r="A447" s="22" t="s">
        <v>585</v>
      </c>
      <c r="B447" s="22" t="s">
        <v>3</v>
      </c>
      <c r="C447" s="22" t="s">
        <v>585</v>
      </c>
      <c r="D447" s="22" t="n">
        <v>40580</v>
      </c>
      <c r="E447" s="22" t="s">
        <v>132</v>
      </c>
      <c r="F447" s="22" t="s">
        <v>135</v>
      </c>
      <c r="G447" s="22" t="s">
        <v>131</v>
      </c>
      <c r="H447" s="22" t="s">
        <v>131</v>
      </c>
      <c r="I447" s="22" t="n">
        <v>-0.0533</v>
      </c>
      <c r="J447" s="22" t="n">
        <v>-0.0406</v>
      </c>
      <c r="K447" s="22" t="n">
        <v>-0.0296</v>
      </c>
      <c r="L447" s="22" t="n">
        <v>0.0557</v>
      </c>
      <c r="M447" s="22" t="n">
        <v>0.0718</v>
      </c>
      <c r="N447" s="22" t="n">
        <v>0.0448</v>
      </c>
      <c r="O447" s="22" t="n">
        <v>0.0965</v>
      </c>
      <c r="P447" s="22" t="n">
        <v>0.073</v>
      </c>
      <c r="Q447" s="22" t="n">
        <v>0.0922</v>
      </c>
      <c r="R447" s="22" t="n">
        <v>0.0795</v>
      </c>
      <c r="S447" s="22" t="n">
        <v>-0.0136</v>
      </c>
      <c r="T447" s="22" t="n">
        <v>-0.024</v>
      </c>
      <c r="U447" s="22" t="n">
        <v>-0.0061</v>
      </c>
      <c r="V447" s="22" t="n">
        <v>0.0174</v>
      </c>
      <c r="W447" s="22" t="n">
        <v>0.0019</v>
      </c>
      <c r="X447" s="22" t="n">
        <v>0.0421</v>
      </c>
      <c r="Y447" s="22" t="n">
        <v>0.0413</v>
      </c>
      <c r="Z447" s="22" t="n">
        <v>-0.003</v>
      </c>
      <c r="AA447" s="22" t="n">
        <v>0.0926</v>
      </c>
      <c r="AB447" s="22" t="n">
        <v>0.0942</v>
      </c>
      <c r="AC447" s="22" t="n">
        <v>0.0901</v>
      </c>
      <c r="AD447" s="22" t="n">
        <v>0.1034</v>
      </c>
      <c r="AE447" s="22" t="n">
        <v>0.0746</v>
      </c>
      <c r="AF447" s="22" t="n">
        <v>0.0929</v>
      </c>
      <c r="AG447" s="22" t="n">
        <v>0.1486</v>
      </c>
      <c r="AH447" s="22" t="n">
        <v>0.2123</v>
      </c>
      <c r="AI447" s="22" t="n">
        <v>0.1722</v>
      </c>
      <c r="AJ447" s="22" t="n">
        <v>0.1748</v>
      </c>
      <c r="AK447" s="22" t="n">
        <v>0.2021</v>
      </c>
      <c r="AL447" s="22" t="n">
        <v>0.1735</v>
      </c>
      <c r="AM447" s="22" t="n">
        <v>0.1119</v>
      </c>
      <c r="AN447" s="22" t="n">
        <v>0.0936</v>
      </c>
      <c r="AO447" s="22" t="n">
        <v>-0.0113</v>
      </c>
      <c r="AP447" s="22" t="n">
        <v>-0.0166</v>
      </c>
      <c r="AQ447" s="22" t="n">
        <v>0.0106</v>
      </c>
      <c r="AR447" s="22" t="n">
        <v>-0.0438</v>
      </c>
      <c r="AS447" s="22" t="n">
        <v>-0.0278</v>
      </c>
      <c r="AT447" s="22" t="n">
        <v>-0.0302</v>
      </c>
      <c r="AU447" s="22" t="n">
        <v>0.1385</v>
      </c>
      <c r="AV447" s="22" t="n">
        <v>0.1311</v>
      </c>
    </row>
    <row r="448" customFormat="false" ht="15" hidden="false" customHeight="false" outlineLevel="0" collapsed="false">
      <c r="A448" s="22" t="s">
        <v>586</v>
      </c>
      <c r="B448" s="22" t="s">
        <v>3</v>
      </c>
      <c r="C448" s="22" t="s">
        <v>586</v>
      </c>
      <c r="D448" s="22" t="n">
        <v>40660</v>
      </c>
      <c r="E448" s="22" t="s">
        <v>132</v>
      </c>
      <c r="F448" s="22" t="s">
        <v>135</v>
      </c>
      <c r="G448" s="22" t="s">
        <v>131</v>
      </c>
      <c r="H448" s="22" t="s">
        <v>131</v>
      </c>
      <c r="I448" s="22" t="n">
        <v>0.0432</v>
      </c>
      <c r="J448" s="22" t="n">
        <v>0.1284</v>
      </c>
      <c r="K448" s="22" t="n">
        <v>0.1306</v>
      </c>
      <c r="L448" s="22" t="n">
        <v>0.1265</v>
      </c>
      <c r="M448" s="22" t="n">
        <v>0.1381</v>
      </c>
      <c r="N448" s="22" t="n">
        <v>0.0608</v>
      </c>
      <c r="O448" s="22" t="n">
        <v>-0.0335</v>
      </c>
      <c r="P448" s="22" t="n">
        <v>-0.0298</v>
      </c>
      <c r="Q448" s="22" t="n">
        <v>-0.0469</v>
      </c>
      <c r="R448" s="22" t="n">
        <v>-0.048</v>
      </c>
      <c r="S448" s="22" t="n">
        <v>0.0216</v>
      </c>
      <c r="T448" s="22" t="n">
        <v>0.217</v>
      </c>
      <c r="U448" s="22" t="n">
        <v>0.2209</v>
      </c>
      <c r="V448" s="22" t="n">
        <v>0.209</v>
      </c>
      <c r="W448" s="22" t="n">
        <v>0.2503</v>
      </c>
      <c r="X448" s="22" t="n">
        <v>0.0699</v>
      </c>
      <c r="Y448" s="22" t="n">
        <v>0.1198</v>
      </c>
      <c r="Z448" s="22" t="n">
        <v>0.2446</v>
      </c>
      <c r="AA448" s="22" t="n">
        <v>0.2644</v>
      </c>
      <c r="AB448" s="22" t="n">
        <v>0.2787</v>
      </c>
      <c r="AC448" s="22" t="n">
        <v>0.2399</v>
      </c>
      <c r="AD448" s="22" t="n">
        <v>0.1346</v>
      </c>
      <c r="AE448" s="22" t="n">
        <v>0.1586</v>
      </c>
      <c r="AF448" s="22" t="n">
        <v>0.1429</v>
      </c>
      <c r="AG448" s="22" t="n">
        <v>0.1385</v>
      </c>
      <c r="AH448" s="22" t="n">
        <v>0.152</v>
      </c>
      <c r="AI448" s="22" t="n">
        <v>0.1714</v>
      </c>
      <c r="AJ448" s="22" t="n">
        <v>0.1545</v>
      </c>
      <c r="AK448" s="22" t="n">
        <v>0.1216</v>
      </c>
      <c r="AL448" s="22" t="n">
        <v>0.107</v>
      </c>
      <c r="AM448" s="22" t="n">
        <v>0.0155</v>
      </c>
      <c r="AN448" s="22" t="n">
        <v>-0.0626</v>
      </c>
      <c r="AO448" s="22" t="n">
        <v>-0.0226</v>
      </c>
      <c r="AP448" s="22" t="n">
        <v>-0.0002</v>
      </c>
      <c r="AQ448" s="22" t="n">
        <v>0.0239</v>
      </c>
      <c r="AR448" s="22" t="n">
        <v>0.1342</v>
      </c>
      <c r="AS448" s="22" t="n">
        <v>0.1122</v>
      </c>
      <c r="AT448" s="22" t="n">
        <v>0.1114</v>
      </c>
      <c r="AU448" s="22" t="n">
        <v>0.1211</v>
      </c>
      <c r="AV448" s="22" t="n">
        <v>0.0631</v>
      </c>
    </row>
    <row r="449" customFormat="false" ht="15" hidden="false" customHeight="false" outlineLevel="0" collapsed="false">
      <c r="A449" s="22" t="s">
        <v>587</v>
      </c>
      <c r="B449" s="22" t="s">
        <v>3</v>
      </c>
      <c r="C449" s="22" t="s">
        <v>587</v>
      </c>
      <c r="D449" s="22" t="n">
        <v>40740</v>
      </c>
      <c r="E449" s="22" t="s">
        <v>132</v>
      </c>
      <c r="F449" s="22" t="s">
        <v>135</v>
      </c>
      <c r="G449" s="22" t="s">
        <v>131</v>
      </c>
      <c r="H449" s="22" t="s">
        <v>131</v>
      </c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 t="n">
        <v>-0.2204</v>
      </c>
      <c r="AB449" s="22" t="n">
        <v>-0.2457</v>
      </c>
      <c r="AC449" s="22" t="n">
        <v>-0.2433</v>
      </c>
      <c r="AD449" s="22" t="n">
        <v>-0.2193</v>
      </c>
      <c r="AE449" s="22" t="n">
        <v>0.0256</v>
      </c>
      <c r="AF449" s="22" t="n">
        <v>0.045</v>
      </c>
      <c r="AG449" s="22" t="n">
        <v>0.035</v>
      </c>
      <c r="AH449" s="22" t="n">
        <v>0.023</v>
      </c>
      <c r="AI449" s="22" t="n">
        <v>0.0147</v>
      </c>
      <c r="AJ449" s="22" t="n">
        <v>-0.0209</v>
      </c>
      <c r="AK449" s="22" t="n">
        <v>0.0089</v>
      </c>
      <c r="AL449" s="22" t="n">
        <v>0.0444</v>
      </c>
      <c r="AM449" s="22" t="n">
        <v>0.0397</v>
      </c>
      <c r="AN449" s="22" t="n">
        <v>0.126</v>
      </c>
      <c r="AO449" s="22" t="n">
        <v>0.0659</v>
      </c>
      <c r="AP449" s="22" t="n">
        <v>0.0187</v>
      </c>
      <c r="AQ449" s="22" t="n">
        <v>0.0197</v>
      </c>
      <c r="AR449" s="22" t="n">
        <v>-0.0163</v>
      </c>
      <c r="AS449" s="22" t="n">
        <v>0.0516</v>
      </c>
      <c r="AT449" s="22" t="n">
        <v>0.2638</v>
      </c>
      <c r="AU449" s="22" t="n">
        <v>0.3841</v>
      </c>
      <c r="AV449" s="22" t="n">
        <v>0.2839</v>
      </c>
    </row>
    <row r="450" customFormat="false" ht="15" hidden="false" customHeight="false" outlineLevel="0" collapsed="false">
      <c r="A450" s="22" t="s">
        <v>588</v>
      </c>
      <c r="B450" s="22" t="s">
        <v>3</v>
      </c>
      <c r="C450" s="22" t="s">
        <v>588</v>
      </c>
      <c r="D450" s="22" t="n">
        <v>40780</v>
      </c>
      <c r="E450" s="22" t="s">
        <v>132</v>
      </c>
      <c r="F450" s="22" t="s">
        <v>135</v>
      </c>
      <c r="G450" s="22" t="s">
        <v>131</v>
      </c>
      <c r="H450" s="22" t="s">
        <v>131</v>
      </c>
      <c r="I450" s="22"/>
      <c r="J450" s="22"/>
      <c r="K450" s="22"/>
      <c r="L450" s="22" t="n">
        <v>0.0304</v>
      </c>
      <c r="M450" s="22" t="n">
        <v>0.0269</v>
      </c>
      <c r="N450" s="22" t="n">
        <v>0.0305</v>
      </c>
      <c r="O450" s="22" t="n">
        <v>0.0295</v>
      </c>
      <c r="P450" s="22" t="n">
        <v>0.0052</v>
      </c>
      <c r="Q450" s="22" t="n">
        <v>0.0097</v>
      </c>
      <c r="R450" s="22" t="n">
        <v>0.0033</v>
      </c>
      <c r="S450" s="22" t="n">
        <v>0.0181</v>
      </c>
      <c r="T450" s="22" t="n">
        <v>0.0119</v>
      </c>
      <c r="U450" s="22" t="n">
        <v>0.0102</v>
      </c>
      <c r="V450" s="22" t="n">
        <v>0.1187</v>
      </c>
      <c r="W450" s="22" t="n">
        <v>0.0439</v>
      </c>
      <c r="X450" s="22" t="n">
        <v>0.0278</v>
      </c>
      <c r="Y450" s="22" t="n">
        <v>0.0196</v>
      </c>
      <c r="Z450" s="22" t="n">
        <v>-0.0642</v>
      </c>
      <c r="AA450" s="22" t="n">
        <v>-0.0197</v>
      </c>
      <c r="AB450" s="22" t="n">
        <v>0.0184</v>
      </c>
      <c r="AC450" s="22" t="n">
        <v>0.0436</v>
      </c>
      <c r="AD450" s="22" t="n">
        <v>0.031</v>
      </c>
      <c r="AE450" s="22" t="n">
        <v>0.0367</v>
      </c>
      <c r="AF450" s="22" t="n">
        <v>0.0392</v>
      </c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</row>
    <row r="451" customFormat="false" ht="15" hidden="false" customHeight="false" outlineLevel="0" collapsed="false">
      <c r="A451" s="22" t="s">
        <v>201</v>
      </c>
      <c r="B451" s="22" t="s">
        <v>3</v>
      </c>
      <c r="C451" s="22" t="s">
        <v>201</v>
      </c>
      <c r="D451" s="22" t="n">
        <v>40900</v>
      </c>
      <c r="E451" s="22" t="s">
        <v>132</v>
      </c>
      <c r="F451" s="22" t="s">
        <v>135</v>
      </c>
      <c r="G451" s="22" t="s">
        <v>131</v>
      </c>
      <c r="H451" s="22" t="s">
        <v>131</v>
      </c>
      <c r="I451" s="22" t="n">
        <v>0.1027</v>
      </c>
      <c r="J451" s="22" t="n">
        <v>0.1061</v>
      </c>
      <c r="K451" s="22" t="n">
        <v>0.1108</v>
      </c>
      <c r="L451" s="22" t="n">
        <v>0.1032</v>
      </c>
      <c r="M451" s="22" t="n">
        <v>0.092</v>
      </c>
      <c r="N451" s="22" t="n">
        <v>0.0929</v>
      </c>
      <c r="O451" s="22" t="n">
        <v>0.0814</v>
      </c>
      <c r="P451" s="22" t="n">
        <v>0.0687</v>
      </c>
      <c r="Q451" s="22" t="n">
        <v>0.0703</v>
      </c>
      <c r="R451" s="22" t="n">
        <v>0.0513</v>
      </c>
      <c r="S451" s="22" t="n">
        <v>0.0383</v>
      </c>
      <c r="T451" s="22" t="n">
        <v>0.0481</v>
      </c>
      <c r="U451" s="22" t="n">
        <v>0.0533</v>
      </c>
      <c r="V451" s="22" t="n">
        <v>0.0468</v>
      </c>
      <c r="W451" s="22" t="n">
        <v>0.0592</v>
      </c>
      <c r="X451" s="22" t="n">
        <v>0.0597</v>
      </c>
      <c r="Y451" s="22" t="n">
        <v>0.0501</v>
      </c>
      <c r="Z451" s="22" t="n">
        <v>0.0313</v>
      </c>
      <c r="AA451" s="22" t="n">
        <v>0.0402</v>
      </c>
      <c r="AB451" s="22" t="n">
        <v>0.064</v>
      </c>
      <c r="AC451" s="22" t="n">
        <v>0.0754</v>
      </c>
      <c r="AD451" s="22" t="n">
        <v>0.1307</v>
      </c>
      <c r="AE451" s="22" t="n">
        <v>0.1633</v>
      </c>
      <c r="AF451" s="22" t="n">
        <v>0.1656</v>
      </c>
      <c r="AG451" s="22" t="n">
        <v>0.1519</v>
      </c>
      <c r="AH451" s="22" t="n">
        <v>0.1321</v>
      </c>
      <c r="AI451" s="22" t="n">
        <v>0.0766</v>
      </c>
      <c r="AJ451" s="22" t="n">
        <v>0.0327</v>
      </c>
      <c r="AK451" s="22" t="n">
        <v>0.0172</v>
      </c>
      <c r="AL451" s="22" t="n">
        <v>-0.003</v>
      </c>
      <c r="AM451" s="22" t="n">
        <v>-0.0041</v>
      </c>
      <c r="AN451" s="22" t="n">
        <v>0.0068</v>
      </c>
      <c r="AO451" s="22" t="n">
        <v>0.0161</v>
      </c>
      <c r="AP451" s="22" t="n">
        <v>0.0165</v>
      </c>
      <c r="AQ451" s="22" t="n">
        <v>0.0176</v>
      </c>
      <c r="AR451" s="22" t="n">
        <v>0.0131</v>
      </c>
      <c r="AS451" s="22" t="n">
        <v>0.0075</v>
      </c>
      <c r="AT451" s="22" t="n">
        <v>0.0113</v>
      </c>
      <c r="AU451" s="22" t="n">
        <v>0.0046</v>
      </c>
      <c r="AV451" s="22" t="n">
        <v>0.0011</v>
      </c>
    </row>
    <row r="452" customFormat="false" ht="15" hidden="false" customHeight="false" outlineLevel="0" collapsed="false">
      <c r="A452" s="22" t="s">
        <v>589</v>
      </c>
      <c r="B452" s="22" t="s">
        <v>3</v>
      </c>
      <c r="C452" s="22" t="s">
        <v>589</v>
      </c>
      <c r="D452" s="22" t="n">
        <v>340980</v>
      </c>
      <c r="E452" s="22" t="s">
        <v>132</v>
      </c>
      <c r="F452" s="22" t="s">
        <v>135</v>
      </c>
      <c r="G452" s="22" t="s">
        <v>131</v>
      </c>
      <c r="H452" s="22" t="s">
        <v>131</v>
      </c>
      <c r="I452" s="22" t="n">
        <v>-0.0256</v>
      </c>
      <c r="J452" s="22" t="n">
        <v>-0.0188</v>
      </c>
      <c r="K452" s="22" t="n">
        <v>0.0047</v>
      </c>
      <c r="L452" s="22" t="n">
        <v>0.0001</v>
      </c>
      <c r="M452" s="22" t="n">
        <v>0.0491</v>
      </c>
      <c r="N452" s="22" t="n">
        <v>0.0375</v>
      </c>
      <c r="O452" s="22" t="n">
        <v>0.0341</v>
      </c>
      <c r="P452" s="22" t="n">
        <v>0.0431</v>
      </c>
      <c r="Q452" s="22" t="n">
        <v>0.0288</v>
      </c>
      <c r="R452" s="22" t="n">
        <v>0.028</v>
      </c>
      <c r="S452" s="22" t="n">
        <v>0.0373</v>
      </c>
      <c r="T452" s="22" t="n">
        <v>0.0334</v>
      </c>
      <c r="U452" s="22" t="n">
        <v>0.0532</v>
      </c>
      <c r="V452" s="22" t="n">
        <v>0.0538</v>
      </c>
      <c r="W452" s="22" t="n">
        <v>0.0197</v>
      </c>
      <c r="X452" s="22" t="n">
        <v>0.0497</v>
      </c>
      <c r="Y452" s="22" t="n">
        <v>0.038</v>
      </c>
      <c r="Z452" s="22" t="n">
        <v>0.0325</v>
      </c>
      <c r="AA452" s="22" t="n">
        <v>0.0503</v>
      </c>
      <c r="AB452" s="22" t="n">
        <v>0.0564</v>
      </c>
      <c r="AC452" s="22" t="n">
        <v>0.0573</v>
      </c>
      <c r="AD452" s="22" t="n">
        <v>0.0758</v>
      </c>
      <c r="AE452" s="22" t="n">
        <v>0.1042</v>
      </c>
      <c r="AF452" s="22" t="n">
        <v>0.1034</v>
      </c>
      <c r="AG452" s="22" t="n">
        <v>0.0908</v>
      </c>
      <c r="AH452" s="22" t="n">
        <v>0.0857</v>
      </c>
      <c r="AI452" s="22" t="n">
        <v>0.0743</v>
      </c>
      <c r="AJ452" s="22" t="n">
        <v>0.0609</v>
      </c>
      <c r="AK452" s="22" t="n">
        <v>0.0507</v>
      </c>
      <c r="AL452" s="22" t="n">
        <v>0.031</v>
      </c>
      <c r="AM452" s="22" t="n">
        <v>-0.001</v>
      </c>
      <c r="AN452" s="22" t="n">
        <v>-0.0093</v>
      </c>
      <c r="AO452" s="22" t="n">
        <v>0.0198</v>
      </c>
      <c r="AP452" s="22" t="n">
        <v>0.0204</v>
      </c>
      <c r="AQ452" s="22" t="n">
        <v>0.0427</v>
      </c>
      <c r="AR452" s="22" t="n">
        <v>0.0546</v>
      </c>
      <c r="AS452" s="22" t="n">
        <v>0.0299</v>
      </c>
      <c r="AT452" s="22" t="n">
        <v>0.0482</v>
      </c>
      <c r="AU452" s="22" t="n">
        <v>0.026</v>
      </c>
      <c r="AV452" s="22" t="n">
        <v>0.0268</v>
      </c>
    </row>
    <row r="453" customFormat="false" ht="15" hidden="false" customHeight="false" outlineLevel="0" collapsed="false">
      <c r="A453" s="22" t="s">
        <v>202</v>
      </c>
      <c r="B453" s="22" t="s">
        <v>3</v>
      </c>
      <c r="C453" s="22" t="s">
        <v>202</v>
      </c>
      <c r="D453" s="22" t="n">
        <v>41420</v>
      </c>
      <c r="E453" s="22" t="s">
        <v>132</v>
      </c>
      <c r="F453" s="22" t="s">
        <v>135</v>
      </c>
      <c r="G453" s="22" t="s">
        <v>131</v>
      </c>
      <c r="H453" s="22" t="s">
        <v>131</v>
      </c>
      <c r="I453" s="22" t="n">
        <v>0.0947</v>
      </c>
      <c r="J453" s="22" t="n">
        <v>0.1215</v>
      </c>
      <c r="K453" s="22" t="n">
        <v>0.1122</v>
      </c>
      <c r="L453" s="22" t="n">
        <v>0.1053</v>
      </c>
      <c r="M453" s="22" t="n">
        <v>0.113</v>
      </c>
      <c r="N453" s="22" t="n">
        <v>0.109</v>
      </c>
      <c r="O453" s="22" t="n">
        <v>0.1006</v>
      </c>
      <c r="P453" s="22" t="n">
        <v>0.0736</v>
      </c>
      <c r="Q453" s="22" t="n">
        <v>0.0602</v>
      </c>
      <c r="R453" s="22" t="n">
        <v>0.0447</v>
      </c>
      <c r="S453" s="22" t="n">
        <v>0.0456</v>
      </c>
      <c r="T453" s="22" t="n">
        <v>0.0489</v>
      </c>
      <c r="U453" s="22" t="n">
        <v>0.0492</v>
      </c>
      <c r="V453" s="22" t="n">
        <v>0.055</v>
      </c>
      <c r="W453" s="22" t="n">
        <v>0.0516</v>
      </c>
      <c r="X453" s="22" t="n">
        <v>0.0449</v>
      </c>
      <c r="Y453" s="22" t="n">
        <v>0.0602</v>
      </c>
      <c r="Z453" s="22" t="n">
        <v>0.0321</v>
      </c>
      <c r="AA453" s="22" t="n">
        <v>0.0469</v>
      </c>
      <c r="AB453" s="22" t="n">
        <v>0.0621</v>
      </c>
      <c r="AC453" s="22" t="n">
        <v>0.0569</v>
      </c>
      <c r="AD453" s="22" t="n">
        <v>0.0934</v>
      </c>
      <c r="AE453" s="22" t="n">
        <v>0.1065</v>
      </c>
      <c r="AF453" s="22" t="n">
        <v>0.1247</v>
      </c>
      <c r="AG453" s="22" t="n">
        <v>0.1312</v>
      </c>
      <c r="AH453" s="22" t="n">
        <v>0.135</v>
      </c>
      <c r="AI453" s="22" t="n">
        <v>0.1453</v>
      </c>
      <c r="AJ453" s="22" t="n">
        <v>0.1191</v>
      </c>
      <c r="AK453" s="22" t="n">
        <v>0.1055</v>
      </c>
      <c r="AL453" s="22" t="n">
        <v>0.0811</v>
      </c>
      <c r="AM453" s="22" t="n">
        <v>0.0339</v>
      </c>
      <c r="AN453" s="22" t="n">
        <v>0.0431</v>
      </c>
      <c r="AO453" s="22" t="n">
        <v>0.0147</v>
      </c>
      <c r="AP453" s="22" t="n">
        <v>0.0158</v>
      </c>
      <c r="AQ453" s="22" t="n">
        <v>0.0149</v>
      </c>
      <c r="AR453" s="22" t="n">
        <v>-0.0118</v>
      </c>
      <c r="AS453" s="22" t="n">
        <v>0.0098</v>
      </c>
      <c r="AT453" s="22" t="n">
        <v>0.0207</v>
      </c>
      <c r="AU453" s="22" t="n">
        <v>0.0383</v>
      </c>
      <c r="AV453" s="22" t="n">
        <v>0.0442</v>
      </c>
    </row>
    <row r="454" customFormat="false" ht="15" hidden="false" customHeight="false" outlineLevel="0" collapsed="false">
      <c r="A454" s="22" t="s">
        <v>590</v>
      </c>
      <c r="B454" s="22" t="s">
        <v>3</v>
      </c>
      <c r="C454" s="22" t="s">
        <v>590</v>
      </c>
      <c r="D454" s="22" t="n">
        <v>41500</v>
      </c>
      <c r="E454" s="22" t="s">
        <v>132</v>
      </c>
      <c r="F454" s="22" t="s">
        <v>135</v>
      </c>
      <c r="G454" s="22" t="s">
        <v>131</v>
      </c>
      <c r="H454" s="22" t="s">
        <v>131</v>
      </c>
      <c r="I454" s="22" t="n">
        <v>0.1041</v>
      </c>
      <c r="J454" s="22" t="n">
        <v>0.1087</v>
      </c>
      <c r="K454" s="22" t="n">
        <v>0.0983</v>
      </c>
      <c r="L454" s="22" t="n">
        <v>0.0752</v>
      </c>
      <c r="M454" s="22" t="n">
        <v>0.0885</v>
      </c>
      <c r="N454" s="22" t="n">
        <v>0.06</v>
      </c>
      <c r="O454" s="22" t="n">
        <v>0.0625</v>
      </c>
      <c r="P454" s="22" t="n">
        <v>0.06</v>
      </c>
      <c r="Q454" s="22" t="n">
        <v>0.0505</v>
      </c>
      <c r="R454" s="22" t="n">
        <v>0.0525</v>
      </c>
      <c r="S454" s="22" t="n">
        <v>0.0647</v>
      </c>
      <c r="T454" s="22" t="n">
        <v>0.0526</v>
      </c>
      <c r="U454" s="22" t="n">
        <v>0.0471</v>
      </c>
      <c r="V454" s="22" t="n">
        <v>0.0542</v>
      </c>
      <c r="W454" s="22" t="n">
        <v>0.0405</v>
      </c>
      <c r="X454" s="22" t="n">
        <v>0.0617</v>
      </c>
      <c r="Y454" s="22" t="n">
        <v>0.0384</v>
      </c>
      <c r="Z454" s="22" t="n">
        <v>0.0197</v>
      </c>
      <c r="AA454" s="22" t="n">
        <v>0.0407</v>
      </c>
      <c r="AB454" s="22" t="n">
        <v>0.0454</v>
      </c>
      <c r="AC454" s="22" t="n">
        <v>0.0637</v>
      </c>
      <c r="AD454" s="22" t="n">
        <v>0.0915</v>
      </c>
      <c r="AE454" s="22" t="n">
        <v>0.1039</v>
      </c>
      <c r="AF454" s="22" t="n">
        <v>0.1141</v>
      </c>
      <c r="AG454" s="22" t="n">
        <v>0.1271</v>
      </c>
      <c r="AH454" s="22" t="n">
        <v>0.0927</v>
      </c>
      <c r="AI454" s="22" t="n">
        <v>0.0714</v>
      </c>
      <c r="AJ454" s="22" t="n">
        <v>0.0464</v>
      </c>
      <c r="AK454" s="22" t="n">
        <v>0.0328</v>
      </c>
      <c r="AL454" s="22" t="n">
        <v>0.0388</v>
      </c>
      <c r="AM454" s="22" t="n">
        <v>0.029</v>
      </c>
      <c r="AN454" s="22" t="n">
        <v>0.0421</v>
      </c>
      <c r="AO454" s="22" t="n">
        <v>0.0638</v>
      </c>
      <c r="AP454" s="22" t="n">
        <v>0.0549</v>
      </c>
      <c r="AQ454" s="22" t="n">
        <v>0.0343</v>
      </c>
      <c r="AR454" s="22" t="n">
        <v>0.0605</v>
      </c>
      <c r="AS454" s="22" t="n">
        <v>0.027</v>
      </c>
      <c r="AT454" s="22" t="n">
        <v>0.011</v>
      </c>
      <c r="AU454" s="22" t="n">
        <v>0.0338</v>
      </c>
      <c r="AV454" s="22" t="n">
        <v>-0.0133</v>
      </c>
    </row>
    <row r="455" customFormat="false" ht="15" hidden="false" customHeight="false" outlineLevel="0" collapsed="false">
      <c r="A455" s="22" t="s">
        <v>203</v>
      </c>
      <c r="B455" s="22" t="s">
        <v>3</v>
      </c>
      <c r="C455" s="22" t="s">
        <v>203</v>
      </c>
      <c r="D455" s="22" t="n">
        <v>341540</v>
      </c>
      <c r="E455" s="22" t="s">
        <v>132</v>
      </c>
      <c r="F455" s="22" t="s">
        <v>135</v>
      </c>
      <c r="G455" s="22" t="s">
        <v>131</v>
      </c>
      <c r="H455" s="22" t="s">
        <v>131</v>
      </c>
      <c r="I455" s="22" t="n">
        <v>0.0479</v>
      </c>
      <c r="J455" s="22" t="n">
        <v>0.096</v>
      </c>
      <c r="K455" s="22" t="n">
        <v>0.072</v>
      </c>
      <c r="L455" s="22" t="n">
        <v>0.0824</v>
      </c>
      <c r="M455" s="22" t="n">
        <v>0.023</v>
      </c>
      <c r="N455" s="22" t="n">
        <v>0.014</v>
      </c>
      <c r="O455" s="22" t="n">
        <v>0.0486</v>
      </c>
      <c r="P455" s="22" t="n">
        <v>0.0445</v>
      </c>
      <c r="Q455" s="22" t="n">
        <v>0.0193</v>
      </c>
      <c r="R455" s="22" t="n">
        <v>0.0099</v>
      </c>
      <c r="S455" s="22" t="n">
        <v>0.0174</v>
      </c>
      <c r="T455" s="22" t="n">
        <v>0.0276</v>
      </c>
      <c r="U455" s="22" t="n">
        <v>0.0468</v>
      </c>
      <c r="V455" s="22" t="n">
        <v>0.0479</v>
      </c>
      <c r="W455" s="22" t="n">
        <v>0.0624</v>
      </c>
      <c r="X455" s="22" t="n">
        <v>0.0393</v>
      </c>
      <c r="Y455" s="22" t="n">
        <v>0.0516</v>
      </c>
      <c r="Z455" s="22" t="n">
        <v>0.0458</v>
      </c>
      <c r="AA455" s="22" t="n">
        <v>0.0971</v>
      </c>
      <c r="AB455" s="22" t="n">
        <v>0.0998</v>
      </c>
      <c r="AC455" s="22" t="n">
        <v>0.0733</v>
      </c>
      <c r="AD455" s="22" t="n">
        <v>0.1208</v>
      </c>
      <c r="AE455" s="22" t="n">
        <v>0.082</v>
      </c>
      <c r="AF455" s="22" t="n">
        <v>0.098</v>
      </c>
      <c r="AG455" s="22" t="n">
        <v>0.1351</v>
      </c>
      <c r="AH455" s="22" t="n">
        <v>0.1281</v>
      </c>
      <c r="AI455" s="22" t="n">
        <v>0.1199</v>
      </c>
      <c r="AJ455" s="22" t="n">
        <v>0.1092</v>
      </c>
      <c r="AK455" s="22" t="n">
        <v>0.084</v>
      </c>
      <c r="AL455" s="22" t="n">
        <v>0.0486</v>
      </c>
      <c r="AM455" s="22" t="n">
        <v>0.0423</v>
      </c>
      <c r="AN455" s="22" t="n">
        <v>0.0513</v>
      </c>
      <c r="AO455" s="22" t="n">
        <v>0.045</v>
      </c>
      <c r="AP455" s="22" t="n">
        <v>0.054</v>
      </c>
      <c r="AQ455" s="22" t="n">
        <v>0.0381</v>
      </c>
      <c r="AR455" s="22" t="n">
        <v>0.0354</v>
      </c>
      <c r="AS455" s="22" t="n">
        <v>0.0469</v>
      </c>
      <c r="AT455" s="22" t="n">
        <v>0.0495</v>
      </c>
      <c r="AU455" s="22" t="n">
        <v>0.0308</v>
      </c>
      <c r="AV455" s="22" t="n">
        <v>0.0164</v>
      </c>
    </row>
    <row r="456" customFormat="false" ht="15" hidden="false" customHeight="false" outlineLevel="0" collapsed="false">
      <c r="A456" s="22" t="s">
        <v>27</v>
      </c>
      <c r="B456" s="22" t="s">
        <v>3</v>
      </c>
      <c r="C456" s="22" t="s">
        <v>27</v>
      </c>
      <c r="D456" s="22" t="n">
        <v>341620</v>
      </c>
      <c r="E456" s="22" t="s">
        <v>132</v>
      </c>
      <c r="F456" s="22" t="s">
        <v>135</v>
      </c>
      <c r="G456" s="22" t="s">
        <v>131</v>
      </c>
      <c r="H456" s="22" t="s">
        <v>131</v>
      </c>
      <c r="I456" s="22" t="n">
        <v>0.0759</v>
      </c>
      <c r="J456" s="22" t="n">
        <v>0.0729</v>
      </c>
      <c r="K456" s="22" t="n">
        <v>0.0784</v>
      </c>
      <c r="L456" s="22" t="n">
        <v>0.0702</v>
      </c>
      <c r="M456" s="22" t="n">
        <v>0.0628</v>
      </c>
      <c r="N456" s="22" t="n">
        <v>0.0701</v>
      </c>
      <c r="O456" s="22" t="n">
        <v>0.0521</v>
      </c>
      <c r="P456" s="22" t="n">
        <v>0.0465</v>
      </c>
      <c r="Q456" s="22" t="n">
        <v>0.0561</v>
      </c>
      <c r="R456" s="22" t="n">
        <v>0.0515</v>
      </c>
      <c r="S456" s="22" t="n">
        <v>0.066</v>
      </c>
      <c r="T456" s="22" t="n">
        <v>0.0619</v>
      </c>
      <c r="U456" s="22" t="n">
        <v>0.054</v>
      </c>
      <c r="V456" s="22" t="n">
        <v>0.0581</v>
      </c>
      <c r="W456" s="22" t="n">
        <v>0.0425</v>
      </c>
      <c r="X456" s="22" t="n">
        <v>0.0365</v>
      </c>
      <c r="Y456" s="22" t="n">
        <v>0.0392</v>
      </c>
      <c r="Z456" s="22" t="n">
        <v>0.01</v>
      </c>
      <c r="AA456" s="22" t="n">
        <v>0.0132</v>
      </c>
      <c r="AB456" s="22" t="n">
        <v>0.0264</v>
      </c>
      <c r="AC456" s="22" t="n">
        <v>0.0409</v>
      </c>
      <c r="AD456" s="22" t="n">
        <v>0.1088</v>
      </c>
      <c r="AE456" s="22" t="n">
        <v>0.1778</v>
      </c>
      <c r="AF456" s="22" t="n">
        <v>0.2293</v>
      </c>
      <c r="AG456" s="22" t="n">
        <v>0.2342</v>
      </c>
      <c r="AH456" s="22" t="n">
        <v>0.209</v>
      </c>
      <c r="AI456" s="22" t="n">
        <v>0.1431</v>
      </c>
      <c r="AJ456" s="22" t="n">
        <v>0.0773</v>
      </c>
      <c r="AK456" s="22" t="n">
        <v>0.0423</v>
      </c>
      <c r="AL456" s="22" t="n">
        <v>0.0069</v>
      </c>
      <c r="AM456" s="22" t="n">
        <v>-0.0132</v>
      </c>
      <c r="AN456" s="22" t="n">
        <v>-0.0255</v>
      </c>
      <c r="AO456" s="22" t="n">
        <v>-0.0166</v>
      </c>
      <c r="AP456" s="22" t="n">
        <v>-0.0229</v>
      </c>
      <c r="AQ456" s="22" t="n">
        <v>-0.0291</v>
      </c>
      <c r="AR456" s="22" t="n">
        <v>-0.0215</v>
      </c>
      <c r="AS456" s="22" t="n">
        <v>-0.0244</v>
      </c>
      <c r="AT456" s="22" t="n">
        <v>-0.0081</v>
      </c>
      <c r="AU456" s="22" t="n">
        <v>-0.0028</v>
      </c>
      <c r="AV456" s="22" t="n">
        <v>-0.0126</v>
      </c>
    </row>
    <row r="457" customFormat="false" ht="15" hidden="false" customHeight="false" outlineLevel="0" collapsed="false">
      <c r="A457" s="22" t="s">
        <v>591</v>
      </c>
      <c r="B457" s="22" t="s">
        <v>3</v>
      </c>
      <c r="C457" s="22" t="s">
        <v>591</v>
      </c>
      <c r="D457" s="22" t="n">
        <v>41660</v>
      </c>
      <c r="E457" s="22" t="s">
        <v>132</v>
      </c>
      <c r="F457" s="22" t="s">
        <v>135</v>
      </c>
      <c r="G457" s="22" t="s">
        <v>131</v>
      </c>
      <c r="H457" s="22" t="s">
        <v>131</v>
      </c>
      <c r="I457" s="22" t="n">
        <v>-0.0381</v>
      </c>
      <c r="J457" s="22" t="n">
        <v>-0.0363</v>
      </c>
      <c r="K457" s="22" t="n">
        <v>0.025</v>
      </c>
      <c r="L457" s="22" t="n">
        <v>-0.0345</v>
      </c>
      <c r="M457" s="22" t="n">
        <v>0.0239</v>
      </c>
      <c r="N457" s="22" t="n">
        <v>0.0472</v>
      </c>
      <c r="O457" s="22" t="n">
        <v>0.0594</v>
      </c>
      <c r="P457" s="22" t="n">
        <v>0.0764</v>
      </c>
      <c r="Q457" s="22" t="n">
        <v>0.0854</v>
      </c>
      <c r="R457" s="22" t="n">
        <v>0.0834</v>
      </c>
      <c r="S457" s="22" t="n">
        <v>0.0327</v>
      </c>
      <c r="T457" s="22" t="n">
        <v>0.0478</v>
      </c>
      <c r="U457" s="22" t="n">
        <v>0.0376</v>
      </c>
      <c r="V457" s="22" t="n">
        <v>0.0439</v>
      </c>
      <c r="W457" s="22" t="n">
        <v>0.0597</v>
      </c>
      <c r="X457" s="22" t="n">
        <v>0.0673</v>
      </c>
      <c r="Y457" s="22" t="n">
        <v>0.0472</v>
      </c>
      <c r="Z457" s="22" t="n">
        <v>0.0347</v>
      </c>
      <c r="AA457" s="22" t="n">
        <v>0.0323</v>
      </c>
      <c r="AB457" s="22" t="n">
        <v>0.0046</v>
      </c>
      <c r="AC457" s="22" t="n">
        <v>0.018</v>
      </c>
      <c r="AD457" s="22" t="n">
        <v>0.0221</v>
      </c>
      <c r="AE457" s="22" t="n">
        <v>0.0675</v>
      </c>
      <c r="AF457" s="22" t="n">
        <v>0.0734</v>
      </c>
      <c r="AG457" s="22" t="n">
        <v>0.096</v>
      </c>
      <c r="AH457" s="22" t="n">
        <v>0.1011</v>
      </c>
      <c r="AI457" s="22" t="n">
        <v>0.0606</v>
      </c>
      <c r="AJ457" s="22" t="n">
        <v>0.0364</v>
      </c>
      <c r="AK457" s="22" t="n">
        <v>0.0202</v>
      </c>
      <c r="AL457" s="22" t="n">
        <v>0.069</v>
      </c>
      <c r="AM457" s="22" t="n">
        <v>0.0429</v>
      </c>
      <c r="AN457" s="22" t="n">
        <v>0.0571</v>
      </c>
      <c r="AO457" s="22" t="n">
        <v>0.0612</v>
      </c>
      <c r="AP457" s="22" t="n">
        <v>-0.0074</v>
      </c>
      <c r="AQ457" s="22" t="n">
        <v>0.0074</v>
      </c>
      <c r="AR457" s="22" t="n">
        <v>0.0151</v>
      </c>
      <c r="AS457" s="22" t="n">
        <v>0.0098</v>
      </c>
      <c r="AT457" s="22" t="n">
        <v>0.0296</v>
      </c>
      <c r="AU457" s="22" t="n">
        <v>0.0221</v>
      </c>
      <c r="AV457" s="22" t="n">
        <v>-0.0027</v>
      </c>
    </row>
    <row r="458" customFormat="false" ht="15" hidden="false" customHeight="false" outlineLevel="0" collapsed="false">
      <c r="A458" s="22" t="s">
        <v>86</v>
      </c>
      <c r="B458" s="22" t="s">
        <v>3</v>
      </c>
      <c r="C458" s="22" t="s">
        <v>86</v>
      </c>
      <c r="D458" s="22" t="n">
        <v>41700</v>
      </c>
      <c r="E458" s="22" t="s">
        <v>132</v>
      </c>
      <c r="F458" s="22" t="s">
        <v>135</v>
      </c>
      <c r="G458" s="22" t="s">
        <v>131</v>
      </c>
      <c r="H458" s="22" t="s">
        <v>131</v>
      </c>
      <c r="I458" s="22" t="n">
        <v>0.0493</v>
      </c>
      <c r="J458" s="22" t="n">
        <v>0.0386</v>
      </c>
      <c r="K458" s="22" t="n">
        <v>0.0416</v>
      </c>
      <c r="L458" s="22" t="n">
        <v>0.0457</v>
      </c>
      <c r="M458" s="22" t="n">
        <v>0.0313</v>
      </c>
      <c r="N458" s="22" t="n">
        <v>0.0366</v>
      </c>
      <c r="O458" s="22" t="n">
        <v>0.031</v>
      </c>
      <c r="P458" s="22" t="n">
        <v>0.0214</v>
      </c>
      <c r="Q458" s="22" t="n">
        <v>0.031</v>
      </c>
      <c r="R458" s="22" t="n">
        <v>0.0249</v>
      </c>
      <c r="S458" s="22" t="n">
        <v>0.0319</v>
      </c>
      <c r="T458" s="22" t="n">
        <v>0.0447</v>
      </c>
      <c r="U458" s="22" t="n">
        <v>0.0553</v>
      </c>
      <c r="V458" s="22" t="n">
        <v>0.0562</v>
      </c>
      <c r="W458" s="22" t="n">
        <v>0.0532</v>
      </c>
      <c r="X458" s="22" t="n">
        <v>0.0432</v>
      </c>
      <c r="Y458" s="22" t="n">
        <v>0.0287</v>
      </c>
      <c r="Z458" s="22" t="n">
        <v>0.0075</v>
      </c>
      <c r="AA458" s="22" t="n">
        <v>-0.0016</v>
      </c>
      <c r="AB458" s="22" t="n">
        <v>-0.0023</v>
      </c>
      <c r="AC458" s="22" t="n">
        <v>0.0079</v>
      </c>
      <c r="AD458" s="22" t="n">
        <v>0.054</v>
      </c>
      <c r="AE458" s="22" t="n">
        <v>0.1167</v>
      </c>
      <c r="AF458" s="22" t="n">
        <v>0.1637</v>
      </c>
      <c r="AG458" s="22" t="n">
        <v>0.1793</v>
      </c>
      <c r="AH458" s="22" t="n">
        <v>0.1781</v>
      </c>
      <c r="AI458" s="22" t="n">
        <v>0.1333</v>
      </c>
      <c r="AJ458" s="22" t="n">
        <v>0.0793</v>
      </c>
      <c r="AK458" s="22" t="n">
        <v>0.0486</v>
      </c>
      <c r="AL458" s="22" t="n">
        <v>0.0193</v>
      </c>
      <c r="AM458" s="22" t="n">
        <v>-0.0105</v>
      </c>
      <c r="AN458" s="22" t="n">
        <v>-0.0202</v>
      </c>
      <c r="AO458" s="22" t="n">
        <v>-0.0309</v>
      </c>
      <c r="AP458" s="22" t="n">
        <v>-0.0373</v>
      </c>
      <c r="AQ458" s="22" t="n">
        <v>-0.0393</v>
      </c>
      <c r="AR458" s="22" t="n">
        <v>-0.0444</v>
      </c>
      <c r="AS458" s="22" t="n">
        <v>-0.0305</v>
      </c>
      <c r="AT458" s="22" t="n">
        <v>-0.021</v>
      </c>
      <c r="AU458" s="22" t="n">
        <v>-0.0274</v>
      </c>
      <c r="AV458" s="22" t="n">
        <v>-0.0319</v>
      </c>
    </row>
    <row r="459" customFormat="false" ht="15" hidden="false" customHeight="false" outlineLevel="0" collapsed="false">
      <c r="A459" s="22" t="s">
        <v>204</v>
      </c>
      <c r="B459" s="22" t="s">
        <v>3</v>
      </c>
      <c r="C459" s="22" t="s">
        <v>204</v>
      </c>
      <c r="D459" s="22" t="n">
        <v>41740</v>
      </c>
      <c r="E459" s="22" t="s">
        <v>132</v>
      </c>
      <c r="F459" s="22" t="s">
        <v>135</v>
      </c>
      <c r="G459" s="22" t="s">
        <v>131</v>
      </c>
      <c r="H459" s="22" t="s">
        <v>131</v>
      </c>
      <c r="I459" s="22" t="n">
        <v>0.069</v>
      </c>
      <c r="J459" s="22" t="n">
        <v>0.0755</v>
      </c>
      <c r="K459" s="22" t="n">
        <v>0.0605</v>
      </c>
      <c r="L459" s="22" t="n">
        <v>0.053</v>
      </c>
      <c r="M459" s="22" t="n">
        <v>0.0547</v>
      </c>
      <c r="N459" s="22" t="n">
        <v>0.0626</v>
      </c>
      <c r="O459" s="22" t="n">
        <v>0.0591</v>
      </c>
      <c r="P459" s="22" t="n">
        <v>0.0473</v>
      </c>
      <c r="Q459" s="22" t="n">
        <v>0.0518</v>
      </c>
      <c r="R459" s="22" t="n">
        <v>0.0449</v>
      </c>
      <c r="S459" s="22" t="n">
        <v>0.0481</v>
      </c>
      <c r="T459" s="22" t="n">
        <v>0.0493</v>
      </c>
      <c r="U459" s="22" t="n">
        <v>0.0382</v>
      </c>
      <c r="V459" s="22" t="n">
        <v>0.0309</v>
      </c>
      <c r="W459" s="22" t="n">
        <v>0.0312</v>
      </c>
      <c r="X459" s="22" t="n">
        <v>0.0388</v>
      </c>
      <c r="Y459" s="22" t="n">
        <v>0.0421</v>
      </c>
      <c r="Z459" s="22" t="n">
        <v>0.0048</v>
      </c>
      <c r="AA459" s="22" t="n">
        <v>-0.0123</v>
      </c>
      <c r="AB459" s="22" t="n">
        <v>0.011</v>
      </c>
      <c r="AC459" s="22" t="n">
        <v>0.0269</v>
      </c>
      <c r="AD459" s="22" t="n">
        <v>0.0798</v>
      </c>
      <c r="AE459" s="22" t="n">
        <v>0.1488</v>
      </c>
      <c r="AF459" s="22" t="n">
        <v>0.1833</v>
      </c>
      <c r="AG459" s="22" t="n">
        <v>0.1972</v>
      </c>
      <c r="AH459" s="22" t="n">
        <v>0.2115</v>
      </c>
      <c r="AI459" s="22" t="n">
        <v>0.1927</v>
      </c>
      <c r="AJ459" s="22" t="n">
        <v>0.1309</v>
      </c>
      <c r="AK459" s="22" t="n">
        <v>0.096</v>
      </c>
      <c r="AL459" s="22" t="n">
        <v>0.0736</v>
      </c>
      <c r="AM459" s="22" t="n">
        <v>0.0313</v>
      </c>
      <c r="AN459" s="22" t="n">
        <v>0.0161</v>
      </c>
      <c r="AO459" s="22" t="n">
        <v>0.0074</v>
      </c>
      <c r="AP459" s="22" t="n">
        <v>-0.0081</v>
      </c>
      <c r="AQ459" s="22" t="n">
        <v>-0.0155</v>
      </c>
      <c r="AR459" s="22" t="n">
        <v>-0.0052</v>
      </c>
      <c r="AS459" s="22" t="n">
        <v>0.007</v>
      </c>
      <c r="AT459" s="22" t="n">
        <v>0.0086</v>
      </c>
      <c r="AU459" s="22" t="n">
        <v>0.0033</v>
      </c>
      <c r="AV459" s="22" t="n">
        <v>-0.0032</v>
      </c>
    </row>
    <row r="460" customFormat="false" ht="15" hidden="false" customHeight="false" outlineLevel="0" collapsed="false">
      <c r="A460" s="22" t="s">
        <v>592</v>
      </c>
      <c r="B460" s="22" t="s">
        <v>3</v>
      </c>
      <c r="C460" s="22" t="s">
        <v>592</v>
      </c>
      <c r="D460" s="22" t="n">
        <v>41780</v>
      </c>
      <c r="E460" s="22" t="s">
        <v>132</v>
      </c>
      <c r="F460" s="22" t="s">
        <v>135</v>
      </c>
      <c r="G460" s="22" t="s">
        <v>131</v>
      </c>
      <c r="H460" s="22" t="s">
        <v>131</v>
      </c>
      <c r="I460" s="22"/>
      <c r="J460" s="22"/>
      <c r="K460" s="22"/>
      <c r="L460" s="22"/>
      <c r="M460" s="22"/>
      <c r="N460" s="22" t="n">
        <v>-0.1933</v>
      </c>
      <c r="O460" s="22" t="n">
        <v>-0.496</v>
      </c>
      <c r="P460" s="22" t="n">
        <v>-0.4544</v>
      </c>
      <c r="Q460" s="22" t="n">
        <v>-0.4556</v>
      </c>
      <c r="R460" s="22" t="n">
        <v>-0.0251</v>
      </c>
      <c r="S460" s="22" t="n">
        <v>-0.0673</v>
      </c>
      <c r="T460" s="22" t="n">
        <v>-0.0388</v>
      </c>
      <c r="U460" s="22" t="n">
        <v>-0.0104</v>
      </c>
      <c r="V460" s="22" t="n">
        <v>0</v>
      </c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 t="n">
        <v>0.3564</v>
      </c>
      <c r="AI460" s="22" t="n">
        <v>0.3927</v>
      </c>
      <c r="AJ460" s="22" t="n">
        <v>0.4799</v>
      </c>
      <c r="AK460" s="22" t="n">
        <v>0.5219</v>
      </c>
      <c r="AL460" s="22" t="n">
        <v>0.1402</v>
      </c>
      <c r="AM460" s="22" t="n">
        <v>0.102</v>
      </c>
      <c r="AN460" s="22" t="n">
        <v>0.0218</v>
      </c>
      <c r="AO460" s="22" t="n">
        <v>-0.0062</v>
      </c>
      <c r="AP460" s="22" t="n">
        <v>0.0071</v>
      </c>
      <c r="AQ460" s="22" t="n">
        <v>0.025</v>
      </c>
      <c r="AR460" s="22" t="n">
        <v>0.1971</v>
      </c>
      <c r="AS460" s="22" t="n">
        <v>0.216</v>
      </c>
      <c r="AT460" s="22" t="n">
        <v>0.205</v>
      </c>
      <c r="AU460" s="22" t="n">
        <v>0.3363</v>
      </c>
      <c r="AV460" s="22" t="n">
        <v>0.2149</v>
      </c>
    </row>
    <row r="461" customFormat="false" ht="15" hidden="false" customHeight="false" outlineLevel="0" collapsed="false">
      <c r="A461" s="22" t="s">
        <v>593</v>
      </c>
      <c r="B461" s="22" t="s">
        <v>3</v>
      </c>
      <c r="C461" s="22" t="s">
        <v>593</v>
      </c>
      <c r="D461" s="22" t="n">
        <v>41820</v>
      </c>
      <c r="E461" s="22" t="s">
        <v>132</v>
      </c>
      <c r="F461" s="22" t="s">
        <v>135</v>
      </c>
      <c r="G461" s="22" t="s">
        <v>131</v>
      </c>
      <c r="H461" s="22" t="s">
        <v>131</v>
      </c>
      <c r="I461" s="22" t="n">
        <v>0.0193</v>
      </c>
      <c r="J461" s="22" t="n">
        <v>0.0137</v>
      </c>
      <c r="K461" s="22" t="n">
        <v>0.0055</v>
      </c>
      <c r="L461" s="22" t="n">
        <v>0.0027</v>
      </c>
      <c r="M461" s="22" t="n">
        <v>0.0058</v>
      </c>
      <c r="N461" s="22" t="n">
        <v>0.0137</v>
      </c>
      <c r="O461" s="22" t="n">
        <v>0.0284</v>
      </c>
      <c r="P461" s="22" t="n">
        <v>0.0378</v>
      </c>
      <c r="Q461" s="22" t="n">
        <v>0.0861</v>
      </c>
      <c r="R461" s="22" t="n">
        <v>0.084</v>
      </c>
      <c r="S461" s="22" t="n">
        <v>0.0713</v>
      </c>
      <c r="T461" s="22" t="n">
        <v>0.0632</v>
      </c>
      <c r="U461" s="22" t="n">
        <v>0.0186</v>
      </c>
      <c r="V461" s="22" t="n">
        <v>0.0249</v>
      </c>
      <c r="W461" s="22" t="n">
        <v>0.0245</v>
      </c>
      <c r="X461" s="22" t="n">
        <v>0.0692</v>
      </c>
      <c r="Y461" s="22" t="n">
        <v>0.0578</v>
      </c>
      <c r="Z461" s="22" t="n">
        <v>0.0544</v>
      </c>
      <c r="AA461" s="22" t="n">
        <v>0.0711</v>
      </c>
      <c r="AB461" s="22" t="n">
        <v>0.0339</v>
      </c>
      <c r="AC461" s="22" t="n">
        <v>0.0647</v>
      </c>
      <c r="AD461" s="22" t="n">
        <v>0.0506</v>
      </c>
      <c r="AE461" s="22" t="n">
        <v>0.0915</v>
      </c>
      <c r="AF461" s="22" t="n">
        <v>0.0887</v>
      </c>
      <c r="AG461" s="22" t="n">
        <v>0.0884</v>
      </c>
      <c r="AH461" s="22" t="n">
        <v>0.2244</v>
      </c>
      <c r="AI461" s="22" t="n">
        <v>0.184</v>
      </c>
      <c r="AJ461" s="22" t="n">
        <v>0.2209</v>
      </c>
      <c r="AK461" s="22" t="n">
        <v>0.2017</v>
      </c>
      <c r="AL461" s="22" t="n">
        <v>0.0874</v>
      </c>
      <c r="AM461" s="22" t="n">
        <v>0.064</v>
      </c>
      <c r="AN461" s="22" t="n">
        <v>0.0347</v>
      </c>
      <c r="AO461" s="22" t="n">
        <v>0.0284</v>
      </c>
      <c r="AP461" s="22" t="n">
        <v>0.0431</v>
      </c>
      <c r="AQ461" s="22" t="n">
        <v>0.0344</v>
      </c>
      <c r="AR461" s="22" t="n">
        <v>0.0179</v>
      </c>
      <c r="AS461" s="22" t="n">
        <v>0.0213</v>
      </c>
      <c r="AT461" s="22" t="n">
        <v>-0.0167</v>
      </c>
      <c r="AU461" s="22" t="n">
        <v>0.0338</v>
      </c>
      <c r="AV461" s="22" t="n">
        <v>0.0397</v>
      </c>
    </row>
    <row r="462" customFormat="false" ht="15" hidden="false" customHeight="false" outlineLevel="0" collapsed="false">
      <c r="A462" s="22" t="s">
        <v>205</v>
      </c>
      <c r="B462" s="22" t="s">
        <v>3</v>
      </c>
      <c r="C462" s="22" t="s">
        <v>205</v>
      </c>
      <c r="D462" s="22" t="n">
        <v>41860</v>
      </c>
      <c r="E462" s="22" t="s">
        <v>132</v>
      </c>
      <c r="F462" s="22" t="s">
        <v>135</v>
      </c>
      <c r="G462" s="22" t="s">
        <v>131</v>
      </c>
      <c r="H462" s="22" t="s">
        <v>131</v>
      </c>
      <c r="I462" s="22" t="n">
        <v>0.0646</v>
      </c>
      <c r="J462" s="22" t="n">
        <v>0.038</v>
      </c>
      <c r="K462" s="22" t="n">
        <v>0.0007</v>
      </c>
      <c r="L462" s="22" t="n">
        <v>0.0073</v>
      </c>
      <c r="M462" s="22" t="n">
        <v>0.0236</v>
      </c>
      <c r="N462" s="22" t="n">
        <v>0.0558</v>
      </c>
      <c r="O462" s="22" t="n">
        <v>0.0485</v>
      </c>
      <c r="P462" s="22" t="n">
        <v>0.0361</v>
      </c>
      <c r="Q462" s="22" t="n">
        <v>0.0446</v>
      </c>
      <c r="R462" s="22" t="n">
        <v>0.036</v>
      </c>
      <c r="S462" s="22" t="n">
        <v>0.0367</v>
      </c>
      <c r="T462" s="22" t="n">
        <v>0.0436</v>
      </c>
      <c r="U462" s="22" t="n">
        <v>0.0359</v>
      </c>
      <c r="V462" s="22" t="n">
        <v>0.0292</v>
      </c>
      <c r="W462" s="22" t="n">
        <v>0.0339</v>
      </c>
      <c r="X462" s="22" t="n">
        <v>0.0298</v>
      </c>
      <c r="Y462" s="22" t="n">
        <v>0.0209</v>
      </c>
      <c r="Z462" s="22" t="n">
        <v>-0.0364</v>
      </c>
      <c r="AA462" s="22" t="n">
        <v>-0.1166</v>
      </c>
      <c r="AB462" s="22" t="n">
        <v>-0.188</v>
      </c>
      <c r="AC462" s="22" t="n">
        <v>-0.2018</v>
      </c>
      <c r="AD462" s="22" t="n">
        <v>-0.1468</v>
      </c>
      <c r="AE462" s="22" t="n">
        <v>-0.016</v>
      </c>
      <c r="AF462" s="22" t="n">
        <v>0.0855</v>
      </c>
      <c r="AG462" s="22" t="n">
        <v>0.1171</v>
      </c>
      <c r="AH462" s="22" t="n">
        <v>0.1162</v>
      </c>
      <c r="AI462" s="22" t="n">
        <v>0.0708</v>
      </c>
      <c r="AJ462" s="22" t="n">
        <v>0.0509</v>
      </c>
      <c r="AK462" s="22" t="n">
        <v>0.0221</v>
      </c>
      <c r="AL462" s="22" t="n">
        <v>-0.005</v>
      </c>
      <c r="AM462" s="22" t="n">
        <v>-0.021</v>
      </c>
      <c r="AN462" s="22" t="n">
        <v>-0.014</v>
      </c>
      <c r="AO462" s="22" t="n">
        <v>0.0117</v>
      </c>
      <c r="AP462" s="22" t="n">
        <v>0.0246</v>
      </c>
      <c r="AQ462" s="22" t="n">
        <v>0.0329</v>
      </c>
      <c r="AR462" s="22" t="n">
        <v>0.0376</v>
      </c>
      <c r="AS462" s="22" t="n">
        <v>0.0345</v>
      </c>
      <c r="AT462" s="22" t="n">
        <v>0.0596</v>
      </c>
      <c r="AU462" s="22" t="n">
        <v>0.076</v>
      </c>
      <c r="AV462" s="22" t="n">
        <v>0.0884</v>
      </c>
    </row>
    <row r="463" customFormat="false" ht="15" hidden="false" customHeight="false" outlineLevel="0" collapsed="false">
      <c r="A463" s="22" t="s">
        <v>206</v>
      </c>
      <c r="B463" s="22" t="s">
        <v>3</v>
      </c>
      <c r="C463" s="22" t="s">
        <v>206</v>
      </c>
      <c r="D463" s="22" t="n">
        <v>41940</v>
      </c>
      <c r="E463" s="22" t="s">
        <v>132</v>
      </c>
      <c r="F463" s="22" t="s">
        <v>135</v>
      </c>
      <c r="G463" s="22" t="s">
        <v>131</v>
      </c>
      <c r="H463" s="22" t="s">
        <v>131</v>
      </c>
      <c r="I463" s="22" t="n">
        <v>0.0588</v>
      </c>
      <c r="J463" s="22" t="n">
        <v>0.0226</v>
      </c>
      <c r="K463" s="22" t="n">
        <v>-0.0065</v>
      </c>
      <c r="L463" s="22" t="n">
        <v>-0.0115</v>
      </c>
      <c r="M463" s="22" t="n">
        <v>0.0004</v>
      </c>
      <c r="N463" s="22" t="n">
        <v>0.0282</v>
      </c>
      <c r="O463" s="22" t="n">
        <v>0.0354</v>
      </c>
      <c r="P463" s="22" t="n">
        <v>0.0433</v>
      </c>
      <c r="Q463" s="22" t="n">
        <v>0.0444</v>
      </c>
      <c r="R463" s="22" t="n">
        <v>0.0516</v>
      </c>
      <c r="S463" s="22" t="n">
        <v>0.0604</v>
      </c>
      <c r="T463" s="22" t="n">
        <v>0.0529</v>
      </c>
      <c r="U463" s="22" t="n">
        <v>0.0347</v>
      </c>
      <c r="V463" s="22" t="n">
        <v>0.0122</v>
      </c>
      <c r="W463" s="22" t="n">
        <v>0.0178</v>
      </c>
      <c r="X463" s="22" t="n">
        <v>0.0223</v>
      </c>
      <c r="Y463" s="22" t="n">
        <v>0.0381</v>
      </c>
      <c r="Z463" s="22" t="n">
        <v>-0.0285</v>
      </c>
      <c r="AA463" s="22" t="n">
        <v>-0.1138</v>
      </c>
      <c r="AB463" s="22" t="n">
        <v>-0.1492</v>
      </c>
      <c r="AC463" s="22" t="n">
        <v>-0.1693</v>
      </c>
      <c r="AD463" s="22" t="n">
        <v>-0.1031</v>
      </c>
      <c r="AE463" s="22" t="n">
        <v>0.0465</v>
      </c>
      <c r="AF463" s="22" t="n">
        <v>0.1258</v>
      </c>
      <c r="AG463" s="22" t="n">
        <v>0.1553</v>
      </c>
      <c r="AH463" s="22" t="n">
        <v>0.1722</v>
      </c>
      <c r="AI463" s="22" t="n">
        <v>0.1305</v>
      </c>
      <c r="AJ463" s="22" t="n">
        <v>0.1002</v>
      </c>
      <c r="AK463" s="22" t="n">
        <v>0.0704</v>
      </c>
      <c r="AL463" s="22" t="n">
        <v>0.0361</v>
      </c>
      <c r="AM463" s="22" t="n">
        <v>-0.0126</v>
      </c>
      <c r="AN463" s="22" t="n">
        <v>-0.0168</v>
      </c>
      <c r="AO463" s="22" t="n">
        <v>0</v>
      </c>
      <c r="AP463" s="22" t="n">
        <v>0.0105</v>
      </c>
      <c r="AQ463" s="22" t="n">
        <v>0.0312</v>
      </c>
      <c r="AR463" s="22" t="n">
        <v>0.0443</v>
      </c>
      <c r="AS463" s="22" t="n">
        <v>0.0462</v>
      </c>
      <c r="AT463" s="22" t="n">
        <v>0.049</v>
      </c>
      <c r="AU463" s="22" t="n">
        <v>0.0481</v>
      </c>
      <c r="AV463" s="22" t="n">
        <v>0.0487</v>
      </c>
    </row>
    <row r="464" customFormat="false" ht="15" hidden="false" customHeight="false" outlineLevel="0" collapsed="false">
      <c r="A464" s="22" t="s">
        <v>594</v>
      </c>
      <c r="B464" s="22" t="s">
        <v>3</v>
      </c>
      <c r="C464" s="22" t="s">
        <v>594</v>
      </c>
      <c r="D464" s="22" t="n">
        <v>42020</v>
      </c>
      <c r="E464" s="22" t="s">
        <v>132</v>
      </c>
      <c r="F464" s="22" t="s">
        <v>135</v>
      </c>
      <c r="G464" s="22" t="s">
        <v>131</v>
      </c>
      <c r="H464" s="22" t="s">
        <v>131</v>
      </c>
      <c r="I464" s="22" t="n">
        <v>0.1027</v>
      </c>
      <c r="J464" s="22" t="n">
        <v>0.0978</v>
      </c>
      <c r="K464" s="22" t="n">
        <v>0.0345</v>
      </c>
      <c r="L464" s="22" t="n">
        <v>0.014</v>
      </c>
      <c r="M464" s="22" t="n">
        <v>0.0286</v>
      </c>
      <c r="N464" s="22" t="n">
        <v>0.0287</v>
      </c>
      <c r="O464" s="22" t="n">
        <v>0.0521</v>
      </c>
      <c r="P464" s="22" t="n">
        <v>0.0434</v>
      </c>
      <c r="Q464" s="22" t="n">
        <v>0.0389</v>
      </c>
      <c r="R464" s="22" t="n">
        <v>0.0455</v>
      </c>
      <c r="S464" s="22" t="n">
        <v>0.0402</v>
      </c>
      <c r="T464" s="22" t="n">
        <v>0.045</v>
      </c>
      <c r="U464" s="22" t="n">
        <v>0.0382</v>
      </c>
      <c r="V464" s="22" t="n">
        <v>0.0378</v>
      </c>
      <c r="W464" s="22" t="n">
        <v>0.0424</v>
      </c>
      <c r="X464" s="22" t="n">
        <v>0.057</v>
      </c>
      <c r="Y464" s="22" t="n">
        <v>0.095</v>
      </c>
      <c r="Z464" s="22" t="n">
        <v>0.0653</v>
      </c>
      <c r="AA464" s="22" t="n">
        <v>0.0537</v>
      </c>
      <c r="AB464" s="22" t="n">
        <v>0.0453</v>
      </c>
      <c r="AC464" s="22" t="n">
        <v>0.0234</v>
      </c>
      <c r="AD464" s="22" t="n">
        <v>0.0516</v>
      </c>
      <c r="AE464" s="22" t="n">
        <v>0.084</v>
      </c>
      <c r="AF464" s="22" t="n">
        <v>0.1122</v>
      </c>
      <c r="AG464" s="22" t="n">
        <v>0.1722</v>
      </c>
      <c r="AH464" s="22" t="n">
        <v>0.2156</v>
      </c>
      <c r="AI464" s="22" t="n">
        <v>0.2408</v>
      </c>
      <c r="AJ464" s="22" t="n">
        <v>0.1689</v>
      </c>
      <c r="AK464" s="22" t="n">
        <v>0.0874</v>
      </c>
      <c r="AL464" s="22" t="n">
        <v>0.0607</v>
      </c>
      <c r="AM464" s="22" t="n">
        <v>0.0158</v>
      </c>
      <c r="AN464" s="22" t="n">
        <v>0.0364</v>
      </c>
      <c r="AO464" s="22" t="n">
        <v>0.0282</v>
      </c>
      <c r="AP464" s="22" t="n">
        <v>0.0011</v>
      </c>
      <c r="AQ464" s="22" t="n">
        <v>0.0109</v>
      </c>
      <c r="AR464" s="22" t="n">
        <v>0.006</v>
      </c>
      <c r="AS464" s="22" t="n">
        <v>0.0593</v>
      </c>
      <c r="AT464" s="22" t="n">
        <v>0.1234</v>
      </c>
      <c r="AU464" s="22" t="n">
        <v>0.088</v>
      </c>
      <c r="AV464" s="22" t="n">
        <v>0.051</v>
      </c>
    </row>
    <row r="465" customFormat="false" ht="15" hidden="false" customHeight="false" outlineLevel="0" collapsed="false">
      <c r="A465" s="22" t="s">
        <v>595</v>
      </c>
      <c r="B465" s="22" t="s">
        <v>3</v>
      </c>
      <c r="C465" s="22" t="s">
        <v>595</v>
      </c>
      <c r="D465" s="22" t="n">
        <v>42100</v>
      </c>
      <c r="E465" s="22" t="s">
        <v>132</v>
      </c>
      <c r="F465" s="22" t="s">
        <v>135</v>
      </c>
      <c r="G465" s="22" t="s">
        <v>131</v>
      </c>
      <c r="H465" s="22" t="s">
        <v>131</v>
      </c>
      <c r="I465" s="22" t="n">
        <v>0.0624</v>
      </c>
      <c r="J465" s="22" t="n">
        <v>0.0998</v>
      </c>
      <c r="K465" s="22" t="n">
        <v>0.0836</v>
      </c>
      <c r="L465" s="22" t="n">
        <v>0.1141</v>
      </c>
      <c r="M465" s="22" t="n">
        <v>0.1268</v>
      </c>
      <c r="N465" s="22" t="n">
        <v>0.0716</v>
      </c>
      <c r="O465" s="22" t="n">
        <v>0.0652</v>
      </c>
      <c r="P465" s="22" t="n">
        <v>0.0166</v>
      </c>
      <c r="Q465" s="22" t="n">
        <v>0.0367</v>
      </c>
      <c r="R465" s="22" t="n">
        <v>0.0572</v>
      </c>
      <c r="S465" s="22" t="n">
        <v>0.0888</v>
      </c>
      <c r="T465" s="22" t="n">
        <v>0.088</v>
      </c>
      <c r="U465" s="22" t="n">
        <v>0.0477</v>
      </c>
      <c r="V465" s="22" t="n">
        <v>0.0446</v>
      </c>
      <c r="W465" s="22" t="n">
        <v>0.0539</v>
      </c>
      <c r="X465" s="22" t="n">
        <v>0.0646</v>
      </c>
      <c r="Y465" s="22" t="n">
        <v>0.0903</v>
      </c>
      <c r="Z465" s="22" t="n">
        <v>0.021</v>
      </c>
      <c r="AA465" s="22" t="n">
        <v>-0.0861</v>
      </c>
      <c r="AB465" s="22" t="n">
        <v>-0.0859</v>
      </c>
      <c r="AC465" s="22" t="n">
        <v>-0.0582</v>
      </c>
      <c r="AD465" s="22" t="n">
        <v>0.0025</v>
      </c>
      <c r="AE465" s="22" t="n">
        <v>0.1666</v>
      </c>
      <c r="AF465" s="22" t="n">
        <v>0.234</v>
      </c>
      <c r="AG465" s="22" t="n">
        <v>0.1876</v>
      </c>
      <c r="AH465" s="22" t="n">
        <v>0.1666</v>
      </c>
      <c r="AI465" s="22" t="n">
        <v>0.1446</v>
      </c>
      <c r="AJ465" s="22" t="n">
        <v>0.0996</v>
      </c>
      <c r="AK465" s="22" t="n">
        <v>0.0993</v>
      </c>
      <c r="AL465" s="22" t="n">
        <v>0.1033</v>
      </c>
      <c r="AM465" s="22" t="n">
        <v>0.0414</v>
      </c>
      <c r="AN465" s="22" t="n">
        <v>-0.0298</v>
      </c>
      <c r="AO465" s="22" t="n">
        <v>-0.0238</v>
      </c>
      <c r="AP465" s="22" t="n">
        <v>-0.0246</v>
      </c>
      <c r="AQ465" s="22" t="n">
        <v>-0.0235</v>
      </c>
      <c r="AR465" s="22" t="n">
        <v>0.0174</v>
      </c>
      <c r="AS465" s="22" t="n">
        <v>-0.0302</v>
      </c>
      <c r="AT465" s="22" t="n">
        <v>-0.0466</v>
      </c>
      <c r="AU465" s="22" t="n">
        <v>-0.0297</v>
      </c>
      <c r="AV465" s="22" t="n">
        <v>-0.0525</v>
      </c>
    </row>
    <row r="466" customFormat="false" ht="15" hidden="false" customHeight="false" outlineLevel="0" collapsed="false">
      <c r="A466" s="22" t="s">
        <v>596</v>
      </c>
      <c r="B466" s="22" t="s">
        <v>3</v>
      </c>
      <c r="C466" s="22" t="s">
        <v>596</v>
      </c>
      <c r="D466" s="22" t="n">
        <v>42140</v>
      </c>
      <c r="E466" s="22" t="s">
        <v>132</v>
      </c>
      <c r="F466" s="22" t="s">
        <v>135</v>
      </c>
      <c r="G466" s="22" t="s">
        <v>131</v>
      </c>
      <c r="H466" s="22" t="s">
        <v>131</v>
      </c>
      <c r="I466" s="22" t="n">
        <v>0.0475</v>
      </c>
      <c r="J466" s="22" t="n">
        <v>0.0225</v>
      </c>
      <c r="K466" s="22" t="n">
        <v>0.0659</v>
      </c>
      <c r="L466" s="22" t="n">
        <v>0.0711</v>
      </c>
      <c r="M466" s="22" t="n">
        <v>0.0582</v>
      </c>
      <c r="N466" s="22" t="n">
        <v>0.0416</v>
      </c>
      <c r="O466" s="22" t="n">
        <v>0.036</v>
      </c>
      <c r="P466" s="22" t="n">
        <v>0.0452</v>
      </c>
      <c r="Q466" s="22" t="n">
        <v>0.0722</v>
      </c>
      <c r="R466" s="22" t="n">
        <v>0.1064</v>
      </c>
      <c r="S466" s="22" t="n">
        <v>0.1368</v>
      </c>
      <c r="T466" s="22" t="n">
        <v>0.1483</v>
      </c>
      <c r="U466" s="22" t="n">
        <v>0.1568</v>
      </c>
      <c r="V466" s="22" t="n">
        <v>0.1445</v>
      </c>
      <c r="W466" s="22" t="n">
        <v>0.1135</v>
      </c>
      <c r="X466" s="22" t="n">
        <v>0.077</v>
      </c>
      <c r="Y466" s="22" t="n">
        <v>0.0575</v>
      </c>
      <c r="Z466" s="22" t="n">
        <v>0.0064</v>
      </c>
      <c r="AA466" s="22" t="n">
        <v>-0.022</v>
      </c>
      <c r="AB466" s="22" t="n">
        <v>0.0047</v>
      </c>
      <c r="AC466" s="22" t="n">
        <v>0.0003</v>
      </c>
      <c r="AD466" s="22" t="n">
        <v>0.0854</v>
      </c>
      <c r="AE466" s="22" t="n">
        <v>0.1682</v>
      </c>
      <c r="AF466" s="22" t="n">
        <v>0.1564</v>
      </c>
      <c r="AG466" s="22" t="n">
        <v>0.2087</v>
      </c>
      <c r="AH466" s="22" t="n">
        <v>0.1619</v>
      </c>
      <c r="AI466" s="22" t="n">
        <v>0.0687</v>
      </c>
      <c r="AJ466" s="22" t="n">
        <v>0.1177</v>
      </c>
      <c r="AK466" s="22" t="n">
        <v>0.0943</v>
      </c>
      <c r="AL466" s="22" t="n">
        <v>0.1345</v>
      </c>
      <c r="AM466" s="22" t="n">
        <v>0.1659</v>
      </c>
      <c r="AN466" s="22" t="n">
        <v>0.0856</v>
      </c>
      <c r="AO466" s="22" t="n">
        <v>0.068</v>
      </c>
      <c r="AP466" s="22" t="n">
        <v>0.0437</v>
      </c>
      <c r="AQ466" s="22" t="n">
        <v>0.0242</v>
      </c>
      <c r="AR466" s="22" t="n">
        <v>0.0025</v>
      </c>
      <c r="AS466" s="22" t="n">
        <v>-0.0254</v>
      </c>
      <c r="AT466" s="22" t="n">
        <v>-0.0502</v>
      </c>
      <c r="AU466" s="22" t="n">
        <v>-0.0811</v>
      </c>
      <c r="AV466" s="22" t="n">
        <v>-0.0845</v>
      </c>
    </row>
    <row r="467" customFormat="false" ht="15" hidden="false" customHeight="false" outlineLevel="0" collapsed="false">
      <c r="A467" s="22" t="s">
        <v>207</v>
      </c>
      <c r="B467" s="22" t="s">
        <v>3</v>
      </c>
      <c r="C467" s="22" t="s">
        <v>207</v>
      </c>
      <c r="D467" s="22" t="n">
        <v>42200</v>
      </c>
      <c r="E467" s="22" t="s">
        <v>132</v>
      </c>
      <c r="F467" s="22" t="s">
        <v>135</v>
      </c>
      <c r="G467" s="22" t="s">
        <v>131</v>
      </c>
      <c r="H467" s="22" t="s">
        <v>131</v>
      </c>
      <c r="I467" s="22" t="n">
        <v>0.0463</v>
      </c>
      <c r="J467" s="22" t="n">
        <v>0.0767</v>
      </c>
      <c r="K467" s="22" t="n">
        <v>0.07</v>
      </c>
      <c r="L467" s="22" t="n">
        <v>0.0868</v>
      </c>
      <c r="M467" s="22" t="n">
        <v>0.0529</v>
      </c>
      <c r="N467" s="22" t="n">
        <v>0.0653</v>
      </c>
      <c r="O467" s="22" t="n">
        <v>0.1135</v>
      </c>
      <c r="P467" s="22" t="n">
        <v>0.0775</v>
      </c>
      <c r="Q467" s="22" t="n">
        <v>0.0529</v>
      </c>
      <c r="R467" s="22" t="n">
        <v>0.0441</v>
      </c>
      <c r="S467" s="22" t="n">
        <v>0.0141</v>
      </c>
      <c r="T467" s="22" t="n">
        <v>0.0335</v>
      </c>
      <c r="U467" s="22" t="n">
        <v>0.0717</v>
      </c>
      <c r="V467" s="22" t="n">
        <v>0.0694</v>
      </c>
      <c r="W467" s="22" t="n">
        <v>0.0814</v>
      </c>
      <c r="X467" s="22" t="n">
        <v>0.0638</v>
      </c>
      <c r="Y467" s="22" t="n">
        <v>0.0445</v>
      </c>
      <c r="Z467" s="22" t="n">
        <v>0.0248</v>
      </c>
      <c r="AA467" s="22" t="n">
        <v>0.0039</v>
      </c>
      <c r="AB467" s="22" t="n">
        <v>-0.0005</v>
      </c>
      <c r="AC467" s="22" t="n">
        <v>0.0076</v>
      </c>
      <c r="AD467" s="22" t="n">
        <v>0.0392</v>
      </c>
      <c r="AE467" s="22" t="n">
        <v>0.0897</v>
      </c>
      <c r="AF467" s="22" t="n">
        <v>0.1368</v>
      </c>
      <c r="AG467" s="22" t="n">
        <v>0.1645</v>
      </c>
      <c r="AH467" s="22" t="n">
        <v>0.1851</v>
      </c>
      <c r="AI467" s="22" t="n">
        <v>0.193</v>
      </c>
      <c r="AJ467" s="22" t="n">
        <v>0.1474</v>
      </c>
      <c r="AK467" s="22" t="n">
        <v>0.1233</v>
      </c>
      <c r="AL467" s="22" t="n">
        <v>0.0769</v>
      </c>
      <c r="AM467" s="22" t="n">
        <v>0.0314</v>
      </c>
      <c r="AN467" s="22" t="n">
        <v>0.0334</v>
      </c>
      <c r="AO467" s="22" t="n">
        <v>0.0137</v>
      </c>
      <c r="AP467" s="22" t="n">
        <v>0.0222</v>
      </c>
      <c r="AQ467" s="22" t="n">
        <v>0.0036</v>
      </c>
      <c r="AR467" s="22" t="n">
        <v>-0.0037</v>
      </c>
      <c r="AS467" s="22" t="n">
        <v>-0.0143</v>
      </c>
      <c r="AT467" s="22" t="n">
        <v>-0.0283</v>
      </c>
      <c r="AU467" s="22" t="n">
        <v>-0.0118</v>
      </c>
      <c r="AV467" s="22" t="n">
        <v>-0.0123</v>
      </c>
    </row>
    <row r="468" customFormat="false" ht="15" hidden="false" customHeight="false" outlineLevel="0" collapsed="false">
      <c r="A468" s="22" t="s">
        <v>208</v>
      </c>
      <c r="B468" s="22" t="s">
        <v>3</v>
      </c>
      <c r="C468" s="22" t="s">
        <v>208</v>
      </c>
      <c r="D468" s="22" t="n">
        <v>42220</v>
      </c>
      <c r="E468" s="22" t="s">
        <v>132</v>
      </c>
      <c r="F468" s="22" t="s">
        <v>135</v>
      </c>
      <c r="G468" s="22" t="s">
        <v>131</v>
      </c>
      <c r="H468" s="22" t="s">
        <v>131</v>
      </c>
      <c r="I468" s="22" t="n">
        <v>0.0981</v>
      </c>
      <c r="J468" s="22" t="n">
        <v>0.0929</v>
      </c>
      <c r="K468" s="22" t="n">
        <v>0.0659</v>
      </c>
      <c r="L468" s="22" t="n">
        <v>0.0738</v>
      </c>
      <c r="M468" s="22" t="n">
        <v>0.0595</v>
      </c>
      <c r="N468" s="22" t="n">
        <v>0.0537</v>
      </c>
      <c r="O468" s="22" t="n">
        <v>0.0719</v>
      </c>
      <c r="P468" s="22" t="n">
        <v>0.0699</v>
      </c>
      <c r="Q468" s="22" t="n">
        <v>0.0997</v>
      </c>
      <c r="R468" s="22" t="n">
        <v>0.0861</v>
      </c>
      <c r="S468" s="22" t="n">
        <v>0.0601</v>
      </c>
      <c r="T468" s="22" t="n">
        <v>0.0259</v>
      </c>
      <c r="U468" s="22" t="n">
        <v>-0.0122</v>
      </c>
      <c r="V468" s="22" t="n">
        <v>-0.0089</v>
      </c>
      <c r="W468" s="22" t="n">
        <v>0.0275</v>
      </c>
      <c r="X468" s="22" t="n">
        <v>0.0251</v>
      </c>
      <c r="Y468" s="22" t="n">
        <v>0.0254</v>
      </c>
      <c r="Z468" s="22" t="n">
        <v>-0.0057</v>
      </c>
      <c r="AA468" s="22" t="n">
        <v>-0.0421</v>
      </c>
      <c r="AB468" s="22" t="n">
        <v>-0.0248</v>
      </c>
      <c r="AC468" s="22" t="n">
        <v>-0.0082</v>
      </c>
      <c r="AD468" s="22" t="n">
        <v>0.055</v>
      </c>
      <c r="AE468" s="22" t="n">
        <v>0.1174</v>
      </c>
      <c r="AF468" s="22" t="n">
        <v>0.132</v>
      </c>
      <c r="AG468" s="22" t="n">
        <v>0.1321</v>
      </c>
      <c r="AH468" s="22" t="n">
        <v>0.1296</v>
      </c>
      <c r="AI468" s="22" t="n">
        <v>0.0853</v>
      </c>
      <c r="AJ468" s="22" t="n">
        <v>0.0559</v>
      </c>
      <c r="AK468" s="22" t="n">
        <v>0.0394</v>
      </c>
      <c r="AL468" s="22" t="n">
        <v>0.0107</v>
      </c>
      <c r="AM468" s="22" t="n">
        <v>0.0025</v>
      </c>
      <c r="AN468" s="22" t="n">
        <v>0.0111</v>
      </c>
      <c r="AO468" s="22" t="n">
        <v>0.0163</v>
      </c>
      <c r="AP468" s="22" t="n">
        <v>0.0096</v>
      </c>
      <c r="AQ468" s="22" t="n">
        <v>0.0019</v>
      </c>
      <c r="AR468" s="22" t="n">
        <v>0.0096</v>
      </c>
      <c r="AS468" s="22" t="n">
        <v>0.0073</v>
      </c>
      <c r="AT468" s="22" t="n">
        <v>0.0153</v>
      </c>
      <c r="AU468" s="22" t="n">
        <v>0.0001</v>
      </c>
      <c r="AV468" s="22" t="n">
        <v>-0.0143</v>
      </c>
    </row>
    <row r="469" customFormat="false" ht="15" hidden="false" customHeight="false" outlineLevel="0" collapsed="false">
      <c r="A469" s="22" t="s">
        <v>597</v>
      </c>
      <c r="B469" s="22" t="s">
        <v>3</v>
      </c>
      <c r="C469" s="22" t="s">
        <v>597</v>
      </c>
      <c r="D469" s="22" t="n">
        <v>42300</v>
      </c>
      <c r="E469" s="22" t="s">
        <v>132</v>
      </c>
      <c r="F469" s="22" t="s">
        <v>135</v>
      </c>
      <c r="G469" s="22" t="s">
        <v>131</v>
      </c>
      <c r="H469" s="22" t="s">
        <v>131</v>
      </c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</row>
    <row r="470" customFormat="false" ht="15" hidden="false" customHeight="false" outlineLevel="0" collapsed="false">
      <c r="A470" s="22" t="s">
        <v>37</v>
      </c>
      <c r="B470" s="22" t="s">
        <v>3</v>
      </c>
      <c r="C470" s="22" t="s">
        <v>37</v>
      </c>
      <c r="D470" s="22" t="n">
        <v>42340</v>
      </c>
      <c r="E470" s="22" t="s">
        <v>132</v>
      </c>
      <c r="F470" s="22" t="s">
        <v>135</v>
      </c>
      <c r="G470" s="22" t="s">
        <v>131</v>
      </c>
      <c r="H470" s="22" t="s">
        <v>131</v>
      </c>
      <c r="I470" s="22" t="n">
        <v>0.0467</v>
      </c>
      <c r="J470" s="22" t="n">
        <v>0.0359</v>
      </c>
      <c r="K470" s="22" t="n">
        <v>-0.0088</v>
      </c>
      <c r="L470" s="22" t="n">
        <v>0.006</v>
      </c>
      <c r="M470" s="22" t="n">
        <v>0.0249</v>
      </c>
      <c r="N470" s="22" t="n">
        <v>0.0314</v>
      </c>
      <c r="O470" s="22" t="n">
        <v>0.0381</v>
      </c>
      <c r="P470" s="22" t="n">
        <v>0.0213</v>
      </c>
      <c r="Q470" s="22" t="n">
        <v>0.0243</v>
      </c>
      <c r="R470" s="22" t="n">
        <v>0.0222</v>
      </c>
      <c r="S470" s="22" t="n">
        <v>0.0451</v>
      </c>
      <c r="T470" s="22" t="n">
        <v>0.0513</v>
      </c>
      <c r="U470" s="22" t="n">
        <v>0.0319</v>
      </c>
      <c r="V470" s="22" t="n">
        <v>0.029</v>
      </c>
      <c r="W470" s="22" t="n">
        <v>0.0362</v>
      </c>
      <c r="X470" s="22" t="n">
        <v>0.044</v>
      </c>
      <c r="Y470" s="22" t="n">
        <v>0.0342</v>
      </c>
      <c r="Z470" s="22" t="n">
        <v>0.0027</v>
      </c>
      <c r="AA470" s="22" t="n">
        <v>-0.0187</v>
      </c>
      <c r="AB470" s="22" t="n">
        <v>0.0035</v>
      </c>
      <c r="AC470" s="22" t="n">
        <v>0.0398</v>
      </c>
      <c r="AD470" s="22" t="n">
        <v>0.1097</v>
      </c>
      <c r="AE470" s="22" t="n">
        <v>0.213</v>
      </c>
      <c r="AF470" s="22" t="n">
        <v>0.2618</v>
      </c>
      <c r="AG470" s="22" t="n">
        <v>0.2602</v>
      </c>
      <c r="AH470" s="22" t="n">
        <v>0.2628</v>
      </c>
      <c r="AI470" s="22" t="n">
        <v>0.2097</v>
      </c>
      <c r="AJ470" s="22" t="n">
        <v>0.1547</v>
      </c>
      <c r="AK470" s="22" t="n">
        <v>0.1249</v>
      </c>
      <c r="AL470" s="22" t="n">
        <v>0.0801</v>
      </c>
      <c r="AM470" s="22" t="n">
        <v>0.028</v>
      </c>
      <c r="AN470" s="22" t="n">
        <v>0.0113</v>
      </c>
      <c r="AO470" s="22" t="n">
        <v>0.0196</v>
      </c>
      <c r="AP470" s="22" t="n">
        <v>0.0155</v>
      </c>
      <c r="AQ470" s="22" t="n">
        <v>0.0118</v>
      </c>
      <c r="AR470" s="22" t="n">
        <v>0.0142</v>
      </c>
      <c r="AS470" s="22" t="n">
        <v>0.0125</v>
      </c>
      <c r="AT470" s="22" t="n">
        <v>0.0105</v>
      </c>
      <c r="AU470" s="22" t="n">
        <v>0.0022</v>
      </c>
      <c r="AV470" s="22" t="n">
        <v>-0.0217</v>
      </c>
    </row>
    <row r="471" customFormat="false" ht="15" hidden="false" customHeight="false" outlineLevel="0" collapsed="false">
      <c r="A471" s="22" t="s">
        <v>598</v>
      </c>
      <c r="B471" s="22" t="s">
        <v>3</v>
      </c>
      <c r="C471" s="22" t="s">
        <v>598</v>
      </c>
      <c r="D471" s="22" t="n">
        <v>42540</v>
      </c>
      <c r="E471" s="22" t="s">
        <v>132</v>
      </c>
      <c r="F471" s="22" t="s">
        <v>135</v>
      </c>
      <c r="G471" s="22" t="s">
        <v>131</v>
      </c>
      <c r="H471" s="22" t="s">
        <v>131</v>
      </c>
      <c r="I471" s="22" t="n">
        <v>0.0451</v>
      </c>
      <c r="J471" s="22" t="n">
        <v>0.0787</v>
      </c>
      <c r="K471" s="22" t="n">
        <v>0.0505</v>
      </c>
      <c r="L471" s="22" t="n">
        <v>0.0652</v>
      </c>
      <c r="M471" s="22" t="n">
        <v>0.0226</v>
      </c>
      <c r="N471" s="22" t="n">
        <v>0.0218</v>
      </c>
      <c r="O471" s="22" t="n">
        <v>0.0469</v>
      </c>
      <c r="P471" s="22" t="n">
        <v>0.0232</v>
      </c>
      <c r="Q471" s="22" t="n">
        <v>0.0501</v>
      </c>
      <c r="R471" s="22" t="n">
        <v>0.0427</v>
      </c>
      <c r="S471" s="22" t="n">
        <v>0.0165</v>
      </c>
      <c r="T471" s="22" t="n">
        <v>-0.0235</v>
      </c>
      <c r="U471" s="22" t="n">
        <v>-0.0145</v>
      </c>
      <c r="V471" s="22" t="n">
        <v>-0.021</v>
      </c>
      <c r="W471" s="22" t="n">
        <v>-0.0015</v>
      </c>
      <c r="X471" s="22" t="n">
        <v>0.0162</v>
      </c>
      <c r="Y471" s="22" t="n">
        <v>-0.0007</v>
      </c>
      <c r="Z471" s="22" t="n">
        <v>0.0281</v>
      </c>
      <c r="AA471" s="22" t="n">
        <v>0.0615</v>
      </c>
      <c r="AB471" s="22" t="n">
        <v>0.0939</v>
      </c>
      <c r="AC471" s="22" t="n">
        <v>0.1259</v>
      </c>
      <c r="AD471" s="22" t="n">
        <v>0.1524</v>
      </c>
      <c r="AE471" s="22" t="n">
        <v>0.1567</v>
      </c>
      <c r="AF471" s="22" t="n">
        <v>0.1372</v>
      </c>
      <c r="AG471" s="22" t="n">
        <v>0.1779</v>
      </c>
      <c r="AH471" s="22" t="n">
        <v>0.1479</v>
      </c>
      <c r="AI471" s="22" t="n">
        <v>0.0913</v>
      </c>
      <c r="AJ471" s="22" t="n">
        <v>0.0482</v>
      </c>
      <c r="AK471" s="22" t="n">
        <v>-0.0354</v>
      </c>
      <c r="AL471" s="22" t="n">
        <v>-0.0386</v>
      </c>
      <c r="AM471" s="22" t="n">
        <v>-0.0225</v>
      </c>
      <c r="AN471" s="22" t="n">
        <v>0.0075</v>
      </c>
      <c r="AO471" s="22" t="n">
        <v>0.013</v>
      </c>
      <c r="AP471" s="22" t="n">
        <v>0.0249</v>
      </c>
      <c r="AQ471" s="22" t="n">
        <v>0.0596</v>
      </c>
      <c r="AR471" s="22" t="n">
        <v>0.0709</v>
      </c>
      <c r="AS471" s="22" t="n">
        <v>0.0847</v>
      </c>
      <c r="AT471" s="22" t="n">
        <v>0.0407</v>
      </c>
      <c r="AU471" s="22" t="n">
        <v>0.0324</v>
      </c>
      <c r="AV471" s="22" t="n">
        <v>0.0027</v>
      </c>
    </row>
    <row r="472" customFormat="false" ht="15" hidden="false" customHeight="false" outlineLevel="0" collapsed="false">
      <c r="A472" s="22" t="s">
        <v>209</v>
      </c>
      <c r="B472" s="22" t="s">
        <v>3</v>
      </c>
      <c r="C472" s="22" t="s">
        <v>209</v>
      </c>
      <c r="D472" s="22" t="n">
        <v>42644</v>
      </c>
      <c r="E472" s="22" t="s">
        <v>132</v>
      </c>
      <c r="F472" s="22" t="s">
        <v>135</v>
      </c>
      <c r="G472" s="22" t="s">
        <v>131</v>
      </c>
      <c r="H472" s="22" t="s">
        <v>131</v>
      </c>
      <c r="I472" s="22" t="n">
        <v>0.0976</v>
      </c>
      <c r="J472" s="22" t="n">
        <v>0.0968</v>
      </c>
      <c r="K472" s="22" t="n">
        <v>0.0834</v>
      </c>
      <c r="L472" s="22" t="n">
        <v>0.0751</v>
      </c>
      <c r="M472" s="22" t="n">
        <v>0.0718</v>
      </c>
      <c r="N472" s="22" t="n">
        <v>0.0813</v>
      </c>
      <c r="O472" s="22" t="n">
        <v>0.0678</v>
      </c>
      <c r="P472" s="22" t="n">
        <v>0.0546</v>
      </c>
      <c r="Q472" s="22" t="n">
        <v>0.0365</v>
      </c>
      <c r="R472" s="22" t="n">
        <v>0.0211</v>
      </c>
      <c r="S472" s="22" t="n">
        <v>0.0242</v>
      </c>
      <c r="T472" s="22" t="n">
        <v>0.0366</v>
      </c>
      <c r="U472" s="22" t="n">
        <v>0.0366</v>
      </c>
      <c r="V472" s="22" t="n">
        <v>0.0289</v>
      </c>
      <c r="W472" s="22" t="n">
        <v>0.0424</v>
      </c>
      <c r="X472" s="22" t="n">
        <v>0.0584</v>
      </c>
      <c r="Y472" s="22" t="n">
        <v>0.0786</v>
      </c>
      <c r="Z472" s="22" t="n">
        <v>0.0326</v>
      </c>
      <c r="AA472" s="22" t="n">
        <v>-0.0129</v>
      </c>
      <c r="AB472" s="22" t="n">
        <v>-0.0513</v>
      </c>
      <c r="AC472" s="22" t="n">
        <v>-0.0786</v>
      </c>
      <c r="AD472" s="22" t="n">
        <v>-0.0314</v>
      </c>
      <c r="AE472" s="22" t="n">
        <v>0.0569</v>
      </c>
      <c r="AF472" s="22" t="n">
        <v>0.12</v>
      </c>
      <c r="AG472" s="22" t="n">
        <v>0.1448</v>
      </c>
      <c r="AH472" s="22" t="n">
        <v>0.1467</v>
      </c>
      <c r="AI472" s="22" t="n">
        <v>0.1164</v>
      </c>
      <c r="AJ472" s="22" t="n">
        <v>0.0785</v>
      </c>
      <c r="AK472" s="22" t="n">
        <v>0.0542</v>
      </c>
      <c r="AL472" s="22" t="n">
        <v>0.0183</v>
      </c>
      <c r="AM472" s="22" t="n">
        <v>0.0023</v>
      </c>
      <c r="AN472" s="22" t="n">
        <v>0.0013</v>
      </c>
      <c r="AO472" s="22" t="n">
        <v>0.0178</v>
      </c>
      <c r="AP472" s="22" t="n">
        <v>0.0289</v>
      </c>
      <c r="AQ472" s="22" t="n">
        <v>0.016</v>
      </c>
      <c r="AR472" s="22" t="n">
        <v>0.0206</v>
      </c>
      <c r="AS472" s="22" t="n">
        <v>0.0188</v>
      </c>
      <c r="AT472" s="22" t="n">
        <v>0.0236</v>
      </c>
      <c r="AU472" s="22" t="n">
        <v>0.0219</v>
      </c>
      <c r="AV472" s="22" t="n">
        <v>0.0171</v>
      </c>
    </row>
    <row r="473" customFormat="false" ht="15" hidden="false" customHeight="false" outlineLevel="0" collapsed="false">
      <c r="A473" s="22" t="s">
        <v>599</v>
      </c>
      <c r="B473" s="22" t="s">
        <v>3</v>
      </c>
      <c r="C473" s="22" t="s">
        <v>599</v>
      </c>
      <c r="D473" s="22" t="n">
        <v>42900</v>
      </c>
      <c r="E473" s="22" t="s">
        <v>132</v>
      </c>
      <c r="F473" s="22" t="s">
        <v>135</v>
      </c>
      <c r="G473" s="22" t="s">
        <v>131</v>
      </c>
      <c r="H473" s="22" t="s">
        <v>131</v>
      </c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</row>
    <row r="474" customFormat="false" ht="15" hidden="false" customHeight="false" outlineLevel="0" collapsed="false">
      <c r="A474" s="22" t="s">
        <v>600</v>
      </c>
      <c r="B474" s="22" t="s">
        <v>3</v>
      </c>
      <c r="C474" s="22" t="s">
        <v>600</v>
      </c>
      <c r="D474" s="22" t="n">
        <v>42860</v>
      </c>
      <c r="E474" s="22" t="s">
        <v>132</v>
      </c>
      <c r="F474" s="22" t="s">
        <v>135</v>
      </c>
      <c r="G474" s="22" t="s">
        <v>131</v>
      </c>
      <c r="H474" s="22" t="s">
        <v>131</v>
      </c>
      <c r="I474" s="22" t="n">
        <v>0.0407</v>
      </c>
      <c r="J474" s="22" t="n">
        <v>0.1619</v>
      </c>
      <c r="K474" s="22" t="n">
        <v>0.0821</v>
      </c>
      <c r="L474" s="22" t="n">
        <v>0.088</v>
      </c>
      <c r="M474" s="22" t="n">
        <v>0.0168</v>
      </c>
      <c r="N474" s="22" t="n">
        <v>-0.0507</v>
      </c>
      <c r="O474" s="22" t="n">
        <v>0.0305</v>
      </c>
      <c r="P474" s="22" t="n">
        <v>0.045</v>
      </c>
      <c r="Q474" s="22" t="n">
        <v>0.028</v>
      </c>
      <c r="R474" s="22" t="n">
        <v>0.0427</v>
      </c>
      <c r="S474" s="22" t="n">
        <v>0.0278</v>
      </c>
      <c r="T474" s="22" t="n">
        <v>-0.0711</v>
      </c>
      <c r="U474" s="22" t="n">
        <v>-0.0569</v>
      </c>
      <c r="V474" s="22" t="n">
        <v>-0.0446</v>
      </c>
      <c r="W474" s="22" t="n">
        <v>-0.0623</v>
      </c>
      <c r="X474" s="22" t="n">
        <v>0.1263</v>
      </c>
      <c r="Y474" s="22" t="n">
        <v>0.1557</v>
      </c>
      <c r="Z474" s="22" t="n">
        <v>0.1892</v>
      </c>
      <c r="AA474" s="22" t="n">
        <v>0.1791</v>
      </c>
      <c r="AB474" s="22" t="n">
        <v>0.076</v>
      </c>
      <c r="AC474" s="22" t="n">
        <v>0.0932</v>
      </c>
      <c r="AD474" s="22" t="n">
        <v>0.0741</v>
      </c>
      <c r="AE474" s="22" t="n">
        <v>0.1375</v>
      </c>
      <c r="AF474" s="22" t="n">
        <v>0.1804</v>
      </c>
      <c r="AG474" s="22" t="n">
        <v>0.1448</v>
      </c>
      <c r="AH474" s="22" t="n">
        <v>0.1193</v>
      </c>
      <c r="AI474" s="22" t="n">
        <v>0.192</v>
      </c>
      <c r="AJ474" s="22" t="n">
        <v>0.2368</v>
      </c>
      <c r="AK474" s="22" t="n">
        <v>0.1637</v>
      </c>
      <c r="AL474" s="22" t="n">
        <v>0.1312</v>
      </c>
      <c r="AM474" s="22" t="n">
        <v>-0.0023</v>
      </c>
      <c r="AN474" s="22" t="n">
        <v>-0.0628</v>
      </c>
      <c r="AO474" s="22" t="n">
        <v>0.0029</v>
      </c>
      <c r="AP474" s="22" t="n">
        <v>0.0555</v>
      </c>
      <c r="AQ474" s="22" t="n">
        <v>0.1581</v>
      </c>
      <c r="AR474" s="22" t="n">
        <v>0.1091</v>
      </c>
      <c r="AS474" s="22" t="n">
        <v>0.0926</v>
      </c>
      <c r="AT474" s="22" t="n">
        <v>0.0336</v>
      </c>
      <c r="AU474" s="22" t="n">
        <v>0.0038</v>
      </c>
      <c r="AV474" s="22" t="n">
        <v>0.0374</v>
      </c>
    </row>
    <row r="475" customFormat="false" ht="15" hidden="false" customHeight="false" outlineLevel="0" collapsed="false">
      <c r="A475" s="22" t="s">
        <v>601</v>
      </c>
      <c r="B475" s="22" t="s">
        <v>3</v>
      </c>
      <c r="C475" s="22" t="s">
        <v>601</v>
      </c>
      <c r="D475" s="22" t="n">
        <v>42940</v>
      </c>
      <c r="E475" s="22" t="s">
        <v>132</v>
      </c>
      <c r="F475" s="22" t="s">
        <v>135</v>
      </c>
      <c r="G475" s="22" t="s">
        <v>131</v>
      </c>
      <c r="H475" s="22" t="s">
        <v>131</v>
      </c>
      <c r="I475" s="22" t="n">
        <v>0.0318</v>
      </c>
      <c r="J475" s="22" t="n">
        <v>0.0372</v>
      </c>
      <c r="K475" s="22" t="n">
        <v>0.0103</v>
      </c>
      <c r="L475" s="22" t="n">
        <v>0.0242</v>
      </c>
      <c r="M475" s="22" t="n">
        <v>0.0448</v>
      </c>
      <c r="N475" s="22" t="n">
        <v>0.0889</v>
      </c>
      <c r="O475" s="22" t="n">
        <v>0.0489</v>
      </c>
      <c r="P475" s="22" t="n">
        <v>0.0397</v>
      </c>
      <c r="Q475" s="22" t="n">
        <v>0.0539</v>
      </c>
      <c r="R475" s="22" t="n">
        <v>0.0154</v>
      </c>
      <c r="S475" s="22" t="n">
        <v>0.0705</v>
      </c>
      <c r="T475" s="22" t="n">
        <v>0.0691</v>
      </c>
      <c r="U475" s="22" t="n">
        <v>0.0075</v>
      </c>
      <c r="V475" s="22" t="n">
        <v>0.075</v>
      </c>
      <c r="W475" s="22" t="n">
        <v>0.0165</v>
      </c>
      <c r="X475" s="22" t="n">
        <v>0.0025</v>
      </c>
      <c r="Y475" s="22" t="n">
        <v>0.0267</v>
      </c>
      <c r="Z475" s="22" t="n">
        <v>-0.0983</v>
      </c>
      <c r="AA475" s="22" t="n">
        <v>0.0214</v>
      </c>
      <c r="AB475" s="22" t="n">
        <v>0.0745</v>
      </c>
      <c r="AC475" s="22" t="n">
        <v>0.1185</v>
      </c>
      <c r="AD475" s="22" t="n">
        <v>0.1985</v>
      </c>
      <c r="AE475" s="22" t="n">
        <v>0.1462</v>
      </c>
      <c r="AF475" s="22" t="n">
        <v>0.1618</v>
      </c>
      <c r="AG475" s="22" t="n">
        <v>0.142</v>
      </c>
      <c r="AH475" s="22" t="n">
        <v>0.1879</v>
      </c>
      <c r="AI475" s="22" t="n">
        <v>0.1834</v>
      </c>
      <c r="AJ475" s="22" t="n">
        <v>0.132</v>
      </c>
      <c r="AK475" s="22" t="n">
        <v>0.1123</v>
      </c>
      <c r="AL475" s="22" t="n">
        <v>0.0894</v>
      </c>
      <c r="AM475" s="22" t="n">
        <v>0.0848</v>
      </c>
      <c r="AN475" s="22" t="n">
        <v>0.0775</v>
      </c>
      <c r="AO475" s="22" t="n">
        <v>0.0955</v>
      </c>
      <c r="AP475" s="22" t="n">
        <v>0.0639</v>
      </c>
      <c r="AQ475" s="22" t="n">
        <v>0.0375</v>
      </c>
      <c r="AR475" s="22" t="n">
        <v>0.0345</v>
      </c>
      <c r="AS475" s="22" t="n">
        <v>0.0027</v>
      </c>
      <c r="AT475" s="22" t="n">
        <v>-0.021</v>
      </c>
      <c r="AU475" s="22" t="n">
        <v>-0.0259</v>
      </c>
      <c r="AV475" s="22" t="n">
        <v>-0.018</v>
      </c>
    </row>
    <row r="476" customFormat="false" ht="15" hidden="false" customHeight="false" outlineLevel="0" collapsed="false">
      <c r="A476" s="22" t="s">
        <v>602</v>
      </c>
      <c r="B476" s="22" t="s">
        <v>3</v>
      </c>
      <c r="C476" s="22" t="s">
        <v>602</v>
      </c>
      <c r="D476" s="22" t="n">
        <v>42980</v>
      </c>
      <c r="E476" s="22" t="s">
        <v>132</v>
      </c>
      <c r="F476" s="22" t="s">
        <v>135</v>
      </c>
      <c r="G476" s="22" t="s">
        <v>131</v>
      </c>
      <c r="H476" s="22" t="s">
        <v>131</v>
      </c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</row>
    <row r="477" customFormat="false" ht="15" hidden="false" customHeight="false" outlineLevel="0" collapsed="false">
      <c r="A477" s="22" t="s">
        <v>603</v>
      </c>
      <c r="B477" s="22" t="s">
        <v>3</v>
      </c>
      <c r="C477" s="22" t="s">
        <v>603</v>
      </c>
      <c r="D477" s="22" t="n">
        <v>43020</v>
      </c>
      <c r="E477" s="22" t="s">
        <v>132</v>
      </c>
      <c r="F477" s="22" t="s">
        <v>135</v>
      </c>
      <c r="G477" s="22" t="s">
        <v>131</v>
      </c>
      <c r="H477" s="22" t="s">
        <v>131</v>
      </c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</row>
    <row r="478" customFormat="false" ht="15" hidden="false" customHeight="false" outlineLevel="0" collapsed="false">
      <c r="A478" s="22" t="s">
        <v>604</v>
      </c>
      <c r="B478" s="22" t="s">
        <v>3</v>
      </c>
      <c r="C478" s="22" t="s">
        <v>604</v>
      </c>
      <c r="D478" s="22" t="n">
        <v>43100</v>
      </c>
      <c r="E478" s="22" t="s">
        <v>132</v>
      </c>
      <c r="F478" s="22" t="s">
        <v>135</v>
      </c>
      <c r="G478" s="22" t="s">
        <v>131</v>
      </c>
      <c r="H478" s="22" t="s">
        <v>131</v>
      </c>
      <c r="I478" s="22" t="n">
        <v>0.0353</v>
      </c>
      <c r="J478" s="22" t="n">
        <v>0.027</v>
      </c>
      <c r="K478" s="22" t="n">
        <v>0.0377</v>
      </c>
      <c r="L478" s="22" t="n">
        <v>0.0368</v>
      </c>
      <c r="M478" s="22" t="n">
        <v>0.0384</v>
      </c>
      <c r="N478" s="22" t="n">
        <v>0.0205</v>
      </c>
      <c r="O478" s="22" t="n">
        <v>0.0001</v>
      </c>
      <c r="P478" s="22" t="n">
        <v>0.0416</v>
      </c>
      <c r="Q478" s="22" t="n">
        <v>0.0552</v>
      </c>
      <c r="R478" s="22" t="n">
        <v>0.1218</v>
      </c>
      <c r="S478" s="22" t="n">
        <v>0.1113</v>
      </c>
      <c r="T478" s="22" t="n">
        <v>0.0809</v>
      </c>
      <c r="U478" s="22" t="n">
        <v>0.0974</v>
      </c>
      <c r="V478" s="22" t="n">
        <v>0.0709</v>
      </c>
      <c r="W478" s="22" t="n">
        <v>0.0642</v>
      </c>
      <c r="X478" s="22" t="n">
        <v>0.0076</v>
      </c>
      <c r="Y478" s="22" t="n">
        <v>-0.0216</v>
      </c>
      <c r="Z478" s="22" t="n">
        <v>-0.0902</v>
      </c>
      <c r="AA478" s="22" t="n">
        <v>-0.0042</v>
      </c>
      <c r="AB478" s="22" t="n">
        <v>0.0582</v>
      </c>
      <c r="AC478" s="22" t="n">
        <v>0.0713</v>
      </c>
      <c r="AD478" s="22" t="n">
        <v>0.0789</v>
      </c>
      <c r="AE478" s="22" t="n">
        <v>0.0684</v>
      </c>
      <c r="AF478" s="22" t="n">
        <v>0.0285</v>
      </c>
      <c r="AG478" s="22" t="n">
        <v>-0.0084</v>
      </c>
      <c r="AH478" s="22" t="n">
        <v>0.0626</v>
      </c>
      <c r="AI478" s="22" t="n">
        <v>-0.0016</v>
      </c>
      <c r="AJ478" s="22" t="n">
        <v>0.0824</v>
      </c>
      <c r="AK478" s="22" t="n">
        <v>0.1395</v>
      </c>
      <c r="AL478" s="22" t="n">
        <v>0.1404</v>
      </c>
      <c r="AM478" s="22" t="n">
        <v>0.1583</v>
      </c>
      <c r="AN478" s="22" t="n">
        <v>0.069</v>
      </c>
      <c r="AO478" s="22" t="n">
        <v>0.0553</v>
      </c>
      <c r="AP478" s="22" t="n">
        <v>0.0341</v>
      </c>
      <c r="AQ478" s="22" t="n">
        <v>0.0188</v>
      </c>
      <c r="AR478" s="22" t="n">
        <v>0.0308</v>
      </c>
      <c r="AS478" s="22" t="n">
        <v>0.0244</v>
      </c>
      <c r="AT478" s="22" t="n">
        <v>-0.0092</v>
      </c>
      <c r="AU478" s="22" t="n">
        <v>0.019</v>
      </c>
      <c r="AV478" s="22" t="n">
        <v>0.0194</v>
      </c>
    </row>
    <row r="479" customFormat="false" ht="15" hidden="false" customHeight="false" outlineLevel="0" collapsed="false">
      <c r="A479" s="22" t="s">
        <v>605</v>
      </c>
      <c r="B479" s="22" t="s">
        <v>3</v>
      </c>
      <c r="C479" s="22" t="s">
        <v>605</v>
      </c>
      <c r="D479" s="22" t="n">
        <v>43140</v>
      </c>
      <c r="E479" s="22" t="s">
        <v>132</v>
      </c>
      <c r="F479" s="22" t="s">
        <v>135</v>
      </c>
      <c r="G479" s="22" t="s">
        <v>131</v>
      </c>
      <c r="H479" s="22" t="s">
        <v>131</v>
      </c>
      <c r="I479" s="22"/>
      <c r="J479" s="22" t="n">
        <v>0.2414</v>
      </c>
      <c r="K479" s="22"/>
      <c r="L479" s="22"/>
      <c r="M479" s="22"/>
      <c r="N479" s="22" t="n">
        <v>-0.1485</v>
      </c>
      <c r="O479" s="22" t="n">
        <v>-0.124</v>
      </c>
      <c r="P479" s="22" t="n">
        <v>-0.1246</v>
      </c>
      <c r="Q479" s="22" t="n">
        <v>-0.1247</v>
      </c>
      <c r="R479" s="22" t="n">
        <v>-0.051</v>
      </c>
      <c r="S479" s="22" t="n">
        <v>0.0672</v>
      </c>
      <c r="T479" s="22" t="n">
        <v>0.0714</v>
      </c>
      <c r="U479" s="22" t="n">
        <v>0.0813</v>
      </c>
      <c r="V479" s="22" t="n">
        <v>0.1343</v>
      </c>
      <c r="W479" s="22" t="n">
        <v>0.104</v>
      </c>
      <c r="X479" s="22" t="n">
        <v>0.1054</v>
      </c>
      <c r="Y479" s="22" t="n">
        <v>0.1173</v>
      </c>
      <c r="Z479" s="22" t="n">
        <v>0.0863</v>
      </c>
      <c r="AA479" s="22" t="n">
        <v>0.0557</v>
      </c>
      <c r="AB479" s="22" t="n">
        <v>0.0569</v>
      </c>
      <c r="AC479" s="22" t="n">
        <v>0.0919</v>
      </c>
      <c r="AD479" s="22" t="n">
        <v>0.1255</v>
      </c>
      <c r="AE479" s="22" t="n">
        <v>0.1474</v>
      </c>
      <c r="AF479" s="22" t="n">
        <v>0.2009</v>
      </c>
      <c r="AG479" s="22" t="n">
        <v>0.153</v>
      </c>
      <c r="AH479" s="22" t="n">
        <v>0.1091</v>
      </c>
      <c r="AI479" s="22" t="n">
        <v>0.1165</v>
      </c>
      <c r="AJ479" s="22" t="n">
        <v>0.0754</v>
      </c>
      <c r="AK479" s="22" t="n">
        <v>0.0623</v>
      </c>
      <c r="AL479" s="22" t="n">
        <v>0.1218</v>
      </c>
      <c r="AM479" s="22" t="n">
        <v>0.177</v>
      </c>
      <c r="AN479" s="22" t="n">
        <v>0.1848</v>
      </c>
      <c r="AO479" s="22" t="n">
        <v>0.1367</v>
      </c>
      <c r="AP479" s="22" t="n">
        <v>0.0597</v>
      </c>
      <c r="AQ479" s="22" t="n">
        <v>-0.0122</v>
      </c>
      <c r="AR479" s="22" t="n">
        <v>-0.0307</v>
      </c>
      <c r="AS479" s="22" t="n">
        <v>0.0018</v>
      </c>
      <c r="AT479" s="22" t="n">
        <v>0.025</v>
      </c>
      <c r="AU479" s="22" t="n">
        <v>0.092</v>
      </c>
      <c r="AV479" s="22" t="n">
        <v>0.1093</v>
      </c>
    </row>
    <row r="480" customFormat="false" ht="15" hidden="false" customHeight="false" outlineLevel="0" collapsed="false">
      <c r="A480" s="22" t="s">
        <v>606</v>
      </c>
      <c r="B480" s="22" t="s">
        <v>3</v>
      </c>
      <c r="C480" s="22" t="s">
        <v>606</v>
      </c>
      <c r="D480" s="22" t="n">
        <v>43220</v>
      </c>
      <c r="E480" s="22" t="s">
        <v>132</v>
      </c>
      <c r="F480" s="22" t="s">
        <v>135</v>
      </c>
      <c r="G480" s="22" t="s">
        <v>131</v>
      </c>
      <c r="H480" s="22" t="s">
        <v>131</v>
      </c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</row>
    <row r="481" customFormat="false" ht="15" hidden="false" customHeight="false" outlineLevel="0" collapsed="false">
      <c r="A481" s="22" t="s">
        <v>607</v>
      </c>
      <c r="B481" s="22" t="s">
        <v>3</v>
      </c>
      <c r="C481" s="22" t="s">
        <v>607</v>
      </c>
      <c r="D481" s="22" t="n">
        <v>43300</v>
      </c>
      <c r="E481" s="22" t="s">
        <v>132</v>
      </c>
      <c r="F481" s="22" t="s">
        <v>135</v>
      </c>
      <c r="G481" s="22" t="s">
        <v>131</v>
      </c>
      <c r="H481" s="22" t="s">
        <v>131</v>
      </c>
      <c r="I481" s="22" t="n">
        <v>0.1831</v>
      </c>
      <c r="J481" s="22" t="n">
        <v>0.0972</v>
      </c>
      <c r="K481" s="22" t="n">
        <v>0.014</v>
      </c>
      <c r="L481" s="22" t="n">
        <v>0.0098</v>
      </c>
      <c r="M481" s="22" t="n">
        <v>0.009</v>
      </c>
      <c r="N481" s="22" t="n">
        <v>0.0263</v>
      </c>
      <c r="O481" s="22" t="n">
        <v>0.0607</v>
      </c>
      <c r="P481" s="22" t="n">
        <v>0.0696</v>
      </c>
      <c r="Q481" s="22" t="n">
        <v>0.0432</v>
      </c>
      <c r="R481" s="22" t="n">
        <v>0.0454</v>
      </c>
      <c r="S481" s="22" t="n">
        <v>0.0488</v>
      </c>
      <c r="T481" s="22" t="n">
        <v>0.0752</v>
      </c>
      <c r="U481" s="22" t="n">
        <v>0.0849</v>
      </c>
      <c r="V481" s="22" t="n">
        <v>0.0692</v>
      </c>
      <c r="W481" s="22" t="n">
        <v>0.0646</v>
      </c>
      <c r="X481" s="22" t="n">
        <v>0.0606</v>
      </c>
      <c r="Y481" s="22" t="n">
        <v>0.0594</v>
      </c>
      <c r="Z481" s="22" t="n">
        <v>0.063</v>
      </c>
      <c r="AA481" s="22" t="n">
        <v>0.0484</v>
      </c>
      <c r="AB481" s="22" t="n">
        <v>0.041</v>
      </c>
      <c r="AC481" s="22" t="n">
        <v>0.0411</v>
      </c>
      <c r="AD481" s="22" t="n">
        <v>0.0514</v>
      </c>
      <c r="AE481" s="22" t="n">
        <v>0.0859</v>
      </c>
      <c r="AF481" s="22" t="n">
        <v>0.0801</v>
      </c>
      <c r="AG481" s="22" t="n">
        <v>0.1194</v>
      </c>
      <c r="AH481" s="22" t="n">
        <v>0.1476</v>
      </c>
      <c r="AI481" s="22" t="n">
        <v>0.1594</v>
      </c>
      <c r="AJ481" s="22" t="n">
        <v>0.176</v>
      </c>
      <c r="AK481" s="22" t="n">
        <v>0.106</v>
      </c>
      <c r="AL481" s="22" t="n">
        <v>0.0775</v>
      </c>
      <c r="AM481" s="22" t="n">
        <v>0.055</v>
      </c>
      <c r="AN481" s="22" t="n">
        <v>0.0253</v>
      </c>
      <c r="AO481" s="22" t="n">
        <v>0.0323</v>
      </c>
      <c r="AP481" s="22" t="n">
        <v>0.0322</v>
      </c>
      <c r="AQ481" s="22" t="n">
        <v>-0.0273</v>
      </c>
      <c r="AR481" s="22" t="n">
        <v>-0.0265</v>
      </c>
      <c r="AS481" s="22" t="n">
        <v>-0.0318</v>
      </c>
      <c r="AT481" s="22" t="n">
        <v>-0.0765</v>
      </c>
      <c r="AU481" s="22" t="n">
        <v>-0.0447</v>
      </c>
      <c r="AV481" s="22" t="n">
        <v>-0.0716</v>
      </c>
    </row>
    <row r="482" customFormat="false" ht="15" hidden="false" customHeight="false" outlineLevel="0" collapsed="false">
      <c r="A482" s="22" t="s">
        <v>210</v>
      </c>
      <c r="B482" s="22" t="s">
        <v>3</v>
      </c>
      <c r="C482" s="22" t="s">
        <v>210</v>
      </c>
      <c r="D482" s="22" t="n">
        <v>243340</v>
      </c>
      <c r="E482" s="22" t="s">
        <v>132</v>
      </c>
      <c r="F482" s="22" t="s">
        <v>135</v>
      </c>
      <c r="G482" s="22" t="s">
        <v>131</v>
      </c>
      <c r="H482" s="22" t="s">
        <v>131</v>
      </c>
      <c r="I482" s="22" t="n">
        <v>0.0024</v>
      </c>
      <c r="J482" s="22" t="n">
        <v>0.0041</v>
      </c>
      <c r="K482" s="22" t="n">
        <v>0.0079</v>
      </c>
      <c r="L482" s="22" t="n">
        <v>0.0144</v>
      </c>
      <c r="M482" s="22" t="n">
        <v>0.0326</v>
      </c>
      <c r="N482" s="22" t="n">
        <v>0.0404</v>
      </c>
      <c r="O482" s="22" t="n">
        <v>0.0338</v>
      </c>
      <c r="P482" s="22" t="n">
        <v>0.0405</v>
      </c>
      <c r="Q482" s="22" t="n">
        <v>0.0088</v>
      </c>
      <c r="R482" s="22" t="n">
        <v>-0.0063</v>
      </c>
      <c r="S482" s="22" t="n">
        <v>0.0125</v>
      </c>
      <c r="T482" s="22" t="n">
        <v>0.0173</v>
      </c>
      <c r="U482" s="22" t="n">
        <v>0.0424</v>
      </c>
      <c r="V482" s="22" t="n">
        <v>0.0468</v>
      </c>
      <c r="W482" s="22" t="n">
        <v>0.0292</v>
      </c>
      <c r="X482" s="22" t="n">
        <v>-0.0013</v>
      </c>
      <c r="Y482" s="22" t="n">
        <v>0.0021</v>
      </c>
      <c r="Z482" s="22" t="n">
        <v>0.0008</v>
      </c>
      <c r="AA482" s="22" t="n">
        <v>0.0228</v>
      </c>
      <c r="AB482" s="22" t="n">
        <v>0.0586</v>
      </c>
      <c r="AC482" s="22" t="n">
        <v>0.0492</v>
      </c>
      <c r="AD482" s="22" t="n">
        <v>0.0819</v>
      </c>
      <c r="AE482" s="22" t="n">
        <v>0.1236</v>
      </c>
      <c r="AF482" s="22" t="n">
        <v>0.1247</v>
      </c>
      <c r="AG482" s="22" t="n">
        <v>0.1048</v>
      </c>
      <c r="AH482" s="22" t="n">
        <v>0.0893</v>
      </c>
      <c r="AI482" s="22" t="n">
        <v>0.0495</v>
      </c>
      <c r="AJ482" s="22" t="n">
        <v>0.0281</v>
      </c>
      <c r="AK482" s="22" t="n">
        <v>0.0624</v>
      </c>
      <c r="AL482" s="22" t="n">
        <v>0.0574</v>
      </c>
      <c r="AM482" s="22" t="n">
        <v>0.036</v>
      </c>
      <c r="AN482" s="22" t="n">
        <v>0.0246</v>
      </c>
      <c r="AO482" s="22" t="n">
        <v>0.007</v>
      </c>
      <c r="AP482" s="22" t="n">
        <v>-0.0078</v>
      </c>
      <c r="AQ482" s="22" t="n">
        <v>0.019</v>
      </c>
      <c r="AR482" s="22" t="n">
        <v>0.0376</v>
      </c>
      <c r="AS482" s="22" t="n">
        <v>0.0377</v>
      </c>
      <c r="AT482" s="22" t="n">
        <v>0.0649</v>
      </c>
      <c r="AU482" s="22" t="n">
        <v>0.051</v>
      </c>
      <c r="AV482" s="22" t="n">
        <v>0.0447</v>
      </c>
    </row>
    <row r="483" customFormat="false" ht="15" hidden="false" customHeight="false" outlineLevel="0" collapsed="false">
      <c r="A483" s="22" t="s">
        <v>608</v>
      </c>
      <c r="B483" s="22" t="s">
        <v>3</v>
      </c>
      <c r="C483" s="22" t="s">
        <v>608</v>
      </c>
      <c r="D483" s="22" t="n">
        <v>43420</v>
      </c>
      <c r="E483" s="22" t="s">
        <v>132</v>
      </c>
      <c r="F483" s="22" t="s">
        <v>135</v>
      </c>
      <c r="G483" s="22" t="s">
        <v>131</v>
      </c>
      <c r="H483" s="22" t="s">
        <v>131</v>
      </c>
      <c r="I483" s="22" t="n">
        <v>-0.0487</v>
      </c>
      <c r="J483" s="22" t="n">
        <v>0.0315</v>
      </c>
      <c r="K483" s="22" t="n">
        <v>-0.0304</v>
      </c>
      <c r="L483" s="22" t="n">
        <v>0.0259</v>
      </c>
      <c r="M483" s="22" t="n">
        <v>0.0528</v>
      </c>
      <c r="N483" s="22" t="n">
        <v>-0.0031</v>
      </c>
      <c r="O483" s="22" t="n">
        <v>0.013</v>
      </c>
      <c r="P483" s="22" t="n">
        <v>0.035</v>
      </c>
      <c r="Q483" s="22" t="n">
        <v>0.1875</v>
      </c>
      <c r="R483" s="22" t="n">
        <v>0.153</v>
      </c>
      <c r="S483" s="22" t="n">
        <v>0.1464</v>
      </c>
      <c r="T483" s="22" t="n">
        <v>0.1627</v>
      </c>
      <c r="U483" s="22" t="n">
        <v>0.0697</v>
      </c>
      <c r="V483" s="22" t="n">
        <v>0.1409</v>
      </c>
      <c r="W483" s="22" t="n">
        <v>0.1658</v>
      </c>
      <c r="X483" s="22" t="n">
        <v>0.1535</v>
      </c>
      <c r="Y483" s="22" t="n">
        <v>0.1127</v>
      </c>
      <c r="Z483" s="22" t="n">
        <v>0.0696</v>
      </c>
      <c r="AA483" s="22" t="n">
        <v>0.0451</v>
      </c>
      <c r="AB483" s="22" t="n">
        <v>0.0368</v>
      </c>
      <c r="AC483" s="22" t="n">
        <v>0.0299</v>
      </c>
      <c r="AD483" s="22" t="n">
        <v>0.0527</v>
      </c>
      <c r="AE483" s="22" t="n">
        <v>0.0816</v>
      </c>
      <c r="AF483" s="22" t="n">
        <v>0.0944</v>
      </c>
      <c r="AG483" s="22" t="n">
        <v>0.1358</v>
      </c>
      <c r="AH483" s="22" t="n">
        <v>0.1314</v>
      </c>
      <c r="AI483" s="22" t="n">
        <v>0.1451</v>
      </c>
      <c r="AJ483" s="22" t="n">
        <v>0.1098</v>
      </c>
      <c r="AK483" s="22" t="n">
        <v>0.0788</v>
      </c>
      <c r="AL483" s="22" t="n">
        <v>0.0597</v>
      </c>
      <c r="AM483" s="22" t="n">
        <v>-0.0077</v>
      </c>
      <c r="AN483" s="22" t="n">
        <v>0.0358</v>
      </c>
      <c r="AO483" s="22" t="n">
        <v>0.0349</v>
      </c>
      <c r="AP483" s="22" t="n">
        <v>0.0687</v>
      </c>
      <c r="AQ483" s="22" t="n">
        <v>0.0341</v>
      </c>
      <c r="AR483" s="22" t="n">
        <v>0.0273</v>
      </c>
      <c r="AS483" s="22" t="n">
        <v>0.0294</v>
      </c>
      <c r="AT483" s="22" t="n">
        <v>0.0195</v>
      </c>
      <c r="AU483" s="22" t="n">
        <v>-0.0261</v>
      </c>
      <c r="AV483" s="22" t="n">
        <v>-0.0573</v>
      </c>
    </row>
    <row r="484" customFormat="false" ht="15" hidden="false" customHeight="false" outlineLevel="0" collapsed="false">
      <c r="A484" s="22" t="s">
        <v>609</v>
      </c>
      <c r="B484" s="22" t="s">
        <v>3</v>
      </c>
      <c r="C484" s="22" t="s">
        <v>609</v>
      </c>
      <c r="D484" s="22" t="n">
        <v>243580</v>
      </c>
      <c r="E484" s="22" t="s">
        <v>132</v>
      </c>
      <c r="F484" s="22" t="s">
        <v>135</v>
      </c>
      <c r="G484" s="22" t="s">
        <v>131</v>
      </c>
      <c r="H484" s="22" t="s">
        <v>131</v>
      </c>
      <c r="I484" s="22"/>
      <c r="J484" s="22"/>
      <c r="K484" s="22"/>
      <c r="L484" s="22"/>
      <c r="M484" s="22" t="n">
        <v>-0.2249</v>
      </c>
      <c r="N484" s="22" t="n">
        <v>-0.2273</v>
      </c>
      <c r="O484" s="22" t="n">
        <v>-0.1431</v>
      </c>
      <c r="P484" s="22" t="n">
        <v>0.0381</v>
      </c>
      <c r="Q484" s="22" t="n">
        <v>0.1226</v>
      </c>
      <c r="R484" s="22" t="n">
        <v>0.1142</v>
      </c>
      <c r="S484" s="22" t="n">
        <v>0.1168</v>
      </c>
      <c r="T484" s="22" t="n">
        <v>0.0764</v>
      </c>
      <c r="U484" s="22" t="n">
        <v>0.0422</v>
      </c>
      <c r="V484" s="22" t="n">
        <v>0.0315</v>
      </c>
      <c r="W484" s="22" t="n">
        <v>-0.01</v>
      </c>
      <c r="X484" s="22" t="n">
        <v>0.0051</v>
      </c>
      <c r="Y484" s="22" t="n">
        <v>-0.0063</v>
      </c>
      <c r="Z484" s="22" t="n">
        <v>-0.019</v>
      </c>
      <c r="AA484" s="22" t="n">
        <v>0.0053</v>
      </c>
      <c r="AB484" s="22" t="n">
        <v>-0.004</v>
      </c>
      <c r="AC484" s="22" t="n">
        <v>-0.0044</v>
      </c>
      <c r="AD484" s="22" t="n">
        <v>0.0433</v>
      </c>
      <c r="AE484" s="22" t="n">
        <v>0.0423</v>
      </c>
      <c r="AF484" s="22" t="n">
        <v>0.077</v>
      </c>
      <c r="AG484" s="22" t="n">
        <v>0.1211</v>
      </c>
      <c r="AH484" s="22" t="n">
        <v>0.0993</v>
      </c>
      <c r="AI484" s="22" t="n">
        <v>0.1174</v>
      </c>
      <c r="AJ484" s="22" t="n">
        <v>0.0976</v>
      </c>
      <c r="AK484" s="22" t="n">
        <v>0.0584</v>
      </c>
      <c r="AL484" s="22" t="n">
        <v>0.0276</v>
      </c>
      <c r="AM484" s="22" t="n">
        <v>0.0138</v>
      </c>
      <c r="AN484" s="22" t="n">
        <v>-0.0047</v>
      </c>
      <c r="AO484" s="22" t="n">
        <v>0.0069</v>
      </c>
      <c r="AP484" s="22" t="n">
        <v>0.023</v>
      </c>
      <c r="AQ484" s="22" t="n">
        <v>0.0238</v>
      </c>
      <c r="AR484" s="22" t="n">
        <v>0.0501</v>
      </c>
      <c r="AS484" s="22" t="n">
        <v>0.0598</v>
      </c>
      <c r="AT484" s="22" t="n">
        <v>0.0646</v>
      </c>
      <c r="AU484" s="22" t="n">
        <v>0.0566</v>
      </c>
      <c r="AV484" s="22" t="n">
        <v>0.0382</v>
      </c>
    </row>
    <row r="485" customFormat="false" ht="15" hidden="false" customHeight="false" outlineLevel="0" collapsed="false">
      <c r="A485" s="22" t="s">
        <v>23</v>
      </c>
      <c r="B485" s="22" t="s">
        <v>3</v>
      </c>
      <c r="C485" s="22" t="s">
        <v>23</v>
      </c>
      <c r="D485" s="22" t="n">
        <v>43620</v>
      </c>
      <c r="E485" s="22" t="s">
        <v>132</v>
      </c>
      <c r="F485" s="22" t="s">
        <v>135</v>
      </c>
      <c r="G485" s="22" t="s">
        <v>131</v>
      </c>
      <c r="H485" s="22" t="s">
        <v>131</v>
      </c>
      <c r="I485" s="22" t="n">
        <v>-0.0083</v>
      </c>
      <c r="J485" s="22" t="n">
        <v>0.046</v>
      </c>
      <c r="K485" s="22" t="n">
        <v>0.0726</v>
      </c>
      <c r="L485" s="22" t="n">
        <v>0.0531</v>
      </c>
      <c r="M485" s="22" t="n">
        <v>0.0392</v>
      </c>
      <c r="N485" s="22" t="n">
        <v>0.0433</v>
      </c>
      <c r="O485" s="22" t="n">
        <v>0.0526</v>
      </c>
      <c r="P485" s="22" t="n">
        <v>0.0305</v>
      </c>
      <c r="Q485" s="22" t="n">
        <v>0.0112</v>
      </c>
      <c r="R485" s="22" t="n">
        <v>0.0056</v>
      </c>
      <c r="S485" s="22" t="n">
        <v>-0.0385</v>
      </c>
      <c r="T485" s="22" t="n">
        <v>0.0319</v>
      </c>
      <c r="U485" s="22" t="n">
        <v>0.042</v>
      </c>
      <c r="V485" s="22" t="n">
        <v>0.0517</v>
      </c>
      <c r="W485" s="22" t="n">
        <v>0.0735</v>
      </c>
      <c r="X485" s="22" t="n">
        <v>0.0176</v>
      </c>
      <c r="Y485" s="22" t="n">
        <v>-0.0182</v>
      </c>
      <c r="Z485" s="22" t="n">
        <v>-0.0298</v>
      </c>
      <c r="AA485" s="22" t="n">
        <v>-0.0231</v>
      </c>
      <c r="AB485" s="22" t="n">
        <v>0.0026</v>
      </c>
      <c r="AC485" s="22" t="n">
        <v>0.0581</v>
      </c>
      <c r="AD485" s="22" t="n">
        <v>0.1022</v>
      </c>
      <c r="AE485" s="22" t="n">
        <v>0.1098</v>
      </c>
      <c r="AF485" s="22" t="n">
        <v>0.0967</v>
      </c>
      <c r="AG485" s="22" t="n">
        <v>0.1055</v>
      </c>
      <c r="AH485" s="22" t="n">
        <v>0.0775</v>
      </c>
      <c r="AI485" s="22" t="n">
        <v>0.0624</v>
      </c>
      <c r="AJ485" s="22" t="n">
        <v>0.0793</v>
      </c>
      <c r="AK485" s="22" t="n">
        <v>0.0749</v>
      </c>
      <c r="AL485" s="22" t="n">
        <v>0.0736</v>
      </c>
      <c r="AM485" s="22" t="n">
        <v>0.0475</v>
      </c>
      <c r="AN485" s="22" t="n">
        <v>0.0209</v>
      </c>
      <c r="AO485" s="22" t="n">
        <v>0.0126</v>
      </c>
      <c r="AP485" s="22" t="n">
        <v>-0.0037</v>
      </c>
      <c r="AQ485" s="22" t="n">
        <v>0.0103</v>
      </c>
      <c r="AR485" s="22" t="n">
        <v>0.0131</v>
      </c>
      <c r="AS485" s="22" t="n">
        <v>0.0124</v>
      </c>
      <c r="AT485" s="22" t="n">
        <v>0.0164</v>
      </c>
      <c r="AU485" s="22" t="n">
        <v>0.0364</v>
      </c>
      <c r="AV485" s="22" t="n">
        <v>0.0254</v>
      </c>
    </row>
    <row r="486" customFormat="false" ht="15" hidden="false" customHeight="false" outlineLevel="0" collapsed="false">
      <c r="A486" s="22" t="s">
        <v>610</v>
      </c>
      <c r="B486" s="22" t="s">
        <v>3</v>
      </c>
      <c r="C486" s="22" t="s">
        <v>610</v>
      </c>
      <c r="D486" s="22" t="n">
        <v>43780</v>
      </c>
      <c r="E486" s="22" t="s">
        <v>132</v>
      </c>
      <c r="F486" s="22" t="s">
        <v>135</v>
      </c>
      <c r="G486" s="22" t="s">
        <v>131</v>
      </c>
      <c r="H486" s="22" t="s">
        <v>131</v>
      </c>
      <c r="I486" s="22" t="n">
        <v>0.0775</v>
      </c>
      <c r="J486" s="22" t="n">
        <v>0.0827</v>
      </c>
      <c r="K486" s="22" t="n">
        <v>0.0436</v>
      </c>
      <c r="L486" s="22" t="n">
        <v>0.0224</v>
      </c>
      <c r="M486" s="22" t="n">
        <v>0.0094</v>
      </c>
      <c r="N486" s="22" t="n">
        <v>0.0128</v>
      </c>
      <c r="O486" s="22" t="n">
        <v>0.0193</v>
      </c>
      <c r="P486" s="22" t="n">
        <v>0.0506</v>
      </c>
      <c r="Q486" s="22" t="n">
        <v>0.0761</v>
      </c>
      <c r="R486" s="22" t="n">
        <v>0.0682</v>
      </c>
      <c r="S486" s="22" t="n">
        <v>0.0676</v>
      </c>
      <c r="T486" s="22" t="n">
        <v>0.0128</v>
      </c>
      <c r="U486" s="22" t="n">
        <v>-0.004</v>
      </c>
      <c r="V486" s="22" t="n">
        <v>0.0057</v>
      </c>
      <c r="W486" s="22" t="n">
        <v>0.0111</v>
      </c>
      <c r="X486" s="22" t="n">
        <v>0.0317</v>
      </c>
      <c r="Y486" s="22" t="n">
        <v>0.0072</v>
      </c>
      <c r="Z486" s="22" t="n">
        <v>0.0092</v>
      </c>
      <c r="AA486" s="22" t="n">
        <v>0.0503</v>
      </c>
      <c r="AB486" s="22" t="n">
        <v>0.1089</v>
      </c>
      <c r="AC486" s="22" t="n">
        <v>0.1328</v>
      </c>
      <c r="AD486" s="22" t="n">
        <v>0.1561</v>
      </c>
      <c r="AE486" s="22" t="n">
        <v>0.1623</v>
      </c>
      <c r="AF486" s="22" t="n">
        <v>0.144</v>
      </c>
      <c r="AG486" s="22" t="n">
        <v>0.1677</v>
      </c>
      <c r="AH486" s="22" t="n">
        <v>0.1526</v>
      </c>
      <c r="AI486" s="22" t="n">
        <v>0.132</v>
      </c>
      <c r="AJ486" s="22" t="n">
        <v>0.1042</v>
      </c>
      <c r="AK486" s="22" t="n">
        <v>0.0146</v>
      </c>
      <c r="AL486" s="22" t="n">
        <v>-0.002</v>
      </c>
      <c r="AM486" s="22" t="n">
        <v>-0.016</v>
      </c>
      <c r="AN486" s="22" t="n">
        <v>-0.0203</v>
      </c>
      <c r="AO486" s="22" t="n">
        <v>0.0363</v>
      </c>
      <c r="AP486" s="22" t="n">
        <v>0.0511</v>
      </c>
      <c r="AQ486" s="22" t="n">
        <v>0.0635</v>
      </c>
      <c r="AR486" s="22" t="n">
        <v>0.0991</v>
      </c>
      <c r="AS486" s="22" t="n">
        <v>0.1167</v>
      </c>
      <c r="AT486" s="22" t="n">
        <v>0.094</v>
      </c>
      <c r="AU486" s="22" t="n">
        <v>0.0818</v>
      </c>
      <c r="AV486" s="22" t="n">
        <v>0.0486</v>
      </c>
    </row>
    <row r="487" customFormat="false" ht="15" hidden="false" customHeight="false" outlineLevel="0" collapsed="false">
      <c r="A487" s="22" t="s">
        <v>611</v>
      </c>
      <c r="B487" s="22" t="s">
        <v>3</v>
      </c>
      <c r="C487" s="22" t="s">
        <v>611</v>
      </c>
      <c r="D487" s="22" t="n">
        <v>43980</v>
      </c>
      <c r="E487" s="22" t="s">
        <v>132</v>
      </c>
      <c r="F487" s="22" t="s">
        <v>135</v>
      </c>
      <c r="G487" s="22" t="s">
        <v>131</v>
      </c>
      <c r="H487" s="22" t="s">
        <v>131</v>
      </c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</row>
    <row r="488" customFormat="false" ht="15" hidden="false" customHeight="false" outlineLevel="0" collapsed="false">
      <c r="A488" s="22" t="s">
        <v>61</v>
      </c>
      <c r="B488" s="22" t="s">
        <v>3</v>
      </c>
      <c r="C488" s="22" t="s">
        <v>61</v>
      </c>
      <c r="D488" s="22" t="n">
        <v>44060</v>
      </c>
      <c r="E488" s="22" t="s">
        <v>132</v>
      </c>
      <c r="F488" s="22" t="s">
        <v>135</v>
      </c>
      <c r="G488" s="22" t="s">
        <v>131</v>
      </c>
      <c r="H488" s="22" t="s">
        <v>131</v>
      </c>
      <c r="I488" s="22" t="n">
        <v>0.0557</v>
      </c>
      <c r="J488" s="22" t="n">
        <v>0.0598</v>
      </c>
      <c r="K488" s="22" t="n">
        <v>0.0645</v>
      </c>
      <c r="L488" s="22" t="n">
        <v>0.0654</v>
      </c>
      <c r="M488" s="22" t="n">
        <v>0.0749</v>
      </c>
      <c r="N488" s="22" t="n">
        <v>0.0806</v>
      </c>
      <c r="O488" s="22" t="n">
        <v>0.0717</v>
      </c>
      <c r="P488" s="22" t="n">
        <v>0.0796</v>
      </c>
      <c r="Q488" s="22" t="n">
        <v>0.0377</v>
      </c>
      <c r="R488" s="22" t="n">
        <v>0.0234</v>
      </c>
      <c r="S488" s="22" t="n">
        <v>0.0546</v>
      </c>
      <c r="T488" s="22" t="n">
        <v>0.044</v>
      </c>
      <c r="U488" s="22" t="n">
        <v>0.0686</v>
      </c>
      <c r="V488" s="22" t="n">
        <v>0.0733</v>
      </c>
      <c r="W488" s="22" t="n">
        <v>0.0569</v>
      </c>
      <c r="X488" s="22" t="n">
        <v>0.0485</v>
      </c>
      <c r="Y488" s="22" t="n">
        <v>0.0471</v>
      </c>
      <c r="Z488" s="22" t="n">
        <v>0.0408</v>
      </c>
      <c r="AA488" s="22" t="n">
        <v>0.0423</v>
      </c>
      <c r="AB488" s="22" t="n">
        <v>0.06</v>
      </c>
      <c r="AC488" s="22" t="n">
        <v>0.0761</v>
      </c>
      <c r="AD488" s="22" t="n">
        <v>0.1404</v>
      </c>
      <c r="AE488" s="22" t="n">
        <v>0.2078</v>
      </c>
      <c r="AF488" s="22" t="n">
        <v>0.2121</v>
      </c>
      <c r="AG488" s="22" t="n">
        <v>0.1987</v>
      </c>
      <c r="AH488" s="22" t="n">
        <v>0.1743</v>
      </c>
      <c r="AI488" s="22" t="n">
        <v>0.1201</v>
      </c>
      <c r="AJ488" s="22" t="n">
        <v>0.1009</v>
      </c>
      <c r="AK488" s="22" t="n">
        <v>0.0752</v>
      </c>
      <c r="AL488" s="22" t="n">
        <v>0.033</v>
      </c>
      <c r="AM488" s="22" t="n">
        <v>0.011</v>
      </c>
      <c r="AN488" s="22" t="n">
        <v>-0.0073</v>
      </c>
      <c r="AO488" s="22" t="n">
        <v>0.0147</v>
      </c>
      <c r="AP488" s="22" t="n">
        <v>0.0114</v>
      </c>
      <c r="AQ488" s="22" t="n">
        <v>0.0062</v>
      </c>
      <c r="AR488" s="22" t="n">
        <v>-0.0029</v>
      </c>
      <c r="AS488" s="22" t="n">
        <v>-0.0066</v>
      </c>
      <c r="AT488" s="22" t="n">
        <v>0.0072</v>
      </c>
      <c r="AU488" s="22" t="n">
        <v>0.0004</v>
      </c>
      <c r="AV488" s="22" t="n">
        <v>0.0154</v>
      </c>
    </row>
    <row r="489" customFormat="false" ht="15" hidden="false" customHeight="false" outlineLevel="0" collapsed="false">
      <c r="A489" s="22" t="s">
        <v>211</v>
      </c>
      <c r="B489" s="22" t="s">
        <v>3</v>
      </c>
      <c r="C489" s="22" t="s">
        <v>211</v>
      </c>
      <c r="D489" s="22" t="n">
        <v>344140</v>
      </c>
      <c r="E489" s="22" t="s">
        <v>132</v>
      </c>
      <c r="F489" s="22" t="s">
        <v>135</v>
      </c>
      <c r="G489" s="22" t="s">
        <v>131</v>
      </c>
      <c r="H489" s="22" t="s">
        <v>131</v>
      </c>
      <c r="I489" s="22" t="n">
        <v>0.0271</v>
      </c>
      <c r="J489" s="22" t="n">
        <v>0.1003</v>
      </c>
      <c r="K489" s="22" t="n">
        <v>0.0914</v>
      </c>
      <c r="L489" s="22" t="n">
        <v>0.0601</v>
      </c>
      <c r="M489" s="22" t="n">
        <v>0.069</v>
      </c>
      <c r="N489" s="22" t="n">
        <v>0.0103</v>
      </c>
      <c r="O489" s="22" t="n">
        <v>0.0093</v>
      </c>
      <c r="P489" s="22" t="n">
        <v>0.0273</v>
      </c>
      <c r="Q489" s="22" t="n">
        <v>0.0084</v>
      </c>
      <c r="R489" s="22" t="n">
        <v>0.0099</v>
      </c>
      <c r="S489" s="22" t="n">
        <v>0.0301</v>
      </c>
      <c r="T489" s="22" t="n">
        <v>0.0452</v>
      </c>
      <c r="U489" s="22" t="n">
        <v>0.0565</v>
      </c>
      <c r="V489" s="22" t="n">
        <v>0.0611</v>
      </c>
      <c r="W489" s="22" t="n">
        <v>0.0533</v>
      </c>
      <c r="X489" s="22" t="n">
        <v>0.0492</v>
      </c>
      <c r="Y489" s="22" t="n">
        <v>0.0538</v>
      </c>
      <c r="Z489" s="22" t="n">
        <v>0.0456</v>
      </c>
      <c r="AA489" s="22" t="n">
        <v>0.0345</v>
      </c>
      <c r="AB489" s="22" t="n">
        <v>0.0368</v>
      </c>
      <c r="AC489" s="22" t="n">
        <v>0.0604</v>
      </c>
      <c r="AD489" s="22" t="n">
        <v>0.1121</v>
      </c>
      <c r="AE489" s="22" t="n">
        <v>0.1363</v>
      </c>
      <c r="AF489" s="22" t="n">
        <v>0.1478</v>
      </c>
      <c r="AG489" s="22" t="n">
        <v>0.1446</v>
      </c>
      <c r="AH489" s="22" t="n">
        <v>0.1091</v>
      </c>
      <c r="AI489" s="22" t="n">
        <v>0.0958</v>
      </c>
      <c r="AJ489" s="22" t="n">
        <v>0.093</v>
      </c>
      <c r="AK489" s="22" t="n">
        <v>0.0794</v>
      </c>
      <c r="AL489" s="22" t="n">
        <v>0.0878</v>
      </c>
      <c r="AM489" s="22" t="n">
        <v>0.0764</v>
      </c>
      <c r="AN489" s="22" t="n">
        <v>0.0474</v>
      </c>
      <c r="AO489" s="22" t="n">
        <v>0.0401</v>
      </c>
      <c r="AP489" s="22" t="n">
        <v>0.0181</v>
      </c>
      <c r="AQ489" s="22" t="n">
        <v>0.0206</v>
      </c>
      <c r="AR489" s="22" t="n">
        <v>0.0332</v>
      </c>
      <c r="AS489" s="22" t="n">
        <v>0.0261</v>
      </c>
      <c r="AT489" s="22" t="n">
        <v>0.047</v>
      </c>
      <c r="AU489" s="22" t="n">
        <v>0.0449</v>
      </c>
      <c r="AV489" s="22" t="n">
        <v>0.0453</v>
      </c>
    </row>
    <row r="490" customFormat="false" ht="15" hidden="false" customHeight="false" outlineLevel="0" collapsed="false">
      <c r="A490" s="22" t="s">
        <v>612</v>
      </c>
      <c r="B490" s="22" t="s">
        <v>3</v>
      </c>
      <c r="C490" s="22" t="s">
        <v>612</v>
      </c>
      <c r="D490" s="22" t="n">
        <v>44100</v>
      </c>
      <c r="E490" s="22" t="s">
        <v>132</v>
      </c>
      <c r="F490" s="22" t="s">
        <v>135</v>
      </c>
      <c r="G490" s="22" t="s">
        <v>131</v>
      </c>
      <c r="H490" s="22" t="s">
        <v>131</v>
      </c>
      <c r="I490" s="22" t="n">
        <v>0.0244</v>
      </c>
      <c r="J490" s="22" t="n">
        <v>0.0082</v>
      </c>
      <c r="K490" s="22" t="n">
        <v>0.0252</v>
      </c>
      <c r="L490" s="22" t="n">
        <v>-0.0328</v>
      </c>
      <c r="M490" s="22" t="n">
        <v>-0.0241</v>
      </c>
      <c r="N490" s="22" t="n">
        <v>-0.0232</v>
      </c>
      <c r="O490" s="22" t="n">
        <v>-0.0334</v>
      </c>
      <c r="P490" s="22" t="n">
        <v>0.0432</v>
      </c>
      <c r="Q490" s="22" t="n">
        <v>0.0411</v>
      </c>
      <c r="R490" s="22" t="n">
        <v>0.0319</v>
      </c>
      <c r="S490" s="22" t="n">
        <v>0.0253</v>
      </c>
      <c r="T490" s="22" t="n">
        <v>-0.0071</v>
      </c>
      <c r="U490" s="22" t="n">
        <v>-0.0072</v>
      </c>
      <c r="V490" s="22" t="n">
        <v>0.0025</v>
      </c>
      <c r="W490" s="22" t="n">
        <v>-0.0124</v>
      </c>
      <c r="X490" s="22" t="n">
        <v>0.0148</v>
      </c>
      <c r="Y490" s="22" t="n">
        <v>0.0112</v>
      </c>
      <c r="Z490" s="22" t="n">
        <v>0.0186</v>
      </c>
      <c r="AA490" s="22" t="n">
        <v>0.0399</v>
      </c>
      <c r="AB490" s="22" t="n">
        <v>0.0369</v>
      </c>
      <c r="AC490" s="22" t="n">
        <v>0.0631</v>
      </c>
      <c r="AD490" s="22" t="n">
        <v>0.0433</v>
      </c>
      <c r="AE490" s="22" t="n">
        <v>0.0564</v>
      </c>
      <c r="AF490" s="22" t="n">
        <v>0.109</v>
      </c>
      <c r="AG490" s="22" t="n">
        <v>0.0897</v>
      </c>
      <c r="AH490" s="22" t="n">
        <v>0.1385</v>
      </c>
      <c r="AI490" s="22" t="n">
        <v>0.1589</v>
      </c>
      <c r="AJ490" s="22" t="n">
        <v>0.1066</v>
      </c>
      <c r="AK490" s="22" t="n">
        <v>0.1091</v>
      </c>
      <c r="AL490" s="22" t="n">
        <v>0.0812</v>
      </c>
      <c r="AM490" s="22" t="n">
        <v>0.0268</v>
      </c>
      <c r="AN490" s="22" t="n">
        <v>0.0466</v>
      </c>
      <c r="AO490" s="22" t="n">
        <v>0.0447</v>
      </c>
      <c r="AP490" s="22" t="n">
        <v>0.0551</v>
      </c>
      <c r="AQ490" s="22" t="n">
        <v>0.1051</v>
      </c>
      <c r="AR490" s="22" t="n">
        <v>0.0669</v>
      </c>
      <c r="AS490" s="22" t="n">
        <v>0.0399</v>
      </c>
      <c r="AT490" s="22" t="n">
        <v>0.0352</v>
      </c>
      <c r="AU490" s="22" t="n">
        <v>0.0289</v>
      </c>
      <c r="AV490" s="22" t="n">
        <v>0.0223</v>
      </c>
    </row>
    <row r="491" customFormat="false" ht="15" hidden="false" customHeight="false" outlineLevel="0" collapsed="false">
      <c r="A491" s="22" t="s">
        <v>212</v>
      </c>
      <c r="B491" s="22" t="s">
        <v>3</v>
      </c>
      <c r="C491" s="22" t="s">
        <v>212</v>
      </c>
      <c r="D491" s="22" t="n">
        <v>44180</v>
      </c>
      <c r="E491" s="22" t="s">
        <v>132</v>
      </c>
      <c r="F491" s="22" t="s">
        <v>135</v>
      </c>
      <c r="G491" s="22" t="s">
        <v>131</v>
      </c>
      <c r="H491" s="22" t="s">
        <v>131</v>
      </c>
      <c r="I491" s="22" t="n">
        <v>0.0677</v>
      </c>
      <c r="J491" s="22" t="n">
        <v>0.0231</v>
      </c>
      <c r="K491" s="22" t="n">
        <v>0.0141</v>
      </c>
      <c r="L491" s="22" t="n">
        <v>0.0244</v>
      </c>
      <c r="M491" s="22" t="n">
        <v>0.0381</v>
      </c>
      <c r="N491" s="22" t="n">
        <v>0.0355</v>
      </c>
      <c r="O491" s="22" t="n">
        <v>0.0633</v>
      </c>
      <c r="P491" s="22" t="n">
        <v>0.0365</v>
      </c>
      <c r="Q491" s="22" t="n">
        <v>0.0079</v>
      </c>
      <c r="R491" s="22" t="n">
        <v>-0.001</v>
      </c>
      <c r="S491" s="22" t="n">
        <v>0.0067</v>
      </c>
      <c r="T491" s="22" t="n">
        <v>0.0257</v>
      </c>
      <c r="U491" s="22" t="n">
        <v>0.0372</v>
      </c>
      <c r="V491" s="22" t="n">
        <v>0.057</v>
      </c>
      <c r="W491" s="22" t="n">
        <v>0.0443</v>
      </c>
      <c r="X491" s="22" t="n">
        <v>0.0495</v>
      </c>
      <c r="Y491" s="22" t="n">
        <v>0.0652</v>
      </c>
      <c r="Z491" s="22" t="n">
        <v>0.0454</v>
      </c>
      <c r="AA491" s="22" t="n">
        <v>0.0429</v>
      </c>
      <c r="AB491" s="22" t="n">
        <v>0.0283</v>
      </c>
      <c r="AC491" s="22" t="n">
        <v>0.0134</v>
      </c>
      <c r="AD491" s="22" t="n">
        <v>0.0632</v>
      </c>
      <c r="AE491" s="22" t="n">
        <v>0.1013</v>
      </c>
      <c r="AF491" s="22" t="n">
        <v>0.1075</v>
      </c>
      <c r="AG491" s="22" t="n">
        <v>0.1501</v>
      </c>
      <c r="AH491" s="22" t="n">
        <v>0.1494</v>
      </c>
      <c r="AI491" s="22" t="n">
        <v>0.1786</v>
      </c>
      <c r="AJ491" s="22" t="n">
        <v>0.1705</v>
      </c>
      <c r="AK491" s="22" t="n">
        <v>0.1299</v>
      </c>
      <c r="AL491" s="22" t="n">
        <v>0.0885</v>
      </c>
      <c r="AM491" s="22" t="n">
        <v>0.0226</v>
      </c>
      <c r="AN491" s="22" t="n">
        <v>0.0228</v>
      </c>
      <c r="AO491" s="22" t="n">
        <v>0.0251</v>
      </c>
      <c r="AP491" s="22" t="n">
        <v>0.0172</v>
      </c>
      <c r="AQ491" s="22" t="n">
        <v>0.0254</v>
      </c>
      <c r="AR491" s="22" t="n">
        <v>0.0226</v>
      </c>
      <c r="AS491" s="22" t="n">
        <v>0.06</v>
      </c>
      <c r="AT491" s="22" t="n">
        <v>0.0889</v>
      </c>
      <c r="AU491" s="22" t="n">
        <v>0.0621</v>
      </c>
      <c r="AV491" s="22" t="n">
        <v>0.0444</v>
      </c>
    </row>
    <row r="492" customFormat="false" ht="15" hidden="false" customHeight="false" outlineLevel="0" collapsed="false">
      <c r="A492" s="22" t="s">
        <v>613</v>
      </c>
      <c r="B492" s="22" t="s">
        <v>3</v>
      </c>
      <c r="C492" s="22" t="s">
        <v>613</v>
      </c>
      <c r="D492" s="22" t="n">
        <v>44220</v>
      </c>
      <c r="E492" s="22" t="s">
        <v>132</v>
      </c>
      <c r="F492" s="22" t="s">
        <v>135</v>
      </c>
      <c r="G492" s="22" t="s">
        <v>131</v>
      </c>
      <c r="H492" s="22" t="s">
        <v>131</v>
      </c>
      <c r="I492" s="22" t="n">
        <v>-0.1218</v>
      </c>
      <c r="J492" s="22" t="n">
        <v>-0.0406</v>
      </c>
      <c r="K492" s="22" t="n">
        <v>-0.0405</v>
      </c>
      <c r="L492" s="22" t="n">
        <v>-0.0515</v>
      </c>
      <c r="M492" s="22" t="n">
        <v>-0.0994</v>
      </c>
      <c r="N492" s="22" t="n">
        <v>-0.0845</v>
      </c>
      <c r="O492" s="22" t="n">
        <v>-0.0374</v>
      </c>
      <c r="P492" s="22" t="n">
        <v>0.0103</v>
      </c>
      <c r="Q492" s="22" t="n">
        <v>0.0191</v>
      </c>
      <c r="R492" s="22" t="n">
        <v>0.0156</v>
      </c>
      <c r="S492" s="22" t="n">
        <v>0.0102</v>
      </c>
      <c r="T492" s="22" t="n">
        <v>0.0226</v>
      </c>
      <c r="U492" s="22" t="n">
        <v>0.0369</v>
      </c>
      <c r="V492" s="22" t="n">
        <v>0.042</v>
      </c>
      <c r="W492" s="22" t="n">
        <v>0.0527</v>
      </c>
      <c r="X492" s="22" t="n">
        <v>0.0502</v>
      </c>
      <c r="Y492" s="22" t="n">
        <v>0.0387</v>
      </c>
      <c r="Z492" s="22" t="n">
        <v>0.0305</v>
      </c>
      <c r="AA492" s="22" t="n">
        <v>0.0206</v>
      </c>
      <c r="AB492" s="22" t="n">
        <v>0.0706</v>
      </c>
      <c r="AC492" s="22" t="n">
        <v>0.0784</v>
      </c>
      <c r="AD492" s="22" t="n">
        <v>0.0775</v>
      </c>
      <c r="AE492" s="22" t="n">
        <v>0.0945</v>
      </c>
      <c r="AF492" s="22" t="n">
        <v>0.0731</v>
      </c>
      <c r="AG492" s="22" t="n">
        <v>0.095</v>
      </c>
      <c r="AH492" s="22" t="n">
        <v>0.1123</v>
      </c>
      <c r="AI492" s="22" t="n">
        <v>0.1058</v>
      </c>
      <c r="AJ492" s="22" t="n">
        <v>0.1071</v>
      </c>
      <c r="AK492" s="22" t="n">
        <v>0.1059</v>
      </c>
      <c r="AL492" s="22" t="n">
        <v>0.0919</v>
      </c>
      <c r="AM492" s="22" t="n">
        <v>0.1243</v>
      </c>
      <c r="AN492" s="22" t="n">
        <v>0.0889</v>
      </c>
      <c r="AO492" s="22" t="n">
        <v>0.0821</v>
      </c>
      <c r="AP492" s="22" t="n">
        <v>0.0811</v>
      </c>
      <c r="AQ492" s="22" t="n">
        <v>0.0309</v>
      </c>
      <c r="AR492" s="22" t="n">
        <v>0.0318</v>
      </c>
      <c r="AS492" s="22" t="n">
        <v>0.0151</v>
      </c>
      <c r="AT492" s="22" t="n">
        <v>0.0682</v>
      </c>
      <c r="AU492" s="22" t="n">
        <v>0.1104</v>
      </c>
      <c r="AV492" s="22" t="n">
        <v>0.1078</v>
      </c>
    </row>
    <row r="493" customFormat="false" ht="15" hidden="false" customHeight="false" outlineLevel="0" collapsed="false">
      <c r="A493" s="22" t="s">
        <v>614</v>
      </c>
      <c r="B493" s="22" t="s">
        <v>3</v>
      </c>
      <c r="C493" s="22" t="s">
        <v>614</v>
      </c>
      <c r="D493" s="22" t="n">
        <v>44260</v>
      </c>
      <c r="E493" s="22" t="s">
        <v>132</v>
      </c>
      <c r="F493" s="22" t="s">
        <v>135</v>
      </c>
      <c r="G493" s="22" t="s">
        <v>131</v>
      </c>
      <c r="H493" s="22" t="s">
        <v>131</v>
      </c>
      <c r="I493" s="22" t="n">
        <v>0.1652</v>
      </c>
      <c r="J493" s="22" t="n">
        <v>0.1663</v>
      </c>
      <c r="K493" s="22" t="n">
        <v>0.084</v>
      </c>
      <c r="L493" s="22" t="n">
        <v>0.151</v>
      </c>
      <c r="M493" s="22" t="n">
        <v>0.0229</v>
      </c>
      <c r="N493" s="22" t="n">
        <v>-0.0719</v>
      </c>
      <c r="O493" s="22" t="n">
        <v>0.0049</v>
      </c>
      <c r="P493" s="22" t="n">
        <v>-0.0535</v>
      </c>
      <c r="Q493" s="22" t="n">
        <v>-0.0963</v>
      </c>
      <c r="R493" s="22" t="n">
        <v>-0.0099</v>
      </c>
      <c r="S493" s="22" t="n">
        <v>-0.0336</v>
      </c>
      <c r="T493" s="22" t="n">
        <v>-0.0116</v>
      </c>
      <c r="U493" s="22" t="n">
        <v>0.0371</v>
      </c>
      <c r="V493" s="22" t="n">
        <v>0.0425</v>
      </c>
      <c r="W493" s="22" t="n">
        <v>0.0381</v>
      </c>
      <c r="X493" s="22" t="n">
        <v>0.0026</v>
      </c>
      <c r="Y493" s="22" t="n">
        <v>0.0009</v>
      </c>
      <c r="Z493" s="22" t="n">
        <v>0.0588</v>
      </c>
      <c r="AA493" s="22" t="n">
        <v>0.1033</v>
      </c>
      <c r="AB493" s="22" t="n">
        <v>0.0483</v>
      </c>
      <c r="AC493" s="22" t="n">
        <v>0.1077</v>
      </c>
      <c r="AD493" s="22" t="n">
        <v>0.0413</v>
      </c>
      <c r="AE493" s="22" t="n">
        <v>0.0279</v>
      </c>
      <c r="AF493" s="22" t="n">
        <v>0.0919</v>
      </c>
      <c r="AG493" s="22" t="n">
        <v>0.0322</v>
      </c>
      <c r="AH493" s="22" t="n">
        <v>0.0532</v>
      </c>
      <c r="AI493" s="22" t="n">
        <v>0.1371</v>
      </c>
      <c r="AJ493" s="22" t="n">
        <v>0.1628</v>
      </c>
      <c r="AK493" s="22" t="n">
        <v>0.1927</v>
      </c>
      <c r="AL493" s="22" t="n">
        <v>0.1238</v>
      </c>
      <c r="AM493" s="22" t="n">
        <v>0.0153</v>
      </c>
      <c r="AN493" s="22" t="n">
        <v>0.007</v>
      </c>
      <c r="AO493" s="22" t="n">
        <v>0.0128</v>
      </c>
      <c r="AP493" s="22" t="n">
        <v>0.0338</v>
      </c>
      <c r="AQ493" s="22" t="n">
        <v>0.0578</v>
      </c>
      <c r="AR493" s="22" t="n">
        <v>0.0419</v>
      </c>
      <c r="AS493" s="22" t="n">
        <v>0.0321</v>
      </c>
      <c r="AT493" s="22" t="n">
        <v>0.1383</v>
      </c>
      <c r="AU493" s="22" t="n">
        <v>0.1178</v>
      </c>
      <c r="AV493" s="22" t="n">
        <v>0.1145</v>
      </c>
    </row>
    <row r="494" customFormat="false" ht="15" hidden="false" customHeight="false" outlineLevel="0" collapsed="false">
      <c r="A494" s="22" t="s">
        <v>615</v>
      </c>
      <c r="B494" s="22" t="s">
        <v>3</v>
      </c>
      <c r="C494" s="22" t="s">
        <v>615</v>
      </c>
      <c r="D494" s="22" t="n">
        <v>44300</v>
      </c>
      <c r="E494" s="22" t="s">
        <v>132</v>
      </c>
      <c r="F494" s="22" t="s">
        <v>135</v>
      </c>
      <c r="G494" s="22" t="s">
        <v>131</v>
      </c>
      <c r="H494" s="22" t="s">
        <v>131</v>
      </c>
      <c r="I494" s="22" t="n">
        <v>0.0749</v>
      </c>
      <c r="J494" s="22" t="n">
        <v>0.082</v>
      </c>
      <c r="K494" s="22" t="n">
        <v>0.0317</v>
      </c>
      <c r="L494" s="22" t="n">
        <v>0.038</v>
      </c>
      <c r="M494" s="22" t="n">
        <v>0.0449</v>
      </c>
      <c r="N494" s="22" t="n">
        <v>0.0384</v>
      </c>
      <c r="O494" s="22" t="n">
        <v>0.0266</v>
      </c>
      <c r="P494" s="22" t="n">
        <v>0.0103</v>
      </c>
      <c r="Q494" s="22" t="n">
        <v>0.0111</v>
      </c>
      <c r="R494" s="22" t="n">
        <v>0.0177</v>
      </c>
      <c r="S494" s="22" t="n">
        <v>0.0157</v>
      </c>
      <c r="T494" s="22" t="n">
        <v>0.0552</v>
      </c>
      <c r="U494" s="22" t="n">
        <v>0.0416</v>
      </c>
      <c r="V494" s="22" t="n">
        <v>0.0456</v>
      </c>
      <c r="W494" s="22" t="n">
        <v>0.0351</v>
      </c>
      <c r="X494" s="22" t="n">
        <v>0.0044</v>
      </c>
      <c r="Y494" s="22" t="n">
        <v>-0.0148</v>
      </c>
      <c r="Z494" s="22" t="n">
        <v>-0.0411</v>
      </c>
      <c r="AA494" s="22" t="n">
        <v>0.0131</v>
      </c>
      <c r="AB494" s="22" t="n">
        <v>-0.0007</v>
      </c>
      <c r="AC494" s="22" t="n">
        <v>0.0132</v>
      </c>
      <c r="AD494" s="22" t="n">
        <v>0.0454</v>
      </c>
      <c r="AE494" s="22" t="n">
        <v>0.0151</v>
      </c>
      <c r="AF494" s="22" t="n">
        <v>0.0292</v>
      </c>
      <c r="AG494" s="22" t="n">
        <v>0.0108</v>
      </c>
      <c r="AH494" s="22" t="n">
        <v>-0.0016</v>
      </c>
      <c r="AI494" s="22" t="n">
        <v>-0.0272</v>
      </c>
      <c r="AJ494" s="22" t="n">
        <v>-0.0264</v>
      </c>
      <c r="AK494" s="22" t="n">
        <v>0.016</v>
      </c>
      <c r="AL494" s="22" t="n">
        <v>0.0447</v>
      </c>
      <c r="AM494" s="22" t="n">
        <v>0.0858</v>
      </c>
      <c r="AN494" s="22" t="n">
        <v>0.0978</v>
      </c>
      <c r="AO494" s="22" t="n">
        <v>0.0732</v>
      </c>
      <c r="AP494" s="22" t="n">
        <v>0.0485</v>
      </c>
      <c r="AQ494" s="22" t="n">
        <v>0.0402</v>
      </c>
      <c r="AR494" s="22" t="n">
        <v>0.0073</v>
      </c>
      <c r="AS494" s="22" t="n">
        <v>0.0656</v>
      </c>
      <c r="AT494" s="22" t="n">
        <v>0.0587</v>
      </c>
      <c r="AU494" s="22" t="n">
        <v>0.0479</v>
      </c>
      <c r="AV494" s="22" t="n">
        <v>0.0894</v>
      </c>
    </row>
    <row r="495" customFormat="false" ht="15" hidden="false" customHeight="false" outlineLevel="0" collapsed="false">
      <c r="A495" s="22" t="s">
        <v>616</v>
      </c>
      <c r="B495" s="22" t="s">
        <v>3</v>
      </c>
      <c r="C495" s="22" t="s">
        <v>616</v>
      </c>
      <c r="D495" s="22" t="n">
        <v>44340</v>
      </c>
      <c r="E495" s="22" t="s">
        <v>132</v>
      </c>
      <c r="F495" s="22" t="s">
        <v>135</v>
      </c>
      <c r="G495" s="22" t="s">
        <v>131</v>
      </c>
      <c r="H495" s="22" t="s">
        <v>131</v>
      </c>
      <c r="I495" s="22"/>
      <c r="J495" s="22" t="n">
        <v>0.033</v>
      </c>
      <c r="K495" s="22" t="n">
        <v>-0.0188</v>
      </c>
      <c r="L495" s="22" t="n">
        <v>0.0564</v>
      </c>
      <c r="M495" s="22" t="n">
        <v>0.0483</v>
      </c>
      <c r="N495" s="22" t="n">
        <v>0.0415</v>
      </c>
      <c r="O495" s="22" t="n">
        <v>0.1118</v>
      </c>
      <c r="P495" s="22" t="n">
        <v>0.0562</v>
      </c>
      <c r="Q495" s="22" t="n">
        <v>0.0711</v>
      </c>
      <c r="R495" s="22" t="n">
        <v>0.0686</v>
      </c>
      <c r="S495" s="22" t="n">
        <v>0.0553</v>
      </c>
      <c r="T495" s="22" t="n">
        <v>0.0393</v>
      </c>
      <c r="U495" s="22" t="n">
        <v>0.0123</v>
      </c>
      <c r="V495" s="22" t="n">
        <v>-0.0031</v>
      </c>
      <c r="W495" s="22" t="n">
        <v>0.0301</v>
      </c>
      <c r="X495" s="22" t="n">
        <v>0.0056</v>
      </c>
      <c r="Y495" s="22"/>
      <c r="Z495" s="22" t="n">
        <v>-0.0607</v>
      </c>
      <c r="AA495" s="22" t="n">
        <v>0.0653</v>
      </c>
      <c r="AB495" s="22" t="n">
        <v>0.125</v>
      </c>
      <c r="AC495" s="22" t="n">
        <v>0.2534</v>
      </c>
      <c r="AD495" s="22" t="n">
        <v>0.2454</v>
      </c>
      <c r="AE495" s="22" t="n">
        <v>0.2512</v>
      </c>
      <c r="AF495" s="22" t="n">
        <v>0.1711</v>
      </c>
      <c r="AG495" s="22" t="n">
        <v>0.2155</v>
      </c>
      <c r="AH495" s="22" t="n">
        <v>0.2501</v>
      </c>
      <c r="AI495" s="22" t="n">
        <v>0.0782</v>
      </c>
      <c r="AJ495" s="22" t="n">
        <v>0.0895</v>
      </c>
      <c r="AK495" s="22" t="n">
        <v>0.0718</v>
      </c>
      <c r="AL495" s="22" t="n">
        <v>0.0606</v>
      </c>
      <c r="AM495" s="22" t="n">
        <v>0.0825</v>
      </c>
      <c r="AN495" s="22" t="n">
        <v>0.1719</v>
      </c>
      <c r="AO495" s="22" t="n">
        <v>0.1044</v>
      </c>
      <c r="AP495" s="22" t="n">
        <v>0.0682</v>
      </c>
      <c r="AQ495" s="22" t="n">
        <v>0.055</v>
      </c>
      <c r="AR495" s="22" t="n">
        <v>-0.0661</v>
      </c>
      <c r="AS495" s="22" t="n">
        <v>-0.0138</v>
      </c>
      <c r="AT495" s="22" t="n">
        <v>0.0487</v>
      </c>
      <c r="AU495" s="22" t="n">
        <v>0.1279</v>
      </c>
      <c r="AV495" s="22" t="n">
        <v>0.1916</v>
      </c>
    </row>
    <row r="496" customFormat="false" ht="15" hidden="false" customHeight="false" outlineLevel="0" collapsed="false">
      <c r="A496" s="22" t="s">
        <v>617</v>
      </c>
      <c r="B496" s="22" t="s">
        <v>3</v>
      </c>
      <c r="C496" s="22" t="s">
        <v>617</v>
      </c>
      <c r="D496" s="22" t="n">
        <v>44420</v>
      </c>
      <c r="E496" s="22" t="s">
        <v>132</v>
      </c>
      <c r="F496" s="22" t="s">
        <v>135</v>
      </c>
      <c r="G496" s="22" t="s">
        <v>131</v>
      </c>
      <c r="H496" s="22" t="s">
        <v>131</v>
      </c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 t="n">
        <v>0.0026</v>
      </c>
      <c r="U496" s="22"/>
      <c r="V496" s="22" t="n">
        <v>-0.1361</v>
      </c>
      <c r="W496" s="22" t="n">
        <v>-0.1352</v>
      </c>
      <c r="X496" s="22" t="n">
        <v>-0.0969</v>
      </c>
      <c r="Y496" s="22" t="n">
        <v>-0.0655</v>
      </c>
      <c r="Z496" s="22" t="n">
        <v>0.0409</v>
      </c>
      <c r="AA496" s="22" t="n">
        <v>0.0367</v>
      </c>
      <c r="AB496" s="22" t="n">
        <v>0.0596</v>
      </c>
      <c r="AC496" s="22" t="n">
        <v>-0.0185</v>
      </c>
      <c r="AD496" s="22" t="n">
        <v>-0.0214</v>
      </c>
      <c r="AE496" s="22" t="n">
        <v>0.0628</v>
      </c>
      <c r="AF496" s="22" t="n">
        <v>0.0551</v>
      </c>
      <c r="AG496" s="22" t="n">
        <v>0.1367</v>
      </c>
      <c r="AH496" s="22" t="n">
        <v>0.1683</v>
      </c>
      <c r="AI496" s="22" t="n">
        <v>0.1559</v>
      </c>
      <c r="AJ496" s="22" t="n">
        <v>0.1462</v>
      </c>
      <c r="AK496" s="22" t="n">
        <v>0.1487</v>
      </c>
      <c r="AL496" s="22" t="n">
        <v>0.162</v>
      </c>
      <c r="AM496" s="22" t="n">
        <v>0.0735</v>
      </c>
      <c r="AN496" s="22" t="n">
        <v>0.0737</v>
      </c>
      <c r="AO496" s="22" t="n">
        <v>0.0733</v>
      </c>
      <c r="AP496" s="22" t="n">
        <v>0.065</v>
      </c>
      <c r="AQ496" s="22" t="n">
        <v>0.0776</v>
      </c>
      <c r="AR496" s="22" t="n">
        <v>0.0717</v>
      </c>
      <c r="AS496" s="22" t="n">
        <v>0.0696</v>
      </c>
      <c r="AT496" s="22" t="n">
        <v>0.0584</v>
      </c>
      <c r="AU496" s="22" t="n">
        <v>0.0785</v>
      </c>
      <c r="AV496" s="22" t="n">
        <v>0.0772</v>
      </c>
    </row>
    <row r="497" customFormat="false" ht="15" hidden="false" customHeight="false" outlineLevel="0" collapsed="false">
      <c r="A497" s="22" t="s">
        <v>618</v>
      </c>
      <c r="B497" s="22" t="s">
        <v>3</v>
      </c>
      <c r="C497" s="22" t="s">
        <v>618</v>
      </c>
      <c r="D497" s="22" t="n">
        <v>41060</v>
      </c>
      <c r="E497" s="22" t="s">
        <v>132</v>
      </c>
      <c r="F497" s="22" t="s">
        <v>135</v>
      </c>
      <c r="G497" s="22" t="s">
        <v>131</v>
      </c>
      <c r="H497" s="22" t="s">
        <v>131</v>
      </c>
      <c r="I497" s="22" t="n">
        <v>0.1196</v>
      </c>
      <c r="J497" s="22" t="n">
        <v>0.0478</v>
      </c>
      <c r="K497" s="22" t="n">
        <v>0.0299</v>
      </c>
      <c r="L497" s="22" t="n">
        <v>0.0363</v>
      </c>
      <c r="M497" s="22" t="n">
        <v>0.0856</v>
      </c>
      <c r="N497" s="22" t="n">
        <v>0.0897</v>
      </c>
      <c r="O497" s="22" t="n">
        <v>0.1116</v>
      </c>
      <c r="P497" s="22" t="n">
        <v>0.0834</v>
      </c>
      <c r="Q497" s="22" t="n">
        <v>0.0306</v>
      </c>
      <c r="R497" s="22" t="n">
        <v>0.0388</v>
      </c>
      <c r="S497" s="22" t="n">
        <v>0.0224</v>
      </c>
      <c r="T497" s="22" t="n">
        <v>0.0351</v>
      </c>
      <c r="U497" s="22" t="n">
        <v>0.0445</v>
      </c>
      <c r="V497" s="22" t="n">
        <v>0.0376</v>
      </c>
      <c r="W497" s="22" t="n">
        <v>0.0189</v>
      </c>
      <c r="X497" s="22" t="n">
        <v>0.0132</v>
      </c>
      <c r="Y497" s="22" t="n">
        <v>-0.0101</v>
      </c>
      <c r="Z497" s="22" t="n">
        <v>-0.0073</v>
      </c>
      <c r="AA497" s="22" t="n">
        <v>0.0269</v>
      </c>
      <c r="AB497" s="22" t="n">
        <v>0.0236</v>
      </c>
      <c r="AC497" s="22" t="n">
        <v>0.0473</v>
      </c>
      <c r="AD497" s="22" t="n">
        <v>0.0615</v>
      </c>
      <c r="AE497" s="22" t="n">
        <v>0.023</v>
      </c>
      <c r="AF497" s="22" t="n">
        <v>0.1084</v>
      </c>
      <c r="AG497" s="22" t="n">
        <v>0.1647</v>
      </c>
      <c r="AH497" s="22" t="n">
        <v>0.1383</v>
      </c>
      <c r="AI497" s="22" t="n">
        <v>0.1513</v>
      </c>
      <c r="AJ497" s="22" t="n">
        <v>0.0714</v>
      </c>
      <c r="AK497" s="22" t="n">
        <v>0.0128</v>
      </c>
      <c r="AL497" s="22" t="n">
        <v>0.024</v>
      </c>
      <c r="AM497" s="22" t="n">
        <v>0.0397</v>
      </c>
      <c r="AN497" s="22" t="n">
        <v>0.0374</v>
      </c>
      <c r="AO497" s="22" t="n">
        <v>0.0504</v>
      </c>
      <c r="AP497" s="22" t="n">
        <v>0.0448</v>
      </c>
      <c r="AQ497" s="22" t="n">
        <v>0.0356</v>
      </c>
      <c r="AR497" s="22" t="n">
        <v>0.026</v>
      </c>
      <c r="AS497" s="22" t="n">
        <v>0.0435</v>
      </c>
      <c r="AT497" s="22" t="n">
        <v>0.0544</v>
      </c>
      <c r="AU497" s="22" t="n">
        <v>0.0558</v>
      </c>
      <c r="AV497" s="22" t="n">
        <v>0.0663</v>
      </c>
    </row>
    <row r="498" customFormat="false" ht="15" hidden="false" customHeight="false" outlineLevel="0" collapsed="false">
      <c r="A498" s="22" t="s">
        <v>619</v>
      </c>
      <c r="B498" s="22" t="s">
        <v>3</v>
      </c>
      <c r="C498" s="22" t="s">
        <v>619</v>
      </c>
      <c r="D498" s="22" t="n">
        <v>44460</v>
      </c>
      <c r="E498" s="22" t="s">
        <v>132</v>
      </c>
      <c r="F498" s="22" t="s">
        <v>135</v>
      </c>
      <c r="G498" s="22" t="s">
        <v>131</v>
      </c>
      <c r="H498" s="22" t="s">
        <v>131</v>
      </c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 t="n">
        <v>0.1729</v>
      </c>
      <c r="AK498" s="22" t="n">
        <v>0.1508</v>
      </c>
      <c r="AL498" s="22" t="n">
        <v>0.1425</v>
      </c>
      <c r="AM498" s="22" t="n">
        <v>0.1331</v>
      </c>
      <c r="AN498" s="22"/>
      <c r="AO498" s="22"/>
      <c r="AP498" s="22" t="n">
        <v>0.0126</v>
      </c>
      <c r="AQ498" s="22" t="n">
        <v>0.0271</v>
      </c>
      <c r="AR498" s="22" t="n">
        <v>0.0381</v>
      </c>
      <c r="AS498" s="22" t="n">
        <v>-0.0093</v>
      </c>
      <c r="AT498" s="22"/>
      <c r="AU498" s="22"/>
      <c r="AV498" s="22"/>
    </row>
    <row r="499" customFormat="false" ht="15" hidden="false" customHeight="false" outlineLevel="0" collapsed="false">
      <c r="A499" s="22" t="s">
        <v>620</v>
      </c>
      <c r="B499" s="22" t="s">
        <v>3</v>
      </c>
      <c r="C499" s="22" t="s">
        <v>620</v>
      </c>
      <c r="D499" s="22" t="n">
        <v>44500</v>
      </c>
      <c r="E499" s="22" t="s">
        <v>132</v>
      </c>
      <c r="F499" s="22" t="s">
        <v>135</v>
      </c>
      <c r="G499" s="22" t="s">
        <v>131</v>
      </c>
      <c r="H499" s="22" t="s">
        <v>131</v>
      </c>
      <c r="I499" s="22" t="n">
        <v>0.0211</v>
      </c>
      <c r="J499" s="22" t="n">
        <v>0.0166</v>
      </c>
      <c r="K499" s="22" t="n">
        <v>-0.0026</v>
      </c>
      <c r="L499" s="22" t="n">
        <v>0.0191</v>
      </c>
      <c r="M499" s="22" t="n">
        <v>-0.0274</v>
      </c>
      <c r="N499" s="22" t="n">
        <v>-0.0274</v>
      </c>
      <c r="O499" s="22" t="n">
        <v>0.0105</v>
      </c>
      <c r="P499" s="22" t="n">
        <v>0.0081</v>
      </c>
      <c r="Q499" s="22" t="n">
        <v>0.0641</v>
      </c>
      <c r="R499" s="22" t="n">
        <v>0.0264</v>
      </c>
      <c r="S499" s="22" t="n">
        <v>-0.0053</v>
      </c>
      <c r="T499" s="22" t="n">
        <v>0.0285</v>
      </c>
      <c r="U499" s="22" t="n">
        <v>0.0293</v>
      </c>
      <c r="V499" s="22" t="n">
        <v>0.0487</v>
      </c>
      <c r="W499" s="22" t="n">
        <v>0.0604</v>
      </c>
      <c r="X499" s="22" t="n">
        <v>0.0444</v>
      </c>
      <c r="Y499" s="22" t="n">
        <v>0.0241</v>
      </c>
      <c r="Z499" s="22" t="n">
        <v>0.0332</v>
      </c>
      <c r="AA499" s="22" t="n">
        <v>0.0317</v>
      </c>
      <c r="AB499" s="22" t="n">
        <v>0.02</v>
      </c>
      <c r="AC499" s="22" t="n">
        <v>0.0281</v>
      </c>
      <c r="AD499" s="22" t="n">
        <v>0.0278</v>
      </c>
      <c r="AE499" s="22" t="n">
        <v>0.1758</v>
      </c>
      <c r="AF499" s="22" t="n">
        <v>0.2092</v>
      </c>
      <c r="AG499" s="22" t="n">
        <v>0.2708</v>
      </c>
      <c r="AH499" s="22" t="n">
        <v>0.2738</v>
      </c>
      <c r="AI499" s="22" t="n">
        <v>0.1133</v>
      </c>
      <c r="AJ499" s="22" t="n">
        <v>0.0702</v>
      </c>
      <c r="AK499" s="22" t="n">
        <v>0.0094</v>
      </c>
      <c r="AL499" s="22" t="n">
        <v>0.0288</v>
      </c>
      <c r="AM499" s="22" t="n">
        <v>-0.0221</v>
      </c>
      <c r="AN499" s="22" t="n">
        <v>0.0194</v>
      </c>
      <c r="AO499" s="22" t="n">
        <v>0.0087</v>
      </c>
      <c r="AP499" s="22" t="n">
        <v>-0.016</v>
      </c>
      <c r="AQ499" s="22" t="n">
        <v>0.0449</v>
      </c>
      <c r="AR499" s="22" t="n">
        <v>0.0161</v>
      </c>
      <c r="AS499" s="22" t="n">
        <v>0.0081</v>
      </c>
      <c r="AT499" s="22" t="n">
        <v>-0.0343</v>
      </c>
      <c r="AU499" s="22" t="n">
        <v>-0.0966</v>
      </c>
      <c r="AV499" s="22" t="n">
        <v>-0.0711</v>
      </c>
    </row>
    <row r="500" customFormat="false" ht="15" hidden="false" customHeight="false" outlineLevel="0" collapsed="false">
      <c r="A500" s="22" t="s">
        <v>621</v>
      </c>
      <c r="B500" s="22" t="s">
        <v>3</v>
      </c>
      <c r="C500" s="22" t="s">
        <v>621</v>
      </c>
      <c r="D500" s="22" t="n">
        <v>44620</v>
      </c>
      <c r="E500" s="22" t="s">
        <v>132</v>
      </c>
      <c r="F500" s="22" t="s">
        <v>135</v>
      </c>
      <c r="G500" s="22" t="s">
        <v>131</v>
      </c>
      <c r="H500" s="22" t="s">
        <v>131</v>
      </c>
      <c r="I500" s="22"/>
      <c r="J500" s="22"/>
      <c r="K500" s="22"/>
      <c r="L500" s="22"/>
      <c r="M500" s="22"/>
      <c r="N500" s="22"/>
      <c r="O500" s="22"/>
      <c r="P500" s="22" t="n">
        <v>-0.062</v>
      </c>
      <c r="Q500" s="22" t="n">
        <v>0.0385</v>
      </c>
      <c r="R500" s="22" t="n">
        <v>0.0184</v>
      </c>
      <c r="S500" s="22" t="n">
        <v>0.0242</v>
      </c>
      <c r="T500" s="22" t="n">
        <v>0.0373</v>
      </c>
      <c r="U500" s="22" t="n">
        <v>0.0232</v>
      </c>
      <c r="V500" s="22" t="n">
        <v>0.0298</v>
      </c>
      <c r="W500" s="22" t="n">
        <v>0.0408</v>
      </c>
      <c r="X500" s="22" t="n">
        <v>0.0589</v>
      </c>
      <c r="Y500" s="22" t="n">
        <v>0.0467</v>
      </c>
      <c r="Z500" s="22" t="n">
        <v>0.0554</v>
      </c>
      <c r="AA500" s="22" t="n">
        <v>0.0389</v>
      </c>
      <c r="AB500" s="22" t="n">
        <v>0.0252</v>
      </c>
      <c r="AC500" s="22" t="n">
        <v>0.0338</v>
      </c>
      <c r="AD500" s="22" t="n">
        <v>0.0367</v>
      </c>
      <c r="AE500" s="22" t="n">
        <v>0.0375</v>
      </c>
      <c r="AF500" s="22" t="n">
        <v>0.046</v>
      </c>
      <c r="AG500" s="22" t="n">
        <v>0.0456</v>
      </c>
      <c r="AH500" s="22" t="n">
        <v>0.1408</v>
      </c>
      <c r="AI500" s="22" t="n">
        <v>0.1935</v>
      </c>
      <c r="AJ500" s="22" t="n">
        <v>0.2582</v>
      </c>
      <c r="AK500" s="22" t="n">
        <v>0.3444</v>
      </c>
      <c r="AL500" s="22" t="n">
        <v>0.2154</v>
      </c>
      <c r="AM500" s="22" t="n">
        <v>0.1592</v>
      </c>
      <c r="AN500" s="22" t="n">
        <v>0.0925</v>
      </c>
      <c r="AO500" s="22" t="n">
        <v>0.0299</v>
      </c>
      <c r="AP500" s="22" t="n">
        <v>0.0371</v>
      </c>
      <c r="AQ500" s="22" t="n">
        <v>0.0263</v>
      </c>
      <c r="AR500" s="22" t="n">
        <v>0.0047</v>
      </c>
      <c r="AS500" s="22" t="n">
        <v>-0.0131</v>
      </c>
      <c r="AT500" s="22" t="n">
        <v>-0.0001</v>
      </c>
      <c r="AU500" s="22" t="n">
        <v>0.0064</v>
      </c>
      <c r="AV500" s="22" t="n">
        <v>-0.0153</v>
      </c>
    </row>
    <row r="501" customFormat="false" ht="15" hidden="false" customHeight="false" outlineLevel="0" collapsed="false">
      <c r="A501" s="22" t="s">
        <v>622</v>
      </c>
      <c r="B501" s="22" t="s">
        <v>3</v>
      </c>
      <c r="C501" s="22" t="s">
        <v>622</v>
      </c>
      <c r="D501" s="22" t="n">
        <v>41100</v>
      </c>
      <c r="E501" s="22" t="s">
        <v>132</v>
      </c>
      <c r="F501" s="22" t="s">
        <v>135</v>
      </c>
      <c r="G501" s="22" t="s">
        <v>131</v>
      </c>
      <c r="H501" s="22" t="s">
        <v>131</v>
      </c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 t="n">
        <v>0.077</v>
      </c>
      <c r="Y501" s="22" t="n">
        <v>0.0345</v>
      </c>
      <c r="Z501" s="22" t="n">
        <v>0.0386</v>
      </c>
      <c r="AA501" s="22" t="n">
        <v>0.0916</v>
      </c>
      <c r="AB501" s="22" t="n">
        <v>0.0503</v>
      </c>
      <c r="AC501" s="22" t="n">
        <v>0.0776</v>
      </c>
      <c r="AD501" s="22" t="n">
        <v>0.1736</v>
      </c>
      <c r="AE501" s="22" t="n">
        <v>0.2073</v>
      </c>
      <c r="AF501" s="22" t="n">
        <v>0.2192</v>
      </c>
      <c r="AG501" s="22" t="n">
        <v>0.1206</v>
      </c>
      <c r="AH501" s="22" t="n">
        <v>0.1248</v>
      </c>
      <c r="AI501" s="22" t="n">
        <v>0.0403</v>
      </c>
      <c r="AJ501" s="22" t="n">
        <v>-0.008</v>
      </c>
      <c r="AK501" s="22" t="n">
        <v>0.089</v>
      </c>
      <c r="AL501" s="22" t="n">
        <v>-0.0097</v>
      </c>
      <c r="AM501" s="22" t="n">
        <v>-0.0056</v>
      </c>
      <c r="AN501" s="22" t="n">
        <v>-0.0348</v>
      </c>
      <c r="AO501" s="22" t="n">
        <v>-0.0722</v>
      </c>
      <c r="AP501" s="22" t="n">
        <v>-0.0395</v>
      </c>
      <c r="AQ501" s="22" t="n">
        <v>-0.0323</v>
      </c>
      <c r="AR501" s="22" t="n">
        <v>0.0632</v>
      </c>
      <c r="AS501" s="22" t="n">
        <v>0.074</v>
      </c>
      <c r="AT501" s="22" t="n">
        <v>0.0567</v>
      </c>
      <c r="AU501" s="22" t="n">
        <v>0.0371</v>
      </c>
      <c r="AV501" s="22" t="n">
        <v>-0.0537</v>
      </c>
    </row>
    <row r="502" customFormat="false" ht="15" hidden="false" customHeight="false" outlineLevel="0" collapsed="false">
      <c r="A502" s="22" t="s">
        <v>623</v>
      </c>
      <c r="B502" s="22" t="s">
        <v>3</v>
      </c>
      <c r="C502" s="22" t="s">
        <v>623</v>
      </c>
      <c r="D502" s="22" t="n">
        <v>44660</v>
      </c>
      <c r="E502" s="22" t="s">
        <v>132</v>
      </c>
      <c r="F502" s="22" t="s">
        <v>135</v>
      </c>
      <c r="G502" s="22" t="s">
        <v>131</v>
      </c>
      <c r="H502" s="22" t="s">
        <v>131</v>
      </c>
      <c r="I502" s="22" t="n">
        <v>0.0394</v>
      </c>
      <c r="J502" s="22" t="n">
        <v>0.0223</v>
      </c>
      <c r="K502" s="22" t="n">
        <v>-0.0001</v>
      </c>
      <c r="L502" s="22" t="n">
        <v>-0.0053</v>
      </c>
      <c r="M502" s="22" t="n">
        <v>-0.0072</v>
      </c>
      <c r="N502" s="22" t="n">
        <v>0.0118</v>
      </c>
      <c r="O502" s="22" t="n">
        <v>0.044</v>
      </c>
      <c r="P502" s="22" t="n">
        <v>0.052</v>
      </c>
      <c r="Q502" s="22" t="n">
        <v>0.0508</v>
      </c>
      <c r="R502" s="22" t="n">
        <v>0.0215</v>
      </c>
      <c r="S502" s="22" t="n">
        <v>0.0097</v>
      </c>
      <c r="T502" s="22" t="n">
        <v>0.0036</v>
      </c>
      <c r="U502" s="22" t="n">
        <v>-0.0061</v>
      </c>
      <c r="V502" s="22" t="n">
        <v>0.0183</v>
      </c>
      <c r="W502" s="22" t="n">
        <v>0.0106</v>
      </c>
      <c r="X502" s="22" t="n">
        <v>0.0144</v>
      </c>
      <c r="Y502" s="22" t="n">
        <v>0.0239</v>
      </c>
      <c r="Z502" s="22" t="n">
        <v>-0.0085</v>
      </c>
      <c r="AA502" s="22" t="n">
        <v>-0.0109</v>
      </c>
      <c r="AB502" s="22" t="n">
        <v>-0.0101</v>
      </c>
      <c r="AC502" s="22" t="n">
        <v>-0.0063</v>
      </c>
      <c r="AD502" s="22" t="n">
        <v>0.0017</v>
      </c>
      <c r="AE502" s="22" t="n">
        <v>0.0641</v>
      </c>
      <c r="AF502" s="22" t="n">
        <v>0.0704</v>
      </c>
      <c r="AG502" s="22" t="n">
        <v>0.0493</v>
      </c>
      <c r="AH502" s="22" t="n">
        <v>0.1088</v>
      </c>
      <c r="AI502" s="22" t="n">
        <v>0.0702</v>
      </c>
      <c r="AJ502" s="22" t="n">
        <v>0.0747</v>
      </c>
      <c r="AK502" s="22" t="n">
        <v>0.1234</v>
      </c>
      <c r="AL502" s="22" t="n">
        <v>0.0945</v>
      </c>
      <c r="AM502" s="22" t="n">
        <v>0.086</v>
      </c>
      <c r="AN502" s="22" t="n">
        <v>0.1075</v>
      </c>
      <c r="AO502" s="22" t="n">
        <v>0.0816</v>
      </c>
      <c r="AP502" s="22" t="n">
        <v>0.0635</v>
      </c>
      <c r="AQ502" s="22" t="n">
        <v>0.0642</v>
      </c>
      <c r="AR502" s="22" t="n">
        <v>0.0347</v>
      </c>
      <c r="AS502" s="22" t="n">
        <v>0.0376</v>
      </c>
      <c r="AT502" s="22" t="n">
        <v>0.0522</v>
      </c>
      <c r="AU502" s="22" t="n">
        <v>0.0716</v>
      </c>
      <c r="AV502" s="22" t="n">
        <v>0.0681</v>
      </c>
    </row>
    <row r="503" customFormat="false" ht="15" hidden="false" customHeight="false" outlineLevel="0" collapsed="false">
      <c r="A503" s="22" t="s">
        <v>624</v>
      </c>
      <c r="B503" s="22" t="s">
        <v>3</v>
      </c>
      <c r="C503" s="22" t="s">
        <v>624</v>
      </c>
      <c r="D503" s="22" t="n">
        <v>41140</v>
      </c>
      <c r="E503" s="22" t="s">
        <v>132</v>
      </c>
      <c r="F503" s="22" t="s">
        <v>135</v>
      </c>
      <c r="G503" s="22" t="s">
        <v>131</v>
      </c>
      <c r="H503" s="22" t="s">
        <v>131</v>
      </c>
      <c r="I503" s="22"/>
      <c r="J503" s="22"/>
      <c r="K503" s="22"/>
      <c r="L503" s="22" t="n">
        <v>0.0385</v>
      </c>
      <c r="M503" s="22" t="n">
        <v>0.0118</v>
      </c>
      <c r="N503" s="22" t="n">
        <v>0.0644</v>
      </c>
      <c r="O503" s="22" t="n">
        <v>0.0091</v>
      </c>
      <c r="P503" s="22" t="n">
        <v>0.0097</v>
      </c>
      <c r="Q503" s="22" t="n">
        <v>0.0751</v>
      </c>
      <c r="R503" s="22" t="n">
        <v>-0.031</v>
      </c>
      <c r="S503" s="22" t="n">
        <v>0.0102</v>
      </c>
      <c r="T503" s="22" t="n">
        <v>0.0282</v>
      </c>
      <c r="U503" s="22" t="n">
        <v>0.0145</v>
      </c>
      <c r="V503" s="22" t="n">
        <v>0.0671</v>
      </c>
      <c r="W503" s="22" t="n">
        <v>0.0672</v>
      </c>
      <c r="X503" s="22" t="n">
        <v>0.0311</v>
      </c>
      <c r="Y503" s="22" t="n">
        <v>0.0011</v>
      </c>
      <c r="Z503" s="22" t="n">
        <v>0.0133</v>
      </c>
      <c r="AA503" s="22" t="n">
        <v>0.005</v>
      </c>
      <c r="AB503" s="22" t="n">
        <v>0.0182</v>
      </c>
      <c r="AC503" s="22" t="n">
        <v>0.0024</v>
      </c>
      <c r="AD503" s="22" t="n">
        <v>0.0084</v>
      </c>
      <c r="AE503" s="22" t="n">
        <v>0.0446</v>
      </c>
      <c r="AF503" s="22" t="n">
        <v>0.0565</v>
      </c>
      <c r="AG503" s="22" t="n">
        <v>0.0589</v>
      </c>
      <c r="AH503" s="22" t="n">
        <v>0.069</v>
      </c>
      <c r="AI503" s="22" t="n">
        <v>0.0462</v>
      </c>
      <c r="AJ503" s="22" t="n">
        <v>0.0534</v>
      </c>
      <c r="AK503" s="22" t="n">
        <v>-0.0037</v>
      </c>
      <c r="AL503" s="22" t="n">
        <v>0.0459</v>
      </c>
      <c r="AM503" s="22" t="n">
        <v>0.0323</v>
      </c>
      <c r="AN503" s="22" t="n">
        <v>0.102</v>
      </c>
      <c r="AO503" s="22" t="n">
        <v>0.2</v>
      </c>
      <c r="AP503" s="22" t="n">
        <v>0.144</v>
      </c>
      <c r="AQ503" s="22" t="n">
        <v>0.2186</v>
      </c>
      <c r="AR503" s="22" t="n">
        <v>0.0242</v>
      </c>
      <c r="AS503" s="22" t="n">
        <v>0.082</v>
      </c>
      <c r="AT503" s="22" t="n">
        <v>0.0136</v>
      </c>
      <c r="AU503" s="22" t="n">
        <v>-0.0452</v>
      </c>
      <c r="AV503" s="22" t="n">
        <v>0.0962</v>
      </c>
    </row>
    <row r="504" customFormat="false" ht="15" hidden="false" customHeight="false" outlineLevel="0" collapsed="false">
      <c r="A504" s="22" t="s">
        <v>46</v>
      </c>
      <c r="B504" s="22" t="s">
        <v>3</v>
      </c>
      <c r="C504" s="22" t="s">
        <v>46</v>
      </c>
      <c r="D504" s="22" t="n">
        <v>41180</v>
      </c>
      <c r="E504" s="22" t="s">
        <v>132</v>
      </c>
      <c r="F504" s="22" t="s">
        <v>135</v>
      </c>
      <c r="G504" s="22" t="s">
        <v>131</v>
      </c>
      <c r="H504" s="22" t="s">
        <v>131</v>
      </c>
      <c r="I504" s="22" t="n">
        <v>0.0461</v>
      </c>
      <c r="J504" s="22" t="n">
        <v>0.0503</v>
      </c>
      <c r="K504" s="22" t="n">
        <v>0.0323</v>
      </c>
      <c r="L504" s="22" t="n">
        <v>0.0184</v>
      </c>
      <c r="M504" s="22" t="n">
        <v>0.0132</v>
      </c>
      <c r="N504" s="22" t="n">
        <v>0.01</v>
      </c>
      <c r="O504" s="22" t="n">
        <v>0.0167</v>
      </c>
      <c r="P504" s="22" t="n">
        <v>0.0117</v>
      </c>
      <c r="Q504" s="22" t="n">
        <v>0.0096</v>
      </c>
      <c r="R504" s="22" t="n">
        <v>0.0152</v>
      </c>
      <c r="S504" s="22" t="n">
        <v>0.0171</v>
      </c>
      <c r="T504" s="22" t="n">
        <v>0.0309</v>
      </c>
      <c r="U504" s="22" t="n">
        <v>0.0359</v>
      </c>
      <c r="V504" s="22" t="n">
        <v>0.0445</v>
      </c>
      <c r="W504" s="22" t="n">
        <v>0.066</v>
      </c>
      <c r="X504" s="22" t="n">
        <v>0.0697</v>
      </c>
      <c r="Y504" s="22" t="n">
        <v>0.0848</v>
      </c>
      <c r="Z504" s="22" t="n">
        <v>0.0508</v>
      </c>
      <c r="AA504" s="22" t="n">
        <v>0.0336</v>
      </c>
      <c r="AB504" s="22" t="n">
        <v>0.0318</v>
      </c>
      <c r="AC504" s="22" t="n">
        <v>0.0256</v>
      </c>
      <c r="AD504" s="22" t="n">
        <v>0.072</v>
      </c>
      <c r="AE504" s="22" t="n">
        <v>0.1086</v>
      </c>
      <c r="AF504" s="22" t="n">
        <v>0.135</v>
      </c>
      <c r="AG504" s="22" t="n">
        <v>0.1363</v>
      </c>
      <c r="AH504" s="22" t="n">
        <v>0.1204</v>
      </c>
      <c r="AI504" s="22" t="n">
        <v>0.103</v>
      </c>
      <c r="AJ504" s="22" t="n">
        <v>0.0744</v>
      </c>
      <c r="AK504" s="22" t="n">
        <v>0.0715</v>
      </c>
      <c r="AL504" s="22" t="n">
        <v>0.061</v>
      </c>
      <c r="AM504" s="22" t="n">
        <v>0.0494</v>
      </c>
      <c r="AN504" s="22" t="n">
        <v>0.0633</v>
      </c>
      <c r="AO504" s="22" t="n">
        <v>0.0595</v>
      </c>
      <c r="AP504" s="22" t="n">
        <v>0.0466</v>
      </c>
      <c r="AQ504" s="22" t="n">
        <v>0.0515</v>
      </c>
      <c r="AR504" s="22" t="n">
        <v>0.0264</v>
      </c>
      <c r="AS504" s="22" t="n">
        <v>0.0259</v>
      </c>
      <c r="AT504" s="22" t="n">
        <v>0.0502</v>
      </c>
      <c r="AU504" s="22" t="n">
        <v>0.0473</v>
      </c>
      <c r="AV504" s="22" t="n">
        <v>0.0464</v>
      </c>
    </row>
    <row r="505" customFormat="false" ht="15" hidden="false" customHeight="false" outlineLevel="0" collapsed="false">
      <c r="A505" s="22" t="s">
        <v>213</v>
      </c>
      <c r="B505" s="22" t="s">
        <v>3</v>
      </c>
      <c r="C505" s="22" t="s">
        <v>213</v>
      </c>
      <c r="D505" s="22" t="n">
        <v>44700</v>
      </c>
      <c r="E505" s="22" t="s">
        <v>132</v>
      </c>
      <c r="F505" s="22" t="s">
        <v>135</v>
      </c>
      <c r="G505" s="22" t="s">
        <v>131</v>
      </c>
      <c r="H505" s="22" t="s">
        <v>131</v>
      </c>
      <c r="I505" s="22" t="n">
        <v>0.1177</v>
      </c>
      <c r="J505" s="22" t="n">
        <v>0.1064</v>
      </c>
      <c r="K505" s="22" t="n">
        <v>0.1155</v>
      </c>
      <c r="L505" s="22" t="n">
        <v>0.1185</v>
      </c>
      <c r="M505" s="22" t="n">
        <v>0.1238</v>
      </c>
      <c r="N505" s="22" t="n">
        <v>0.1056</v>
      </c>
      <c r="O505" s="22" t="n">
        <v>0.0708</v>
      </c>
      <c r="P505" s="22" t="n">
        <v>0.0422</v>
      </c>
      <c r="Q505" s="22" t="n">
        <v>0.0201</v>
      </c>
      <c r="R505" s="22" t="n">
        <v>0.0324</v>
      </c>
      <c r="S505" s="22" t="n">
        <v>0.0612</v>
      </c>
      <c r="T505" s="22" t="n">
        <v>0.0797</v>
      </c>
      <c r="U505" s="22" t="n">
        <v>0.079</v>
      </c>
      <c r="V505" s="22" t="n">
        <v>0.0826</v>
      </c>
      <c r="W505" s="22" t="n">
        <v>0.0743</v>
      </c>
      <c r="X505" s="22" t="n">
        <v>0.07</v>
      </c>
      <c r="Y505" s="22" t="n">
        <v>0.0751</v>
      </c>
      <c r="Z505" s="22" t="n">
        <v>0.0579</v>
      </c>
      <c r="AA505" s="22" t="n">
        <v>0.061</v>
      </c>
      <c r="AB505" s="22" t="n">
        <v>0.0804</v>
      </c>
      <c r="AC505" s="22" t="n">
        <v>0.087</v>
      </c>
      <c r="AD505" s="22" t="n">
        <v>0.1203</v>
      </c>
      <c r="AE505" s="22" t="n">
        <v>0.1558</v>
      </c>
      <c r="AF505" s="22" t="n">
        <v>0.1584</v>
      </c>
      <c r="AG505" s="22" t="n">
        <v>0.1622</v>
      </c>
      <c r="AH505" s="22" t="n">
        <v>0.1333</v>
      </c>
      <c r="AI505" s="22" t="n">
        <v>0.0645</v>
      </c>
      <c r="AJ505" s="22" t="n">
        <v>0.0397</v>
      </c>
      <c r="AK505" s="22" t="n">
        <v>0.0181</v>
      </c>
      <c r="AL505" s="22" t="n">
        <v>-0.0018</v>
      </c>
      <c r="AM505" s="22" t="n">
        <v>0.0078</v>
      </c>
      <c r="AN505" s="22" t="n">
        <v>0.0051</v>
      </c>
      <c r="AO505" s="22" t="n">
        <v>0.0223</v>
      </c>
      <c r="AP505" s="22" t="n">
        <v>0.0455</v>
      </c>
      <c r="AQ505" s="22" t="n">
        <v>0.0346</v>
      </c>
      <c r="AR505" s="22" t="n">
        <v>0.0205</v>
      </c>
      <c r="AS505" s="22" t="n">
        <v>0.012</v>
      </c>
      <c r="AT505" s="22" t="n">
        <v>0.0439</v>
      </c>
      <c r="AU505" s="22" t="n">
        <v>0.0592</v>
      </c>
      <c r="AV505" s="22" t="n">
        <v>0.0624</v>
      </c>
    </row>
    <row r="506" customFormat="false" ht="15" hidden="false" customHeight="false" outlineLevel="0" collapsed="false">
      <c r="A506" s="22" t="s">
        <v>625</v>
      </c>
      <c r="B506" s="22" t="s">
        <v>3</v>
      </c>
      <c r="C506" s="22" t="s">
        <v>625</v>
      </c>
      <c r="D506" s="22" t="n">
        <v>44740</v>
      </c>
      <c r="E506" s="22" t="s">
        <v>132</v>
      </c>
      <c r="F506" s="22" t="s">
        <v>135</v>
      </c>
      <c r="G506" s="22" t="s">
        <v>131</v>
      </c>
      <c r="H506" s="22" t="s">
        <v>131</v>
      </c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</row>
    <row r="507" customFormat="false" ht="15" hidden="false" customHeight="false" outlineLevel="0" collapsed="false">
      <c r="A507" s="22" t="s">
        <v>626</v>
      </c>
      <c r="B507" s="22" t="s">
        <v>3</v>
      </c>
      <c r="C507" s="22" t="s">
        <v>626</v>
      </c>
      <c r="D507" s="22" t="n">
        <v>44940</v>
      </c>
      <c r="E507" s="22" t="s">
        <v>132</v>
      </c>
      <c r="F507" s="22" t="s">
        <v>135</v>
      </c>
      <c r="G507" s="22" t="s">
        <v>131</v>
      </c>
      <c r="H507" s="22" t="s">
        <v>131</v>
      </c>
      <c r="I507" s="22" t="n">
        <v>0.0798</v>
      </c>
      <c r="J507" s="22" t="n">
        <v>0.0564</v>
      </c>
      <c r="K507" s="22" t="n">
        <v>0.0022</v>
      </c>
      <c r="L507" s="22" t="n">
        <v>0.0212</v>
      </c>
      <c r="M507" s="22" t="n">
        <v>0.0128</v>
      </c>
      <c r="N507" s="22" t="n">
        <v>0.0357</v>
      </c>
      <c r="O507" s="22" t="n">
        <v>0.0668</v>
      </c>
      <c r="P507" s="22" t="n">
        <v>0.0297</v>
      </c>
      <c r="Q507" s="22" t="n">
        <v>0.0254</v>
      </c>
      <c r="R507" s="22" t="n">
        <v>0.0418</v>
      </c>
      <c r="S507" s="22" t="n">
        <v>0.0248</v>
      </c>
      <c r="T507" s="22" t="n">
        <v>0.076</v>
      </c>
      <c r="U507" s="22" t="n">
        <v>0.0373</v>
      </c>
      <c r="V507" s="22" t="n">
        <v>0.0185</v>
      </c>
      <c r="W507" s="22" t="n">
        <v>0.03</v>
      </c>
      <c r="X507" s="22" t="n">
        <v>0.0012</v>
      </c>
      <c r="Y507" s="22" t="n">
        <v>0.0388</v>
      </c>
      <c r="Z507" s="22" t="n">
        <v>0.1485</v>
      </c>
      <c r="AA507" s="22" t="n">
        <v>0.1615</v>
      </c>
      <c r="AB507" s="22" t="n">
        <v>0.1388</v>
      </c>
      <c r="AC507" s="22" t="n">
        <v>0.1456</v>
      </c>
      <c r="AD507" s="22" t="n">
        <v>0.0596</v>
      </c>
      <c r="AE507" s="22" t="n">
        <v>0.0616</v>
      </c>
      <c r="AF507" s="22" t="n">
        <v>0.0589</v>
      </c>
      <c r="AG507" s="22" t="n">
        <v>0.0602</v>
      </c>
      <c r="AH507" s="22" t="n">
        <v>0.117</v>
      </c>
      <c r="AI507" s="22" t="n">
        <v>0.1475</v>
      </c>
      <c r="AJ507" s="22" t="n">
        <v>0.1585</v>
      </c>
      <c r="AK507" s="22" t="n">
        <v>0.1413</v>
      </c>
      <c r="AL507" s="22" t="n">
        <v>0.052</v>
      </c>
      <c r="AM507" s="22" t="n">
        <v>0.0125</v>
      </c>
      <c r="AN507" s="22" t="n">
        <v>-0.0132</v>
      </c>
      <c r="AO507" s="22" t="n">
        <v>0.0065</v>
      </c>
      <c r="AP507" s="22" t="n">
        <v>0.0074</v>
      </c>
      <c r="AQ507" s="22" t="n">
        <v>-0.0129</v>
      </c>
      <c r="AR507" s="22" t="n">
        <v>-0.0511</v>
      </c>
      <c r="AS507" s="22" t="n">
        <v>-0.0641</v>
      </c>
      <c r="AT507" s="22" t="n">
        <v>0.0182</v>
      </c>
      <c r="AU507" s="22" t="n">
        <v>0.0913</v>
      </c>
      <c r="AV507" s="22" t="n">
        <v>0.1523</v>
      </c>
    </row>
    <row r="508" customFormat="false" ht="15" hidden="false" customHeight="false" outlineLevel="0" collapsed="false">
      <c r="A508" s="22" t="s">
        <v>627</v>
      </c>
      <c r="B508" s="22" t="s">
        <v>3</v>
      </c>
      <c r="C508" s="22" t="s">
        <v>627</v>
      </c>
      <c r="D508" s="22" t="n">
        <v>44980</v>
      </c>
      <c r="E508" s="22" t="s">
        <v>132</v>
      </c>
      <c r="F508" s="22" t="s">
        <v>135</v>
      </c>
      <c r="G508" s="22" t="s">
        <v>131</v>
      </c>
      <c r="H508" s="22" t="s">
        <v>131</v>
      </c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</row>
    <row r="509" customFormat="false" ht="15" hidden="false" customHeight="false" outlineLevel="0" collapsed="false">
      <c r="A509" s="22" t="s">
        <v>214</v>
      </c>
      <c r="B509" s="22" t="s">
        <v>3</v>
      </c>
      <c r="C509" s="22" t="s">
        <v>214</v>
      </c>
      <c r="D509" s="22" t="n">
        <v>45060</v>
      </c>
      <c r="E509" s="22" t="s">
        <v>132</v>
      </c>
      <c r="F509" s="22" t="s">
        <v>135</v>
      </c>
      <c r="G509" s="22" t="s">
        <v>131</v>
      </c>
      <c r="H509" s="22" t="s">
        <v>131</v>
      </c>
      <c r="I509" s="22" t="n">
        <v>0.0373</v>
      </c>
      <c r="J509" s="22" t="n">
        <v>0.0437</v>
      </c>
      <c r="K509" s="22" t="n">
        <v>0.0213</v>
      </c>
      <c r="L509" s="22" t="n">
        <v>0.0203</v>
      </c>
      <c r="M509" s="22" t="n">
        <v>0.0271</v>
      </c>
      <c r="N509" s="22" t="n">
        <v>0.0153</v>
      </c>
      <c r="O509" s="22" t="n">
        <v>0.038</v>
      </c>
      <c r="P509" s="22" t="n">
        <v>0.0335</v>
      </c>
      <c r="Q509" s="22" t="n">
        <v>0.0175</v>
      </c>
      <c r="R509" s="22" t="n">
        <v>0.0199</v>
      </c>
      <c r="S509" s="22" t="n">
        <v>0.0405</v>
      </c>
      <c r="T509" s="22" t="n">
        <v>0.0347</v>
      </c>
      <c r="U509" s="22" t="n">
        <v>0.0426</v>
      </c>
      <c r="V509" s="22" t="n">
        <v>0.0428</v>
      </c>
      <c r="W509" s="22" t="n">
        <v>0.0339</v>
      </c>
      <c r="X509" s="22" t="n">
        <v>0.0354</v>
      </c>
      <c r="Y509" s="22" t="n">
        <v>0.03</v>
      </c>
      <c r="Z509" s="22" t="n">
        <v>0.0332</v>
      </c>
      <c r="AA509" s="22" t="n">
        <v>0.0385</v>
      </c>
      <c r="AB509" s="22" t="n">
        <v>0.0604</v>
      </c>
      <c r="AC509" s="22" t="n">
        <v>0.0623</v>
      </c>
      <c r="AD509" s="22" t="n">
        <v>0.0486</v>
      </c>
      <c r="AE509" s="22" t="n">
        <v>0.0467</v>
      </c>
      <c r="AF509" s="22" t="n">
        <v>0.0452</v>
      </c>
      <c r="AG509" s="22" t="n">
        <v>0.0653</v>
      </c>
      <c r="AH509" s="22" t="n">
        <v>0.1115</v>
      </c>
      <c r="AI509" s="22" t="n">
        <v>0.1469</v>
      </c>
      <c r="AJ509" s="22" t="n">
        <v>0.1596</v>
      </c>
      <c r="AK509" s="22" t="n">
        <v>0.1397</v>
      </c>
      <c r="AL509" s="22" t="n">
        <v>0.1041</v>
      </c>
      <c r="AM509" s="22" t="n">
        <v>0.0746</v>
      </c>
      <c r="AN509" s="22" t="n">
        <v>0.0619</v>
      </c>
      <c r="AO509" s="22" t="n">
        <v>0.0815</v>
      </c>
      <c r="AP509" s="22" t="n">
        <v>0.0884</v>
      </c>
      <c r="AQ509" s="22" t="n">
        <v>0.0717</v>
      </c>
      <c r="AR509" s="22" t="n">
        <v>0.0665</v>
      </c>
      <c r="AS509" s="22" t="n">
        <v>0.054</v>
      </c>
      <c r="AT509" s="22" t="n">
        <v>0.0622</v>
      </c>
      <c r="AU509" s="22" t="n">
        <v>0.0707</v>
      </c>
      <c r="AV509" s="22" t="n">
        <v>0.0617</v>
      </c>
    </row>
    <row r="510" customFormat="false" ht="15" hidden="false" customHeight="false" outlineLevel="0" collapsed="false">
      <c r="A510" s="22" t="s">
        <v>215</v>
      </c>
      <c r="B510" s="22" t="s">
        <v>3</v>
      </c>
      <c r="C510" s="22" t="s">
        <v>215</v>
      </c>
      <c r="D510" s="22" t="n">
        <v>45104</v>
      </c>
      <c r="E510" s="22" t="s">
        <v>132</v>
      </c>
      <c r="F510" s="22" t="s">
        <v>135</v>
      </c>
      <c r="G510" s="22" t="s">
        <v>131</v>
      </c>
      <c r="H510" s="22" t="s">
        <v>131</v>
      </c>
      <c r="I510" s="22" t="n">
        <v>0.0886</v>
      </c>
      <c r="J510" s="22" t="n">
        <v>0.081</v>
      </c>
      <c r="K510" s="22" t="n">
        <v>0.0889</v>
      </c>
      <c r="L510" s="22" t="n">
        <v>0.0958</v>
      </c>
      <c r="M510" s="22" t="n">
        <v>0.0945</v>
      </c>
      <c r="N510" s="22" t="n">
        <v>0.0962</v>
      </c>
      <c r="O510" s="22" t="n">
        <v>0.0857</v>
      </c>
      <c r="P510" s="22" t="n">
        <v>0.0717</v>
      </c>
      <c r="Q510" s="22" t="n">
        <v>0.07</v>
      </c>
      <c r="R510" s="22" t="n">
        <v>0.062</v>
      </c>
      <c r="S510" s="22" t="n">
        <v>0.0544</v>
      </c>
      <c r="T510" s="22" t="n">
        <v>0.0591</v>
      </c>
      <c r="U510" s="22" t="n">
        <v>0.0607</v>
      </c>
      <c r="V510" s="22" t="n">
        <v>0.0553</v>
      </c>
      <c r="W510" s="22" t="n">
        <v>0.0741</v>
      </c>
      <c r="X510" s="22" t="n">
        <v>0.0796</v>
      </c>
      <c r="Y510" s="22" t="n">
        <v>0.0719</v>
      </c>
      <c r="Z510" s="22" t="n">
        <v>0.0515</v>
      </c>
      <c r="AA510" s="22" t="n">
        <v>0.0444</v>
      </c>
      <c r="AB510" s="22" t="n">
        <v>0.0449</v>
      </c>
      <c r="AC510" s="22" t="n">
        <v>0.0594</v>
      </c>
      <c r="AD510" s="22" t="n">
        <v>0.1036</v>
      </c>
      <c r="AE510" s="22" t="n">
        <v>0.1243</v>
      </c>
      <c r="AF510" s="22" t="n">
        <v>0.1425</v>
      </c>
      <c r="AG510" s="22" t="n">
        <v>0.1304</v>
      </c>
      <c r="AH510" s="22" t="n">
        <v>0.1272</v>
      </c>
      <c r="AI510" s="22" t="n">
        <v>0.105</v>
      </c>
      <c r="AJ510" s="22" t="n">
        <v>0.0679</v>
      </c>
      <c r="AK510" s="22" t="n">
        <v>0.0495</v>
      </c>
      <c r="AL510" s="22" t="n">
        <v>0.0155</v>
      </c>
      <c r="AM510" s="22" t="n">
        <v>-0.0068</v>
      </c>
      <c r="AN510" s="22" t="n">
        <v>-0.0038</v>
      </c>
      <c r="AO510" s="22" t="n">
        <v>0.005</v>
      </c>
      <c r="AP510" s="22" t="n">
        <v>0.0214</v>
      </c>
      <c r="AQ510" s="22" t="n">
        <v>0.0249</v>
      </c>
      <c r="AR510" s="22" t="n">
        <v>0.0129</v>
      </c>
      <c r="AS510" s="22" t="n">
        <v>0.0198</v>
      </c>
      <c r="AT510" s="22" t="n">
        <v>0.0184</v>
      </c>
      <c r="AU510" s="22" t="n">
        <v>0.0189</v>
      </c>
      <c r="AV510" s="22" t="n">
        <v>0.0208</v>
      </c>
    </row>
    <row r="511" customFormat="false" ht="15" hidden="false" customHeight="false" outlineLevel="0" collapsed="false">
      <c r="A511" s="22" t="s">
        <v>628</v>
      </c>
      <c r="B511" s="22" t="s">
        <v>3</v>
      </c>
      <c r="C511" s="22" t="s">
        <v>628</v>
      </c>
      <c r="D511" s="22" t="n">
        <v>45140</v>
      </c>
      <c r="E511" s="22" t="s">
        <v>132</v>
      </c>
      <c r="F511" s="22" t="s">
        <v>135</v>
      </c>
      <c r="G511" s="22" t="s">
        <v>131</v>
      </c>
      <c r="H511" s="22" t="s">
        <v>131</v>
      </c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</row>
    <row r="512" customFormat="false" ht="15" hidden="false" customHeight="false" outlineLevel="0" collapsed="false">
      <c r="A512" s="22" t="s">
        <v>629</v>
      </c>
      <c r="B512" s="22" t="s">
        <v>3</v>
      </c>
      <c r="C512" s="22" t="s">
        <v>629</v>
      </c>
      <c r="D512" s="22" t="n">
        <v>45180</v>
      </c>
      <c r="E512" s="22" t="s">
        <v>132</v>
      </c>
      <c r="F512" s="22" t="s">
        <v>135</v>
      </c>
      <c r="G512" s="22" t="s">
        <v>131</v>
      </c>
      <c r="H512" s="22" t="s">
        <v>131</v>
      </c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</row>
    <row r="513" customFormat="false" ht="15" hidden="false" customHeight="false" outlineLevel="0" collapsed="false">
      <c r="A513" s="22" t="s">
        <v>70</v>
      </c>
      <c r="B513" s="22" t="s">
        <v>3</v>
      </c>
      <c r="C513" s="22" t="s">
        <v>70</v>
      </c>
      <c r="D513" s="22" t="n">
        <v>45220</v>
      </c>
      <c r="E513" s="22" t="s">
        <v>132</v>
      </c>
      <c r="F513" s="22" t="s">
        <v>135</v>
      </c>
      <c r="G513" s="22" t="s">
        <v>131</v>
      </c>
      <c r="H513" s="22" t="s">
        <v>131</v>
      </c>
      <c r="I513" s="22" t="n">
        <v>-0.0193</v>
      </c>
      <c r="J513" s="22" t="n">
        <v>-0.0187</v>
      </c>
      <c r="K513" s="22" t="n">
        <v>-0.0224</v>
      </c>
      <c r="L513" s="22" t="n">
        <v>0.0091</v>
      </c>
      <c r="M513" s="22" t="n">
        <v>0.0365</v>
      </c>
      <c r="N513" s="22" t="n">
        <v>0.0371</v>
      </c>
      <c r="O513" s="22" t="n">
        <v>0.0643</v>
      </c>
      <c r="P513" s="22" t="n">
        <v>0.0452</v>
      </c>
      <c r="Q513" s="22" t="n">
        <v>0.0405</v>
      </c>
      <c r="R513" s="22" t="n">
        <v>0.0163</v>
      </c>
      <c r="S513" s="22" t="n">
        <v>0.0134</v>
      </c>
      <c r="T513" s="22" t="n">
        <v>0.0513</v>
      </c>
      <c r="U513" s="22" t="n">
        <v>0.0792</v>
      </c>
      <c r="V513" s="22" t="n">
        <v>0.0999</v>
      </c>
      <c r="W513" s="22" t="n">
        <v>0.111</v>
      </c>
      <c r="X513" s="22" t="n">
        <v>0.0628</v>
      </c>
      <c r="Y513" s="22" t="n">
        <v>0.043</v>
      </c>
      <c r="Z513" s="22" t="n">
        <v>0.0261</v>
      </c>
      <c r="AA513" s="22" t="n">
        <v>0.0246</v>
      </c>
      <c r="AB513" s="22" t="n">
        <v>0.0368</v>
      </c>
      <c r="AC513" s="22" t="n">
        <v>0.0431</v>
      </c>
      <c r="AD513" s="22" t="n">
        <v>0.0781</v>
      </c>
      <c r="AE513" s="22" t="n">
        <v>0.1188</v>
      </c>
      <c r="AF513" s="22" t="n">
        <v>0.1631</v>
      </c>
      <c r="AG513" s="22" t="n">
        <v>0.1644</v>
      </c>
      <c r="AH513" s="22" t="n">
        <v>0.1783</v>
      </c>
      <c r="AI513" s="22" t="n">
        <v>0.1394</v>
      </c>
      <c r="AJ513" s="22" t="n">
        <v>0.122</v>
      </c>
      <c r="AK513" s="22" t="n">
        <v>0.09</v>
      </c>
      <c r="AL513" s="22" t="n">
        <v>0.0736</v>
      </c>
      <c r="AM513" s="22" t="n">
        <v>0.0491</v>
      </c>
      <c r="AN513" s="22" t="n">
        <v>0.0181</v>
      </c>
      <c r="AO513" s="22" t="n">
        <v>0.0361</v>
      </c>
      <c r="AP513" s="22" t="n">
        <v>0.0063</v>
      </c>
      <c r="AQ513" s="22" t="n">
        <v>0.0232</v>
      </c>
      <c r="AR513" s="22" t="n">
        <v>0.0337</v>
      </c>
      <c r="AS513" s="22" t="n">
        <v>0.036</v>
      </c>
      <c r="AT513" s="22" t="n">
        <v>0.05</v>
      </c>
      <c r="AU513" s="22" t="n">
        <v>0.0334</v>
      </c>
      <c r="AV513" s="22" t="n">
        <v>0.022</v>
      </c>
    </row>
    <row r="514" customFormat="false" ht="15" hidden="false" customHeight="false" outlineLevel="0" collapsed="false">
      <c r="A514" s="22" t="s">
        <v>77</v>
      </c>
      <c r="B514" s="22" t="s">
        <v>3</v>
      </c>
      <c r="C514" s="22" t="s">
        <v>77</v>
      </c>
      <c r="D514" s="22" t="n">
        <v>45300</v>
      </c>
      <c r="E514" s="22" t="s">
        <v>132</v>
      </c>
      <c r="F514" s="22" t="s">
        <v>135</v>
      </c>
      <c r="G514" s="22" t="s">
        <v>131</v>
      </c>
      <c r="H514" s="22" t="s">
        <v>131</v>
      </c>
      <c r="I514" s="22" t="n">
        <v>0.0835</v>
      </c>
      <c r="J514" s="22" t="n">
        <v>0.0784</v>
      </c>
      <c r="K514" s="22" t="n">
        <v>0.0752</v>
      </c>
      <c r="L514" s="22" t="n">
        <v>0.0548</v>
      </c>
      <c r="M514" s="22" t="n">
        <v>0.047</v>
      </c>
      <c r="N514" s="22" t="n">
        <v>0.0467</v>
      </c>
      <c r="O514" s="22" t="n">
        <v>0.0396</v>
      </c>
      <c r="P514" s="22" t="n">
        <v>0.0432</v>
      </c>
      <c r="Q514" s="22" t="n">
        <v>0.0534</v>
      </c>
      <c r="R514" s="22" t="n">
        <v>0.0601</v>
      </c>
      <c r="S514" s="22" t="n">
        <v>0.0751</v>
      </c>
      <c r="T514" s="22" t="n">
        <v>0.0743</v>
      </c>
      <c r="U514" s="22" t="n">
        <v>0.0639</v>
      </c>
      <c r="V514" s="22" t="n">
        <v>0.0534</v>
      </c>
      <c r="W514" s="22" t="n">
        <v>0.0385</v>
      </c>
      <c r="X514" s="22" t="n">
        <v>0.0365</v>
      </c>
      <c r="Y514" s="22" t="n">
        <v>0.0395</v>
      </c>
      <c r="Z514" s="22" t="n">
        <v>0.0133</v>
      </c>
      <c r="AA514" s="22" t="n">
        <v>0.0199</v>
      </c>
      <c r="AB514" s="22" t="n">
        <v>0.0349</v>
      </c>
      <c r="AC514" s="22" t="n">
        <v>0.0529</v>
      </c>
      <c r="AD514" s="22" t="n">
        <v>0.1309</v>
      </c>
      <c r="AE514" s="22" t="n">
        <v>0.226</v>
      </c>
      <c r="AF514" s="22" t="n">
        <v>0.2834</v>
      </c>
      <c r="AG514" s="22" t="n">
        <v>0.2907</v>
      </c>
      <c r="AH514" s="22" t="n">
        <v>0.2617</v>
      </c>
      <c r="AI514" s="22" t="n">
        <v>0.1718</v>
      </c>
      <c r="AJ514" s="22" t="n">
        <v>0.094</v>
      </c>
      <c r="AK514" s="22" t="n">
        <v>0.0605</v>
      </c>
      <c r="AL514" s="22" t="n">
        <v>0.0271</v>
      </c>
      <c r="AM514" s="22" t="n">
        <v>0.0081</v>
      </c>
      <c r="AN514" s="22" t="n">
        <v>-0.0002</v>
      </c>
      <c r="AO514" s="22" t="n">
        <v>-0.0117</v>
      </c>
      <c r="AP514" s="22" t="n">
        <v>-0.0157</v>
      </c>
      <c r="AQ514" s="22" t="n">
        <v>-0.0271</v>
      </c>
      <c r="AR514" s="22" t="n">
        <v>0.0004</v>
      </c>
      <c r="AS514" s="22" t="n">
        <v>0.0213</v>
      </c>
      <c r="AT514" s="22" t="n">
        <v>0.0191</v>
      </c>
      <c r="AU514" s="22" t="n">
        <v>0.0125</v>
      </c>
      <c r="AV514" s="22" t="n">
        <v>-0.0191</v>
      </c>
    </row>
    <row r="515" customFormat="false" ht="15" hidden="false" customHeight="false" outlineLevel="0" collapsed="false">
      <c r="A515" s="22" t="s">
        <v>630</v>
      </c>
      <c r="B515" s="22" t="s">
        <v>3</v>
      </c>
      <c r="C515" s="22" t="s">
        <v>630</v>
      </c>
      <c r="D515" s="22" t="n">
        <v>45460</v>
      </c>
      <c r="E515" s="22" t="s">
        <v>132</v>
      </c>
      <c r="F515" s="22" t="s">
        <v>135</v>
      </c>
      <c r="G515" s="22" t="s">
        <v>131</v>
      </c>
      <c r="H515" s="22" t="s">
        <v>131</v>
      </c>
      <c r="I515" s="22" t="n">
        <v>-0.0398</v>
      </c>
      <c r="J515" s="22" t="n">
        <v>-0.0567</v>
      </c>
      <c r="K515" s="22" t="n">
        <v>-0.0173</v>
      </c>
      <c r="L515" s="22" t="n">
        <v>-0.0113</v>
      </c>
      <c r="M515" s="22" t="n">
        <v>-0.0051</v>
      </c>
      <c r="N515" s="22" t="n">
        <v>0.0446</v>
      </c>
      <c r="O515" s="22" t="n">
        <v>0.0279</v>
      </c>
      <c r="P515" s="22" t="n">
        <v>-0.0222</v>
      </c>
      <c r="Q515" s="22" t="n">
        <v>0.0331</v>
      </c>
      <c r="R515" s="22" t="n">
        <v>-0.0046</v>
      </c>
      <c r="S515" s="22" t="n">
        <v>0.0146</v>
      </c>
      <c r="T515" s="22" t="n">
        <v>-0.0033</v>
      </c>
      <c r="U515" s="22" t="n">
        <v>-0.0037</v>
      </c>
      <c r="V515" s="22" t="n">
        <v>0.018</v>
      </c>
      <c r="W515" s="22" t="n">
        <v>-0.0709</v>
      </c>
      <c r="X515" s="22" t="n">
        <v>-0.026</v>
      </c>
      <c r="Y515" s="22" t="n">
        <v>0.0003</v>
      </c>
      <c r="Z515" s="22" t="n">
        <v>-0.0095</v>
      </c>
      <c r="AA515" s="22" t="n">
        <v>0.0592</v>
      </c>
      <c r="AB515" s="22" t="n">
        <v>0.0539</v>
      </c>
      <c r="AC515" s="22" t="n">
        <v>0.046</v>
      </c>
      <c r="AD515" s="22" t="n">
        <v>0.0945</v>
      </c>
      <c r="AE515" s="22" t="n">
        <v>0.1696</v>
      </c>
      <c r="AF515" s="22" t="n">
        <v>-0.0617</v>
      </c>
      <c r="AG515" s="22" t="n">
        <v>-0.0997</v>
      </c>
      <c r="AH515" s="22" t="n">
        <v>-0.1372</v>
      </c>
      <c r="AI515" s="22" t="n">
        <v>-0.1769</v>
      </c>
      <c r="AJ515" s="22" t="n">
        <v>0.0305</v>
      </c>
      <c r="AK515" s="22" t="n">
        <v>0.0351</v>
      </c>
      <c r="AL515" s="22" t="n">
        <v>0.0368</v>
      </c>
      <c r="AM515" s="22" t="n">
        <v>0.0421</v>
      </c>
      <c r="AN515" s="22" t="n">
        <v>0.0607</v>
      </c>
      <c r="AO515" s="22" t="n">
        <v>0.0491</v>
      </c>
      <c r="AP515" s="22" t="n">
        <v>0.0693</v>
      </c>
      <c r="AQ515" s="22" t="n">
        <v>0.0545</v>
      </c>
      <c r="AR515" s="22" t="n">
        <v>0.0382</v>
      </c>
      <c r="AS515" s="22" t="n">
        <v>0.0668</v>
      </c>
      <c r="AT515" s="22" t="n">
        <v>0.0675</v>
      </c>
      <c r="AU515" s="22" t="n">
        <v>0.0771</v>
      </c>
      <c r="AV515" s="22" t="n">
        <v>0.0534</v>
      </c>
    </row>
    <row r="516" customFormat="false" ht="15" hidden="false" customHeight="false" outlineLevel="0" collapsed="false">
      <c r="A516" s="22" t="s">
        <v>631</v>
      </c>
      <c r="B516" s="22" t="s">
        <v>3</v>
      </c>
      <c r="C516" s="22" t="s">
        <v>631</v>
      </c>
      <c r="D516" s="22" t="n">
        <v>45500</v>
      </c>
      <c r="E516" s="22" t="s">
        <v>132</v>
      </c>
      <c r="F516" s="22" t="s">
        <v>135</v>
      </c>
      <c r="G516" s="22" t="s">
        <v>131</v>
      </c>
      <c r="H516" s="22" t="s">
        <v>131</v>
      </c>
      <c r="I516" s="22" t="n">
        <v>-0.0058</v>
      </c>
      <c r="J516" s="22" t="n">
        <v>0.0012</v>
      </c>
      <c r="K516" s="22" t="n">
        <v>-0.042</v>
      </c>
      <c r="L516" s="22" t="n">
        <v>0.1118</v>
      </c>
      <c r="M516" s="22" t="n">
        <v>0.0603</v>
      </c>
      <c r="N516" s="22" t="n">
        <v>0.0854</v>
      </c>
      <c r="O516" s="22" t="n">
        <v>0.1543</v>
      </c>
      <c r="P516" s="22" t="n">
        <v>-0.0053</v>
      </c>
      <c r="Q516" s="22" t="n">
        <v>0.0287</v>
      </c>
      <c r="R516" s="22" t="n">
        <v>0.029</v>
      </c>
      <c r="S516" s="22" t="n">
        <v>0.0226</v>
      </c>
      <c r="T516" s="22" t="n">
        <v>0.0028</v>
      </c>
      <c r="U516" s="22" t="n">
        <v>0.0149</v>
      </c>
      <c r="V516" s="22" t="n">
        <v>0.0029</v>
      </c>
      <c r="W516" s="22" t="n">
        <v>0.0419</v>
      </c>
      <c r="X516" s="22" t="n">
        <v>0.0779</v>
      </c>
      <c r="Y516" s="22" t="n">
        <v>0.051</v>
      </c>
      <c r="Z516" s="22" t="n">
        <v>0.0688</v>
      </c>
      <c r="AA516" s="22" t="n">
        <v>0.0672</v>
      </c>
      <c r="AB516" s="22" t="n">
        <v>0.0655</v>
      </c>
      <c r="AC516" s="22" t="n">
        <v>0.075</v>
      </c>
      <c r="AD516" s="22" t="n">
        <v>0.0588</v>
      </c>
      <c r="AE516" s="22" t="n">
        <v>0.0543</v>
      </c>
      <c r="AF516" s="22" t="n">
        <v>0.0954</v>
      </c>
      <c r="AG516" s="22" t="n">
        <v>0.1127</v>
      </c>
      <c r="AH516" s="22" t="n">
        <v>0.1392</v>
      </c>
      <c r="AI516" s="22" t="n">
        <v>0.1521</v>
      </c>
      <c r="AJ516" s="22" t="n">
        <v>0.0798</v>
      </c>
      <c r="AK516" s="22" t="n">
        <v>0.073</v>
      </c>
      <c r="AL516" s="22" t="n">
        <v>0.0623</v>
      </c>
      <c r="AM516" s="22" t="n">
        <v>0.0874</v>
      </c>
      <c r="AN516" s="22" t="n">
        <v>0.0848</v>
      </c>
      <c r="AO516" s="22" t="n">
        <v>0.0463</v>
      </c>
      <c r="AP516" s="22" t="n">
        <v>0.0163</v>
      </c>
      <c r="AQ516" s="22" t="n">
        <v>-0.0281</v>
      </c>
      <c r="AR516" s="22" t="n">
        <v>-0.0151</v>
      </c>
      <c r="AS516" s="22" t="n">
        <v>0.0196</v>
      </c>
      <c r="AT516" s="22" t="n">
        <v>0.0658</v>
      </c>
      <c r="AU516" s="22" t="n">
        <v>0.0569</v>
      </c>
      <c r="AV516" s="22" t="n">
        <v>0.1003</v>
      </c>
    </row>
    <row r="517" customFormat="false" ht="15" hidden="false" customHeight="false" outlineLevel="0" collapsed="false">
      <c r="A517" s="22" t="s">
        <v>632</v>
      </c>
      <c r="B517" s="22" t="s">
        <v>3</v>
      </c>
      <c r="C517" s="22" t="s">
        <v>632</v>
      </c>
      <c r="D517" s="22" t="n">
        <v>45620</v>
      </c>
      <c r="E517" s="22" t="s">
        <v>132</v>
      </c>
      <c r="F517" s="22" t="s">
        <v>135</v>
      </c>
      <c r="G517" s="22" t="s">
        <v>131</v>
      </c>
      <c r="H517" s="22" t="s">
        <v>131</v>
      </c>
      <c r="I517" s="22" t="n">
        <v>0.0618</v>
      </c>
      <c r="J517" s="22" t="n">
        <v>0.0256</v>
      </c>
      <c r="K517" s="22"/>
      <c r="L517" s="22"/>
      <c r="M517" s="22" t="n">
        <v>0.05</v>
      </c>
      <c r="N517" s="22" t="n">
        <v>0.0087</v>
      </c>
      <c r="O517" s="22" t="n">
        <v>-0.0535</v>
      </c>
      <c r="P517" s="22" t="n">
        <v>-0.0647</v>
      </c>
      <c r="Q517" s="22" t="n">
        <v>-0.0102</v>
      </c>
      <c r="R517" s="22" t="n">
        <v>0.0593</v>
      </c>
      <c r="S517" s="22" t="n">
        <v>0.0396</v>
      </c>
      <c r="T517" s="22" t="n">
        <v>0.0527</v>
      </c>
      <c r="U517" s="22" t="n">
        <v>0.0422</v>
      </c>
      <c r="V517" s="22" t="n">
        <v>0.0277</v>
      </c>
      <c r="W517" s="22" t="n">
        <v>0.0165</v>
      </c>
      <c r="X517" s="22" t="n">
        <v>0.0136</v>
      </c>
      <c r="Y517" s="22" t="n">
        <v>0.0238</v>
      </c>
      <c r="Z517" s="22" t="n">
        <v>0.0074</v>
      </c>
      <c r="AA517" s="22" t="n">
        <v>0.0177</v>
      </c>
      <c r="AB517" s="22" t="n">
        <v>0.0145</v>
      </c>
      <c r="AC517" s="22" t="n">
        <v>0.0534</v>
      </c>
      <c r="AD517" s="22" t="n">
        <v>0.088</v>
      </c>
      <c r="AE517" s="22" t="n">
        <v>0.1157</v>
      </c>
      <c r="AF517" s="22" t="n">
        <v>0.1655</v>
      </c>
      <c r="AG517" s="22" t="n">
        <v>0.1521</v>
      </c>
      <c r="AH517" s="22" t="n">
        <v>0.1625</v>
      </c>
      <c r="AI517" s="22" t="n">
        <v>0.1492</v>
      </c>
      <c r="AJ517" s="22" t="n">
        <v>0.086</v>
      </c>
      <c r="AK517" s="22" t="n">
        <v>0.0538</v>
      </c>
      <c r="AL517" s="22" t="n">
        <v>-0.0054</v>
      </c>
      <c r="AM517" s="22" t="n">
        <v>-0.01</v>
      </c>
      <c r="AN517" s="22" t="n">
        <v>0.0112</v>
      </c>
      <c r="AO517" s="22" t="n">
        <v>0.0543</v>
      </c>
      <c r="AP517" s="22" t="n">
        <v>0.081</v>
      </c>
      <c r="AQ517" s="22" t="n">
        <v>0.0806</v>
      </c>
      <c r="AR517" s="22" t="n">
        <v>0.1003</v>
      </c>
      <c r="AS517" s="22" t="n">
        <v>0.1084</v>
      </c>
      <c r="AT517" s="22" t="n">
        <v>0.108</v>
      </c>
      <c r="AU517" s="22" t="n">
        <v>0.0817</v>
      </c>
      <c r="AV517" s="22" t="n">
        <v>0.0528</v>
      </c>
    </row>
    <row r="518" customFormat="false" ht="15" hidden="false" customHeight="false" outlineLevel="0" collapsed="false">
      <c r="A518" s="22" t="s">
        <v>633</v>
      </c>
      <c r="B518" s="22" t="s">
        <v>3</v>
      </c>
      <c r="C518" s="22" t="s">
        <v>633</v>
      </c>
      <c r="D518" s="22" t="n">
        <v>45700</v>
      </c>
      <c r="E518" s="22" t="s">
        <v>132</v>
      </c>
      <c r="F518" s="22" t="s">
        <v>135</v>
      </c>
      <c r="G518" s="22" t="s">
        <v>131</v>
      </c>
      <c r="H518" s="22" t="s">
        <v>131</v>
      </c>
      <c r="I518" s="22"/>
      <c r="J518" s="22"/>
      <c r="K518" s="22" t="n">
        <v>0.0979</v>
      </c>
      <c r="L518" s="22"/>
      <c r="M518" s="22" t="n">
        <v>0.1178</v>
      </c>
      <c r="N518" s="22" t="n">
        <v>0.1108</v>
      </c>
      <c r="O518" s="22" t="n">
        <v>0.048</v>
      </c>
      <c r="P518" s="22" t="n">
        <v>0.0428</v>
      </c>
      <c r="Q518" s="22" t="n">
        <v>0.031</v>
      </c>
      <c r="R518" s="22" t="n">
        <v>0.0239</v>
      </c>
      <c r="S518" s="22" t="n">
        <v>0.0119</v>
      </c>
      <c r="T518" s="22" t="n">
        <v>0.0008</v>
      </c>
      <c r="U518" s="22" t="n">
        <v>0.0151</v>
      </c>
      <c r="V518" s="22" t="n">
        <v>-0.0017</v>
      </c>
      <c r="W518" s="22" t="n">
        <v>-0.0162</v>
      </c>
      <c r="X518" s="22" t="n">
        <v>-0.0143</v>
      </c>
      <c r="Y518" s="22" t="n">
        <v>-0.0145</v>
      </c>
      <c r="Z518" s="22" t="n">
        <v>0.0015</v>
      </c>
      <c r="AA518" s="22" t="n">
        <v>0.0174</v>
      </c>
      <c r="AB518" s="22" t="n">
        <v>0.0551</v>
      </c>
      <c r="AC518" s="22" t="n">
        <v>0.2241</v>
      </c>
      <c r="AD518" s="22" t="n">
        <v>0.244</v>
      </c>
      <c r="AE518" s="22" t="n">
        <v>0.2312</v>
      </c>
      <c r="AF518" s="22" t="n">
        <v>0.2101</v>
      </c>
      <c r="AG518" s="22" t="n">
        <v>0.0369</v>
      </c>
      <c r="AH518" s="22" t="n">
        <v>0.0187</v>
      </c>
      <c r="AI518" s="22" t="n">
        <v>0.0379</v>
      </c>
      <c r="AJ518" s="22"/>
      <c r="AK518" s="22"/>
      <c r="AL518" s="22"/>
      <c r="AM518" s="22"/>
      <c r="AN518" s="22"/>
      <c r="AO518" s="22"/>
      <c r="AP518" s="22"/>
      <c r="AQ518" s="22"/>
      <c r="AR518" s="22" t="n">
        <v>0.1109</v>
      </c>
      <c r="AS518" s="22" t="n">
        <v>0.1032</v>
      </c>
      <c r="AT518" s="22" t="n">
        <v>0.1125</v>
      </c>
      <c r="AU518" s="22"/>
      <c r="AV518" s="22"/>
    </row>
    <row r="519" customFormat="false" ht="15" hidden="false" customHeight="false" outlineLevel="0" collapsed="false">
      <c r="A519" s="22" t="s">
        <v>216</v>
      </c>
      <c r="B519" s="22" t="s">
        <v>3</v>
      </c>
      <c r="C519" s="22" t="s">
        <v>216</v>
      </c>
      <c r="D519" s="22" t="n">
        <v>45780</v>
      </c>
      <c r="E519" s="22" t="s">
        <v>132</v>
      </c>
      <c r="F519" s="22" t="s">
        <v>135</v>
      </c>
      <c r="G519" s="22" t="s">
        <v>131</v>
      </c>
      <c r="H519" s="22" t="s">
        <v>131</v>
      </c>
      <c r="I519" s="22" t="n">
        <v>0.0324</v>
      </c>
      <c r="J519" s="22" t="n">
        <v>0.0521</v>
      </c>
      <c r="K519" s="22" t="n">
        <v>0.0377</v>
      </c>
      <c r="L519" s="22" t="n">
        <v>0.0133</v>
      </c>
      <c r="M519" s="22" t="n">
        <v>-0.0018</v>
      </c>
      <c r="N519" s="22" t="n">
        <v>-0.0211</v>
      </c>
      <c r="O519" s="22" t="n">
        <v>-0.0185</v>
      </c>
      <c r="P519" s="22" t="n">
        <v>0.0013</v>
      </c>
      <c r="Q519" s="22" t="n">
        <v>0.0439</v>
      </c>
      <c r="R519" s="22" t="n">
        <v>0.0515</v>
      </c>
      <c r="S519" s="22" t="n">
        <v>0.0487</v>
      </c>
      <c r="T519" s="22" t="n">
        <v>0.0583</v>
      </c>
      <c r="U519" s="22" t="n">
        <v>0.0277</v>
      </c>
      <c r="V519" s="22" t="n">
        <v>0.0184</v>
      </c>
      <c r="W519" s="22" t="n">
        <v>0.0468</v>
      </c>
      <c r="X519" s="22" t="n">
        <v>0.0318</v>
      </c>
      <c r="Y519" s="22" t="n">
        <v>0.0384</v>
      </c>
      <c r="Z519" s="22" t="n">
        <v>0.0325</v>
      </c>
      <c r="AA519" s="22" t="n">
        <v>0.0198</v>
      </c>
      <c r="AB519" s="22" t="n">
        <v>0.0264</v>
      </c>
      <c r="AC519" s="22" t="n">
        <v>0.0375</v>
      </c>
      <c r="AD519" s="22" t="n">
        <v>0.0608</v>
      </c>
      <c r="AE519" s="22" t="n">
        <v>0.0909</v>
      </c>
      <c r="AF519" s="22" t="n">
        <v>0.1188</v>
      </c>
      <c r="AG519" s="22" t="n">
        <v>0.1289</v>
      </c>
      <c r="AH519" s="22" t="n">
        <v>0.1505</v>
      </c>
      <c r="AI519" s="22" t="n">
        <v>0.1373</v>
      </c>
      <c r="AJ519" s="22" t="n">
        <v>0.1085</v>
      </c>
      <c r="AK519" s="22" t="n">
        <v>0.0715</v>
      </c>
      <c r="AL519" s="22" t="n">
        <v>0.0606</v>
      </c>
      <c r="AM519" s="22" t="n">
        <v>0.0528</v>
      </c>
      <c r="AN519" s="22" t="n">
        <v>0.053</v>
      </c>
      <c r="AO519" s="22" t="n">
        <v>0.0561</v>
      </c>
      <c r="AP519" s="22" t="n">
        <v>0.0395</v>
      </c>
      <c r="AQ519" s="22" t="n">
        <v>0.0162</v>
      </c>
      <c r="AR519" s="22" t="n">
        <v>0.0147</v>
      </c>
      <c r="AS519" s="22" t="n">
        <v>0.0255</v>
      </c>
      <c r="AT519" s="22" t="n">
        <v>0.0226</v>
      </c>
      <c r="AU519" s="22" t="n">
        <v>0.0285</v>
      </c>
      <c r="AV519" s="22" t="n">
        <v>0.0268</v>
      </c>
    </row>
    <row r="520" customFormat="false" ht="15" hidden="false" customHeight="false" outlineLevel="0" collapsed="false">
      <c r="A520" s="22" t="s">
        <v>634</v>
      </c>
      <c r="B520" s="22" t="s">
        <v>3</v>
      </c>
      <c r="C520" s="22" t="s">
        <v>634</v>
      </c>
      <c r="D520" s="22" t="n">
        <v>45820</v>
      </c>
      <c r="E520" s="22" t="s">
        <v>132</v>
      </c>
      <c r="F520" s="22" t="s">
        <v>135</v>
      </c>
      <c r="G520" s="22" t="s">
        <v>131</v>
      </c>
      <c r="H520" s="22" t="s">
        <v>131</v>
      </c>
      <c r="I520" s="22" t="n">
        <v>0.0527</v>
      </c>
      <c r="J520" s="22" t="n">
        <v>0.0126</v>
      </c>
      <c r="K520" s="22" t="n">
        <v>0.0356</v>
      </c>
      <c r="L520" s="22" t="n">
        <v>0.0178</v>
      </c>
      <c r="M520" s="22" t="n">
        <v>0.0283</v>
      </c>
      <c r="N520" s="22" t="n">
        <v>0.0485</v>
      </c>
      <c r="O520" s="22" t="n">
        <v>0.0363</v>
      </c>
      <c r="P520" s="22" t="n">
        <v>0.0285</v>
      </c>
      <c r="Q520" s="22" t="n">
        <v>0.0167</v>
      </c>
      <c r="R520" s="22" t="n">
        <v>0.025</v>
      </c>
      <c r="S520" s="22" t="n">
        <v>0.0463</v>
      </c>
      <c r="T520" s="22" t="n">
        <v>0.0432</v>
      </c>
      <c r="U520" s="22" t="n">
        <v>0.0759</v>
      </c>
      <c r="V520" s="22" t="n">
        <v>0.0818</v>
      </c>
      <c r="W520" s="22" t="n">
        <v>0.0147</v>
      </c>
      <c r="X520" s="22" t="n">
        <v>0.0364</v>
      </c>
      <c r="Y520" s="22" t="n">
        <v>-0.0004</v>
      </c>
      <c r="Z520" s="22" t="n">
        <v>-0.0136</v>
      </c>
      <c r="AA520" s="22" t="n">
        <v>0.0536</v>
      </c>
      <c r="AB520" s="22" t="n">
        <v>0.0289</v>
      </c>
      <c r="AC520" s="22" t="n">
        <v>0.0201</v>
      </c>
      <c r="AD520" s="22" t="n">
        <v>0.0385</v>
      </c>
      <c r="AE520" s="22" t="n">
        <v>0.0211</v>
      </c>
      <c r="AF520" s="22" t="n">
        <v>0.071</v>
      </c>
      <c r="AG520" s="22" t="n">
        <v>0.0873</v>
      </c>
      <c r="AH520" s="22" t="n">
        <v>0.084</v>
      </c>
      <c r="AI520" s="22" t="n">
        <v>0.101</v>
      </c>
      <c r="AJ520" s="22" t="n">
        <v>0.0619</v>
      </c>
      <c r="AK520" s="22" t="n">
        <v>0.0623</v>
      </c>
      <c r="AL520" s="22" t="n">
        <v>0.0444</v>
      </c>
      <c r="AM520" s="22" t="n">
        <v>0.0201</v>
      </c>
      <c r="AN520" s="22" t="n">
        <v>0.0325</v>
      </c>
      <c r="AO520" s="22" t="n">
        <v>0.0338</v>
      </c>
      <c r="AP520" s="22" t="n">
        <v>0.0821</v>
      </c>
      <c r="AQ520" s="22" t="n">
        <v>0.0805</v>
      </c>
      <c r="AR520" s="22" t="n">
        <v>0.0745</v>
      </c>
      <c r="AS520" s="22" t="n">
        <v>0.0787</v>
      </c>
      <c r="AT520" s="22" t="n">
        <v>0.0763</v>
      </c>
      <c r="AU520" s="22" t="n">
        <v>0.084</v>
      </c>
      <c r="AV520" s="22" t="n">
        <v>0.083</v>
      </c>
    </row>
    <row r="521" customFormat="false" ht="15" hidden="false" customHeight="false" outlineLevel="0" collapsed="false">
      <c r="A521" s="22" t="s">
        <v>635</v>
      </c>
      <c r="B521" s="22" t="s">
        <v>3</v>
      </c>
      <c r="C521" s="22" t="s">
        <v>635</v>
      </c>
      <c r="D521" s="22" t="n">
        <v>45880</v>
      </c>
      <c r="E521" s="22" t="s">
        <v>132</v>
      </c>
      <c r="F521" s="22" t="s">
        <v>135</v>
      </c>
      <c r="G521" s="22" t="s">
        <v>131</v>
      </c>
      <c r="H521" s="22" t="s">
        <v>131</v>
      </c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</row>
    <row r="522" customFormat="false" ht="15" hidden="false" customHeight="false" outlineLevel="0" collapsed="false">
      <c r="A522" s="22" t="s">
        <v>636</v>
      </c>
      <c r="B522" s="22" t="s">
        <v>3</v>
      </c>
      <c r="C522" s="22" t="s">
        <v>636</v>
      </c>
      <c r="D522" s="22" t="n">
        <v>45900</v>
      </c>
      <c r="E522" s="22" t="s">
        <v>132</v>
      </c>
      <c r="F522" s="22" t="s">
        <v>135</v>
      </c>
      <c r="G522" s="22" t="s">
        <v>131</v>
      </c>
      <c r="H522" s="22" t="s">
        <v>131</v>
      </c>
      <c r="I522" s="22" t="n">
        <v>0.0636</v>
      </c>
      <c r="J522" s="22" t="n">
        <v>0.0733</v>
      </c>
      <c r="K522" s="22" t="n">
        <v>0.0656</v>
      </c>
      <c r="L522" s="22" t="n">
        <v>0.0499</v>
      </c>
      <c r="M522" s="22" t="n">
        <v>0.0186</v>
      </c>
      <c r="N522" s="22" t="n">
        <v>0.0041</v>
      </c>
      <c r="O522" s="22" t="n">
        <v>0.0069</v>
      </c>
      <c r="P522" s="22" t="n">
        <v>0.0174</v>
      </c>
      <c r="Q522" s="22" t="n">
        <v>0.0241</v>
      </c>
      <c r="R522" s="22" t="n">
        <v>0.009</v>
      </c>
      <c r="S522" s="22" t="n">
        <v>-0.0318</v>
      </c>
      <c r="T522" s="22" t="n">
        <v>-0.0442</v>
      </c>
      <c r="U522" s="22" t="n">
        <v>-0.0496</v>
      </c>
      <c r="V522" s="22" t="n">
        <v>0.0182</v>
      </c>
      <c r="W522" s="22" t="n">
        <v>0.0542</v>
      </c>
      <c r="X522" s="22" t="n">
        <v>0.0844</v>
      </c>
      <c r="Y522" s="22" t="n">
        <v>0.0999</v>
      </c>
      <c r="Z522" s="22" t="n">
        <v>0.0472</v>
      </c>
      <c r="AA522" s="22" t="n">
        <v>0.0842</v>
      </c>
      <c r="AB522" s="22" t="n">
        <v>0.0934</v>
      </c>
      <c r="AC522" s="22" t="n">
        <v>0.0888</v>
      </c>
      <c r="AD522" s="22" t="n">
        <v>0.092</v>
      </c>
      <c r="AE522" s="22" t="n">
        <v>0.0572</v>
      </c>
      <c r="AF522" s="22" t="n">
        <v>0.0287</v>
      </c>
      <c r="AG522" s="22" t="n">
        <v>0.0632</v>
      </c>
      <c r="AH522" s="22" t="n">
        <v>0.078</v>
      </c>
      <c r="AI522" s="22" t="n">
        <v>0.178</v>
      </c>
      <c r="AJ522" s="22" t="n">
        <v>0.2871</v>
      </c>
      <c r="AK522" s="22" t="n">
        <v>0.1908</v>
      </c>
      <c r="AL522" s="22" t="n">
        <v>0.2579</v>
      </c>
      <c r="AM522" s="22" t="n">
        <v>0.1882</v>
      </c>
      <c r="AN522" s="22" t="n">
        <v>0.0625</v>
      </c>
      <c r="AO522" s="22" t="n">
        <v>0.1552</v>
      </c>
      <c r="AP522" s="22" t="n">
        <v>0.0964</v>
      </c>
      <c r="AQ522" s="22" t="n">
        <v>0.0116</v>
      </c>
      <c r="AR522" s="22" t="n">
        <v>0.0414</v>
      </c>
      <c r="AS522" s="22" t="n">
        <v>0.0036</v>
      </c>
      <c r="AT522" s="22" t="n">
        <v>0.0263</v>
      </c>
      <c r="AU522" s="22" t="n">
        <v>0.1122</v>
      </c>
      <c r="AV522" s="22" t="n">
        <v>0.0946</v>
      </c>
    </row>
    <row r="523" customFormat="false" ht="15" hidden="false" customHeight="false" outlineLevel="0" collapsed="false">
      <c r="A523" s="22" t="s">
        <v>217</v>
      </c>
      <c r="B523" s="22" t="s">
        <v>3</v>
      </c>
      <c r="C523" s="22" t="s">
        <v>217</v>
      </c>
      <c r="D523" s="22" t="n">
        <v>45940</v>
      </c>
      <c r="E523" s="22" t="s">
        <v>132</v>
      </c>
      <c r="F523" s="22" t="s">
        <v>135</v>
      </c>
      <c r="G523" s="22" t="s">
        <v>131</v>
      </c>
      <c r="H523" s="22" t="s">
        <v>131</v>
      </c>
      <c r="I523" s="22" t="n">
        <v>-0.0127</v>
      </c>
      <c r="J523" s="22" t="n">
        <v>0.0257</v>
      </c>
      <c r="K523" s="22" t="n">
        <v>0.0687</v>
      </c>
      <c r="L523" s="22" t="n">
        <v>0.0793</v>
      </c>
      <c r="M523" s="22" t="n">
        <v>0.0644</v>
      </c>
      <c r="N523" s="22" t="n">
        <v>0.0484</v>
      </c>
      <c r="O523" s="22" t="n">
        <v>0.0198</v>
      </c>
      <c r="P523" s="22" t="n">
        <v>0.0241</v>
      </c>
      <c r="Q523" s="22" t="n">
        <v>0.0549</v>
      </c>
      <c r="R523" s="22" t="n">
        <v>0.0659</v>
      </c>
      <c r="S523" s="22" t="n">
        <v>0.0487</v>
      </c>
      <c r="T523" s="22" t="n">
        <v>0.0307</v>
      </c>
      <c r="U523" s="22" t="n">
        <v>0.0166</v>
      </c>
      <c r="V523" s="22" t="n">
        <v>0.0126</v>
      </c>
      <c r="W523" s="22" t="n">
        <v>0.029</v>
      </c>
      <c r="X523" s="22" t="n">
        <v>0.0475</v>
      </c>
      <c r="Y523" s="22" t="n">
        <v>0.0571</v>
      </c>
      <c r="Z523" s="22" t="n">
        <v>0.0325</v>
      </c>
      <c r="AA523" s="22" t="n">
        <v>0.0126</v>
      </c>
      <c r="AB523" s="22" t="n">
        <v>0.0122</v>
      </c>
      <c r="AC523" s="22" t="n">
        <v>-0.0005</v>
      </c>
      <c r="AD523" s="22" t="n">
        <v>0.0311</v>
      </c>
      <c r="AE523" s="22" t="n">
        <v>0.0664</v>
      </c>
      <c r="AF523" s="22" t="n">
        <v>0.1308</v>
      </c>
      <c r="AG523" s="22" t="n">
        <v>0.1611</v>
      </c>
      <c r="AH523" s="22" t="n">
        <v>0.1769</v>
      </c>
      <c r="AI523" s="22" t="n">
        <v>0.1599</v>
      </c>
      <c r="AJ523" s="22" t="n">
        <v>0.1046</v>
      </c>
      <c r="AK523" s="22" t="n">
        <v>0.0916</v>
      </c>
      <c r="AL523" s="22" t="n">
        <v>0.0748</v>
      </c>
      <c r="AM523" s="22" t="n">
        <v>0.1591</v>
      </c>
      <c r="AN523" s="22" t="n">
        <v>0.1507</v>
      </c>
      <c r="AO523" s="22" t="n">
        <v>0.1276</v>
      </c>
      <c r="AP523" s="22" t="n">
        <v>0.114</v>
      </c>
      <c r="AQ523" s="22" t="n">
        <v>0.0105</v>
      </c>
      <c r="AR523" s="22" t="n">
        <v>-0.0033</v>
      </c>
      <c r="AS523" s="22" t="n">
        <v>0.0146</v>
      </c>
      <c r="AT523" s="22" t="n">
        <v>0.0573</v>
      </c>
      <c r="AU523" s="22" t="n">
        <v>0.0609</v>
      </c>
      <c r="AV523" s="22" t="n">
        <v>0.0508</v>
      </c>
    </row>
    <row r="524" customFormat="false" ht="15" hidden="false" customHeight="false" outlineLevel="0" collapsed="false">
      <c r="A524" s="22" t="s">
        <v>637</v>
      </c>
      <c r="B524" s="22" t="s">
        <v>3</v>
      </c>
      <c r="C524" s="22" t="s">
        <v>637</v>
      </c>
      <c r="D524" s="22" t="n">
        <v>45980</v>
      </c>
      <c r="E524" s="22" t="s">
        <v>132</v>
      </c>
      <c r="F524" s="22" t="s">
        <v>135</v>
      </c>
      <c r="G524" s="22" t="s">
        <v>131</v>
      </c>
      <c r="H524" s="22" t="s">
        <v>131</v>
      </c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</row>
    <row r="525" customFormat="false" ht="15" hidden="false" customHeight="false" outlineLevel="0" collapsed="false">
      <c r="A525" s="22" t="s">
        <v>638</v>
      </c>
      <c r="B525" s="22" t="s">
        <v>3</v>
      </c>
      <c r="C525" s="22" t="s">
        <v>638</v>
      </c>
      <c r="D525" s="22" t="n">
        <v>46020</v>
      </c>
      <c r="E525" s="22" t="s">
        <v>132</v>
      </c>
      <c r="F525" s="22" t="s">
        <v>135</v>
      </c>
      <c r="G525" s="22" t="s">
        <v>131</v>
      </c>
      <c r="H525" s="22" t="s">
        <v>131</v>
      </c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</row>
    <row r="526" customFormat="false" ht="15" hidden="false" customHeight="false" outlineLevel="0" collapsed="false">
      <c r="A526" s="22" t="s">
        <v>55</v>
      </c>
      <c r="B526" s="22" t="s">
        <v>3</v>
      </c>
      <c r="C526" s="22" t="s">
        <v>55</v>
      </c>
      <c r="D526" s="22" t="n">
        <v>46060</v>
      </c>
      <c r="E526" s="22" t="s">
        <v>132</v>
      </c>
      <c r="F526" s="22" t="s">
        <v>135</v>
      </c>
      <c r="G526" s="22" t="s">
        <v>131</v>
      </c>
      <c r="H526" s="22" t="s">
        <v>131</v>
      </c>
      <c r="I526" s="22" t="n">
        <v>0.0658</v>
      </c>
      <c r="J526" s="22" t="n">
        <v>0.0639</v>
      </c>
      <c r="K526" s="22" t="n">
        <v>0.0491</v>
      </c>
      <c r="L526" s="22" t="n">
        <v>0.0448</v>
      </c>
      <c r="M526" s="22" t="n">
        <v>0.0395</v>
      </c>
      <c r="N526" s="22" t="n">
        <v>0.0449</v>
      </c>
      <c r="O526" s="22" t="n">
        <v>0.0611</v>
      </c>
      <c r="P526" s="22" t="n">
        <v>0.0565</v>
      </c>
      <c r="Q526" s="22" t="n">
        <v>0.0602</v>
      </c>
      <c r="R526" s="22" t="n">
        <v>0.0567</v>
      </c>
      <c r="S526" s="22" t="n">
        <v>0.0613</v>
      </c>
      <c r="T526" s="22" t="n">
        <v>0.0725</v>
      </c>
      <c r="U526" s="22" t="n">
        <v>0.0714</v>
      </c>
      <c r="V526" s="22" t="n">
        <v>0.0722</v>
      </c>
      <c r="W526" s="22" t="n">
        <v>0.0687</v>
      </c>
      <c r="X526" s="22" t="n">
        <v>0.0697</v>
      </c>
      <c r="Y526" s="22" t="n">
        <v>0.0738</v>
      </c>
      <c r="Z526" s="22" t="n">
        <v>0.0443</v>
      </c>
      <c r="AA526" s="22" t="n">
        <v>0.0587</v>
      </c>
      <c r="AB526" s="22" t="n">
        <v>0.0735</v>
      </c>
      <c r="AC526" s="22" t="n">
        <v>0.0848</v>
      </c>
      <c r="AD526" s="22" t="n">
        <v>0.1604</v>
      </c>
      <c r="AE526" s="22" t="n">
        <v>0.2182</v>
      </c>
      <c r="AF526" s="22" t="n">
        <v>0.2326</v>
      </c>
      <c r="AG526" s="22" t="n">
        <v>0.2323</v>
      </c>
      <c r="AH526" s="22" t="n">
        <v>0.2048</v>
      </c>
      <c r="AI526" s="22" t="n">
        <v>0.1232</v>
      </c>
      <c r="AJ526" s="22" t="n">
        <v>0.0809</v>
      </c>
      <c r="AK526" s="22" t="n">
        <v>0.049</v>
      </c>
      <c r="AL526" s="22" t="n">
        <v>0.0294</v>
      </c>
      <c r="AM526" s="22" t="n">
        <v>0.0272</v>
      </c>
      <c r="AN526" s="22" t="n">
        <v>0.0168</v>
      </c>
      <c r="AO526" s="22" t="n">
        <v>0.0034</v>
      </c>
      <c r="AP526" s="22" t="n">
        <v>-0.0113</v>
      </c>
      <c r="AQ526" s="22" t="n">
        <v>-0.0217</v>
      </c>
      <c r="AR526" s="22" t="n">
        <v>-0.0198</v>
      </c>
      <c r="AS526" s="22" t="n">
        <v>-0.0218</v>
      </c>
      <c r="AT526" s="22" t="n">
        <v>-0.0143</v>
      </c>
      <c r="AU526" s="22" t="n">
        <v>-0.0107</v>
      </c>
      <c r="AV526" s="22" t="n">
        <v>-0.0303</v>
      </c>
    </row>
    <row r="527" customFormat="false" ht="15" hidden="false" customHeight="false" outlineLevel="0" collapsed="false">
      <c r="A527" s="22" t="s">
        <v>74</v>
      </c>
      <c r="B527" s="22" t="s">
        <v>3</v>
      </c>
      <c r="C527" s="22" t="s">
        <v>74</v>
      </c>
      <c r="D527" s="22" t="n">
        <v>46140</v>
      </c>
      <c r="E527" s="22" t="s">
        <v>132</v>
      </c>
      <c r="F527" s="22" t="s">
        <v>135</v>
      </c>
      <c r="G527" s="22" t="s">
        <v>131</v>
      </c>
      <c r="H527" s="22" t="s">
        <v>131</v>
      </c>
      <c r="I527" s="22" t="n">
        <v>0.016</v>
      </c>
      <c r="J527" s="22" t="n">
        <v>-0.0024</v>
      </c>
      <c r="K527" s="22" t="n">
        <v>-0.0061</v>
      </c>
      <c r="L527" s="22" t="n">
        <v>-0.0139</v>
      </c>
      <c r="M527" s="22" t="n">
        <v>-0.012</v>
      </c>
      <c r="N527" s="22" t="n">
        <v>-0.0048</v>
      </c>
      <c r="O527" s="22" t="n">
        <v>0.008</v>
      </c>
      <c r="P527" s="22" t="n">
        <v>0.0075</v>
      </c>
      <c r="Q527" s="22" t="n">
        <v>0.0188</v>
      </c>
      <c r="R527" s="22" t="n">
        <v>0.0173</v>
      </c>
      <c r="S527" s="22" t="n">
        <v>0.0236</v>
      </c>
      <c r="T527" s="22" t="n">
        <v>0.0483</v>
      </c>
      <c r="U527" s="22" t="n">
        <v>0.0499</v>
      </c>
      <c r="V527" s="22" t="n">
        <v>0.0558</v>
      </c>
      <c r="W527" s="22" t="n">
        <v>0.0463</v>
      </c>
      <c r="X527" s="22" t="n">
        <v>0.0373</v>
      </c>
      <c r="Y527" s="22" t="n">
        <v>0.0359</v>
      </c>
      <c r="Z527" s="22" t="n">
        <v>0.0243</v>
      </c>
      <c r="AA527" s="22" t="n">
        <v>0.0361</v>
      </c>
      <c r="AB527" s="22" t="n">
        <v>0.0369</v>
      </c>
      <c r="AC527" s="22" t="n">
        <v>0.0356</v>
      </c>
      <c r="AD527" s="22" t="n">
        <v>0.0621</v>
      </c>
      <c r="AE527" s="22" t="n">
        <v>0.1027</v>
      </c>
      <c r="AF527" s="22" t="n">
        <v>0.1329</v>
      </c>
      <c r="AG527" s="22" t="n">
        <v>0.1465</v>
      </c>
      <c r="AH527" s="22" t="n">
        <v>0.1495</v>
      </c>
      <c r="AI527" s="22" t="n">
        <v>0.1109</v>
      </c>
      <c r="AJ527" s="22" t="n">
        <v>0.0904</v>
      </c>
      <c r="AK527" s="22" t="n">
        <v>0.0674</v>
      </c>
      <c r="AL527" s="22" t="n">
        <v>0.0492</v>
      </c>
      <c r="AM527" s="22" t="n">
        <v>0.0469</v>
      </c>
      <c r="AN527" s="22" t="n">
        <v>0.0369</v>
      </c>
      <c r="AO527" s="22" t="n">
        <v>0.0451</v>
      </c>
      <c r="AP527" s="22" t="n">
        <v>0.0403</v>
      </c>
      <c r="AQ527" s="22" t="n">
        <v>0.0311</v>
      </c>
      <c r="AR527" s="22" t="n">
        <v>0.0291</v>
      </c>
      <c r="AS527" s="22" t="n">
        <v>0.0285</v>
      </c>
      <c r="AT527" s="22" t="n">
        <v>0.0255</v>
      </c>
      <c r="AU527" s="22" t="n">
        <v>0.0252</v>
      </c>
      <c r="AV527" s="22" t="n">
        <v>0.0191</v>
      </c>
    </row>
    <row r="528" customFormat="false" ht="15" hidden="false" customHeight="false" outlineLevel="0" collapsed="false">
      <c r="A528" s="22" t="s">
        <v>639</v>
      </c>
      <c r="B528" s="22" t="s">
        <v>3</v>
      </c>
      <c r="C528" s="22" t="s">
        <v>639</v>
      </c>
      <c r="D528" s="22" t="n">
        <v>46180</v>
      </c>
      <c r="E528" s="22" t="s">
        <v>132</v>
      </c>
      <c r="F528" s="22" t="s">
        <v>135</v>
      </c>
      <c r="G528" s="22" t="s">
        <v>131</v>
      </c>
      <c r="H528" s="22" t="s">
        <v>131</v>
      </c>
      <c r="I528" s="22" t="n">
        <v>0.0659</v>
      </c>
      <c r="J528" s="22" t="n">
        <v>0.0718</v>
      </c>
      <c r="K528" s="22"/>
      <c r="L528" s="22" t="n">
        <v>0.1519</v>
      </c>
      <c r="M528" s="22" t="n">
        <v>0.122</v>
      </c>
      <c r="N528" s="22" t="n">
        <v>0.0727</v>
      </c>
      <c r="O528" s="22" t="n">
        <v>0.0572</v>
      </c>
      <c r="P528" s="22" t="n">
        <v>-0.0167</v>
      </c>
      <c r="Q528" s="22" t="n">
        <v>-0.0313</v>
      </c>
      <c r="R528" s="22" t="n">
        <v>0.01</v>
      </c>
      <c r="S528" s="22" t="n">
        <v>-0.0268</v>
      </c>
      <c r="T528" s="22" t="n">
        <v>-0.0161</v>
      </c>
      <c r="U528" s="22" t="n">
        <v>0.0212</v>
      </c>
      <c r="V528" s="22" t="n">
        <v>0.0422</v>
      </c>
      <c r="W528" s="22" t="n">
        <v>0.0464</v>
      </c>
      <c r="X528" s="22" t="n">
        <v>0.0289</v>
      </c>
      <c r="Y528" s="22" t="n">
        <v>0.0333</v>
      </c>
      <c r="Z528" s="22" t="n">
        <v>0.0079</v>
      </c>
      <c r="AA528" s="22" t="n">
        <v>0.0248</v>
      </c>
      <c r="AB528" s="22" t="n">
        <v>0.0451</v>
      </c>
      <c r="AC528" s="22" t="n">
        <v>0.0966</v>
      </c>
      <c r="AD528" s="22" t="n">
        <v>0.1135</v>
      </c>
      <c r="AE528" s="22" t="n">
        <v>0.0645</v>
      </c>
      <c r="AF528" s="22" t="n">
        <v>0.047</v>
      </c>
      <c r="AG528" s="22" t="n">
        <v>0.0359</v>
      </c>
      <c r="AH528" s="22" t="n">
        <v>0.0347</v>
      </c>
      <c r="AI528" s="22" t="n">
        <v>0.076</v>
      </c>
      <c r="AJ528" s="22" t="n">
        <v>0.0864</v>
      </c>
      <c r="AK528" s="22" t="n">
        <v>0.075</v>
      </c>
      <c r="AL528" s="22" t="n">
        <v>0.0485</v>
      </c>
      <c r="AM528" s="22" t="n">
        <v>0.0497</v>
      </c>
      <c r="AN528" s="22" t="n">
        <v>0.0617</v>
      </c>
      <c r="AO528" s="22" t="n">
        <v>0.0251</v>
      </c>
      <c r="AP528" s="22" t="n">
        <v>0.0323</v>
      </c>
      <c r="AQ528" s="22" t="n">
        <v>0.0256</v>
      </c>
      <c r="AR528" s="22" t="n">
        <v>0.0288</v>
      </c>
      <c r="AS528" s="22" t="n">
        <v>0.0373</v>
      </c>
      <c r="AT528" s="22" t="n">
        <v>0.0715</v>
      </c>
      <c r="AU528" s="22" t="n">
        <v>0.1044</v>
      </c>
      <c r="AV528" s="22" t="n">
        <v>0.1003</v>
      </c>
    </row>
    <row r="529" customFormat="false" ht="15" hidden="false" customHeight="false" outlineLevel="0" collapsed="false">
      <c r="A529" s="22" t="s">
        <v>640</v>
      </c>
      <c r="B529" s="22" t="s">
        <v>3</v>
      </c>
      <c r="C529" s="22" t="s">
        <v>640</v>
      </c>
      <c r="D529" s="22" t="n">
        <v>46220</v>
      </c>
      <c r="E529" s="22" t="s">
        <v>132</v>
      </c>
      <c r="F529" s="22" t="s">
        <v>135</v>
      </c>
      <c r="G529" s="22" t="s">
        <v>131</v>
      </c>
      <c r="H529" s="22" t="s">
        <v>131</v>
      </c>
      <c r="I529" s="22" t="n">
        <v>0.0636</v>
      </c>
      <c r="J529" s="22" t="n">
        <v>0.063</v>
      </c>
      <c r="K529" s="22" t="n">
        <v>0.003</v>
      </c>
      <c r="L529" s="22" t="n">
        <v>0.0065</v>
      </c>
      <c r="M529" s="22" t="n">
        <v>0.0291</v>
      </c>
      <c r="N529" s="22" t="n">
        <v>0.0255</v>
      </c>
      <c r="O529" s="22" t="n">
        <v>0.0875</v>
      </c>
      <c r="P529" s="22" t="n">
        <v>0.0659</v>
      </c>
      <c r="Q529" s="22" t="n">
        <v>-0.0151</v>
      </c>
      <c r="R529" s="22" t="n">
        <v>-0.0377</v>
      </c>
      <c r="S529" s="22" t="n">
        <v>-0.0461</v>
      </c>
      <c r="T529" s="22" t="n">
        <v>-0.0623</v>
      </c>
      <c r="U529" s="22" t="n">
        <v>-0.0348</v>
      </c>
      <c r="V529" s="22" t="n">
        <v>0.0085</v>
      </c>
      <c r="W529" s="22" t="n">
        <v>0.0016</v>
      </c>
      <c r="X529" s="22" t="n">
        <v>0.0251</v>
      </c>
      <c r="Y529" s="22" t="n">
        <v>0.0341</v>
      </c>
      <c r="Z529" s="22" t="n">
        <v>0.0108</v>
      </c>
      <c r="AA529" s="22" t="n">
        <v>0.0061</v>
      </c>
      <c r="AB529" s="22" t="n">
        <v>0.0138</v>
      </c>
      <c r="AC529" s="22" t="n">
        <v>0.0102</v>
      </c>
      <c r="AD529" s="22" t="n">
        <v>0.0154</v>
      </c>
      <c r="AE529" s="22" t="n">
        <v>0.0384</v>
      </c>
      <c r="AF529" s="22" t="n">
        <v>0.0676</v>
      </c>
      <c r="AG529" s="22" t="n">
        <v>0.0875</v>
      </c>
      <c r="AH529" s="22" t="n">
        <v>0.122</v>
      </c>
      <c r="AI529" s="22" t="n">
        <v>0.118</v>
      </c>
      <c r="AJ529" s="22" t="n">
        <v>0.098</v>
      </c>
      <c r="AK529" s="22" t="n">
        <v>0.0997</v>
      </c>
      <c r="AL529" s="22" t="n">
        <v>0.0665</v>
      </c>
      <c r="AM529" s="22" t="n">
        <v>0.0735</v>
      </c>
      <c r="AN529" s="22" t="n">
        <v>0.055</v>
      </c>
      <c r="AO529" s="22" t="n">
        <v>0.0528</v>
      </c>
      <c r="AP529" s="22" t="n">
        <v>0.0517</v>
      </c>
      <c r="AQ529" s="22" t="n">
        <v>0.0451</v>
      </c>
      <c r="AR529" s="22" t="n">
        <v>0.0383</v>
      </c>
      <c r="AS529" s="22" t="n">
        <v>0.0191</v>
      </c>
      <c r="AT529" s="22" t="n">
        <v>0.0301</v>
      </c>
      <c r="AU529" s="22" t="n">
        <v>0.0131</v>
      </c>
      <c r="AV529" s="22" t="n">
        <v>0.0264</v>
      </c>
    </row>
    <row r="530" customFormat="false" ht="15" hidden="false" customHeight="false" outlineLevel="0" collapsed="false">
      <c r="A530" s="22" t="s">
        <v>641</v>
      </c>
      <c r="B530" s="22" t="s">
        <v>3</v>
      </c>
      <c r="C530" s="22" t="s">
        <v>641</v>
      </c>
      <c r="D530" s="22" t="n">
        <v>46300</v>
      </c>
      <c r="E530" s="22" t="s">
        <v>132</v>
      </c>
      <c r="F530" s="22" t="s">
        <v>135</v>
      </c>
      <c r="G530" s="22" t="s">
        <v>131</v>
      </c>
      <c r="H530" s="22" t="s">
        <v>131</v>
      </c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 t="n">
        <v>-0.036</v>
      </c>
      <c r="AP530" s="22" t="n">
        <v>0.0308</v>
      </c>
      <c r="AQ530" s="22" t="n">
        <v>0.0378</v>
      </c>
      <c r="AR530" s="22" t="n">
        <v>0.0135</v>
      </c>
      <c r="AS530" s="22" t="n">
        <v>0.0176</v>
      </c>
      <c r="AT530" s="22"/>
      <c r="AU530" s="22"/>
      <c r="AV530" s="22"/>
    </row>
    <row r="531" customFormat="false" ht="15" hidden="false" customHeight="false" outlineLevel="0" collapsed="false">
      <c r="A531" s="22" t="s">
        <v>642</v>
      </c>
      <c r="B531" s="22" t="s">
        <v>3</v>
      </c>
      <c r="C531" s="22" t="s">
        <v>642</v>
      </c>
      <c r="D531" s="22" t="n">
        <v>46340</v>
      </c>
      <c r="E531" s="22" t="s">
        <v>132</v>
      </c>
      <c r="F531" s="22" t="s">
        <v>135</v>
      </c>
      <c r="G531" s="22" t="s">
        <v>131</v>
      </c>
      <c r="H531" s="22" t="s">
        <v>131</v>
      </c>
      <c r="I531" s="22" t="n">
        <v>-0.0047</v>
      </c>
      <c r="J531" s="22" t="n">
        <v>-0.0253</v>
      </c>
      <c r="K531" s="22" t="n">
        <v>-0.021</v>
      </c>
      <c r="L531" s="22" t="n">
        <v>-0.0206</v>
      </c>
      <c r="M531" s="22" t="n">
        <v>0.023</v>
      </c>
      <c r="N531" s="22" t="n">
        <v>0.0345</v>
      </c>
      <c r="O531" s="22" t="n">
        <v>0.057</v>
      </c>
      <c r="P531" s="22" t="n">
        <v>0.0657</v>
      </c>
      <c r="Q531" s="22" t="n">
        <v>0.0152</v>
      </c>
      <c r="R531" s="22" t="n">
        <v>0.0168</v>
      </c>
      <c r="S531" s="22" t="n">
        <v>0.0335</v>
      </c>
      <c r="T531" s="22" t="n">
        <v>0.06</v>
      </c>
      <c r="U531" s="22" t="n">
        <v>0.0972</v>
      </c>
      <c r="V531" s="22" t="n">
        <v>0.1143</v>
      </c>
      <c r="W531" s="22" t="n">
        <v>0.0813</v>
      </c>
      <c r="X531" s="22" t="n">
        <v>0.0178</v>
      </c>
      <c r="Y531" s="22" t="n">
        <v>0.0071</v>
      </c>
      <c r="Z531" s="22" t="n">
        <v>-0.0275</v>
      </c>
      <c r="AA531" s="22" t="n">
        <v>-0.0447</v>
      </c>
      <c r="AB531" s="22" t="n">
        <v>0.0326</v>
      </c>
      <c r="AC531" s="22" t="n">
        <v>0.0507</v>
      </c>
      <c r="AD531" s="22" t="n">
        <v>0.0673</v>
      </c>
      <c r="AE531" s="22" t="n">
        <v>0.151</v>
      </c>
      <c r="AF531" s="22" t="n">
        <v>0.144</v>
      </c>
      <c r="AG531" s="22" t="n">
        <v>0.1327</v>
      </c>
      <c r="AH531" s="22" t="n">
        <v>0.144</v>
      </c>
      <c r="AI531" s="22" t="n">
        <v>0.0888</v>
      </c>
      <c r="AJ531" s="22" t="n">
        <v>0.0322</v>
      </c>
      <c r="AK531" s="22" t="n">
        <v>0.0523</v>
      </c>
      <c r="AL531" s="22" t="n">
        <v>0.0741</v>
      </c>
      <c r="AM531" s="22" t="n">
        <v>0.041</v>
      </c>
      <c r="AN531" s="22" t="n">
        <v>0.0223</v>
      </c>
      <c r="AO531" s="22" t="n">
        <v>-0.04</v>
      </c>
      <c r="AP531" s="22" t="n">
        <v>-0.0602</v>
      </c>
      <c r="AQ531" s="22" t="n">
        <v>-0.0462</v>
      </c>
      <c r="AR531" s="22" t="n">
        <v>-0.0083</v>
      </c>
      <c r="AS531" s="22" t="n">
        <v>0.0299</v>
      </c>
      <c r="AT531" s="22" t="n">
        <v>0.0382</v>
      </c>
      <c r="AU531" s="22" t="n">
        <v>0.0247</v>
      </c>
      <c r="AV531" s="22" t="n">
        <v>0.0002</v>
      </c>
    </row>
    <row r="532" customFormat="false" ht="15" hidden="false" customHeight="false" outlineLevel="0" collapsed="false">
      <c r="A532" s="22" t="s">
        <v>643</v>
      </c>
      <c r="B532" s="22" t="s">
        <v>3</v>
      </c>
      <c r="C532" s="22" t="s">
        <v>643</v>
      </c>
      <c r="D532" s="22" t="n">
        <v>46380</v>
      </c>
      <c r="E532" s="22" t="s">
        <v>132</v>
      </c>
      <c r="F532" s="22" t="s">
        <v>135</v>
      </c>
      <c r="G532" s="22" t="s">
        <v>131</v>
      </c>
      <c r="H532" s="22" t="s">
        <v>131</v>
      </c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 t="n">
        <v>0.0596</v>
      </c>
      <c r="AH532" s="22" t="n">
        <v>0.0561</v>
      </c>
      <c r="AI532" s="22" t="n">
        <v>0.0488</v>
      </c>
      <c r="AJ532" s="22" t="n">
        <v>0.0562</v>
      </c>
      <c r="AK532" s="22" t="n">
        <v>0.0698</v>
      </c>
      <c r="AL532" s="22" t="n">
        <v>0.0467</v>
      </c>
      <c r="AM532" s="22" t="n">
        <v>0.0497</v>
      </c>
      <c r="AN532" s="22" t="n">
        <v>0.0321</v>
      </c>
      <c r="AO532" s="22" t="n">
        <v>0.0046</v>
      </c>
      <c r="AP532" s="22" t="n">
        <v>0.0018</v>
      </c>
      <c r="AQ532" s="22" t="n">
        <v>0.0047</v>
      </c>
      <c r="AR532" s="22" t="n">
        <v>-0.0015</v>
      </c>
      <c r="AS532" s="22" t="n">
        <v>0.0053</v>
      </c>
      <c r="AT532" s="22" t="n">
        <v>0.0532</v>
      </c>
      <c r="AU532" s="22" t="n">
        <v>0.0615</v>
      </c>
      <c r="AV532" s="22" t="n">
        <v>0.0877</v>
      </c>
    </row>
    <row r="533" customFormat="false" ht="15" hidden="false" customHeight="false" outlineLevel="0" collapsed="false">
      <c r="A533" s="22" t="s">
        <v>218</v>
      </c>
      <c r="B533" s="22" t="s">
        <v>3</v>
      </c>
      <c r="C533" s="22" t="s">
        <v>218</v>
      </c>
      <c r="D533" s="22" t="n">
        <v>46520</v>
      </c>
      <c r="E533" s="22" t="s">
        <v>132</v>
      </c>
      <c r="F533" s="22" t="s">
        <v>135</v>
      </c>
      <c r="G533" s="22" t="s">
        <v>131</v>
      </c>
      <c r="H533" s="22" t="s">
        <v>131</v>
      </c>
      <c r="I533" s="22" t="n">
        <v>-0.0057</v>
      </c>
      <c r="J533" s="22" t="n">
        <v>0.0131</v>
      </c>
      <c r="K533" s="22" t="n">
        <v>0.0296</v>
      </c>
      <c r="L533" s="22" t="n">
        <v>0.0875</v>
      </c>
      <c r="M533" s="22" t="n">
        <v>0.1016</v>
      </c>
      <c r="N533" s="22" t="n">
        <v>0.1331</v>
      </c>
      <c r="O533" s="22" t="n">
        <v>0.0577</v>
      </c>
      <c r="P533" s="22" t="n">
        <v>0.028</v>
      </c>
      <c r="Q533" s="22" t="n">
        <v>0.038</v>
      </c>
      <c r="R533" s="22" t="n">
        <v>-0.0228</v>
      </c>
      <c r="S533" s="22" t="n">
        <v>0.0038</v>
      </c>
      <c r="T533" s="22" t="n">
        <v>-0.0327</v>
      </c>
      <c r="U533" s="22" t="n">
        <v>-0.0626</v>
      </c>
      <c r="V533" s="22" t="n">
        <v>-0.0458</v>
      </c>
      <c r="W533" s="22" t="n">
        <v>-0.0246</v>
      </c>
      <c r="X533" s="22" t="n">
        <v>-0.0188</v>
      </c>
      <c r="Y533" s="22" t="n">
        <v>0.0067</v>
      </c>
      <c r="Z533" s="22" t="n">
        <v>-0.032</v>
      </c>
      <c r="AA533" s="22" t="n">
        <v>-0.0648</v>
      </c>
      <c r="AB533" s="22" t="n">
        <v>-0.0208</v>
      </c>
      <c r="AC533" s="22" t="n">
        <v>0.0242</v>
      </c>
      <c r="AD533" s="22" t="n">
        <v>0.1015</v>
      </c>
      <c r="AE533" s="22" t="n">
        <v>0.1248</v>
      </c>
      <c r="AF533" s="22" t="n">
        <v>0.173</v>
      </c>
      <c r="AG533" s="22" t="n">
        <v>0.1587</v>
      </c>
      <c r="AH533" s="22" t="n">
        <v>0.1488</v>
      </c>
      <c r="AI533" s="22" t="n">
        <v>0.1296</v>
      </c>
      <c r="AJ533" s="22" t="n">
        <v>0.0649</v>
      </c>
      <c r="AK533" s="22" t="n">
        <v>0.0355</v>
      </c>
      <c r="AL533" s="22" t="n">
        <v>0.0119</v>
      </c>
      <c r="AM533" s="22" t="n">
        <v>0.0378</v>
      </c>
      <c r="AN533" s="22" t="n">
        <v>0.0931</v>
      </c>
      <c r="AO533" s="22" t="n">
        <v>0.1092</v>
      </c>
      <c r="AP533" s="22" t="n">
        <v>0.114</v>
      </c>
      <c r="AQ533" s="22" t="n">
        <v>0.0827</v>
      </c>
      <c r="AR533" s="22" t="n">
        <v>0.0295</v>
      </c>
      <c r="AS533" s="22" t="n">
        <v>-0.0045</v>
      </c>
      <c r="AT533" s="22" t="n">
        <v>-0.0105</v>
      </c>
      <c r="AU533" s="22" t="n">
        <v>0.0115</v>
      </c>
      <c r="AV533" s="22" t="n">
        <v>0.0343</v>
      </c>
    </row>
    <row r="534" customFormat="false" ht="15" hidden="false" customHeight="false" outlineLevel="0" collapsed="false">
      <c r="A534" s="22" t="s">
        <v>644</v>
      </c>
      <c r="B534" s="22" t="s">
        <v>3</v>
      </c>
      <c r="C534" s="22" t="s">
        <v>644</v>
      </c>
      <c r="D534" s="22" t="n">
        <v>46540</v>
      </c>
      <c r="E534" s="22" t="s">
        <v>132</v>
      </c>
      <c r="F534" s="22" t="s">
        <v>135</v>
      </c>
      <c r="G534" s="22" t="s">
        <v>131</v>
      </c>
      <c r="H534" s="22" t="s">
        <v>131</v>
      </c>
      <c r="I534" s="22" t="n">
        <v>-0.0046</v>
      </c>
      <c r="J534" s="22" t="n">
        <v>0.0183</v>
      </c>
      <c r="K534" s="22" t="n">
        <v>0.0487</v>
      </c>
      <c r="L534" s="22" t="n">
        <v>0.1046</v>
      </c>
      <c r="M534" s="22" t="n">
        <v>0.0981</v>
      </c>
      <c r="N534" s="22" t="n">
        <v>0.0982</v>
      </c>
      <c r="O534" s="22" t="n">
        <v>0.0615</v>
      </c>
      <c r="P534" s="22" t="n">
        <v>0.0106</v>
      </c>
      <c r="Q534" s="22" t="n">
        <v>-0.0205</v>
      </c>
      <c r="R534" s="22" t="n">
        <v>-0.004</v>
      </c>
      <c r="S534" s="22" t="n">
        <v>0.0241</v>
      </c>
      <c r="T534" s="22" t="n">
        <v>0.0469</v>
      </c>
      <c r="U534" s="22" t="n">
        <v>0.0878</v>
      </c>
      <c r="V534" s="22" t="n">
        <v>0.0639</v>
      </c>
      <c r="W534" s="22" t="n">
        <v>0.069</v>
      </c>
      <c r="X534" s="22" t="n">
        <v>0.1993</v>
      </c>
      <c r="Y534" s="22" t="n">
        <v>0.1855</v>
      </c>
      <c r="Z534" s="22" t="n">
        <v>0.1939</v>
      </c>
      <c r="AA534" s="22" t="n">
        <v>0.1647</v>
      </c>
      <c r="AB534" s="22" t="n">
        <v>0.0186</v>
      </c>
      <c r="AC534" s="22" t="n">
        <v>0.0201</v>
      </c>
      <c r="AD534" s="22" t="n">
        <v>0.1225</v>
      </c>
      <c r="AE534" s="22" t="n">
        <v>0.1484</v>
      </c>
      <c r="AF534" s="22" t="n">
        <v>0.1403</v>
      </c>
      <c r="AG534" s="22" t="n">
        <v>0.1788</v>
      </c>
      <c r="AH534" s="22" t="n">
        <v>0.0766</v>
      </c>
      <c r="AI534" s="22" t="n">
        <v>0.0521</v>
      </c>
      <c r="AJ534" s="22" t="n">
        <v>0.0681</v>
      </c>
      <c r="AK534" s="22" t="n">
        <v>0.0369</v>
      </c>
      <c r="AL534" s="22" t="n">
        <v>0.0653</v>
      </c>
      <c r="AM534" s="22" t="n">
        <v>0.024</v>
      </c>
      <c r="AN534" s="22" t="n">
        <v>-0.0034</v>
      </c>
      <c r="AO534" s="22" t="n">
        <v>-0.0375</v>
      </c>
      <c r="AP534" s="22" t="n">
        <v>-0.0496</v>
      </c>
      <c r="AQ534" s="22" t="n">
        <v>0.0153</v>
      </c>
      <c r="AR534" s="22" t="n">
        <v>0.031</v>
      </c>
      <c r="AS534" s="22" t="n">
        <v>0.0492</v>
      </c>
      <c r="AT534" s="22" t="n">
        <v>0.0571</v>
      </c>
      <c r="AU534" s="22" t="n">
        <v>0.1441</v>
      </c>
      <c r="AV534" s="22" t="n">
        <v>0.2569</v>
      </c>
    </row>
    <row r="535" customFormat="false" ht="15" hidden="false" customHeight="false" outlineLevel="0" collapsed="false">
      <c r="A535" s="22" t="s">
        <v>645</v>
      </c>
      <c r="B535" s="22" t="s">
        <v>3</v>
      </c>
      <c r="C535" s="22" t="s">
        <v>645</v>
      </c>
      <c r="D535" s="22" t="n">
        <v>46620</v>
      </c>
      <c r="E535" s="22" t="s">
        <v>132</v>
      </c>
      <c r="F535" s="22" t="s">
        <v>135</v>
      </c>
      <c r="G535" s="22" t="s">
        <v>131</v>
      </c>
      <c r="H535" s="22" t="s">
        <v>131</v>
      </c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</row>
    <row r="536" customFormat="false" ht="15" hidden="false" customHeight="false" outlineLevel="0" collapsed="false">
      <c r="A536" s="22" t="s">
        <v>646</v>
      </c>
      <c r="B536" s="22" t="s">
        <v>3</v>
      </c>
      <c r="C536" s="22" t="s">
        <v>646</v>
      </c>
      <c r="D536" s="22" t="n">
        <v>46660</v>
      </c>
      <c r="E536" s="22" t="s">
        <v>132</v>
      </c>
      <c r="F536" s="22" t="s">
        <v>135</v>
      </c>
      <c r="G536" s="22" t="s">
        <v>131</v>
      </c>
      <c r="H536" s="22" t="s">
        <v>131</v>
      </c>
      <c r="I536" s="22" t="n">
        <v>0.0456</v>
      </c>
      <c r="J536" s="22" t="n">
        <v>0.0556</v>
      </c>
      <c r="K536" s="22" t="n">
        <v>-0.0103</v>
      </c>
      <c r="L536" s="22" t="n">
        <v>0.0098</v>
      </c>
      <c r="M536" s="22" t="n">
        <v>-0.0147</v>
      </c>
      <c r="N536" s="22" t="n">
        <v>-0.0207</v>
      </c>
      <c r="O536" s="22" t="n">
        <v>-0.0017</v>
      </c>
      <c r="P536" s="22" t="n">
        <v>-0.0012</v>
      </c>
      <c r="Q536" s="22" t="n">
        <v>0.0235</v>
      </c>
      <c r="R536" s="22" t="n">
        <v>0.036</v>
      </c>
      <c r="S536" s="22" t="n">
        <v>0.0711</v>
      </c>
      <c r="T536" s="22" t="n">
        <v>0.0977</v>
      </c>
      <c r="U536" s="22" t="n">
        <v>0.0956</v>
      </c>
      <c r="V536" s="22" t="n">
        <v>0.082</v>
      </c>
      <c r="W536" s="22" t="n">
        <v>0.0724</v>
      </c>
      <c r="X536" s="22" t="n">
        <v>0.0437</v>
      </c>
      <c r="Y536" s="22" t="n">
        <v>0.0078</v>
      </c>
      <c r="Z536" s="22" t="n">
        <v>-0.0038</v>
      </c>
      <c r="AA536" s="22" t="n">
        <v>-0.0076</v>
      </c>
      <c r="AB536" s="22" t="n">
        <v>0.0086</v>
      </c>
      <c r="AC536" s="22" t="n">
        <v>0.0519</v>
      </c>
      <c r="AD536" s="22" t="n">
        <v>0.0896</v>
      </c>
      <c r="AE536" s="22" t="n">
        <v>0.0883</v>
      </c>
      <c r="AF536" s="22" t="n">
        <v>0.1144</v>
      </c>
      <c r="AG536" s="22" t="n">
        <v>0.1444</v>
      </c>
      <c r="AH536" s="22" t="n">
        <v>0.1529</v>
      </c>
      <c r="AI536" s="22" t="n">
        <v>0.1932</v>
      </c>
      <c r="AJ536" s="22" t="n">
        <v>0.1527</v>
      </c>
      <c r="AK536" s="22" t="n">
        <v>0.0918</v>
      </c>
      <c r="AL536" s="22" t="n">
        <v>0.0649</v>
      </c>
      <c r="AM536" s="22" t="n">
        <v>0.0492</v>
      </c>
      <c r="AN536" s="22" t="n">
        <v>0.0595</v>
      </c>
      <c r="AO536" s="22" t="n">
        <v>0.0862</v>
      </c>
      <c r="AP536" s="22" t="n">
        <v>0.0853</v>
      </c>
      <c r="AQ536" s="22" t="n">
        <v>0.0578</v>
      </c>
      <c r="AR536" s="22" t="n">
        <v>0.0311</v>
      </c>
      <c r="AS536" s="22" t="n">
        <v>0.0224</v>
      </c>
      <c r="AT536" s="22" t="n">
        <v>0.0298</v>
      </c>
      <c r="AU536" s="22" t="n">
        <v>0.0218</v>
      </c>
      <c r="AV536" s="22" t="n">
        <v>0.0233</v>
      </c>
    </row>
    <row r="537" customFormat="false" ht="15" hidden="false" customHeight="false" outlineLevel="0" collapsed="false">
      <c r="A537" s="22" t="s">
        <v>219</v>
      </c>
      <c r="B537" s="22" t="s">
        <v>3</v>
      </c>
      <c r="C537" s="22" t="s">
        <v>219</v>
      </c>
      <c r="D537" s="22" t="n">
        <v>246700</v>
      </c>
      <c r="E537" s="22" t="s">
        <v>132</v>
      </c>
      <c r="F537" s="22" t="s">
        <v>135</v>
      </c>
      <c r="G537" s="22" t="s">
        <v>131</v>
      </c>
      <c r="H537" s="22" t="s">
        <v>131</v>
      </c>
      <c r="I537" s="22" t="n">
        <v>0.1274</v>
      </c>
      <c r="J537" s="22" t="n">
        <v>0.105</v>
      </c>
      <c r="K537" s="22" t="n">
        <v>0.0947</v>
      </c>
      <c r="L537" s="22" t="n">
        <v>0.0788</v>
      </c>
      <c r="M537" s="22" t="n">
        <v>0.0661</v>
      </c>
      <c r="N537" s="22" t="n">
        <v>0.0615</v>
      </c>
      <c r="O537" s="22" t="n">
        <v>0.0609</v>
      </c>
      <c r="P537" s="22" t="n">
        <v>0.0644</v>
      </c>
      <c r="Q537" s="22" t="n">
        <v>0.061</v>
      </c>
      <c r="R537" s="22" t="n">
        <v>0.0539</v>
      </c>
      <c r="S537" s="22" t="n">
        <v>0.0302</v>
      </c>
      <c r="T537" s="22" t="n">
        <v>0.0239</v>
      </c>
      <c r="U537" s="22" t="n">
        <v>0.0369</v>
      </c>
      <c r="V537" s="22" t="n">
        <v>0.0383</v>
      </c>
      <c r="W537" s="22" t="n">
        <v>0.0563</v>
      </c>
      <c r="X537" s="22" t="n">
        <v>0.0489</v>
      </c>
      <c r="Y537" s="22" t="n">
        <v>0.0432</v>
      </c>
      <c r="Z537" s="22" t="n">
        <v>0.0146</v>
      </c>
      <c r="AA537" s="22" t="n">
        <v>0.0154</v>
      </c>
      <c r="AB537" s="22" t="n">
        <v>0.0374</v>
      </c>
      <c r="AC537" s="22" t="n">
        <v>0.0405</v>
      </c>
      <c r="AD537" s="22" t="n">
        <v>0.0781</v>
      </c>
      <c r="AE537" s="22" t="n">
        <v>0.1087</v>
      </c>
      <c r="AF537" s="22" t="n">
        <v>0.1163</v>
      </c>
      <c r="AG537" s="22" t="n">
        <v>0.1232</v>
      </c>
      <c r="AH537" s="22" t="n">
        <v>0.1261</v>
      </c>
      <c r="AI537" s="22" t="n">
        <v>0.0844</v>
      </c>
      <c r="AJ537" s="22" t="n">
        <v>0.0237</v>
      </c>
      <c r="AK537" s="22" t="n">
        <v>-0.0032</v>
      </c>
      <c r="AL537" s="22" t="n">
        <v>-0.0171</v>
      </c>
      <c r="AM537" s="22" t="n">
        <v>-0.0234</v>
      </c>
      <c r="AN537" s="22" t="n">
        <v>-0.0116</v>
      </c>
      <c r="AO537" s="22" t="n">
        <v>0.0138</v>
      </c>
      <c r="AP537" s="22" t="n">
        <v>0.0111</v>
      </c>
      <c r="AQ537" s="22" t="n">
        <v>0.009</v>
      </c>
      <c r="AR537" s="22" t="n">
        <v>0.0224</v>
      </c>
      <c r="AS537" s="22" t="n">
        <v>0.0113</v>
      </c>
      <c r="AT537" s="22" t="n">
        <v>0.0097</v>
      </c>
      <c r="AU537" s="22" t="n">
        <v>-0.0039</v>
      </c>
      <c r="AV537" s="22" t="n">
        <v>-0.0203</v>
      </c>
    </row>
    <row r="538" customFormat="false" ht="15" hidden="false" customHeight="false" outlineLevel="0" collapsed="false">
      <c r="A538" s="22" t="s">
        <v>647</v>
      </c>
      <c r="B538" s="22" t="s">
        <v>3</v>
      </c>
      <c r="C538" s="22" t="s">
        <v>647</v>
      </c>
      <c r="D538" s="22" t="n">
        <v>46860</v>
      </c>
      <c r="E538" s="22" t="s">
        <v>132</v>
      </c>
      <c r="F538" s="22" t="s">
        <v>135</v>
      </c>
      <c r="G538" s="22" t="s">
        <v>131</v>
      </c>
      <c r="H538" s="22" t="s">
        <v>131</v>
      </c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</row>
    <row r="539" customFormat="false" ht="15" hidden="false" customHeight="false" outlineLevel="0" collapsed="false">
      <c r="A539" s="22" t="s">
        <v>648</v>
      </c>
      <c r="B539" s="22" t="s">
        <v>3</v>
      </c>
      <c r="C539" s="22" t="s">
        <v>648</v>
      </c>
      <c r="D539" s="22" t="n">
        <v>46900</v>
      </c>
      <c r="E539" s="22" t="s">
        <v>132</v>
      </c>
      <c r="F539" s="22" t="s">
        <v>135</v>
      </c>
      <c r="G539" s="22" t="s">
        <v>131</v>
      </c>
      <c r="H539" s="22" t="s">
        <v>131</v>
      </c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</row>
    <row r="540" customFormat="false" ht="15" hidden="false" customHeight="false" outlineLevel="0" collapsed="false">
      <c r="A540" s="22" t="s">
        <v>649</v>
      </c>
      <c r="B540" s="22" t="s">
        <v>3</v>
      </c>
      <c r="C540" s="22" t="s">
        <v>649</v>
      </c>
      <c r="D540" s="22" t="n">
        <v>46980</v>
      </c>
      <c r="E540" s="22" t="s">
        <v>132</v>
      </c>
      <c r="F540" s="22" t="s">
        <v>135</v>
      </c>
      <c r="G540" s="22" t="s">
        <v>131</v>
      </c>
      <c r="H540" s="22" t="s">
        <v>131</v>
      </c>
      <c r="I540" s="22" t="n">
        <v>0.0143</v>
      </c>
      <c r="J540" s="22" t="n">
        <v>0.043</v>
      </c>
      <c r="K540" s="22"/>
      <c r="L540" s="22"/>
      <c r="M540" s="22"/>
      <c r="N540" s="22" t="n">
        <v>0.0587</v>
      </c>
      <c r="O540" s="22" t="n">
        <v>0.0737</v>
      </c>
      <c r="P540" s="22" t="n">
        <v>0.0706</v>
      </c>
      <c r="Q540" s="22" t="n">
        <v>0.057</v>
      </c>
      <c r="R540" s="22" t="n">
        <v>0.011</v>
      </c>
      <c r="S540" s="22" t="n">
        <v>0.0229</v>
      </c>
      <c r="T540" s="22" t="n">
        <v>0.0124</v>
      </c>
      <c r="U540" s="22" t="n">
        <v>0.0102</v>
      </c>
      <c r="V540" s="22" t="n">
        <v>0.0005</v>
      </c>
      <c r="W540" s="22" t="n">
        <v>-0.0043</v>
      </c>
      <c r="X540" s="22" t="n">
        <v>0.0207</v>
      </c>
      <c r="Y540" s="22" t="n">
        <v>-0.0027</v>
      </c>
      <c r="Z540" s="22" t="n">
        <v>0.064</v>
      </c>
      <c r="AA540" s="22" t="n">
        <v>0.0545</v>
      </c>
      <c r="AB540" s="22" t="n">
        <v>0.0622</v>
      </c>
      <c r="AC540" s="22" t="n">
        <v>0.0719</v>
      </c>
      <c r="AD540" s="22" t="n">
        <v>0.0268</v>
      </c>
      <c r="AE540" s="22" t="n">
        <v>0.0279</v>
      </c>
      <c r="AF540" s="22" t="n">
        <v>0.0205</v>
      </c>
      <c r="AG540" s="22" t="n">
        <v>0.0337</v>
      </c>
      <c r="AH540" s="22" t="n">
        <v>0.0443</v>
      </c>
      <c r="AI540" s="22" t="n">
        <v>0.0385</v>
      </c>
      <c r="AJ540" s="22" t="n">
        <v>0.0344</v>
      </c>
      <c r="AK540" s="22" t="n">
        <v>0.0309</v>
      </c>
      <c r="AL540" s="22" t="n">
        <v>0.0288</v>
      </c>
      <c r="AM540" s="22" t="n">
        <v>-0.0046</v>
      </c>
      <c r="AN540" s="22" t="n">
        <v>0.0253</v>
      </c>
      <c r="AO540" s="22" t="n">
        <v>0.0193</v>
      </c>
      <c r="AP540" s="22" t="n">
        <v>0.0157</v>
      </c>
      <c r="AQ540" s="22" t="n">
        <v>0.0782</v>
      </c>
      <c r="AR540" s="22" t="n">
        <v>0.0029</v>
      </c>
      <c r="AS540" s="22" t="n">
        <v>0.0323</v>
      </c>
      <c r="AT540" s="22" t="n">
        <v>0.0232</v>
      </c>
      <c r="AU540" s="22" t="n">
        <v>0.0685</v>
      </c>
      <c r="AV540" s="22" t="n">
        <v>0.1139</v>
      </c>
    </row>
    <row r="541" customFormat="false" ht="15" hidden="false" customHeight="false" outlineLevel="0" collapsed="false">
      <c r="A541" s="22" t="s">
        <v>650</v>
      </c>
      <c r="B541" s="22" t="s">
        <v>3</v>
      </c>
      <c r="C541" s="22" t="s">
        <v>650</v>
      </c>
      <c r="D541" s="22" t="n">
        <v>47020</v>
      </c>
      <c r="E541" s="22" t="s">
        <v>132</v>
      </c>
      <c r="F541" s="22" t="s">
        <v>135</v>
      </c>
      <c r="G541" s="22" t="s">
        <v>131</v>
      </c>
      <c r="H541" s="22" t="s">
        <v>131</v>
      </c>
      <c r="I541" s="22" t="n">
        <v>-0.0941</v>
      </c>
      <c r="J541" s="22" t="n">
        <v>-0.0683</v>
      </c>
      <c r="K541" s="22" t="n">
        <v>0.0458</v>
      </c>
      <c r="L541" s="22" t="n">
        <v>0.0283</v>
      </c>
      <c r="M541" s="22" t="n">
        <v>0.0398</v>
      </c>
      <c r="N541" s="22" t="n">
        <v>0.0136</v>
      </c>
      <c r="O541" s="22" t="n">
        <v>-0.0071</v>
      </c>
      <c r="P541" s="22" t="n">
        <v>0.0706</v>
      </c>
      <c r="Q541" s="22" t="n">
        <v>0.1938</v>
      </c>
      <c r="R541" s="22" t="n">
        <v>0.213</v>
      </c>
      <c r="S541" s="22" t="n">
        <v>0.1201</v>
      </c>
      <c r="T541" s="22" t="n">
        <v>0.0745</v>
      </c>
      <c r="U541" s="22" t="n">
        <v>-0.0048</v>
      </c>
      <c r="V541" s="22" t="n">
        <v>-0.0069</v>
      </c>
      <c r="W541" s="22" t="n">
        <v>-0.0117</v>
      </c>
      <c r="X541" s="22" t="n">
        <v>-0.0159</v>
      </c>
      <c r="Y541" s="22" t="n">
        <v>-0.0409</v>
      </c>
      <c r="Z541" s="22" t="n">
        <v>-0.0233</v>
      </c>
      <c r="AA541" s="22" t="n">
        <v>-0.0085</v>
      </c>
      <c r="AB541" s="22" t="n">
        <v>0.0002</v>
      </c>
      <c r="AC541" s="22" t="n">
        <v>-0.011</v>
      </c>
      <c r="AD541" s="22" t="n">
        <v>-0.0255</v>
      </c>
      <c r="AE541" s="22" t="n">
        <v>0.0405</v>
      </c>
      <c r="AF541" s="22" t="n">
        <v>0.0402</v>
      </c>
      <c r="AG541" s="22" t="n">
        <v>0.0754</v>
      </c>
      <c r="AH541" s="22" t="n">
        <v>0.0898</v>
      </c>
      <c r="AI541" s="22" t="n">
        <v>0.0733</v>
      </c>
      <c r="AJ541" s="22" t="n">
        <v>0.0505</v>
      </c>
      <c r="AK541" s="22" t="n">
        <v>0.0342</v>
      </c>
      <c r="AL541" s="22" t="n">
        <v>0.0448</v>
      </c>
      <c r="AM541" s="22" t="n">
        <v>0.0026</v>
      </c>
      <c r="AN541" s="22" t="n">
        <v>-0.0258</v>
      </c>
      <c r="AO541" s="22" t="n">
        <v>0.0092</v>
      </c>
      <c r="AP541" s="22" t="n">
        <v>-0.0331</v>
      </c>
      <c r="AQ541" s="22" t="n">
        <v>-0.0304</v>
      </c>
      <c r="AR541" s="22" t="n">
        <v>-0.0297</v>
      </c>
      <c r="AS541" s="22" t="n">
        <v>-0.0138</v>
      </c>
      <c r="AT541" s="22" t="n">
        <v>0.0381</v>
      </c>
      <c r="AU541" s="22" t="n">
        <v>0.0484</v>
      </c>
      <c r="AV541" s="22" t="n">
        <v>0.0748</v>
      </c>
    </row>
    <row r="542" customFormat="false" ht="15" hidden="false" customHeight="false" outlineLevel="0" collapsed="false">
      <c r="A542" s="22" t="s">
        <v>651</v>
      </c>
      <c r="B542" s="22" t="s">
        <v>3</v>
      </c>
      <c r="C542" s="22" t="s">
        <v>651</v>
      </c>
      <c r="D542" s="22" t="n">
        <v>47220</v>
      </c>
      <c r="E542" s="22" t="s">
        <v>132</v>
      </c>
      <c r="F542" s="22" t="s">
        <v>135</v>
      </c>
      <c r="G542" s="22" t="s">
        <v>131</v>
      </c>
      <c r="H542" s="22" t="s">
        <v>131</v>
      </c>
      <c r="I542" s="22"/>
      <c r="J542" s="22"/>
      <c r="K542" s="22"/>
      <c r="L542" s="22" t="n">
        <v>0.0113</v>
      </c>
      <c r="M542" s="22" t="n">
        <v>0.0149</v>
      </c>
      <c r="N542" s="22" t="n">
        <v>-0.0174</v>
      </c>
      <c r="O542" s="22" t="n">
        <v>-0.0371</v>
      </c>
      <c r="P542" s="22" t="n">
        <v>0.0294</v>
      </c>
      <c r="Q542" s="22" t="n">
        <v>0.0277</v>
      </c>
      <c r="R542" s="22" t="n">
        <v>0.0305</v>
      </c>
      <c r="S542" s="22" t="n">
        <v>0.0273</v>
      </c>
      <c r="T542" s="22" t="n">
        <v>0.0403</v>
      </c>
      <c r="U542" s="22" t="n">
        <v>0.0043</v>
      </c>
      <c r="V542" s="22" t="n">
        <v>0.0231</v>
      </c>
      <c r="W542" s="22" t="n">
        <v>0.0354</v>
      </c>
      <c r="X542" s="22" t="n">
        <v>0.0311</v>
      </c>
      <c r="Y542" s="22" t="n">
        <v>0.0433</v>
      </c>
      <c r="Z542" s="22" t="n">
        <v>0.0233</v>
      </c>
      <c r="AA542" s="22" t="n">
        <v>0.0446</v>
      </c>
      <c r="AB542" s="22" t="n">
        <v>0.0476</v>
      </c>
      <c r="AC542" s="22" t="n">
        <v>0.0522</v>
      </c>
      <c r="AD542" s="22" t="n">
        <v>0.0685</v>
      </c>
      <c r="AE542" s="22" t="n">
        <v>0.0528</v>
      </c>
      <c r="AF542" s="22" t="n">
        <v>-0.0041</v>
      </c>
      <c r="AG542" s="22" t="n">
        <v>0.0435</v>
      </c>
      <c r="AH542" s="22" t="n">
        <v>0.076</v>
      </c>
      <c r="AI542" s="22" t="n">
        <v>0.0649</v>
      </c>
      <c r="AJ542" s="22" t="n">
        <v>0.1229</v>
      </c>
      <c r="AK542" s="22" t="n">
        <v>0.0882</v>
      </c>
      <c r="AL542" s="22" t="n">
        <v>0.0423</v>
      </c>
      <c r="AM542" s="22" t="n">
        <v>0.0227</v>
      </c>
      <c r="AN542" s="22" t="n">
        <v>0.0746</v>
      </c>
      <c r="AO542" s="22" t="n">
        <v>0.0468</v>
      </c>
      <c r="AP542" s="22" t="n">
        <v>0.071</v>
      </c>
      <c r="AQ542" s="22" t="n">
        <v>0.0486</v>
      </c>
      <c r="AR542" s="22" t="n">
        <v>0.0166</v>
      </c>
      <c r="AS542" s="22" t="n">
        <v>0.0462</v>
      </c>
      <c r="AT542" s="22" t="n">
        <v>0.0216</v>
      </c>
      <c r="AU542" s="22" t="n">
        <v>0.0491</v>
      </c>
      <c r="AV542" s="22" t="n">
        <v>0.0513</v>
      </c>
    </row>
    <row r="543" customFormat="false" ht="15" hidden="false" customHeight="false" outlineLevel="0" collapsed="false">
      <c r="A543" s="22" t="s">
        <v>32</v>
      </c>
      <c r="B543" s="22" t="s">
        <v>3</v>
      </c>
      <c r="C543" s="22" t="s">
        <v>32</v>
      </c>
      <c r="D543" s="22" t="n">
        <v>47260</v>
      </c>
      <c r="E543" s="22" t="s">
        <v>132</v>
      </c>
      <c r="F543" s="22" t="s">
        <v>135</v>
      </c>
      <c r="G543" s="22" t="s">
        <v>131</v>
      </c>
      <c r="H543" s="22" t="s">
        <v>131</v>
      </c>
      <c r="I543" s="22" t="n">
        <v>0.0275</v>
      </c>
      <c r="J543" s="22" t="n">
        <v>0.03</v>
      </c>
      <c r="K543" s="22" t="n">
        <v>0.018</v>
      </c>
      <c r="L543" s="22" t="n">
        <v>0.0124</v>
      </c>
      <c r="M543" s="22" t="n">
        <v>0.0142</v>
      </c>
      <c r="N543" s="22" t="n">
        <v>0.0137</v>
      </c>
      <c r="O543" s="22" t="n">
        <v>0.0337</v>
      </c>
      <c r="P543" s="22" t="n">
        <v>0.0323</v>
      </c>
      <c r="Q543" s="22" t="n">
        <v>0.0355</v>
      </c>
      <c r="R543" s="22" t="n">
        <v>0.0298</v>
      </c>
      <c r="S543" s="22" t="n">
        <v>0.0284</v>
      </c>
      <c r="T543" s="22" t="n">
        <v>0.0375</v>
      </c>
      <c r="U543" s="22" t="n">
        <v>0.0317</v>
      </c>
      <c r="V543" s="22" t="n">
        <v>0.0349</v>
      </c>
      <c r="W543" s="22" t="n">
        <v>0.0294</v>
      </c>
      <c r="X543" s="22" t="n">
        <v>0.0324</v>
      </c>
      <c r="Y543" s="22" t="n">
        <v>0.0352</v>
      </c>
      <c r="Z543" s="22" t="n">
        <v>0.0279</v>
      </c>
      <c r="AA543" s="22" t="n">
        <v>0.0448</v>
      </c>
      <c r="AB543" s="22" t="n">
        <v>0.0526</v>
      </c>
      <c r="AC543" s="22" t="n">
        <v>0.057</v>
      </c>
      <c r="AD543" s="22" t="n">
        <v>0.0912</v>
      </c>
      <c r="AE543" s="22" t="n">
        <v>0.1283</v>
      </c>
      <c r="AF543" s="22" t="n">
        <v>0.1431</v>
      </c>
      <c r="AG543" s="22" t="n">
        <v>0.1392</v>
      </c>
      <c r="AH543" s="22" t="n">
        <v>0.1245</v>
      </c>
      <c r="AI543" s="22" t="n">
        <v>0.0953</v>
      </c>
      <c r="AJ543" s="22" t="n">
        <v>0.0782</v>
      </c>
      <c r="AK543" s="22" t="n">
        <v>0.0671</v>
      </c>
      <c r="AL543" s="22" t="n">
        <v>0.0617</v>
      </c>
      <c r="AM543" s="22" t="n">
        <v>0.0417</v>
      </c>
      <c r="AN543" s="22" t="n">
        <v>0.0283</v>
      </c>
      <c r="AO543" s="22" t="n">
        <v>0.0352</v>
      </c>
      <c r="AP543" s="22" t="n">
        <v>0.0285</v>
      </c>
      <c r="AQ543" s="22" t="n">
        <v>0.0317</v>
      </c>
      <c r="AR543" s="22" t="n">
        <v>0.0288</v>
      </c>
      <c r="AS543" s="22" t="n">
        <v>0.0301</v>
      </c>
      <c r="AT543" s="22" t="n">
        <v>0.0328</v>
      </c>
      <c r="AU543" s="22" t="n">
        <v>0.0289</v>
      </c>
      <c r="AV543" s="22" t="n">
        <v>0.0449</v>
      </c>
    </row>
    <row r="544" customFormat="false" ht="15" hidden="false" customHeight="false" outlineLevel="0" collapsed="false">
      <c r="A544" s="22" t="s">
        <v>652</v>
      </c>
      <c r="B544" s="22" t="s">
        <v>3</v>
      </c>
      <c r="C544" s="22" t="s">
        <v>652</v>
      </c>
      <c r="D544" s="22" t="n">
        <v>47300</v>
      </c>
      <c r="E544" s="22" t="s">
        <v>132</v>
      </c>
      <c r="F544" s="22" t="s">
        <v>135</v>
      </c>
      <c r="G544" s="22" t="s">
        <v>131</v>
      </c>
      <c r="H544" s="22" t="s">
        <v>131</v>
      </c>
      <c r="I544" s="22" t="n">
        <v>0.1275</v>
      </c>
      <c r="J544" s="22" t="n">
        <v>0.0471</v>
      </c>
      <c r="K544" s="22" t="n">
        <v>-0.0253</v>
      </c>
      <c r="L544" s="22" t="n">
        <v>-0.0222</v>
      </c>
      <c r="M544" s="22" t="n">
        <v>-0.022</v>
      </c>
      <c r="N544" s="22" t="n">
        <v>-0.0143</v>
      </c>
      <c r="O544" s="22" t="n">
        <v>-0.0006</v>
      </c>
      <c r="P544" s="22" t="n">
        <v>0.0024</v>
      </c>
      <c r="Q544" s="22" t="n">
        <v>0.0026</v>
      </c>
      <c r="R544" s="22" t="n">
        <v>0.045</v>
      </c>
      <c r="S544" s="22" t="n">
        <v>0.0415</v>
      </c>
      <c r="T544" s="22" t="n">
        <v>0.0557</v>
      </c>
      <c r="U544" s="22" t="n">
        <v>0.0617</v>
      </c>
      <c r="V544" s="22" t="n">
        <v>0.04</v>
      </c>
      <c r="W544" s="22" t="n">
        <v>0.0682</v>
      </c>
      <c r="X544" s="22" t="n">
        <v>0.0375</v>
      </c>
      <c r="Y544" s="22" t="n">
        <v>0.0615</v>
      </c>
      <c r="Z544" s="22" t="n">
        <v>0.0626</v>
      </c>
      <c r="AA544" s="22" t="n">
        <v>0.0267</v>
      </c>
      <c r="AB544" s="22" t="n">
        <v>0.0471</v>
      </c>
      <c r="AC544" s="22" t="n">
        <v>0.0651</v>
      </c>
      <c r="AD544" s="22" t="n">
        <v>0.1149</v>
      </c>
      <c r="AE544" s="22" t="n">
        <v>0.1518</v>
      </c>
      <c r="AF544" s="22" t="n">
        <v>0.1923</v>
      </c>
      <c r="AG544" s="22" t="n">
        <v>0.2529</v>
      </c>
      <c r="AH544" s="22" t="n">
        <v>0.0996</v>
      </c>
      <c r="AI544" s="22" t="n">
        <v>0.0762</v>
      </c>
      <c r="AJ544" s="22" t="n">
        <v>0.0003</v>
      </c>
      <c r="AK544" s="22" t="n">
        <v>-0.0491</v>
      </c>
      <c r="AL544" s="22" t="n">
        <v>0.0477</v>
      </c>
      <c r="AM544" s="22" t="n">
        <v>0.022</v>
      </c>
      <c r="AN544" s="22" t="n">
        <v>0.049</v>
      </c>
      <c r="AO544" s="22" t="n">
        <v>0.0431</v>
      </c>
      <c r="AP544" s="22" t="n">
        <v>0.0546</v>
      </c>
      <c r="AQ544" s="22" t="n">
        <v>0.0197</v>
      </c>
      <c r="AR544" s="22" t="n">
        <v>0.0318</v>
      </c>
      <c r="AS544" s="22" t="n">
        <v>0.0541</v>
      </c>
      <c r="AT544" s="22" t="n">
        <v>0.0458</v>
      </c>
      <c r="AU544" s="22" t="n">
        <v>0.0793</v>
      </c>
      <c r="AV544" s="22" t="n">
        <v>0.0516</v>
      </c>
    </row>
    <row r="545" customFormat="false" ht="15" hidden="false" customHeight="false" outlineLevel="0" collapsed="false">
      <c r="A545" s="22" t="s">
        <v>653</v>
      </c>
      <c r="B545" s="22" t="s">
        <v>3</v>
      </c>
      <c r="C545" s="22" t="s">
        <v>653</v>
      </c>
      <c r="D545" s="22" t="n">
        <v>47380</v>
      </c>
      <c r="E545" s="22" t="s">
        <v>132</v>
      </c>
      <c r="F545" s="22" t="s">
        <v>135</v>
      </c>
      <c r="G545" s="22" t="s">
        <v>131</v>
      </c>
      <c r="H545" s="22" t="s">
        <v>131</v>
      </c>
      <c r="I545" s="22" t="n">
        <v>0.0312</v>
      </c>
      <c r="J545" s="22" t="n">
        <v>0.0296</v>
      </c>
      <c r="K545" s="22" t="n">
        <v>0.0273</v>
      </c>
      <c r="L545" s="22" t="n">
        <v>0.0264</v>
      </c>
      <c r="M545" s="22" t="n">
        <v>0.006</v>
      </c>
      <c r="N545" s="22" t="n">
        <v>-0.01</v>
      </c>
      <c r="O545" s="22" t="n">
        <v>0.0154</v>
      </c>
      <c r="P545" s="22" t="n">
        <v>0.0239</v>
      </c>
      <c r="Q545" s="22" t="n">
        <v>0.0366</v>
      </c>
      <c r="R545" s="22" t="n">
        <v>0.0227</v>
      </c>
      <c r="S545" s="22" t="n">
        <v>0.0069</v>
      </c>
      <c r="T545" s="22" t="n">
        <v>0.0304</v>
      </c>
      <c r="U545" s="22" t="n">
        <v>0.0374</v>
      </c>
      <c r="V545" s="22" t="n">
        <v>0.0554</v>
      </c>
      <c r="W545" s="22" t="n">
        <v>0.0697</v>
      </c>
      <c r="X545" s="22" t="n">
        <v>0.0359</v>
      </c>
      <c r="Y545" s="22" t="n">
        <v>0.0482</v>
      </c>
      <c r="Z545" s="22" t="n">
        <v>0.0347</v>
      </c>
      <c r="AA545" s="22" t="n">
        <v>0.0313</v>
      </c>
      <c r="AB545" s="22" t="n">
        <v>0.0341</v>
      </c>
      <c r="AC545" s="22" t="n">
        <v>0.0301</v>
      </c>
      <c r="AD545" s="22" t="n">
        <v>0.0611</v>
      </c>
      <c r="AE545" s="22" t="n">
        <v>0.1099</v>
      </c>
      <c r="AF545" s="22" t="n">
        <v>0.1471</v>
      </c>
      <c r="AG545" s="22" t="n">
        <v>0.1639</v>
      </c>
      <c r="AH545" s="22" t="n">
        <v>0.1728</v>
      </c>
      <c r="AI545" s="22" t="n">
        <v>0.1786</v>
      </c>
      <c r="AJ545" s="22" t="n">
        <v>0.1505</v>
      </c>
      <c r="AK545" s="22" t="n">
        <v>0.1256</v>
      </c>
      <c r="AL545" s="22" t="n">
        <v>0.0887</v>
      </c>
      <c r="AM545" s="22" t="n">
        <v>0.0299</v>
      </c>
      <c r="AN545" s="22" t="n">
        <v>-0.0035</v>
      </c>
      <c r="AO545" s="22" t="n">
        <v>-0.0107</v>
      </c>
      <c r="AP545" s="22" t="n">
        <v>-0.0104</v>
      </c>
      <c r="AQ545" s="22" t="n">
        <v>-0.0123</v>
      </c>
      <c r="AR545" s="22" t="n">
        <v>-0.0014</v>
      </c>
      <c r="AS545" s="22" t="n">
        <v>-0.0053</v>
      </c>
      <c r="AT545" s="22" t="n">
        <v>0.0164</v>
      </c>
      <c r="AU545" s="22" t="n">
        <v>0.075</v>
      </c>
      <c r="AV545" s="22" t="n">
        <v>0.0671</v>
      </c>
    </row>
    <row r="546" customFormat="false" ht="15" hidden="false" customHeight="false" outlineLevel="0" collapsed="false">
      <c r="A546" s="22" t="s">
        <v>654</v>
      </c>
      <c r="B546" s="22" t="s">
        <v>3</v>
      </c>
      <c r="C546" s="22" t="s">
        <v>654</v>
      </c>
      <c r="D546" s="22" t="n">
        <v>47460</v>
      </c>
      <c r="E546" s="22" t="s">
        <v>132</v>
      </c>
      <c r="F546" s="22" t="s">
        <v>135</v>
      </c>
      <c r="G546" s="22" t="s">
        <v>131</v>
      </c>
      <c r="H546" s="22" t="s">
        <v>131</v>
      </c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 t="n">
        <v>0.1658</v>
      </c>
      <c r="AH546" s="22" t="n">
        <v>0.2042</v>
      </c>
      <c r="AI546" s="22" t="n">
        <v>0.219</v>
      </c>
      <c r="AJ546" s="22" t="n">
        <v>0.2179</v>
      </c>
      <c r="AK546" s="22" t="n">
        <v>0.1024</v>
      </c>
      <c r="AL546" s="22" t="n">
        <v>0.1192</v>
      </c>
      <c r="AM546" s="22" t="n">
        <v>0.0799</v>
      </c>
      <c r="AN546" s="22" t="n">
        <v>0.059</v>
      </c>
      <c r="AO546" s="22" t="n">
        <v>0.0361</v>
      </c>
      <c r="AP546" s="22" t="n">
        <v>0.06</v>
      </c>
      <c r="AQ546" s="22" t="n">
        <v>0.0561</v>
      </c>
      <c r="AR546" s="22" t="n">
        <v>0.044</v>
      </c>
      <c r="AS546" s="22" t="n">
        <v>0.0594</v>
      </c>
      <c r="AT546" s="22" t="n">
        <v>-0.0244</v>
      </c>
      <c r="AU546" s="22" t="n">
        <v>-0.0662</v>
      </c>
      <c r="AV546" s="22" t="n">
        <v>-0.1388</v>
      </c>
    </row>
    <row r="547" customFormat="false" ht="15" hidden="false" customHeight="false" outlineLevel="0" collapsed="false">
      <c r="A547" s="22" t="s">
        <v>655</v>
      </c>
      <c r="B547" s="22" t="s">
        <v>3</v>
      </c>
      <c r="C547" s="22" t="s">
        <v>655</v>
      </c>
      <c r="D547" s="22" t="n">
        <v>47660</v>
      </c>
      <c r="E547" s="22" t="s">
        <v>132</v>
      </c>
      <c r="F547" s="22" t="s">
        <v>135</v>
      </c>
      <c r="G547" s="22" t="s">
        <v>131</v>
      </c>
      <c r="H547" s="22" t="s">
        <v>131</v>
      </c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</row>
    <row r="548" customFormat="false" ht="15" hidden="false" customHeight="false" outlineLevel="0" collapsed="false">
      <c r="A548" s="22" t="s">
        <v>656</v>
      </c>
      <c r="B548" s="22" t="s">
        <v>3</v>
      </c>
      <c r="C548" s="22" t="s">
        <v>656</v>
      </c>
      <c r="D548" s="22" t="n">
        <v>47700</v>
      </c>
      <c r="E548" s="22" t="s">
        <v>132</v>
      </c>
      <c r="F548" s="22" t="s">
        <v>135</v>
      </c>
      <c r="G548" s="22" t="s">
        <v>131</v>
      </c>
      <c r="H548" s="22" t="s">
        <v>131</v>
      </c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 t="n">
        <v>-0.0506</v>
      </c>
      <c r="AK548" s="22" t="n">
        <v>-0.0582</v>
      </c>
      <c r="AL548" s="22" t="n">
        <v>-0.029</v>
      </c>
      <c r="AM548" s="22" t="n">
        <v>-0.0422</v>
      </c>
      <c r="AN548" s="22" t="n">
        <v>0.0837</v>
      </c>
      <c r="AO548" s="22" t="n">
        <v>0.1048</v>
      </c>
      <c r="AP548" s="22" t="n">
        <v>0.0883</v>
      </c>
      <c r="AQ548" s="22" t="n">
        <v>0.1246</v>
      </c>
      <c r="AR548" s="22" t="n">
        <v>0.0829</v>
      </c>
      <c r="AS548" s="22" t="n">
        <v>-0.0146</v>
      </c>
      <c r="AT548" s="22" t="n">
        <v>-0.0104</v>
      </c>
      <c r="AU548" s="22" t="n">
        <v>-0.0412</v>
      </c>
      <c r="AV548" s="22" t="n">
        <v>-0.0232</v>
      </c>
    </row>
    <row r="549" customFormat="false" ht="15" hidden="false" customHeight="false" outlineLevel="0" collapsed="false">
      <c r="A549" s="22" t="s">
        <v>67</v>
      </c>
      <c r="B549" s="22" t="s">
        <v>3</v>
      </c>
      <c r="C549" s="22" t="s">
        <v>67</v>
      </c>
      <c r="D549" s="22" t="n">
        <v>47900</v>
      </c>
      <c r="E549" s="22" t="s">
        <v>132</v>
      </c>
      <c r="F549" s="22" t="s">
        <v>135</v>
      </c>
      <c r="G549" s="22" t="s">
        <v>131</v>
      </c>
      <c r="H549" s="22" t="s">
        <v>131</v>
      </c>
      <c r="I549" s="22" t="n">
        <v>0.0343</v>
      </c>
      <c r="J549" s="22" t="n">
        <v>0.0338</v>
      </c>
      <c r="K549" s="22" t="n">
        <v>0.0357</v>
      </c>
      <c r="L549" s="22" t="n">
        <v>0.0308</v>
      </c>
      <c r="M549" s="22" t="n">
        <v>0.0301</v>
      </c>
      <c r="N549" s="22" t="n">
        <v>0.0259</v>
      </c>
      <c r="O549" s="22" t="n">
        <v>0.0181</v>
      </c>
      <c r="P549" s="22" t="n">
        <v>0.0184</v>
      </c>
      <c r="Q549" s="22" t="n">
        <v>0.0185</v>
      </c>
      <c r="R549" s="22" t="n">
        <v>0.0189</v>
      </c>
      <c r="S549" s="22" t="n">
        <v>0.0266</v>
      </c>
      <c r="T549" s="22" t="n">
        <v>0.029</v>
      </c>
      <c r="U549" s="22" t="n">
        <v>0.0335</v>
      </c>
      <c r="V549" s="22" t="n">
        <v>0.0366</v>
      </c>
      <c r="W549" s="22" t="n">
        <v>0.0363</v>
      </c>
      <c r="X549" s="22" t="n">
        <v>0.0348</v>
      </c>
      <c r="Y549" s="22" t="n">
        <v>0.031</v>
      </c>
      <c r="Z549" s="22" t="n">
        <v>-0.0029</v>
      </c>
      <c r="AA549" s="22" t="n">
        <v>-0.0303</v>
      </c>
      <c r="AB549" s="22" t="n">
        <v>-0.045</v>
      </c>
      <c r="AC549" s="22" t="n">
        <v>-0.0551</v>
      </c>
      <c r="AD549" s="22" t="n">
        <v>-0.0164</v>
      </c>
      <c r="AE549" s="22" t="n">
        <v>0.0491</v>
      </c>
      <c r="AF549" s="22" t="n">
        <v>0.1004</v>
      </c>
      <c r="AG549" s="22" t="n">
        <v>0.1232</v>
      </c>
      <c r="AH549" s="22" t="n">
        <v>0.1177</v>
      </c>
      <c r="AI549" s="22" t="n">
        <v>0.0916</v>
      </c>
      <c r="AJ549" s="22" t="n">
        <v>0.0616</v>
      </c>
      <c r="AK549" s="22" t="n">
        <v>0.0478</v>
      </c>
      <c r="AL549" s="22" t="n">
        <v>0.0398</v>
      </c>
      <c r="AM549" s="22" t="n">
        <v>0.0271</v>
      </c>
      <c r="AN549" s="22" t="n">
        <v>0.0363</v>
      </c>
      <c r="AO549" s="22" t="n">
        <v>0.0421</v>
      </c>
      <c r="AP549" s="22" t="n">
        <v>0.0428</v>
      </c>
      <c r="AQ549" s="22" t="n">
        <v>0.0468</v>
      </c>
      <c r="AR549" s="22" t="n">
        <v>0.0402</v>
      </c>
      <c r="AS549" s="22" t="n">
        <v>0.0393</v>
      </c>
      <c r="AT549" s="22" t="n">
        <v>0.0395</v>
      </c>
      <c r="AU549" s="22" t="n">
        <v>0.0173</v>
      </c>
      <c r="AV549" s="22" t="n">
        <v>0.0068</v>
      </c>
    </row>
    <row r="550" customFormat="false" ht="15" hidden="false" customHeight="false" outlineLevel="0" collapsed="false">
      <c r="A550" s="22" t="s">
        <v>657</v>
      </c>
      <c r="B550" s="22" t="s">
        <v>3</v>
      </c>
      <c r="C550" s="22" t="s">
        <v>657</v>
      </c>
      <c r="D550" s="22" t="n">
        <v>47940</v>
      </c>
      <c r="E550" s="22" t="s">
        <v>132</v>
      </c>
      <c r="F550" s="22" t="s">
        <v>135</v>
      </c>
      <c r="G550" s="22" t="s">
        <v>131</v>
      </c>
      <c r="H550" s="22" t="s">
        <v>131</v>
      </c>
      <c r="I550" s="22"/>
      <c r="J550" s="22"/>
      <c r="K550" s="22"/>
      <c r="L550" s="22" t="n">
        <v>0.123</v>
      </c>
      <c r="M550" s="22" t="n">
        <v>0.0795</v>
      </c>
      <c r="N550" s="22" t="n">
        <v>0.0917</v>
      </c>
      <c r="O550" s="22" t="n">
        <v>0.1118</v>
      </c>
      <c r="P550" s="22" t="n">
        <v>0.0315</v>
      </c>
      <c r="Q550" s="22" t="n">
        <v>0.0147</v>
      </c>
      <c r="R550" s="22" t="n">
        <v>-0.0144</v>
      </c>
      <c r="S550" s="22" t="n">
        <v>0.0076</v>
      </c>
      <c r="T550" s="22" t="n">
        <v>0.0299</v>
      </c>
      <c r="U550" s="22" t="n">
        <v>0.06</v>
      </c>
      <c r="V550" s="22" t="n">
        <v>0.0534</v>
      </c>
      <c r="W550" s="22" t="n">
        <v>0.053</v>
      </c>
      <c r="X550" s="22" t="n">
        <v>0.011</v>
      </c>
      <c r="Y550" s="22" t="n">
        <v>-0.011</v>
      </c>
      <c r="Z550" s="22" t="n">
        <v>-0.0135</v>
      </c>
      <c r="AA550" s="22" t="n">
        <v>-0.0274</v>
      </c>
      <c r="AB550" s="22" t="n">
        <v>0.0474</v>
      </c>
      <c r="AC550" s="22" t="n">
        <v>0.0948</v>
      </c>
      <c r="AD550" s="22" t="n">
        <v>0.0839</v>
      </c>
      <c r="AE550" s="22" t="n">
        <v>0.1021</v>
      </c>
      <c r="AF550" s="22" t="n">
        <v>-0.0683</v>
      </c>
      <c r="AG550" s="22" t="n">
        <v>-0.0967</v>
      </c>
      <c r="AH550" s="22" t="n">
        <v>-0.1236</v>
      </c>
      <c r="AI550" s="22" t="n">
        <v>-0.1493</v>
      </c>
      <c r="AJ550" s="22" t="n">
        <v>0.0005</v>
      </c>
      <c r="AK550" s="22" t="n">
        <v>0.007</v>
      </c>
      <c r="AL550" s="22" t="n">
        <v>0.06</v>
      </c>
      <c r="AM550" s="22" t="n">
        <v>0.0877</v>
      </c>
      <c r="AN550" s="22" t="n">
        <v>0.0448</v>
      </c>
      <c r="AO550" s="22" t="n">
        <v>0.053</v>
      </c>
      <c r="AP550" s="22" t="n">
        <v>0.0371</v>
      </c>
      <c r="AQ550" s="22" t="n">
        <v>0.0206</v>
      </c>
      <c r="AR550" s="22" t="n">
        <v>0.0326</v>
      </c>
      <c r="AS550" s="22" t="n">
        <v>-0.0378</v>
      </c>
      <c r="AT550" s="22" t="n">
        <v>-0.0983</v>
      </c>
      <c r="AU550" s="22" t="n">
        <v>-0.0524</v>
      </c>
      <c r="AV550" s="22" t="n">
        <v>-0.0977</v>
      </c>
    </row>
    <row r="551" customFormat="false" ht="15" hidden="false" customHeight="false" outlineLevel="0" collapsed="false">
      <c r="A551" s="22" t="s">
        <v>658</v>
      </c>
      <c r="B551" s="22" t="s">
        <v>3</v>
      </c>
      <c r="C551" s="22" t="s">
        <v>658</v>
      </c>
      <c r="D551" s="22" t="n">
        <v>48020</v>
      </c>
      <c r="E551" s="22" t="s">
        <v>132</v>
      </c>
      <c r="F551" s="22" t="s">
        <v>135</v>
      </c>
      <c r="G551" s="22" t="s">
        <v>131</v>
      </c>
      <c r="H551" s="22" t="s">
        <v>131</v>
      </c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</row>
    <row r="552" customFormat="false" ht="15" hidden="false" customHeight="false" outlineLevel="0" collapsed="false">
      <c r="A552" s="22" t="s">
        <v>659</v>
      </c>
      <c r="B552" s="22" t="s">
        <v>3</v>
      </c>
      <c r="C552" s="22" t="s">
        <v>659</v>
      </c>
      <c r="D552" s="22" t="n">
        <v>48060</v>
      </c>
      <c r="E552" s="22" t="s">
        <v>132</v>
      </c>
      <c r="F552" s="22" t="s">
        <v>135</v>
      </c>
      <c r="G552" s="22" t="s">
        <v>131</v>
      </c>
      <c r="H552" s="22" t="s">
        <v>131</v>
      </c>
      <c r="I552" s="22" t="n">
        <v>-0.0538</v>
      </c>
      <c r="J552" s="22" t="n">
        <v>-0.1276</v>
      </c>
      <c r="K552" s="22" t="n">
        <v>-0.1373</v>
      </c>
      <c r="L552" s="22" t="n">
        <v>-0.1228</v>
      </c>
      <c r="M552" s="22" t="n">
        <v>-0.0981</v>
      </c>
      <c r="N552" s="22" t="n">
        <v>-0.0509</v>
      </c>
      <c r="O552" s="22" t="n">
        <v>-0.0507</v>
      </c>
      <c r="P552" s="22" t="n">
        <v>-0.0508</v>
      </c>
      <c r="Q552" s="22" t="n">
        <v>0.0015</v>
      </c>
      <c r="R552" s="22" t="n">
        <v>-0.0166</v>
      </c>
      <c r="S552" s="22" t="n">
        <v>0.0256</v>
      </c>
      <c r="T552" s="22" t="n">
        <v>0.0117</v>
      </c>
      <c r="U552" s="22" t="n">
        <v>0.0014</v>
      </c>
      <c r="V552" s="22" t="n">
        <v>0.0352</v>
      </c>
      <c r="W552" s="22" t="n">
        <v>0.0165</v>
      </c>
      <c r="X552" s="22" t="n">
        <v>0.0039</v>
      </c>
      <c r="Y552" s="22" t="n">
        <v>-0.0429</v>
      </c>
      <c r="Z552" s="22" t="n">
        <v>-0.0141</v>
      </c>
      <c r="AA552" s="22" t="n">
        <v>0.0169</v>
      </c>
      <c r="AB552" s="22" t="n">
        <v>0.0669</v>
      </c>
      <c r="AC552" s="22" t="n">
        <v>0.1207</v>
      </c>
      <c r="AD552" s="22" t="n">
        <v>0.0992</v>
      </c>
      <c r="AE552" s="22" t="n">
        <v>0.0457</v>
      </c>
      <c r="AF552" s="22" t="n">
        <v>0.0408</v>
      </c>
      <c r="AG552" s="22" t="n">
        <v>0.068</v>
      </c>
      <c r="AH552" s="22" t="n">
        <v>0.0377</v>
      </c>
      <c r="AI552" s="22" t="n">
        <v>0.0483</v>
      </c>
      <c r="AJ552" s="22" t="n">
        <v>0.033</v>
      </c>
      <c r="AK552" s="22" t="n">
        <v>0.0057</v>
      </c>
      <c r="AL552" s="22" t="n">
        <v>0.0383</v>
      </c>
      <c r="AM552" s="22" t="n">
        <v>0.0356</v>
      </c>
      <c r="AN552" s="22" t="n">
        <v>0.0189</v>
      </c>
      <c r="AO552" s="22" t="n">
        <v>0.0255</v>
      </c>
      <c r="AP552" s="22" t="n">
        <v>0.0209</v>
      </c>
      <c r="AQ552" s="22" t="n">
        <v>0.0164</v>
      </c>
      <c r="AR552" s="22" t="n">
        <v>0.0344</v>
      </c>
      <c r="AS552" s="22" t="n">
        <v>0.0196</v>
      </c>
      <c r="AT552" s="22" t="n">
        <v>0.031</v>
      </c>
      <c r="AU552" s="22" t="n">
        <v>0.0576</v>
      </c>
      <c r="AV552" s="22" t="n">
        <v>0.1112</v>
      </c>
    </row>
    <row r="553" customFormat="false" ht="15" hidden="false" customHeight="false" outlineLevel="0" collapsed="false">
      <c r="A553" s="22" t="s">
        <v>660</v>
      </c>
      <c r="B553" s="22" t="s">
        <v>3</v>
      </c>
      <c r="C553" s="22" t="s">
        <v>660</v>
      </c>
      <c r="D553" s="22" t="n">
        <v>47980</v>
      </c>
      <c r="E553" s="22" t="s">
        <v>132</v>
      </c>
      <c r="F553" s="22" t="s">
        <v>135</v>
      </c>
      <c r="G553" s="22" t="s">
        <v>131</v>
      </c>
      <c r="H553" s="22" t="s">
        <v>131</v>
      </c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</row>
    <row r="554" customFormat="false" ht="15" hidden="false" customHeight="false" outlineLevel="0" collapsed="false">
      <c r="A554" s="22" t="s">
        <v>661</v>
      </c>
      <c r="B554" s="22" t="s">
        <v>3</v>
      </c>
      <c r="C554" s="22" t="s">
        <v>661</v>
      </c>
      <c r="D554" s="22" t="n">
        <v>48140</v>
      </c>
      <c r="E554" s="22" t="s">
        <v>132</v>
      </c>
      <c r="F554" s="22" t="s">
        <v>135</v>
      </c>
      <c r="G554" s="22" t="s">
        <v>131</v>
      </c>
      <c r="H554" s="22" t="s">
        <v>131</v>
      </c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 t="n">
        <v>0.209</v>
      </c>
      <c r="Z554" s="22" t="n">
        <v>0.2325</v>
      </c>
      <c r="AA554" s="22" t="n">
        <v>0.2841</v>
      </c>
      <c r="AB554" s="22" t="n">
        <v>0.2904</v>
      </c>
      <c r="AC554" s="22" t="n">
        <v>-0.0028</v>
      </c>
      <c r="AD554" s="22" t="n">
        <v>0.0673</v>
      </c>
      <c r="AE554" s="22" t="n">
        <v>0.0813</v>
      </c>
      <c r="AF554" s="22" t="n">
        <v>0.1202</v>
      </c>
      <c r="AG554" s="22" t="n">
        <v>0.2155</v>
      </c>
      <c r="AH554" s="22" t="n">
        <v>0.1078</v>
      </c>
      <c r="AI554" s="22" t="n">
        <v>0.1925</v>
      </c>
      <c r="AJ554" s="22" t="n">
        <v>0.1647</v>
      </c>
      <c r="AK554" s="22" t="n">
        <v>0.0763</v>
      </c>
      <c r="AL554" s="22" t="n">
        <v>0.0512</v>
      </c>
      <c r="AM554" s="22" t="n">
        <v>-0.0357</v>
      </c>
      <c r="AN554" s="22" t="n">
        <v>-0.0485</v>
      </c>
      <c r="AO554" s="22" t="n">
        <v>-0.0788</v>
      </c>
      <c r="AP554" s="22" t="n">
        <v>-0.0393</v>
      </c>
      <c r="AQ554" s="22" t="n">
        <v>-0.0147</v>
      </c>
      <c r="AR554" s="22" t="n">
        <v>-0.004</v>
      </c>
      <c r="AS554" s="22" t="n">
        <v>0.041</v>
      </c>
      <c r="AT554" s="22" t="n">
        <v>0.0368</v>
      </c>
      <c r="AU554" s="22" t="n">
        <v>0.0148</v>
      </c>
      <c r="AV554" s="22" t="n">
        <v>0.0135</v>
      </c>
    </row>
    <row r="555" customFormat="false" ht="15" hidden="false" customHeight="false" outlineLevel="0" collapsed="false">
      <c r="A555" s="22" t="s">
        <v>662</v>
      </c>
      <c r="B555" s="22" t="s">
        <v>3</v>
      </c>
      <c r="C555" s="22" t="s">
        <v>662</v>
      </c>
      <c r="D555" s="22" t="n">
        <v>48220</v>
      </c>
      <c r="E555" s="22" t="s">
        <v>132</v>
      </c>
      <c r="F555" s="22" t="s">
        <v>135</v>
      </c>
      <c r="G555" s="22" t="s">
        <v>131</v>
      </c>
      <c r="H555" s="22" t="s">
        <v>131</v>
      </c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</row>
    <row r="556" customFormat="false" ht="15" hidden="false" customHeight="false" outlineLevel="0" collapsed="false">
      <c r="A556" s="22" t="s">
        <v>663</v>
      </c>
      <c r="B556" s="22" t="s">
        <v>3</v>
      </c>
      <c r="C556" s="22" t="s">
        <v>663</v>
      </c>
      <c r="D556" s="22" t="n">
        <v>48300</v>
      </c>
      <c r="E556" s="22" t="s">
        <v>132</v>
      </c>
      <c r="F556" s="22" t="s">
        <v>135</v>
      </c>
      <c r="G556" s="22" t="s">
        <v>131</v>
      </c>
      <c r="H556" s="22" t="s">
        <v>131</v>
      </c>
      <c r="I556" s="22" t="n">
        <v>0.3074</v>
      </c>
      <c r="J556" s="22" t="n">
        <v>0.501</v>
      </c>
      <c r="K556" s="22" t="n">
        <v>0.4147</v>
      </c>
      <c r="L556" s="22" t="n">
        <v>0.339</v>
      </c>
      <c r="M556" s="22" t="n">
        <v>0.1178</v>
      </c>
      <c r="N556" s="22"/>
      <c r="O556" s="22"/>
      <c r="P556" s="22"/>
      <c r="Q556" s="22"/>
      <c r="R556" s="22"/>
      <c r="S556" s="22"/>
      <c r="T556" s="22"/>
      <c r="U556" s="22"/>
      <c r="V556" s="22"/>
      <c r="W556" s="22" t="n">
        <v>0.0323</v>
      </c>
      <c r="X556" s="22" t="n">
        <v>-0.0417</v>
      </c>
      <c r="Y556" s="22" t="n">
        <v>0.011</v>
      </c>
      <c r="Z556" s="22" t="n">
        <v>0.0247</v>
      </c>
      <c r="AA556" s="22" t="n">
        <v>-0.0072</v>
      </c>
      <c r="AB556" s="22" t="n">
        <v>0.0641</v>
      </c>
      <c r="AC556" s="22" t="n">
        <v>0.0702</v>
      </c>
      <c r="AD556" s="22" t="n">
        <v>0.0932</v>
      </c>
      <c r="AE556" s="22" t="n">
        <v>0.1298</v>
      </c>
      <c r="AF556" s="22" t="n">
        <v>0.11</v>
      </c>
      <c r="AG556" s="22" t="n">
        <v>0.1782</v>
      </c>
      <c r="AH556" s="22" t="n">
        <v>0.1509</v>
      </c>
      <c r="AI556" s="22" t="n">
        <v>0.1374</v>
      </c>
      <c r="AJ556" s="22" t="n">
        <v>0.071</v>
      </c>
      <c r="AK556" s="22" t="n">
        <v>0.0043</v>
      </c>
      <c r="AL556" s="22" t="n">
        <v>0.0058</v>
      </c>
      <c r="AM556" s="22" t="n">
        <v>0.0023</v>
      </c>
      <c r="AN556" s="22" t="n">
        <v>-0.0263</v>
      </c>
      <c r="AO556" s="22" t="n">
        <v>-0.0101</v>
      </c>
      <c r="AP556" s="22" t="n">
        <v>0.0223</v>
      </c>
      <c r="AQ556" s="22" t="n">
        <v>0.014</v>
      </c>
      <c r="AR556" s="22" t="n">
        <v>0.0592</v>
      </c>
      <c r="AS556" s="22" t="n">
        <v>0.0242</v>
      </c>
      <c r="AT556" s="22" t="n">
        <v>-0.0205</v>
      </c>
      <c r="AU556" s="22" t="n">
        <v>-0.0139</v>
      </c>
      <c r="AV556" s="22" t="n">
        <v>0.0012</v>
      </c>
    </row>
    <row r="557" customFormat="false" ht="15" hidden="false" customHeight="false" outlineLevel="0" collapsed="false">
      <c r="A557" s="22" t="s">
        <v>43</v>
      </c>
      <c r="B557" s="22" t="s">
        <v>3</v>
      </c>
      <c r="C557" s="22" t="s">
        <v>43</v>
      </c>
      <c r="D557" s="22" t="n">
        <v>48424</v>
      </c>
      <c r="E557" s="22" t="s">
        <v>132</v>
      </c>
      <c r="F557" s="22" t="s">
        <v>135</v>
      </c>
      <c r="G557" s="22" t="s">
        <v>131</v>
      </c>
      <c r="H557" s="22" t="s">
        <v>131</v>
      </c>
      <c r="I557" s="22" t="n">
        <v>0.0693</v>
      </c>
      <c r="J557" s="22" t="n">
        <v>0.0599</v>
      </c>
      <c r="K557" s="22" t="n">
        <v>0.0373</v>
      </c>
      <c r="L557" s="22" t="n">
        <v>0.0253</v>
      </c>
      <c r="M557" s="22" t="n">
        <v>0.0318</v>
      </c>
      <c r="N557" s="22" t="n">
        <v>0.0378</v>
      </c>
      <c r="O557" s="22" t="n">
        <v>0.0408</v>
      </c>
      <c r="P557" s="22" t="n">
        <v>0.0235</v>
      </c>
      <c r="Q557" s="22" t="n">
        <v>0.0238</v>
      </c>
      <c r="R557" s="22" t="n">
        <v>0.0307</v>
      </c>
      <c r="S557" s="22" t="n">
        <v>0.0386</v>
      </c>
      <c r="T557" s="22" t="n">
        <v>0.0617</v>
      </c>
      <c r="U557" s="22" t="n">
        <v>0.0623</v>
      </c>
      <c r="V557" s="22" t="n">
        <v>0.0524</v>
      </c>
      <c r="W557" s="22" t="n">
        <v>0.0432</v>
      </c>
      <c r="X557" s="22" t="n">
        <v>0.043</v>
      </c>
      <c r="Y557" s="22" t="n">
        <v>0.0383</v>
      </c>
      <c r="Z557" s="22" t="n">
        <v>0.0055</v>
      </c>
      <c r="AA557" s="22" t="n">
        <v>-0.0035</v>
      </c>
      <c r="AB557" s="22" t="n">
        <v>0.0106</v>
      </c>
      <c r="AC557" s="22" t="n">
        <v>0.0285</v>
      </c>
      <c r="AD557" s="22" t="n">
        <v>0.1102</v>
      </c>
      <c r="AE557" s="22" t="n">
        <v>0.2383</v>
      </c>
      <c r="AF557" s="22" t="n">
        <v>0.3052</v>
      </c>
      <c r="AG557" s="22" t="n">
        <v>0.3142</v>
      </c>
      <c r="AH557" s="22" t="n">
        <v>0.2759</v>
      </c>
      <c r="AI557" s="22" t="n">
        <v>0.1658</v>
      </c>
      <c r="AJ557" s="22" t="n">
        <v>0.0798</v>
      </c>
      <c r="AK557" s="22" t="n">
        <v>0.0437</v>
      </c>
      <c r="AL557" s="22" t="n">
        <v>0.0326</v>
      </c>
      <c r="AM557" s="22" t="n">
        <v>0.0133</v>
      </c>
      <c r="AN557" s="22" t="n">
        <v>0.0078</v>
      </c>
      <c r="AO557" s="22" t="n">
        <v>0.0085</v>
      </c>
      <c r="AP557" s="22" t="n">
        <v>0.0054</v>
      </c>
      <c r="AQ557" s="22" t="n">
        <v>0.0099</v>
      </c>
      <c r="AR557" s="22" t="n">
        <v>0.0079</v>
      </c>
      <c r="AS557" s="22" t="n">
        <v>0.0074</v>
      </c>
      <c r="AT557" s="22" t="n">
        <v>0.0153</v>
      </c>
      <c r="AU557" s="22" t="n">
        <v>0.0191</v>
      </c>
      <c r="AV557" s="22" t="n">
        <v>0.0244</v>
      </c>
    </row>
    <row r="558" customFormat="false" ht="15" hidden="false" customHeight="false" outlineLevel="0" collapsed="false">
      <c r="A558" s="22" t="s">
        <v>664</v>
      </c>
      <c r="B558" s="22" t="s">
        <v>3</v>
      </c>
      <c r="C558" s="22" t="s">
        <v>664</v>
      </c>
      <c r="D558" s="22" t="n">
        <v>48540</v>
      </c>
      <c r="E558" s="22" t="s">
        <v>132</v>
      </c>
      <c r="F558" s="22" t="s">
        <v>135</v>
      </c>
      <c r="G558" s="22" t="s">
        <v>131</v>
      </c>
      <c r="H558" s="22" t="s">
        <v>131</v>
      </c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 t="n">
        <v>-0.0311</v>
      </c>
      <c r="AR558" s="22" t="n">
        <v>-0.0322</v>
      </c>
      <c r="AS558" s="22" t="n">
        <v>0.0283</v>
      </c>
      <c r="AT558" s="22" t="n">
        <v>0.0196</v>
      </c>
      <c r="AU558" s="22" t="n">
        <v>0.0634</v>
      </c>
      <c r="AV558" s="22" t="n">
        <v>0.112</v>
      </c>
    </row>
    <row r="559" customFormat="false" ht="15" hidden="false" customHeight="false" outlineLevel="0" collapsed="false">
      <c r="A559" s="22" t="s">
        <v>665</v>
      </c>
      <c r="B559" s="22" t="s">
        <v>3</v>
      </c>
      <c r="C559" s="22" t="s">
        <v>665</v>
      </c>
      <c r="D559" s="22" t="n">
        <v>48580</v>
      </c>
      <c r="E559" s="22" t="s">
        <v>132</v>
      </c>
      <c r="F559" s="22" t="s">
        <v>135</v>
      </c>
      <c r="G559" s="22" t="s">
        <v>131</v>
      </c>
      <c r="H559" s="22" t="s">
        <v>131</v>
      </c>
      <c r="I559" s="22"/>
      <c r="J559" s="22"/>
      <c r="K559" s="22"/>
      <c r="L559" s="22"/>
      <c r="M559" s="22" t="n">
        <v>0.5147</v>
      </c>
      <c r="N559" s="22" t="n">
        <v>0.6445</v>
      </c>
      <c r="O559" s="22" t="n">
        <v>0.1792</v>
      </c>
      <c r="P559" s="22" t="n">
        <v>0.0795</v>
      </c>
      <c r="Q559" s="22" t="n">
        <v>0.0734</v>
      </c>
      <c r="R559" s="22" t="n">
        <v>0.0181</v>
      </c>
      <c r="S559" s="22" t="n">
        <v>0.029</v>
      </c>
      <c r="T559" s="22" t="n">
        <v>0.0441</v>
      </c>
      <c r="U559" s="22" t="n">
        <v>0.0744</v>
      </c>
      <c r="V559" s="22" t="n">
        <v>0.1198</v>
      </c>
      <c r="W559" s="22" t="n">
        <v>0.1466</v>
      </c>
      <c r="X559" s="22" t="n">
        <v>0.1326</v>
      </c>
      <c r="Y559" s="22" t="n">
        <v>0.0973</v>
      </c>
      <c r="Z559" s="22" t="n">
        <v>0.0476</v>
      </c>
      <c r="AA559" s="22" t="n">
        <v>0.0483</v>
      </c>
      <c r="AB559" s="22" t="n">
        <v>0.0376</v>
      </c>
      <c r="AC559" s="22" t="n">
        <v>0.0724</v>
      </c>
      <c r="AD559" s="22" t="n">
        <v>0.1517</v>
      </c>
      <c r="AE559" s="22" t="n">
        <v>0.1826</v>
      </c>
      <c r="AF559" s="22" t="n">
        <v>0.0977</v>
      </c>
      <c r="AG559" s="22" t="n">
        <v>0.0827</v>
      </c>
      <c r="AH559" s="22" t="n">
        <v>0.1023</v>
      </c>
      <c r="AI559" s="22" t="n">
        <v>0.0396</v>
      </c>
      <c r="AJ559" s="22" t="n">
        <v>0.0767</v>
      </c>
      <c r="AK559" s="22" t="n">
        <v>0.0912</v>
      </c>
      <c r="AL559" s="22" t="n">
        <v>0.004</v>
      </c>
      <c r="AM559" s="22" t="n">
        <v>-0.0374</v>
      </c>
      <c r="AN559" s="22" t="n">
        <v>0.0293</v>
      </c>
      <c r="AO559" s="22" t="n">
        <v>-0.0112</v>
      </c>
      <c r="AP559" s="22" t="n">
        <v>-0.0045</v>
      </c>
      <c r="AQ559" s="22" t="n">
        <v>0.0409</v>
      </c>
      <c r="AR559" s="22" t="n">
        <v>0.0047</v>
      </c>
      <c r="AS559" s="22" t="n">
        <v>0.0722</v>
      </c>
      <c r="AT559" s="22" t="n">
        <v>0.1387</v>
      </c>
      <c r="AU559" s="22" t="n">
        <v>0.1267</v>
      </c>
      <c r="AV559" s="22" t="n">
        <v>0.123</v>
      </c>
    </row>
    <row r="560" customFormat="false" ht="15" hidden="false" customHeight="false" outlineLevel="0" collapsed="false">
      <c r="A560" s="22" t="s">
        <v>666</v>
      </c>
      <c r="B560" s="22" t="s">
        <v>3</v>
      </c>
      <c r="C560" s="22" t="s">
        <v>666</v>
      </c>
      <c r="D560" s="22" t="n">
        <v>48660</v>
      </c>
      <c r="E560" s="22" t="s">
        <v>132</v>
      </c>
      <c r="F560" s="22" t="s">
        <v>135</v>
      </c>
      <c r="G560" s="22" t="s">
        <v>131</v>
      </c>
      <c r="H560" s="22" t="s">
        <v>131</v>
      </c>
      <c r="I560" s="22" t="n">
        <v>0.0192</v>
      </c>
      <c r="J560" s="22" t="n">
        <v>0.0355</v>
      </c>
      <c r="K560" s="22" t="n">
        <v>0.01</v>
      </c>
      <c r="L560" s="22" t="n">
        <v>-0.0246</v>
      </c>
      <c r="M560" s="22" t="n">
        <v>-0.0695</v>
      </c>
      <c r="N560" s="22" t="n">
        <v>-0.0633</v>
      </c>
      <c r="O560" s="22" t="n">
        <v>-0.0424</v>
      </c>
      <c r="P560" s="22" t="n">
        <v>0.0192</v>
      </c>
      <c r="Q560" s="22" t="n">
        <v>0.067</v>
      </c>
      <c r="R560" s="22" t="n">
        <v>0.0696</v>
      </c>
      <c r="S560" s="22" t="n">
        <v>0.0764</v>
      </c>
      <c r="T560" s="22" t="n">
        <v>0.0254</v>
      </c>
      <c r="U560" s="22" t="n">
        <v>0.0312</v>
      </c>
      <c r="V560" s="22" t="n">
        <v>0.0342</v>
      </c>
      <c r="W560" s="22" t="n">
        <v>0.0225</v>
      </c>
      <c r="X560" s="22" t="n">
        <v>0.0401</v>
      </c>
      <c r="Y560" s="22" t="n">
        <v>0.0406</v>
      </c>
      <c r="Z560" s="22" t="n">
        <v>-0.0006</v>
      </c>
      <c r="AA560" s="22" t="n">
        <v>0.0136</v>
      </c>
      <c r="AB560" s="22" t="n">
        <v>0.0184</v>
      </c>
      <c r="AC560" s="22" t="n">
        <v>-0.0056</v>
      </c>
      <c r="AD560" s="22" t="n">
        <v>0.0538</v>
      </c>
      <c r="AE560" s="22" t="n">
        <v>0.0499</v>
      </c>
      <c r="AF560" s="22" t="n">
        <v>0.0473</v>
      </c>
      <c r="AG560" s="22" t="n">
        <v>0.0995</v>
      </c>
      <c r="AH560" s="22" t="n">
        <v>0.0982</v>
      </c>
      <c r="AI560" s="22" t="n">
        <v>0.0765</v>
      </c>
      <c r="AJ560" s="22" t="n">
        <v>0.0841</v>
      </c>
      <c r="AK560" s="22" t="n">
        <v>0.058</v>
      </c>
      <c r="AL560" s="22" t="n">
        <v>0.0365</v>
      </c>
      <c r="AM560" s="22" t="n">
        <v>0.0461</v>
      </c>
      <c r="AN560" s="22" t="n">
        <v>0.0436</v>
      </c>
      <c r="AO560" s="22" t="n">
        <v>0.0263</v>
      </c>
      <c r="AP560" s="22" t="n">
        <v>0.0209</v>
      </c>
      <c r="AQ560" s="22" t="n">
        <v>0.0048</v>
      </c>
      <c r="AR560" s="22" t="n">
        <v>-0.0074</v>
      </c>
      <c r="AS560" s="22" t="n">
        <v>-0.0051</v>
      </c>
      <c r="AT560" s="22" t="n">
        <v>0.0076</v>
      </c>
      <c r="AU560" s="22" t="n">
        <v>0.0474</v>
      </c>
      <c r="AV560" s="22" t="n">
        <v>0.0565</v>
      </c>
    </row>
    <row r="561" customFormat="false" ht="15" hidden="false" customHeight="false" outlineLevel="0" collapsed="false">
      <c r="A561" s="22" t="s">
        <v>26</v>
      </c>
      <c r="B561" s="22" t="s">
        <v>3</v>
      </c>
      <c r="C561" s="22" t="s">
        <v>26</v>
      </c>
      <c r="D561" s="22" t="n">
        <v>48620</v>
      </c>
      <c r="E561" s="22" t="s">
        <v>132</v>
      </c>
      <c r="F561" s="22" t="s">
        <v>135</v>
      </c>
      <c r="G561" s="22" t="s">
        <v>131</v>
      </c>
      <c r="H561" s="22" t="s">
        <v>131</v>
      </c>
      <c r="I561" s="22" t="n">
        <v>0.0451</v>
      </c>
      <c r="J561" s="22" t="n">
        <v>0.0357</v>
      </c>
      <c r="K561" s="22" t="n">
        <v>0.0458</v>
      </c>
      <c r="L561" s="22" t="n">
        <v>0.0304</v>
      </c>
      <c r="M561" s="22" t="n">
        <v>0.0205</v>
      </c>
      <c r="N561" s="22" t="n">
        <v>0.0217</v>
      </c>
      <c r="O561" s="22" t="n">
        <v>0.0303</v>
      </c>
      <c r="P561" s="22" t="n">
        <v>0.0352</v>
      </c>
      <c r="Q561" s="22" t="n">
        <v>0.0373</v>
      </c>
      <c r="R561" s="22" t="n">
        <v>0.0185</v>
      </c>
      <c r="S561" s="22" t="n">
        <v>0.0036</v>
      </c>
      <c r="T561" s="22" t="n">
        <v>0.0143</v>
      </c>
      <c r="U561" s="22" t="n">
        <v>0.0061</v>
      </c>
      <c r="V561" s="22" t="n">
        <v>0.0216</v>
      </c>
      <c r="W561" s="22" t="n">
        <v>0.0427</v>
      </c>
      <c r="X561" s="22" t="n">
        <v>0.0435</v>
      </c>
      <c r="Y561" s="22" t="n">
        <v>0.0583</v>
      </c>
      <c r="Z561" s="22" t="n">
        <v>0.0513</v>
      </c>
      <c r="AA561" s="22" t="n">
        <v>0.0316</v>
      </c>
      <c r="AB561" s="22" t="n">
        <v>0.0256</v>
      </c>
      <c r="AC561" s="22" t="n">
        <v>0.022</v>
      </c>
      <c r="AD561" s="22" t="n">
        <v>0.0323</v>
      </c>
      <c r="AE561" s="22" t="n">
        <v>0.0617</v>
      </c>
      <c r="AF561" s="22" t="n">
        <v>0.0873</v>
      </c>
      <c r="AG561" s="22" t="n">
        <v>0.1002</v>
      </c>
      <c r="AH561" s="22" t="n">
        <v>0.1148</v>
      </c>
      <c r="AI561" s="22" t="n">
        <v>0.0954</v>
      </c>
      <c r="AJ561" s="22" t="n">
        <v>0.0712</v>
      </c>
      <c r="AK561" s="22" t="n">
        <v>0.0495</v>
      </c>
      <c r="AL561" s="22" t="n">
        <v>0.0246</v>
      </c>
      <c r="AM561" s="22" t="n">
        <v>0.025</v>
      </c>
      <c r="AN561" s="22" t="n">
        <v>0.0256</v>
      </c>
      <c r="AO561" s="22" t="n">
        <v>0.0408</v>
      </c>
      <c r="AP561" s="22" t="n">
        <v>0.0465</v>
      </c>
      <c r="AQ561" s="22" t="n">
        <v>0.0367</v>
      </c>
      <c r="AR561" s="22" t="n">
        <v>0.0147</v>
      </c>
      <c r="AS561" s="22" t="n">
        <v>0.0295</v>
      </c>
      <c r="AT561" s="22" t="n">
        <v>0.0607</v>
      </c>
      <c r="AU561" s="22" t="n">
        <v>0.0666</v>
      </c>
      <c r="AV561" s="22" t="n">
        <v>0.0795</v>
      </c>
    </row>
    <row r="562" customFormat="false" ht="15" hidden="false" customHeight="false" outlineLevel="0" collapsed="false">
      <c r="A562" s="22" t="s">
        <v>667</v>
      </c>
      <c r="B562" s="22" t="s">
        <v>3</v>
      </c>
      <c r="C562" s="22" t="s">
        <v>667</v>
      </c>
      <c r="D562" s="22" t="n">
        <v>48680</v>
      </c>
      <c r="E562" s="22" t="s">
        <v>132</v>
      </c>
      <c r="F562" s="22" t="s">
        <v>135</v>
      </c>
      <c r="G562" s="22" t="s">
        <v>131</v>
      </c>
      <c r="H562" s="22" t="s">
        <v>131</v>
      </c>
      <c r="I562" s="22"/>
      <c r="J562" s="22"/>
      <c r="K562" s="22" t="n">
        <v>0.5047</v>
      </c>
      <c r="L562" s="22"/>
      <c r="M562" s="22"/>
      <c r="N562" s="22"/>
      <c r="O562" s="22"/>
      <c r="P562" s="22" t="n">
        <v>0.0309</v>
      </c>
      <c r="Q562" s="22" t="n">
        <v>0.0304</v>
      </c>
      <c r="R562" s="22" t="n">
        <v>0.0321</v>
      </c>
      <c r="S562" s="22" t="n">
        <v>0.0437</v>
      </c>
      <c r="T562" s="22" t="n">
        <v>0.0207</v>
      </c>
      <c r="U562" s="22" t="n">
        <v>0.0222</v>
      </c>
      <c r="V562" s="22" t="n">
        <v>0.0368</v>
      </c>
      <c r="W562" s="22" t="n">
        <v>0.043</v>
      </c>
      <c r="X562" s="22" t="n">
        <v>0.0408</v>
      </c>
      <c r="Y562" s="22"/>
      <c r="Z562" s="22"/>
      <c r="AA562" s="22" t="n">
        <v>0.0041</v>
      </c>
      <c r="AB562" s="22" t="n">
        <v>0.0041</v>
      </c>
      <c r="AC562" s="22" t="n">
        <v>-0.045</v>
      </c>
      <c r="AD562" s="22" t="n">
        <v>-0.0362</v>
      </c>
      <c r="AE562" s="22" t="n">
        <v>0.0108</v>
      </c>
      <c r="AF562" s="22"/>
      <c r="AG562" s="22"/>
      <c r="AH562" s="22"/>
      <c r="AI562" s="22"/>
      <c r="AJ562" s="22"/>
      <c r="AK562" s="22"/>
      <c r="AL562" s="22"/>
      <c r="AM562" s="22"/>
      <c r="AN562" s="22"/>
      <c r="AO562" s="22" t="n">
        <v>0.0781</v>
      </c>
      <c r="AP562" s="22" t="n">
        <v>0.0922</v>
      </c>
      <c r="AQ562" s="22" t="n">
        <v>0.0216</v>
      </c>
      <c r="AR562" s="22" t="n">
        <v>0.0739</v>
      </c>
      <c r="AS562" s="22" t="n">
        <v>-0.0481</v>
      </c>
      <c r="AT562" s="22" t="n">
        <v>-0.0848</v>
      </c>
      <c r="AU562" s="22" t="n">
        <v>-0.073</v>
      </c>
      <c r="AV562" s="22" t="n">
        <v>-0.0148</v>
      </c>
    </row>
    <row r="563" customFormat="false" ht="15" hidden="false" customHeight="false" outlineLevel="0" collapsed="false">
      <c r="A563" s="22" t="s">
        <v>668</v>
      </c>
      <c r="B563" s="22" t="s">
        <v>3</v>
      </c>
      <c r="C563" s="22" t="s">
        <v>668</v>
      </c>
      <c r="D563" s="22" t="n">
        <v>48700</v>
      </c>
      <c r="E563" s="22" t="s">
        <v>132</v>
      </c>
      <c r="F563" s="22" t="s">
        <v>135</v>
      </c>
      <c r="G563" s="22" t="s">
        <v>131</v>
      </c>
      <c r="H563" s="22" t="s">
        <v>131</v>
      </c>
      <c r="I563" s="22"/>
      <c r="J563" s="22"/>
      <c r="K563" s="22"/>
      <c r="L563" s="22" t="n">
        <v>-0.1724</v>
      </c>
      <c r="M563" s="22" t="n">
        <v>-0.0095</v>
      </c>
      <c r="N563" s="22" t="n">
        <v>0.0144</v>
      </c>
      <c r="O563" s="22" t="n">
        <v>0.0133</v>
      </c>
      <c r="P563" s="22" t="n">
        <v>0.0433</v>
      </c>
      <c r="Q563" s="22" t="n">
        <v>0.025</v>
      </c>
      <c r="R563" s="22" t="n">
        <v>0.0507</v>
      </c>
      <c r="S563" s="22" t="n">
        <v>0.0513</v>
      </c>
      <c r="T563" s="22" t="n">
        <v>0.0514</v>
      </c>
      <c r="U563" s="22" t="n">
        <v>0.0402</v>
      </c>
      <c r="V563" s="22" t="n">
        <v>0.0359</v>
      </c>
      <c r="W563" s="22" t="n">
        <v>-0.0032</v>
      </c>
      <c r="X563" s="22" t="n">
        <v>-0.0057</v>
      </c>
      <c r="Y563" s="22" t="n">
        <v>-0.0016</v>
      </c>
      <c r="Z563" s="22" t="n">
        <v>-0.0001</v>
      </c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</row>
    <row r="564" customFormat="false" ht="15" hidden="false" customHeight="false" outlineLevel="0" collapsed="false">
      <c r="A564" s="22" t="s">
        <v>669</v>
      </c>
      <c r="B564" s="22" t="s">
        <v>3</v>
      </c>
      <c r="C564" s="22" t="s">
        <v>669</v>
      </c>
      <c r="D564" s="22" t="n">
        <v>48780</v>
      </c>
      <c r="E564" s="22" t="s">
        <v>132</v>
      </c>
      <c r="F564" s="22" t="s">
        <v>135</v>
      </c>
      <c r="G564" s="22" t="s">
        <v>131</v>
      </c>
      <c r="H564" s="22" t="s">
        <v>131</v>
      </c>
      <c r="I564" s="22" t="n">
        <v>-0.3894</v>
      </c>
      <c r="J564" s="22" t="n">
        <v>-0.3141</v>
      </c>
      <c r="K564" s="22" t="n">
        <v>-0.4155</v>
      </c>
      <c r="L564" s="22" t="n">
        <v>-0.3946</v>
      </c>
      <c r="M564" s="22" t="n">
        <v>-0.3433</v>
      </c>
      <c r="N564" s="22" t="n">
        <v>-0.3218</v>
      </c>
      <c r="O564" s="22" t="n">
        <v>-0.1109</v>
      </c>
      <c r="P564" s="22" t="n">
        <v>0.0438</v>
      </c>
      <c r="Q564" s="22" t="n">
        <v>0.1022</v>
      </c>
      <c r="R564" s="22" t="n">
        <v>0.1664</v>
      </c>
      <c r="S564" s="22" t="n">
        <v>0.2307</v>
      </c>
      <c r="T564" s="22" t="n">
        <v>0.2505</v>
      </c>
      <c r="U564" s="22" t="n">
        <v>0.2616</v>
      </c>
      <c r="V564" s="22" t="n">
        <v>0.2369</v>
      </c>
      <c r="W564" s="22" t="n">
        <v>0.1371</v>
      </c>
      <c r="X564" s="22" t="n">
        <v>0.0554</v>
      </c>
      <c r="Y564" s="22" t="n">
        <v>0.036</v>
      </c>
      <c r="Z564" s="22" t="n">
        <v>-0.093</v>
      </c>
      <c r="AA564" s="22" t="n">
        <v>-0.2501</v>
      </c>
      <c r="AB564" s="22" t="n">
        <v>-0.2977</v>
      </c>
      <c r="AC564" s="22" t="n">
        <v>-0.3715</v>
      </c>
      <c r="AD564" s="22" t="n">
        <v>-0.2728</v>
      </c>
      <c r="AE564" s="22" t="n">
        <v>-0.1173</v>
      </c>
      <c r="AF564" s="22" t="n">
        <v>0.0582</v>
      </c>
      <c r="AG564" s="22" t="n">
        <v>0.1704</v>
      </c>
      <c r="AH564" s="22" t="n">
        <v>0.2037</v>
      </c>
      <c r="AI564" s="22" t="n">
        <v>0.2048</v>
      </c>
      <c r="AJ564" s="22" t="n">
        <v>0.1288</v>
      </c>
      <c r="AK564" s="22" t="n">
        <v>0.1692</v>
      </c>
      <c r="AL564" s="22" t="n">
        <v>0.1675</v>
      </c>
      <c r="AM564" s="22" t="n">
        <v>0.1336</v>
      </c>
      <c r="AN564" s="22" t="n">
        <v>0.1258</v>
      </c>
      <c r="AO564" s="22" t="n">
        <v>0.1233</v>
      </c>
      <c r="AP564" s="22" t="n">
        <v>0.0698</v>
      </c>
      <c r="AQ564" s="22" t="n">
        <v>0.1012</v>
      </c>
      <c r="AR564" s="22" t="n">
        <v>0.1015</v>
      </c>
      <c r="AS564" s="22" t="n">
        <v>0.0867</v>
      </c>
      <c r="AT564" s="22" t="n">
        <v>0.09</v>
      </c>
      <c r="AU564" s="22" t="n">
        <v>0.1284</v>
      </c>
      <c r="AV564" s="22" t="n">
        <v>0.0767</v>
      </c>
    </row>
    <row r="565" customFormat="false" ht="15" hidden="false" customHeight="false" outlineLevel="0" collapsed="false">
      <c r="A565" s="22" t="s">
        <v>670</v>
      </c>
      <c r="B565" s="22" t="s">
        <v>3</v>
      </c>
      <c r="C565" s="22" t="s">
        <v>670</v>
      </c>
      <c r="D565" s="22" t="n">
        <v>48820</v>
      </c>
      <c r="E565" s="22" t="s">
        <v>132</v>
      </c>
      <c r="F565" s="22" t="s">
        <v>135</v>
      </c>
      <c r="G565" s="22" t="s">
        <v>131</v>
      </c>
      <c r="H565" s="22" t="s">
        <v>131</v>
      </c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</row>
    <row r="566" customFormat="false" ht="15" hidden="false" customHeight="false" outlineLevel="0" collapsed="false">
      <c r="A566" s="22" t="s">
        <v>35</v>
      </c>
      <c r="B566" s="22" t="s">
        <v>3</v>
      </c>
      <c r="C566" s="22" t="s">
        <v>35</v>
      </c>
      <c r="D566" s="22" t="n">
        <v>48900</v>
      </c>
      <c r="E566" s="22" t="s">
        <v>132</v>
      </c>
      <c r="F566" s="22" t="s">
        <v>135</v>
      </c>
      <c r="G566" s="22" t="s">
        <v>131</v>
      </c>
      <c r="H566" s="22" t="s">
        <v>131</v>
      </c>
      <c r="I566" s="22" t="n">
        <v>0.0714</v>
      </c>
      <c r="J566" s="22" t="n">
        <v>0.0901</v>
      </c>
      <c r="K566" s="22" t="n">
        <v>0.076</v>
      </c>
      <c r="L566" s="22" t="n">
        <v>0.0582</v>
      </c>
      <c r="M566" s="22" t="n">
        <v>0.0678</v>
      </c>
      <c r="N566" s="22" t="n">
        <v>0.0387</v>
      </c>
      <c r="O566" s="22" t="n">
        <v>0.0167</v>
      </c>
      <c r="P566" s="22" t="n">
        <v>0.0383</v>
      </c>
      <c r="Q566" s="22" t="n">
        <v>0.0214</v>
      </c>
      <c r="R566" s="22" t="n">
        <v>0.0373</v>
      </c>
      <c r="S566" s="22" t="n">
        <v>0.0583</v>
      </c>
      <c r="T566" s="22" t="n">
        <v>0.1016</v>
      </c>
      <c r="U566" s="22" t="n">
        <v>0.1196</v>
      </c>
      <c r="V566" s="22" t="n">
        <v>0.116</v>
      </c>
      <c r="W566" s="22" t="n">
        <v>0.1157</v>
      </c>
      <c r="X566" s="22" t="n">
        <v>0.0586</v>
      </c>
      <c r="Y566" s="22" t="n">
        <v>0.0348</v>
      </c>
      <c r="Z566" s="22" t="n">
        <v>-0.0045</v>
      </c>
      <c r="AA566" s="22" t="n">
        <v>0.0046</v>
      </c>
      <c r="AB566" s="22" t="n">
        <v>0.0134</v>
      </c>
      <c r="AC566" s="22" t="n">
        <v>0.0346</v>
      </c>
      <c r="AD566" s="22" t="n">
        <v>0.1144</v>
      </c>
      <c r="AE566" s="22" t="n">
        <v>0.1638</v>
      </c>
      <c r="AF566" s="22" t="n">
        <v>0.2138</v>
      </c>
      <c r="AG566" s="22" t="n">
        <v>0.23</v>
      </c>
      <c r="AH566" s="22" t="n">
        <v>0.2335</v>
      </c>
      <c r="AI566" s="22" t="n">
        <v>0.1942</v>
      </c>
      <c r="AJ566" s="22" t="n">
        <v>0.133</v>
      </c>
      <c r="AK566" s="22" t="n">
        <v>0.0923</v>
      </c>
      <c r="AL566" s="22" t="n">
        <v>0.0396</v>
      </c>
      <c r="AM566" s="22" t="n">
        <v>-0.0098</v>
      </c>
      <c r="AN566" s="22" t="n">
        <v>-0.0251</v>
      </c>
      <c r="AO566" s="22" t="n">
        <v>-0.0354</v>
      </c>
      <c r="AP566" s="22" t="n">
        <v>-0.0357</v>
      </c>
      <c r="AQ566" s="22" t="n">
        <v>-0.0205</v>
      </c>
      <c r="AR566" s="22" t="n">
        <v>-0.016</v>
      </c>
      <c r="AS566" s="22" t="n">
        <v>-0.0089</v>
      </c>
      <c r="AT566" s="22" t="n">
        <v>0.0016</v>
      </c>
      <c r="AU566" s="22" t="n">
        <v>-0.0021</v>
      </c>
      <c r="AV566" s="22" t="n">
        <v>-0.0011</v>
      </c>
    </row>
    <row r="567" customFormat="false" ht="15" hidden="false" customHeight="false" outlineLevel="0" collapsed="false">
      <c r="A567" s="22" t="s">
        <v>671</v>
      </c>
      <c r="B567" s="22" t="s">
        <v>3</v>
      </c>
      <c r="C567" s="22" t="s">
        <v>671</v>
      </c>
      <c r="D567" s="22" t="n">
        <v>48980</v>
      </c>
      <c r="E567" s="22" t="s">
        <v>132</v>
      </c>
      <c r="F567" s="22" t="s">
        <v>135</v>
      </c>
      <c r="G567" s="22" t="s">
        <v>131</v>
      </c>
      <c r="H567" s="22" t="s">
        <v>131</v>
      </c>
      <c r="I567" s="22" t="n">
        <v>0.0194</v>
      </c>
      <c r="J567" s="22" t="n">
        <v>0.0485</v>
      </c>
      <c r="K567" s="22" t="n">
        <v>0.1213</v>
      </c>
      <c r="L567" s="22" t="n">
        <v>0.104</v>
      </c>
      <c r="M567" s="22" t="n">
        <v>0.0422</v>
      </c>
      <c r="N567" s="22" t="n">
        <v>0.0413</v>
      </c>
      <c r="O567" s="22" t="n">
        <v>0.0079</v>
      </c>
      <c r="P567" s="22" t="n">
        <v>0.0066</v>
      </c>
      <c r="Q567" s="22" t="n">
        <v>0.091</v>
      </c>
      <c r="R567" s="22" t="n">
        <v>0.0642</v>
      </c>
      <c r="S567" s="22" t="n">
        <v>0.0783</v>
      </c>
      <c r="T567" s="22" t="n">
        <v>0.0895</v>
      </c>
      <c r="U567" s="22" t="n">
        <v>0.0608</v>
      </c>
      <c r="V567" s="22" t="n">
        <v>0.0809</v>
      </c>
      <c r="W567" s="22" t="n">
        <v>-0.0046</v>
      </c>
      <c r="X567" s="22" t="n">
        <v>0.0317</v>
      </c>
      <c r="Y567" s="22" t="n">
        <v>0.0347</v>
      </c>
      <c r="Z567" s="22" t="n">
        <v>0.0029</v>
      </c>
      <c r="AA567" s="22" t="n">
        <v>0.0678</v>
      </c>
      <c r="AB567" s="22" t="n">
        <v>0.0843</v>
      </c>
      <c r="AC567" s="22" t="n">
        <v>0.0576</v>
      </c>
      <c r="AD567" s="22" t="n">
        <v>0.1138</v>
      </c>
      <c r="AE567" s="22" t="n">
        <v>0.1648</v>
      </c>
      <c r="AF567" s="22" t="n">
        <v>0.2313</v>
      </c>
      <c r="AG567" s="22" t="n">
        <v>0.2236</v>
      </c>
      <c r="AH567" s="22" t="n">
        <v>0.1853</v>
      </c>
      <c r="AI567" s="22" t="n">
        <v>0.2042</v>
      </c>
      <c r="AJ567" s="22" t="n">
        <v>0.2626</v>
      </c>
      <c r="AK567" s="22" t="n">
        <v>0.2363</v>
      </c>
      <c r="AL567" s="22" t="n">
        <v>0.2913</v>
      </c>
      <c r="AM567" s="22" t="n">
        <v>0.1823</v>
      </c>
      <c r="AN567" s="22" t="n">
        <v>0.0033</v>
      </c>
      <c r="AO567" s="22" t="n">
        <v>-0.0271</v>
      </c>
      <c r="AP567" s="22" t="n">
        <v>-0.0402</v>
      </c>
      <c r="AQ567" s="22" t="n">
        <v>-0.0557</v>
      </c>
      <c r="AR567" s="22" t="n">
        <v>-0.0585</v>
      </c>
      <c r="AS567" s="22" t="n">
        <v>-0.0184</v>
      </c>
      <c r="AT567" s="22" t="n">
        <v>-0.0708</v>
      </c>
      <c r="AU567" s="22" t="n">
        <v>-0.0114</v>
      </c>
      <c r="AV567" s="22" t="n">
        <v>0.0503</v>
      </c>
    </row>
    <row r="568" customFormat="false" ht="15" hidden="false" customHeight="false" outlineLevel="0" collapsed="false">
      <c r="A568" s="22" t="s">
        <v>672</v>
      </c>
      <c r="B568" s="22" t="s">
        <v>3</v>
      </c>
      <c r="C568" s="22" t="s">
        <v>672</v>
      </c>
      <c r="D568" s="22" t="n">
        <v>49020</v>
      </c>
      <c r="E568" s="22" t="s">
        <v>132</v>
      </c>
      <c r="F568" s="22" t="s">
        <v>135</v>
      </c>
      <c r="G568" s="22" t="s">
        <v>131</v>
      </c>
      <c r="H568" s="22" t="s">
        <v>131</v>
      </c>
      <c r="I568" s="22" t="n">
        <v>0.0487</v>
      </c>
      <c r="J568" s="22" t="n">
        <v>0.0693</v>
      </c>
      <c r="K568" s="22" t="n">
        <v>0.06</v>
      </c>
      <c r="L568" s="22" t="n">
        <v>0.0391</v>
      </c>
      <c r="M568" s="22" t="n">
        <v>0.0402</v>
      </c>
      <c r="N568" s="22" t="n">
        <v>0.0159</v>
      </c>
      <c r="O568" s="22" t="n">
        <v>0.0343</v>
      </c>
      <c r="P568" s="22" t="n">
        <v>0.0278</v>
      </c>
      <c r="Q568" s="22" t="n">
        <v>0.0271</v>
      </c>
      <c r="R568" s="22" t="n">
        <v>0.0392</v>
      </c>
      <c r="S568" s="22" t="n">
        <v>0.072</v>
      </c>
      <c r="T568" s="22" t="n">
        <v>0.0593</v>
      </c>
      <c r="U568" s="22" t="n">
        <v>0.0668</v>
      </c>
      <c r="V568" s="22" t="n">
        <v>0.0506</v>
      </c>
      <c r="W568" s="22" t="n">
        <v>0.0406</v>
      </c>
      <c r="X568" s="22" t="n">
        <v>0.0658</v>
      </c>
      <c r="Y568" s="22" t="n">
        <v>0.1024</v>
      </c>
      <c r="Z568" s="22" t="n">
        <v>0.12</v>
      </c>
      <c r="AA568" s="22" t="n">
        <v>0.1032</v>
      </c>
      <c r="AB568" s="22" t="n">
        <v>0.1037</v>
      </c>
      <c r="AC568" s="22" t="n">
        <v>0.066</v>
      </c>
      <c r="AD568" s="22" t="n">
        <v>0.0725</v>
      </c>
      <c r="AE568" s="22" t="n">
        <v>0.0866</v>
      </c>
      <c r="AF568" s="22" t="n">
        <v>0.0934</v>
      </c>
      <c r="AG568" s="22" t="n">
        <v>0.0796</v>
      </c>
      <c r="AH568" s="22" t="n">
        <v>0.0767</v>
      </c>
      <c r="AI568" s="22" t="n">
        <v>0.0656</v>
      </c>
      <c r="AJ568" s="22" t="n">
        <v>0.0357</v>
      </c>
      <c r="AK568" s="22" t="n">
        <v>0.0586</v>
      </c>
      <c r="AL568" s="22" t="n">
        <v>0.0747</v>
      </c>
      <c r="AM568" s="22" t="n">
        <v>0.0684</v>
      </c>
      <c r="AN568" s="22" t="n">
        <v>0.0667</v>
      </c>
      <c r="AO568" s="22" t="n">
        <v>0.0787</v>
      </c>
      <c r="AP568" s="22" t="n">
        <v>0.0792</v>
      </c>
      <c r="AQ568" s="22" t="n">
        <v>0.071</v>
      </c>
      <c r="AR568" s="22" t="n">
        <v>0.0922</v>
      </c>
      <c r="AS568" s="22" t="n">
        <v>0.0693</v>
      </c>
      <c r="AT568" s="22" t="n">
        <v>0.0447</v>
      </c>
      <c r="AU568" s="22" t="n">
        <v>0.0453</v>
      </c>
      <c r="AV568" s="22" t="n">
        <v>0.0057</v>
      </c>
    </row>
    <row r="569" customFormat="false" ht="15" hidden="false" customHeight="false" outlineLevel="0" collapsed="false">
      <c r="A569" s="22" t="s">
        <v>673</v>
      </c>
      <c r="B569" s="22" t="s">
        <v>3</v>
      </c>
      <c r="C569" s="22" t="s">
        <v>673</v>
      </c>
      <c r="D569" s="22" t="n">
        <v>49100</v>
      </c>
      <c r="E569" s="22" t="s">
        <v>132</v>
      </c>
      <c r="F569" s="22" t="s">
        <v>135</v>
      </c>
      <c r="G569" s="22" t="s">
        <v>131</v>
      </c>
      <c r="H569" s="22" t="s">
        <v>131</v>
      </c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 t="n">
        <v>0.5285</v>
      </c>
      <c r="AF569" s="22" t="n">
        <v>0.535</v>
      </c>
      <c r="AG569" s="22" t="n">
        <v>0.5047</v>
      </c>
      <c r="AH569" s="22" t="n">
        <v>0.3181</v>
      </c>
      <c r="AI569" s="22" t="n">
        <v>0.0586</v>
      </c>
      <c r="AJ569" s="22" t="n">
        <v>0.0248</v>
      </c>
      <c r="AK569" s="22" t="n">
        <v>0.0391</v>
      </c>
      <c r="AL569" s="22" t="n">
        <v>0.0364</v>
      </c>
      <c r="AM569" s="22" t="n">
        <v>0.0506</v>
      </c>
      <c r="AN569" s="22" t="n">
        <v>0.0478</v>
      </c>
      <c r="AO569" s="22" t="n">
        <v>0.0361</v>
      </c>
      <c r="AP569" s="22" t="n">
        <v>0.0268</v>
      </c>
      <c r="AQ569" s="22" t="n">
        <v>0.0338</v>
      </c>
      <c r="AR569" s="22" t="n">
        <v>-0.012</v>
      </c>
      <c r="AS569" s="22" t="n">
        <v>0.0057</v>
      </c>
      <c r="AT569" s="22" t="n">
        <v>0.0058</v>
      </c>
      <c r="AU569" s="22"/>
      <c r="AV569" s="22"/>
    </row>
    <row r="570" customFormat="false" ht="15" hidden="false" customHeight="false" outlineLevel="0" collapsed="false">
      <c r="A570" s="22" t="s">
        <v>674</v>
      </c>
      <c r="B570" s="22" t="s">
        <v>3</v>
      </c>
      <c r="C570" s="22" t="s">
        <v>674</v>
      </c>
      <c r="D570" s="22" t="n">
        <v>49300</v>
      </c>
      <c r="E570" s="22" t="s">
        <v>132</v>
      </c>
      <c r="F570" s="22" t="s">
        <v>135</v>
      </c>
      <c r="G570" s="22" t="s">
        <v>131</v>
      </c>
      <c r="H570" s="22" t="s">
        <v>131</v>
      </c>
      <c r="I570" s="22"/>
      <c r="J570" s="22"/>
      <c r="K570" s="22"/>
      <c r="L570" s="22"/>
      <c r="M570" s="22"/>
      <c r="N570" s="22"/>
      <c r="O570" s="22" t="n">
        <v>0.1952</v>
      </c>
      <c r="P570" s="22" t="n">
        <v>0.201</v>
      </c>
      <c r="Q570" s="22" t="n">
        <v>0.1766</v>
      </c>
      <c r="R570" s="22" t="n">
        <v>0.0644</v>
      </c>
      <c r="S570" s="22" t="n">
        <v>0.0132</v>
      </c>
      <c r="T570" s="22" t="n">
        <v>0.0215</v>
      </c>
      <c r="U570" s="22" t="n">
        <v>0.0169</v>
      </c>
      <c r="V570" s="22" t="n">
        <v>0.0288</v>
      </c>
      <c r="W570" s="22" t="n">
        <v>-0.0001</v>
      </c>
      <c r="X570" s="22" t="n">
        <v>-0.002</v>
      </c>
      <c r="Y570" s="22" t="n">
        <v>-0.0012</v>
      </c>
      <c r="Z570" s="22" t="n">
        <v>0.0022</v>
      </c>
      <c r="AA570" s="22" t="n">
        <v>0.0255</v>
      </c>
      <c r="AB570" s="22" t="n">
        <v>0.0232</v>
      </c>
      <c r="AC570" s="22" t="n">
        <v>0.023</v>
      </c>
      <c r="AD570" s="22" t="n">
        <v>0.0211</v>
      </c>
      <c r="AE570" s="22" t="n">
        <v>0.0257</v>
      </c>
      <c r="AF570" s="22" t="n">
        <v>0.0548</v>
      </c>
      <c r="AG570" s="22"/>
      <c r="AH570" s="22" t="n">
        <v>0.7275</v>
      </c>
      <c r="AI570" s="22" t="n">
        <v>0.8011</v>
      </c>
      <c r="AJ570" s="22" t="n">
        <v>0.7298</v>
      </c>
      <c r="AK570" s="22" t="n">
        <v>0.5567</v>
      </c>
      <c r="AL570" s="22" t="n">
        <v>0.0388</v>
      </c>
      <c r="AM570" s="22" t="n">
        <v>0.1444</v>
      </c>
      <c r="AN570" s="22" t="n">
        <v>0.1291</v>
      </c>
      <c r="AO570" s="22" t="n">
        <v>0.1117</v>
      </c>
      <c r="AP570" s="22" t="n">
        <v>0.0408</v>
      </c>
      <c r="AQ570" s="22" t="n">
        <v>-0.0295</v>
      </c>
      <c r="AR570" s="22" t="n">
        <v>-0.0261</v>
      </c>
      <c r="AS570" s="22" t="n">
        <v>0.0091</v>
      </c>
      <c r="AT570" s="22" t="n">
        <v>0.0877</v>
      </c>
      <c r="AU570" s="22" t="n">
        <v>0.0447</v>
      </c>
      <c r="AV570" s="22" t="n">
        <v>0.0186</v>
      </c>
    </row>
    <row r="571" customFormat="false" ht="15" hidden="false" customHeight="false" outlineLevel="0" collapsed="false">
      <c r="A571" s="22" t="s">
        <v>220</v>
      </c>
      <c r="B571" s="22" t="s">
        <v>3</v>
      </c>
      <c r="C571" s="22" t="s">
        <v>220</v>
      </c>
      <c r="D571" s="22" t="n">
        <v>249340</v>
      </c>
      <c r="E571" s="22" t="s">
        <v>132</v>
      </c>
      <c r="F571" s="22" t="s">
        <v>135</v>
      </c>
      <c r="G571" s="22" t="s">
        <v>131</v>
      </c>
      <c r="H571" s="22" t="s">
        <v>131</v>
      </c>
      <c r="I571" s="22" t="n">
        <v>0.0421</v>
      </c>
      <c r="J571" s="22" t="n">
        <v>0.0613</v>
      </c>
      <c r="K571" s="22" t="n">
        <v>0.0625</v>
      </c>
      <c r="L571" s="22" t="n">
        <v>0.0694</v>
      </c>
      <c r="M571" s="22" t="n">
        <v>0.0913</v>
      </c>
      <c r="N571" s="22" t="n">
        <v>0.072</v>
      </c>
      <c r="O571" s="22" t="n">
        <v>0.0346</v>
      </c>
      <c r="P571" s="22" t="n">
        <v>0.0218</v>
      </c>
      <c r="Q571" s="22" t="n">
        <v>0.0082</v>
      </c>
      <c r="R571" s="22" t="n">
        <v>0.0079</v>
      </c>
      <c r="S571" s="22" t="n">
        <v>0.0386</v>
      </c>
      <c r="T571" s="22" t="n">
        <v>0.0468</v>
      </c>
      <c r="U571" s="22" t="n">
        <v>0.0543</v>
      </c>
      <c r="V571" s="22" t="n">
        <v>0.0542</v>
      </c>
      <c r="W571" s="22" t="n">
        <v>0.0667</v>
      </c>
      <c r="X571" s="22" t="n">
        <v>0.0604</v>
      </c>
      <c r="Y571" s="22" t="n">
        <v>0.0483</v>
      </c>
      <c r="Z571" s="22" t="n">
        <v>0.0117</v>
      </c>
      <c r="AA571" s="22" t="n">
        <v>0.0014</v>
      </c>
      <c r="AB571" s="22" t="n">
        <v>0.022</v>
      </c>
      <c r="AC571" s="22" t="n">
        <v>0.0069</v>
      </c>
      <c r="AD571" s="22" t="n">
        <v>0.0654</v>
      </c>
      <c r="AE571" s="22" t="n">
        <v>0.1003</v>
      </c>
      <c r="AF571" s="22" t="n">
        <v>0.0975</v>
      </c>
      <c r="AG571" s="22" t="n">
        <v>0.1393</v>
      </c>
      <c r="AH571" s="22" t="n">
        <v>0.1509</v>
      </c>
      <c r="AI571" s="22" t="n">
        <v>0.1554</v>
      </c>
      <c r="AJ571" s="22" t="n">
        <v>0.1125</v>
      </c>
      <c r="AK571" s="22" t="n">
        <v>0.0948</v>
      </c>
      <c r="AL571" s="22" t="n">
        <v>0.0736</v>
      </c>
      <c r="AM571" s="22" t="n">
        <v>0.0184</v>
      </c>
      <c r="AN571" s="22" t="n">
        <v>0.0635</v>
      </c>
      <c r="AO571" s="22" t="n">
        <v>0.0671</v>
      </c>
      <c r="AP571" s="22" t="n">
        <v>0.0451</v>
      </c>
      <c r="AQ571" s="22" t="n">
        <v>0.058</v>
      </c>
      <c r="AR571" s="22" t="n">
        <v>0.0399</v>
      </c>
      <c r="AS571" s="22" t="n">
        <v>0.0341</v>
      </c>
      <c r="AT571" s="22" t="n">
        <v>0.031</v>
      </c>
      <c r="AU571" s="22" t="n">
        <v>0.0288</v>
      </c>
      <c r="AV571" s="22" t="n">
        <v>0.0247</v>
      </c>
    </row>
    <row r="572" customFormat="false" ht="15" hidden="false" customHeight="false" outlineLevel="0" collapsed="false">
      <c r="A572" s="22" t="s">
        <v>675</v>
      </c>
      <c r="B572" s="22" t="s">
        <v>3</v>
      </c>
      <c r="C572" s="22" t="s">
        <v>675</v>
      </c>
      <c r="D572" s="22" t="n">
        <v>49420</v>
      </c>
      <c r="E572" s="22" t="s">
        <v>132</v>
      </c>
      <c r="F572" s="22" t="s">
        <v>135</v>
      </c>
      <c r="G572" s="22" t="s">
        <v>131</v>
      </c>
      <c r="H572" s="22" t="s">
        <v>131</v>
      </c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</row>
    <row r="573" customFormat="false" ht="15" hidden="false" customHeight="false" outlineLevel="0" collapsed="false">
      <c r="A573" s="22" t="s">
        <v>676</v>
      </c>
      <c r="B573" s="22" t="s">
        <v>3</v>
      </c>
      <c r="C573" s="22" t="s">
        <v>676</v>
      </c>
      <c r="D573" s="22" t="n">
        <v>49620</v>
      </c>
      <c r="E573" s="22" t="s">
        <v>132</v>
      </c>
      <c r="F573" s="22" t="s">
        <v>135</v>
      </c>
      <c r="G573" s="22" t="s">
        <v>131</v>
      </c>
      <c r="H573" s="22" t="s">
        <v>131</v>
      </c>
      <c r="I573" s="22" t="n">
        <v>0.0275</v>
      </c>
      <c r="J573" s="22" t="n">
        <v>0.0207</v>
      </c>
      <c r="K573" s="22" t="n">
        <v>-0.0344</v>
      </c>
      <c r="L573" s="22" t="n">
        <v>0.0788</v>
      </c>
      <c r="M573" s="22" t="n">
        <v>0.0904</v>
      </c>
      <c r="N573" s="22" t="n">
        <v>0.0836</v>
      </c>
      <c r="O573" s="22" t="n">
        <v>0.1346</v>
      </c>
      <c r="P573" s="22" t="n">
        <v>0.0052</v>
      </c>
      <c r="Q573" s="22" t="n">
        <v>0.015</v>
      </c>
      <c r="R573" s="22" t="n">
        <v>0.0271</v>
      </c>
      <c r="S573" s="22" t="n">
        <v>0.0303</v>
      </c>
      <c r="T573" s="22" t="n">
        <v>0.0551</v>
      </c>
      <c r="U573" s="22" t="n">
        <v>0.0618</v>
      </c>
      <c r="V573" s="22" t="n">
        <v>0.0669</v>
      </c>
      <c r="W573" s="22" t="n">
        <v>0.0435</v>
      </c>
      <c r="X573" s="22" t="n">
        <v>0.0288</v>
      </c>
      <c r="Y573" s="22" t="n">
        <v>0.0013</v>
      </c>
      <c r="Z573" s="22" t="n">
        <v>-0.0091</v>
      </c>
      <c r="AA573" s="22" t="n">
        <v>0.0386</v>
      </c>
      <c r="AB573" s="22" t="n">
        <v>0.0285</v>
      </c>
      <c r="AC573" s="22" t="n">
        <v>0.0668</v>
      </c>
      <c r="AD573" s="22" t="n">
        <v>0.0945</v>
      </c>
      <c r="AE573" s="22" t="n">
        <v>0.1031</v>
      </c>
      <c r="AF573" s="22" t="n">
        <v>0.1248</v>
      </c>
      <c r="AG573" s="22" t="n">
        <v>0.1409</v>
      </c>
      <c r="AH573" s="22" t="n">
        <v>0.1436</v>
      </c>
      <c r="AI573" s="22" t="n">
        <v>0.0992</v>
      </c>
      <c r="AJ573" s="22" t="n">
        <v>0.0623</v>
      </c>
      <c r="AK573" s="22" t="n">
        <v>0.0292</v>
      </c>
      <c r="AL573" s="22" t="n">
        <v>0.0097</v>
      </c>
      <c r="AM573" s="22" t="n">
        <v>0.0125</v>
      </c>
      <c r="AN573" s="22" t="n">
        <v>0.0319</v>
      </c>
      <c r="AO573" s="22" t="n">
        <v>0.0332</v>
      </c>
      <c r="AP573" s="22" t="n">
        <v>0.0371</v>
      </c>
      <c r="AQ573" s="22" t="n">
        <v>0.0372</v>
      </c>
      <c r="AR573" s="22" t="n">
        <v>0.0471</v>
      </c>
      <c r="AS573" s="22" t="n">
        <v>0.0472</v>
      </c>
      <c r="AT573" s="22" t="n">
        <v>0.0398</v>
      </c>
      <c r="AU573" s="22" t="n">
        <v>0.0246</v>
      </c>
      <c r="AV573" s="22" t="n">
        <v>0.0213</v>
      </c>
    </row>
    <row r="574" customFormat="false" ht="15" hidden="false" customHeight="false" outlineLevel="0" collapsed="false">
      <c r="A574" s="22" t="s">
        <v>221</v>
      </c>
      <c r="B574" s="22" t="s">
        <v>3</v>
      </c>
      <c r="C574" s="22" t="s">
        <v>221</v>
      </c>
      <c r="D574" s="22" t="n">
        <v>249660</v>
      </c>
      <c r="E574" s="22" t="s">
        <v>132</v>
      </c>
      <c r="F574" s="22" t="s">
        <v>135</v>
      </c>
      <c r="G574" s="22" t="s">
        <v>131</v>
      </c>
      <c r="H574" s="22" t="s">
        <v>131</v>
      </c>
      <c r="I574" s="22" t="n">
        <v>-0.0249</v>
      </c>
      <c r="J574" s="22" t="n">
        <v>-0.0134</v>
      </c>
      <c r="K574" s="22" t="n">
        <v>0.0307</v>
      </c>
      <c r="L574" s="22" t="n">
        <v>0.0616</v>
      </c>
      <c r="M574" s="22" t="n">
        <v>-0.0185</v>
      </c>
      <c r="N574" s="22" t="n">
        <v>-0.0262</v>
      </c>
      <c r="O574" s="22" t="n">
        <v>0.0281</v>
      </c>
      <c r="P574" s="22" t="n">
        <v>-0.0136</v>
      </c>
      <c r="Q574" s="22" t="n">
        <v>0.1148</v>
      </c>
      <c r="R574" s="22" t="n">
        <v>0.116</v>
      </c>
      <c r="S574" s="22" t="n">
        <v>0.0451</v>
      </c>
      <c r="T574" s="22" t="n">
        <v>0.0635</v>
      </c>
      <c r="U574" s="22" t="n">
        <v>0.0112</v>
      </c>
      <c r="V574" s="22" t="n">
        <v>0.0127</v>
      </c>
      <c r="W574" s="22" t="n">
        <v>0.0033</v>
      </c>
      <c r="X574" s="22" t="n">
        <v>0.0011</v>
      </c>
      <c r="Y574" s="22" t="n">
        <v>0.0169</v>
      </c>
      <c r="Z574" s="22" t="n">
        <v>0.0102</v>
      </c>
      <c r="AA574" s="22" t="n">
        <v>0.0127</v>
      </c>
      <c r="AB574" s="22" t="n">
        <v>0.016</v>
      </c>
      <c r="AC574" s="22" t="n">
        <v>0.0135</v>
      </c>
      <c r="AD574" s="22" t="n">
        <v>0.0277</v>
      </c>
      <c r="AE574" s="22" t="n">
        <v>0.0376</v>
      </c>
      <c r="AF574" s="22" t="n">
        <v>0.0433</v>
      </c>
      <c r="AG574" s="22" t="n">
        <v>0.0573</v>
      </c>
      <c r="AH574" s="22" t="n">
        <v>0.1191</v>
      </c>
      <c r="AI574" s="22" t="n">
        <v>0.1312</v>
      </c>
      <c r="AJ574" s="22" t="n">
        <v>0.1445</v>
      </c>
      <c r="AK574" s="22" t="n">
        <v>0.1484</v>
      </c>
      <c r="AL574" s="22" t="n">
        <v>0.0644</v>
      </c>
      <c r="AM574" s="22" t="n">
        <v>0.0672</v>
      </c>
      <c r="AN574" s="22" t="n">
        <v>0.0607</v>
      </c>
      <c r="AO574" s="22" t="n">
        <v>0.0534</v>
      </c>
      <c r="AP574" s="22" t="n">
        <v>0.0339</v>
      </c>
      <c r="AQ574" s="22" t="n">
        <v>0.0186</v>
      </c>
      <c r="AR574" s="22" t="n">
        <v>0.0096</v>
      </c>
      <c r="AS574" s="22" t="n">
        <v>-0.002</v>
      </c>
      <c r="AT574" s="22" t="n">
        <v>0.0364</v>
      </c>
      <c r="AU574" s="22" t="n">
        <v>-0.0026</v>
      </c>
      <c r="AV574" s="22" t="n">
        <v>0.0044</v>
      </c>
    </row>
    <row r="575" customFormat="false" ht="15" hidden="false" customHeight="false" outlineLevel="0" collapsed="false">
      <c r="A575" s="22" t="s">
        <v>677</v>
      </c>
      <c r="B575" s="22" t="s">
        <v>3</v>
      </c>
      <c r="C575" s="22" t="s">
        <v>677</v>
      </c>
      <c r="D575" s="22" t="n">
        <v>49700</v>
      </c>
      <c r="E575" s="22" t="s">
        <v>132</v>
      </c>
      <c r="F575" s="22" t="s">
        <v>135</v>
      </c>
      <c r="G575" s="22" t="s">
        <v>131</v>
      </c>
      <c r="H575" s="22" t="s">
        <v>131</v>
      </c>
      <c r="I575" s="22"/>
      <c r="J575" s="22"/>
      <c r="K575" s="22"/>
      <c r="L575" s="22" t="n">
        <v>0.1162</v>
      </c>
      <c r="M575" s="22" t="n">
        <v>0.0341</v>
      </c>
      <c r="N575" s="22" t="n">
        <v>0.0474</v>
      </c>
      <c r="O575" s="22" t="n">
        <v>0.1232</v>
      </c>
      <c r="P575" s="22" t="n">
        <v>0.0406</v>
      </c>
      <c r="Q575" s="22" t="n">
        <v>0.0765</v>
      </c>
      <c r="R575" s="22" t="n">
        <v>0.0415</v>
      </c>
      <c r="S575" s="22" t="n">
        <v>0.0142</v>
      </c>
      <c r="T575" s="22" t="n">
        <v>0.0237</v>
      </c>
      <c r="U575" s="22" t="n">
        <v>0.0326</v>
      </c>
      <c r="V575" s="22" t="n">
        <v>0.0601</v>
      </c>
      <c r="W575" s="22" t="n">
        <v>0.1559</v>
      </c>
      <c r="X575" s="22" t="n">
        <v>0.1384</v>
      </c>
      <c r="Y575" s="22" t="n">
        <v>0.1486</v>
      </c>
      <c r="Z575" s="22" t="n">
        <v>0.1748</v>
      </c>
      <c r="AA575" s="22" t="n">
        <v>0.0624</v>
      </c>
      <c r="AB575" s="22" t="n">
        <v>0.0755</v>
      </c>
      <c r="AC575" s="22" t="n">
        <v>0.0877</v>
      </c>
      <c r="AD575" s="22" t="n">
        <v>0.0494</v>
      </c>
      <c r="AE575" s="22" t="n">
        <v>0.0802</v>
      </c>
      <c r="AF575" s="22" t="n">
        <v>0.0739</v>
      </c>
      <c r="AG575" s="22" t="n">
        <v>0.0712</v>
      </c>
      <c r="AH575" s="22" t="n">
        <v>0.0859</v>
      </c>
      <c r="AI575" s="22" t="n">
        <v>0.0378</v>
      </c>
      <c r="AJ575" s="22" t="n">
        <v>0.0312</v>
      </c>
      <c r="AK575" s="22" t="n">
        <v>0.0086</v>
      </c>
      <c r="AL575" s="22" t="n">
        <v>-0.0197</v>
      </c>
      <c r="AM575" s="22" t="n">
        <v>0.0048</v>
      </c>
      <c r="AN575" s="22" t="n">
        <v>0.0229</v>
      </c>
      <c r="AO575" s="22" t="n">
        <v>0.027</v>
      </c>
      <c r="AP575" s="22" t="n">
        <v>0.0271</v>
      </c>
      <c r="AQ575" s="22" t="n">
        <v>0.0389</v>
      </c>
      <c r="AR575" s="22" t="n">
        <v>0.0239</v>
      </c>
      <c r="AS575" s="22" t="n">
        <v>0.0153</v>
      </c>
      <c r="AT575" s="22" t="n">
        <v>0.0257</v>
      </c>
      <c r="AU575" s="22" t="n">
        <v>0.0173</v>
      </c>
      <c r="AV575" s="22" t="n">
        <v>0.0128</v>
      </c>
    </row>
    <row r="576" customFormat="false" ht="15" hidden="false" customHeight="false" outlineLevel="0" collapsed="false">
      <c r="A576" s="22" t="s">
        <v>678</v>
      </c>
      <c r="B576" s="22" t="s">
        <v>3</v>
      </c>
      <c r="C576" s="22" t="s">
        <v>678</v>
      </c>
      <c r="D576" s="22" t="n">
        <v>49740</v>
      </c>
      <c r="E576" s="22" t="s">
        <v>132</v>
      </c>
      <c r="F576" s="22" t="s">
        <v>135</v>
      </c>
      <c r="G576" s="22" t="s">
        <v>131</v>
      </c>
      <c r="H576" s="22" t="s">
        <v>131</v>
      </c>
      <c r="I576" s="22" t="n">
        <v>0.0382</v>
      </c>
      <c r="J576" s="22" t="n">
        <v>-0.0026</v>
      </c>
      <c r="K576" s="22" t="n">
        <v>0.0391</v>
      </c>
      <c r="L576" s="22" t="n">
        <v>0.0665</v>
      </c>
      <c r="M576" s="22" t="n">
        <v>0.0449</v>
      </c>
      <c r="N576" s="22" t="n">
        <v>0.057</v>
      </c>
      <c r="O576" s="22" t="n">
        <v>-0.0177</v>
      </c>
      <c r="P576" s="22" t="n">
        <v>-0.0188</v>
      </c>
      <c r="Q576" s="22" t="n">
        <v>-0.0173</v>
      </c>
      <c r="R576" s="22" t="n">
        <v>-0.0158</v>
      </c>
      <c r="S576" s="22" t="n">
        <v>0.0308</v>
      </c>
      <c r="T576" s="22" t="n">
        <v>0.046</v>
      </c>
      <c r="U576" s="22" t="n">
        <v>0.0426</v>
      </c>
      <c r="V576" s="22" t="n">
        <v>0.0329</v>
      </c>
      <c r="W576" s="22" t="n">
        <v>0.0655</v>
      </c>
      <c r="X576" s="22" t="n">
        <v>0.0517</v>
      </c>
      <c r="Y576" s="22" t="n">
        <v>0.0738</v>
      </c>
      <c r="Z576" s="22" t="n">
        <v>0.0697</v>
      </c>
      <c r="AA576" s="22" t="n">
        <v>0.1267</v>
      </c>
      <c r="AB576" s="22" t="n">
        <v>0.1317</v>
      </c>
      <c r="AC576" s="22" t="n">
        <v>0.1082</v>
      </c>
      <c r="AD576" s="22" t="n">
        <v>0.1251</v>
      </c>
      <c r="AE576" s="22" t="n">
        <v>0.1146</v>
      </c>
      <c r="AF576" s="22" t="n">
        <v>0.1095</v>
      </c>
      <c r="AG576" s="22" t="n">
        <v>0.1036</v>
      </c>
      <c r="AH576" s="22" t="n">
        <v>0.1386</v>
      </c>
      <c r="AI576" s="22" t="n">
        <v>0.0671</v>
      </c>
      <c r="AJ576" s="22" t="n">
        <v>0.0668</v>
      </c>
      <c r="AK576" s="22" t="n">
        <v>0.0321</v>
      </c>
      <c r="AL576" s="22" t="n">
        <v>-0.005</v>
      </c>
      <c r="AM576" s="22" t="n">
        <v>-0.0064</v>
      </c>
      <c r="AN576" s="22" t="n">
        <v>-0.0154</v>
      </c>
      <c r="AO576" s="22" t="n">
        <v>0.0179</v>
      </c>
      <c r="AP576" s="22" t="n">
        <v>0.0124</v>
      </c>
      <c r="AQ576" s="22" t="n">
        <v>-0.0092</v>
      </c>
      <c r="AR576" s="22" t="n">
        <v>0.002</v>
      </c>
      <c r="AS576" s="22" t="n">
        <v>-0.0051</v>
      </c>
      <c r="AT576" s="22" t="n">
        <v>0.0289</v>
      </c>
      <c r="AU576" s="22" t="n">
        <v>0.0364</v>
      </c>
      <c r="AV576" s="22" t="n">
        <v>0.0168</v>
      </c>
    </row>
    <row r="577" customFormat="false" ht="15" hidden="false" customHeight="false" outlineLevel="0" collapsed="false">
      <c r="A577" s="22" t="s">
        <v>679</v>
      </c>
      <c r="B577" s="22" t="s">
        <v>3</v>
      </c>
      <c r="C577" s="22" t="s">
        <v>679</v>
      </c>
      <c r="D577" s="22" t="n">
        <v>49780</v>
      </c>
      <c r="E577" s="22" t="s">
        <v>132</v>
      </c>
      <c r="F577" s="22" t="s">
        <v>135</v>
      </c>
      <c r="G577" s="22" t="s">
        <v>131</v>
      </c>
      <c r="H577" s="22" t="s">
        <v>131</v>
      </c>
      <c r="I577" s="22"/>
      <c r="J577" s="22"/>
      <c r="K577" s="22"/>
      <c r="L577" s="22" t="n">
        <v>-0.0852</v>
      </c>
      <c r="M577" s="22" t="n">
        <v>-0.0149</v>
      </c>
      <c r="N577" s="22" t="n">
        <v>0.0199</v>
      </c>
      <c r="O577" s="22" t="n">
        <v>-0.0212</v>
      </c>
      <c r="P577" s="22" t="n">
        <v>0.0112</v>
      </c>
      <c r="Q577" s="22" t="n">
        <v>-0.0001</v>
      </c>
      <c r="R577" s="22" t="n">
        <v>-0.0223</v>
      </c>
      <c r="S577" s="22" t="n">
        <v>0.0591</v>
      </c>
      <c r="T577" s="22" t="n">
        <v>0.053</v>
      </c>
      <c r="U577" s="22" t="n">
        <v>0.0676</v>
      </c>
      <c r="V577" s="22" t="n">
        <v>0.0667</v>
      </c>
      <c r="W577" s="22" t="n">
        <v>0.019</v>
      </c>
      <c r="X577" s="22" t="n">
        <v>0.0409</v>
      </c>
      <c r="Y577" s="22" t="n">
        <v>0.064</v>
      </c>
      <c r="Z577" s="22" t="n">
        <v>0.0215</v>
      </c>
      <c r="AA577" s="22" t="n">
        <v>0.0114</v>
      </c>
      <c r="AB577" s="22" t="n">
        <v>0.0204</v>
      </c>
      <c r="AC577" s="22" t="n">
        <v>0.0175</v>
      </c>
      <c r="AD577" s="22" t="n">
        <v>0.0537</v>
      </c>
      <c r="AE577" s="22" t="n">
        <v>0.1797</v>
      </c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1" t="s">
        <v>96</v>
      </c>
      <c r="B1" s="21" t="s">
        <v>97</v>
      </c>
      <c r="C1" s="21" t="s">
        <v>98</v>
      </c>
      <c r="D1" s="21" t="s">
        <v>99</v>
      </c>
      <c r="E1" s="21" t="s">
        <v>100</v>
      </c>
      <c r="F1" s="21" t="s">
        <v>101</v>
      </c>
      <c r="G1" s="21" t="s">
        <v>102</v>
      </c>
      <c r="H1" s="21" t="s">
        <v>103</v>
      </c>
      <c r="I1" s="21" t="s">
        <v>243</v>
      </c>
      <c r="J1" s="21" t="s">
        <v>244</v>
      </c>
      <c r="K1" s="21" t="s">
        <v>245</v>
      </c>
      <c r="L1" s="21" t="s">
        <v>246</v>
      </c>
      <c r="M1" s="21" t="s">
        <v>247</v>
      </c>
      <c r="N1" s="21" t="s">
        <v>248</v>
      </c>
      <c r="O1" s="21" t="s">
        <v>249</v>
      </c>
      <c r="P1" s="21" t="s">
        <v>250</v>
      </c>
      <c r="Q1" s="21" t="s">
        <v>251</v>
      </c>
      <c r="R1" s="21" t="s">
        <v>252</v>
      </c>
      <c r="S1" s="21" t="s">
        <v>253</v>
      </c>
      <c r="T1" s="21" t="s">
        <v>104</v>
      </c>
      <c r="U1" s="21" t="s">
        <v>105</v>
      </c>
      <c r="V1" s="21" t="s">
        <v>106</v>
      </c>
      <c r="W1" s="21" t="s">
        <v>107</v>
      </c>
      <c r="X1" s="21" t="s">
        <v>108</v>
      </c>
      <c r="Y1" s="21" t="s">
        <v>109</v>
      </c>
      <c r="Z1" s="21" t="s">
        <v>110</v>
      </c>
      <c r="AA1" s="21" t="s">
        <v>111</v>
      </c>
      <c r="AB1" s="21" t="s">
        <v>112</v>
      </c>
      <c r="AC1" s="21" t="s">
        <v>113</v>
      </c>
      <c r="AD1" s="21" t="s">
        <v>114</v>
      </c>
      <c r="AE1" s="21" t="s">
        <v>115</v>
      </c>
      <c r="AF1" s="21" t="s">
        <v>116</v>
      </c>
    </row>
    <row r="2" customFormat="false" ht="15" hidden="false" customHeight="false" outlineLevel="0" collapsed="false">
      <c r="A2" s="22" t="s">
        <v>128</v>
      </c>
      <c r="B2" s="22" t="s">
        <v>3</v>
      </c>
      <c r="C2" s="22" t="s">
        <v>128</v>
      </c>
      <c r="D2" s="22" t="n">
        <v>10420</v>
      </c>
      <c r="E2" s="22" t="s">
        <v>132</v>
      </c>
      <c r="F2" s="22" t="s">
        <v>133</v>
      </c>
      <c r="G2" s="22" t="s">
        <v>131</v>
      </c>
      <c r="H2" s="22" t="s">
        <v>131</v>
      </c>
      <c r="I2" s="22" t="n">
        <v>44188</v>
      </c>
      <c r="J2" s="22" t="n">
        <v>44346</v>
      </c>
      <c r="K2" s="22" t="n">
        <v>44407</v>
      </c>
      <c r="L2" s="22" t="n">
        <v>44404</v>
      </c>
      <c r="M2" s="22" t="n">
        <v>44448</v>
      </c>
      <c r="N2" s="22" t="n">
        <v>44633</v>
      </c>
      <c r="O2" s="22" t="n">
        <v>44843</v>
      </c>
      <c r="P2" s="22" t="n">
        <v>44919</v>
      </c>
      <c r="Q2" s="22" t="n">
        <v>44967</v>
      </c>
      <c r="R2" s="22" t="n">
        <v>45032</v>
      </c>
      <c r="S2" s="22" t="n">
        <v>45192</v>
      </c>
      <c r="T2" s="22" t="n">
        <v>45366</v>
      </c>
      <c r="U2" s="22" t="n">
        <v>45424</v>
      </c>
      <c r="V2" s="22" t="n">
        <v>45472</v>
      </c>
      <c r="W2" s="22" t="n">
        <v>45520</v>
      </c>
      <c r="X2" s="22" t="n">
        <v>45571</v>
      </c>
      <c r="Y2" s="22" t="n">
        <v>45622</v>
      </c>
      <c r="Z2" s="22" t="n">
        <v>45837</v>
      </c>
      <c r="AA2" s="22" t="n">
        <v>46048</v>
      </c>
      <c r="AB2" s="22" t="n">
        <v>46134</v>
      </c>
      <c r="AC2" s="22" t="n">
        <v>46163</v>
      </c>
      <c r="AD2" s="22" t="n">
        <v>46163</v>
      </c>
      <c r="AE2" s="22" t="n">
        <v>46163</v>
      </c>
      <c r="AF2" s="22" t="n">
        <v>46163</v>
      </c>
    </row>
    <row r="3" customFormat="false" ht="15" hidden="false" customHeight="false" outlineLevel="0" collapsed="false">
      <c r="A3" s="22" t="s">
        <v>128</v>
      </c>
      <c r="B3" s="22" t="s">
        <v>3</v>
      </c>
      <c r="C3" s="22" t="s">
        <v>128</v>
      </c>
      <c r="D3" s="22" t="n">
        <v>10420</v>
      </c>
      <c r="E3" s="22" t="s">
        <v>136</v>
      </c>
      <c r="F3" s="22" t="s">
        <v>680</v>
      </c>
      <c r="G3" s="22" t="s">
        <v>131</v>
      </c>
      <c r="H3" s="22" t="s">
        <v>131</v>
      </c>
      <c r="I3" s="22" t="n">
        <v>94</v>
      </c>
      <c r="J3" s="22" t="n">
        <v>308</v>
      </c>
      <c r="K3" s="22" t="n">
        <v>181</v>
      </c>
      <c r="L3" s="22" t="n">
        <v>0</v>
      </c>
      <c r="M3" s="22" t="n">
        <v>0</v>
      </c>
      <c r="N3" s="22" t="n">
        <v>98</v>
      </c>
      <c r="O3" s="22" t="n">
        <v>250</v>
      </c>
      <c r="P3" s="22" t="n">
        <v>0</v>
      </c>
      <c r="Q3" s="22" t="n">
        <v>298</v>
      </c>
      <c r="R3" s="22" t="n">
        <v>0</v>
      </c>
      <c r="S3" s="22" t="n">
        <v>0</v>
      </c>
      <c r="T3" s="22" t="n">
        <v>330</v>
      </c>
      <c r="U3" s="22" t="n">
        <v>143</v>
      </c>
      <c r="V3" s="22" t="n">
        <v>0</v>
      </c>
      <c r="W3" s="22" t="n">
        <v>0</v>
      </c>
      <c r="X3" s="22" t="n">
        <v>0</v>
      </c>
      <c r="Y3" s="22" t="n">
        <v>0</v>
      </c>
      <c r="Z3" s="22" t="n">
        <v>0</v>
      </c>
      <c r="AA3" s="22" t="n">
        <v>0</v>
      </c>
      <c r="AB3" s="22" t="n">
        <v>0</v>
      </c>
      <c r="AC3" s="22" t="n">
        <v>0</v>
      </c>
      <c r="AD3" s="22"/>
      <c r="AE3" s="22"/>
      <c r="AF3" s="22"/>
    </row>
    <row r="4" customFormat="false" ht="15" hidden="false" customHeight="false" outlineLevel="0" collapsed="false">
      <c r="A4" s="22" t="s">
        <v>128</v>
      </c>
      <c r="B4" s="22" t="s">
        <v>3</v>
      </c>
      <c r="C4" s="22" t="s">
        <v>128</v>
      </c>
      <c r="D4" s="22" t="n">
        <v>10420</v>
      </c>
      <c r="E4" s="22" t="s">
        <v>136</v>
      </c>
      <c r="F4" s="22" t="s">
        <v>681</v>
      </c>
      <c r="G4" s="22" t="s">
        <v>131</v>
      </c>
      <c r="H4" s="22" t="s">
        <v>131</v>
      </c>
      <c r="I4" s="22" t="n">
        <v>280</v>
      </c>
      <c r="J4" s="22" t="n">
        <v>402</v>
      </c>
      <c r="K4" s="22" t="n">
        <v>583</v>
      </c>
      <c r="L4" s="22" t="n">
        <v>583</v>
      </c>
      <c r="M4" s="22" t="n">
        <v>489</v>
      </c>
      <c r="N4" s="22" t="n">
        <v>279</v>
      </c>
      <c r="O4" s="22" t="n">
        <v>348</v>
      </c>
      <c r="P4" s="22" t="n">
        <v>348</v>
      </c>
      <c r="Q4" s="22" t="n">
        <v>646</v>
      </c>
      <c r="R4" s="22" t="n">
        <v>548</v>
      </c>
      <c r="S4" s="22" t="n">
        <v>298</v>
      </c>
      <c r="T4" s="22" t="n">
        <v>628</v>
      </c>
      <c r="U4" s="22" t="n">
        <v>473</v>
      </c>
      <c r="V4" s="22" t="n">
        <v>473</v>
      </c>
      <c r="W4" s="22" t="n">
        <v>473</v>
      </c>
      <c r="X4" s="22" t="n">
        <v>143</v>
      </c>
      <c r="Y4" s="22" t="n">
        <v>0</v>
      </c>
      <c r="Z4" s="22" t="n">
        <v>0</v>
      </c>
      <c r="AA4" s="22" t="n">
        <v>0</v>
      </c>
      <c r="AB4" s="22" t="n">
        <v>0</v>
      </c>
      <c r="AC4" s="22" t="n">
        <v>0</v>
      </c>
      <c r="AD4" s="22"/>
      <c r="AE4" s="22"/>
      <c r="AF4" s="22"/>
    </row>
    <row r="5" customFormat="false" ht="15" hidden="false" customHeight="false" outlineLevel="0" collapsed="false">
      <c r="A5" s="22" t="s">
        <v>138</v>
      </c>
      <c r="B5" s="22" t="s">
        <v>3</v>
      </c>
      <c r="C5" s="22" t="s">
        <v>138</v>
      </c>
      <c r="D5" s="22" t="n">
        <v>10580</v>
      </c>
      <c r="E5" s="22" t="s">
        <v>132</v>
      </c>
      <c r="F5" s="22" t="s">
        <v>133</v>
      </c>
      <c r="G5" s="22" t="s">
        <v>131</v>
      </c>
      <c r="H5" s="22" t="s">
        <v>131</v>
      </c>
      <c r="I5" s="22" t="n">
        <v>65005</v>
      </c>
      <c r="J5" s="22" t="n">
        <v>65128</v>
      </c>
      <c r="K5" s="22" t="n">
        <v>65224</v>
      </c>
      <c r="L5" s="22" t="n">
        <v>65396</v>
      </c>
      <c r="M5" s="22" t="n">
        <v>65483</v>
      </c>
      <c r="N5" s="22" t="n">
        <v>65539</v>
      </c>
      <c r="O5" s="22" t="n">
        <v>65730</v>
      </c>
      <c r="P5" s="22" t="n">
        <v>65742</v>
      </c>
      <c r="Q5" s="22" t="n">
        <v>65778</v>
      </c>
      <c r="R5" s="22" t="n">
        <v>65892</v>
      </c>
      <c r="S5" s="22" t="n">
        <v>66264</v>
      </c>
      <c r="T5" s="22" t="n">
        <v>66985</v>
      </c>
      <c r="U5" s="22" t="n">
        <v>67454</v>
      </c>
      <c r="V5" s="22" t="n">
        <v>67728</v>
      </c>
      <c r="W5" s="22" t="n">
        <v>67956</v>
      </c>
      <c r="X5" s="22" t="n">
        <v>68092</v>
      </c>
      <c r="Y5" s="22" t="n">
        <v>68197</v>
      </c>
      <c r="Z5" s="22" t="n">
        <v>68300</v>
      </c>
      <c r="AA5" s="22" t="n">
        <v>68367</v>
      </c>
      <c r="AB5" s="22" t="n">
        <v>68421</v>
      </c>
      <c r="AC5" s="22" t="n">
        <v>68494</v>
      </c>
      <c r="AD5" s="22" t="n">
        <v>68566</v>
      </c>
      <c r="AE5" s="22" t="n">
        <v>68672</v>
      </c>
      <c r="AF5" s="22" t="n">
        <v>68749</v>
      </c>
    </row>
    <row r="6" customFormat="false" ht="15" hidden="false" customHeight="false" outlineLevel="0" collapsed="false">
      <c r="A6" s="22" t="s">
        <v>138</v>
      </c>
      <c r="B6" s="22" t="s">
        <v>3</v>
      </c>
      <c r="C6" s="22" t="s">
        <v>138</v>
      </c>
      <c r="D6" s="22" t="n">
        <v>10580</v>
      </c>
      <c r="E6" s="22" t="s">
        <v>136</v>
      </c>
      <c r="F6" s="22" t="s">
        <v>680</v>
      </c>
      <c r="G6" s="22" t="s">
        <v>131</v>
      </c>
      <c r="H6" s="22" t="s">
        <v>131</v>
      </c>
      <c r="I6" s="22" t="n">
        <v>0</v>
      </c>
      <c r="J6" s="22" t="n">
        <v>748</v>
      </c>
      <c r="K6" s="22" t="n">
        <v>328</v>
      </c>
      <c r="L6" s="22" t="n">
        <v>273</v>
      </c>
      <c r="M6" s="22" t="n">
        <v>444</v>
      </c>
      <c r="N6" s="22" t="n">
        <v>43</v>
      </c>
      <c r="O6" s="22" t="n">
        <v>144</v>
      </c>
      <c r="P6" s="22" t="n">
        <v>222</v>
      </c>
      <c r="Q6" s="22" t="n">
        <v>64</v>
      </c>
      <c r="R6" s="22" t="n">
        <v>0</v>
      </c>
      <c r="S6" s="22" t="n">
        <v>95</v>
      </c>
      <c r="T6" s="22" t="n">
        <v>219</v>
      </c>
      <c r="U6" s="22" t="n">
        <v>118</v>
      </c>
      <c r="V6" s="22" t="n">
        <v>255</v>
      </c>
      <c r="W6" s="22" t="n">
        <v>0</v>
      </c>
      <c r="X6" s="22" t="n">
        <v>81</v>
      </c>
      <c r="Y6" s="22" t="n">
        <v>102</v>
      </c>
      <c r="Z6" s="22" t="n">
        <v>0</v>
      </c>
      <c r="AA6" s="22" t="n">
        <v>299</v>
      </c>
      <c r="AB6" s="22" t="n">
        <v>328</v>
      </c>
      <c r="AC6" s="22" t="n">
        <v>0</v>
      </c>
      <c r="AD6" s="22"/>
      <c r="AE6" s="22"/>
      <c r="AF6" s="22"/>
    </row>
    <row r="7" customFormat="false" ht="15" hidden="false" customHeight="false" outlineLevel="0" collapsed="false">
      <c r="A7" s="22" t="s">
        <v>138</v>
      </c>
      <c r="B7" s="22" t="s">
        <v>3</v>
      </c>
      <c r="C7" s="22" t="s">
        <v>138</v>
      </c>
      <c r="D7" s="22" t="n">
        <v>10580</v>
      </c>
      <c r="E7" s="22" t="s">
        <v>136</v>
      </c>
      <c r="F7" s="22" t="s">
        <v>681</v>
      </c>
      <c r="G7" s="22" t="s">
        <v>131</v>
      </c>
      <c r="H7" s="22" t="s">
        <v>131</v>
      </c>
      <c r="I7" s="22" t="n">
        <v>304</v>
      </c>
      <c r="J7" s="22" t="n">
        <v>908</v>
      </c>
      <c r="K7" s="22" t="n">
        <v>1236</v>
      </c>
      <c r="L7" s="22" t="n">
        <v>1349</v>
      </c>
      <c r="M7" s="22" t="n">
        <v>1793</v>
      </c>
      <c r="N7" s="22" t="n">
        <v>1088</v>
      </c>
      <c r="O7" s="22" t="n">
        <v>904</v>
      </c>
      <c r="P7" s="22" t="n">
        <v>853</v>
      </c>
      <c r="Q7" s="22" t="n">
        <v>473</v>
      </c>
      <c r="R7" s="22" t="n">
        <v>430</v>
      </c>
      <c r="S7" s="22" t="n">
        <v>381</v>
      </c>
      <c r="T7" s="22" t="n">
        <v>378</v>
      </c>
      <c r="U7" s="22" t="n">
        <v>432</v>
      </c>
      <c r="V7" s="22" t="n">
        <v>687</v>
      </c>
      <c r="W7" s="22" t="n">
        <v>592</v>
      </c>
      <c r="X7" s="22" t="n">
        <v>454</v>
      </c>
      <c r="Y7" s="22" t="n">
        <v>438</v>
      </c>
      <c r="Z7" s="22" t="n">
        <v>183</v>
      </c>
      <c r="AA7" s="22" t="n">
        <v>482</v>
      </c>
      <c r="AB7" s="22" t="n">
        <v>729</v>
      </c>
      <c r="AC7" s="22" t="n">
        <v>627</v>
      </c>
      <c r="AD7" s="22"/>
      <c r="AE7" s="22"/>
      <c r="AF7" s="22"/>
    </row>
    <row r="8" customFormat="false" ht="15" hidden="false" customHeight="false" outlineLevel="0" collapsed="false">
      <c r="A8" s="22" t="s">
        <v>56</v>
      </c>
      <c r="B8" s="22" t="s">
        <v>3</v>
      </c>
      <c r="C8" s="22" t="s">
        <v>56</v>
      </c>
      <c r="D8" s="22" t="n">
        <v>10740</v>
      </c>
      <c r="E8" s="22" t="s">
        <v>132</v>
      </c>
      <c r="F8" s="22" t="s">
        <v>133</v>
      </c>
      <c r="G8" s="22" t="s">
        <v>131</v>
      </c>
      <c r="H8" s="22" t="s">
        <v>131</v>
      </c>
      <c r="I8" s="22" t="n">
        <v>55889</v>
      </c>
      <c r="J8" s="22" t="n">
        <v>55939</v>
      </c>
      <c r="K8" s="22" t="n">
        <v>55991</v>
      </c>
      <c r="L8" s="22" t="n">
        <v>55991</v>
      </c>
      <c r="M8" s="22" t="n">
        <v>55991</v>
      </c>
      <c r="N8" s="22" t="n">
        <v>55991</v>
      </c>
      <c r="O8" s="22" t="n">
        <v>55991</v>
      </c>
      <c r="P8" s="22" t="n">
        <v>55991</v>
      </c>
      <c r="Q8" s="22" t="n">
        <v>56057</v>
      </c>
      <c r="R8" s="22" t="n">
        <v>56172</v>
      </c>
      <c r="S8" s="22" t="n">
        <v>56513</v>
      </c>
      <c r="T8" s="22" t="n">
        <v>56831</v>
      </c>
      <c r="U8" s="22" t="n">
        <v>57160</v>
      </c>
      <c r="V8" s="22" t="n">
        <v>57618</v>
      </c>
      <c r="W8" s="22" t="n">
        <v>58005</v>
      </c>
      <c r="X8" s="22" t="n">
        <v>58214</v>
      </c>
      <c r="Y8" s="22" t="n">
        <v>58266</v>
      </c>
      <c r="Z8" s="22" t="n">
        <v>58433</v>
      </c>
      <c r="AA8" s="22" t="n">
        <v>58748</v>
      </c>
      <c r="AB8" s="22" t="n">
        <v>58897</v>
      </c>
      <c r="AC8" s="22" t="n">
        <v>59079</v>
      </c>
      <c r="AD8" s="22" t="n">
        <v>59378</v>
      </c>
      <c r="AE8" s="22" t="n">
        <v>59378</v>
      </c>
      <c r="AF8" s="22" t="n">
        <v>59405</v>
      </c>
    </row>
    <row r="9" customFormat="false" ht="15" hidden="false" customHeight="false" outlineLevel="0" collapsed="false">
      <c r="A9" s="22" t="s">
        <v>56</v>
      </c>
      <c r="B9" s="22" t="s">
        <v>3</v>
      </c>
      <c r="C9" s="22" t="s">
        <v>56</v>
      </c>
      <c r="D9" s="22" t="n">
        <v>10740</v>
      </c>
      <c r="E9" s="22" t="s">
        <v>136</v>
      </c>
      <c r="F9" s="22" t="s">
        <v>680</v>
      </c>
      <c r="G9" s="22" t="s">
        <v>131</v>
      </c>
      <c r="H9" s="22" t="s">
        <v>131</v>
      </c>
      <c r="I9" s="22" t="n">
        <v>200</v>
      </c>
      <c r="J9" s="22" t="n">
        <v>246</v>
      </c>
      <c r="K9" s="22" t="n">
        <v>84</v>
      </c>
      <c r="L9" s="22" t="n">
        <v>111</v>
      </c>
      <c r="M9" s="22" t="n">
        <v>208</v>
      </c>
      <c r="N9" s="22" t="n">
        <v>318</v>
      </c>
      <c r="O9" s="22" t="n">
        <v>240</v>
      </c>
      <c r="P9" s="22" t="n">
        <v>475</v>
      </c>
      <c r="Q9" s="22" t="n">
        <v>195</v>
      </c>
      <c r="R9" s="22" t="n">
        <v>0</v>
      </c>
      <c r="S9" s="22" t="n">
        <v>364</v>
      </c>
      <c r="T9" s="22" t="n">
        <v>126</v>
      </c>
      <c r="U9" s="22" t="n">
        <v>0</v>
      </c>
      <c r="V9" s="22" t="n">
        <v>29</v>
      </c>
      <c r="W9" s="22" t="n">
        <v>0</v>
      </c>
      <c r="X9" s="22" t="n">
        <v>0</v>
      </c>
      <c r="Y9" s="22" t="n">
        <v>0</v>
      </c>
      <c r="Z9" s="22" t="n">
        <v>37</v>
      </c>
      <c r="AA9" s="22" t="n">
        <v>0</v>
      </c>
      <c r="AB9" s="22" t="n">
        <v>110</v>
      </c>
      <c r="AC9" s="22" t="n">
        <v>128</v>
      </c>
      <c r="AD9" s="22"/>
      <c r="AE9" s="22"/>
      <c r="AF9" s="22"/>
    </row>
    <row r="10" customFormat="false" ht="15" hidden="false" customHeight="false" outlineLevel="0" collapsed="false">
      <c r="A10" s="22" t="s">
        <v>56</v>
      </c>
      <c r="B10" s="22" t="s">
        <v>3</v>
      </c>
      <c r="C10" s="22" t="s">
        <v>56</v>
      </c>
      <c r="D10" s="22" t="n">
        <v>10740</v>
      </c>
      <c r="E10" s="22" t="s">
        <v>136</v>
      </c>
      <c r="F10" s="22" t="s">
        <v>681</v>
      </c>
      <c r="G10" s="22" t="s">
        <v>131</v>
      </c>
      <c r="H10" s="22" t="s">
        <v>131</v>
      </c>
      <c r="I10" s="22" t="n">
        <v>849</v>
      </c>
      <c r="J10" s="22" t="n">
        <v>1095</v>
      </c>
      <c r="K10" s="22" t="n">
        <v>1179</v>
      </c>
      <c r="L10" s="22" t="n">
        <v>641</v>
      </c>
      <c r="M10" s="22" t="n">
        <v>649</v>
      </c>
      <c r="N10" s="22" t="n">
        <v>721</v>
      </c>
      <c r="O10" s="22" t="n">
        <v>877</v>
      </c>
      <c r="P10" s="22" t="n">
        <v>1241</v>
      </c>
      <c r="Q10" s="22" t="n">
        <v>1228</v>
      </c>
      <c r="R10" s="22" t="n">
        <v>910</v>
      </c>
      <c r="S10" s="22" t="n">
        <v>1034</v>
      </c>
      <c r="T10" s="22" t="n">
        <v>685</v>
      </c>
      <c r="U10" s="22" t="n">
        <v>490</v>
      </c>
      <c r="V10" s="22" t="n">
        <v>519</v>
      </c>
      <c r="W10" s="22" t="n">
        <v>155</v>
      </c>
      <c r="X10" s="22" t="n">
        <v>29</v>
      </c>
      <c r="Y10" s="22" t="n">
        <v>29</v>
      </c>
      <c r="Z10" s="22" t="n">
        <v>37</v>
      </c>
      <c r="AA10" s="22" t="n">
        <v>37</v>
      </c>
      <c r="AB10" s="22" t="n">
        <v>147</v>
      </c>
      <c r="AC10" s="22" t="n">
        <v>275</v>
      </c>
      <c r="AD10" s="22"/>
      <c r="AE10" s="22"/>
      <c r="AF10" s="22"/>
    </row>
    <row r="11" customFormat="false" ht="15" hidden="false" customHeight="false" outlineLevel="0" collapsed="false">
      <c r="A11" s="22" t="s">
        <v>139</v>
      </c>
      <c r="B11" s="22" t="s">
        <v>3</v>
      </c>
      <c r="C11" s="22" t="s">
        <v>139</v>
      </c>
      <c r="D11" s="22" t="n">
        <v>10900</v>
      </c>
      <c r="E11" s="22" t="s">
        <v>132</v>
      </c>
      <c r="F11" s="22" t="s">
        <v>133</v>
      </c>
      <c r="G11" s="22" t="s">
        <v>131</v>
      </c>
      <c r="H11" s="22" t="s">
        <v>131</v>
      </c>
      <c r="I11" s="22" t="n">
        <v>42634</v>
      </c>
      <c r="J11" s="22" t="n">
        <v>42885</v>
      </c>
      <c r="K11" s="22" t="n">
        <v>42947</v>
      </c>
      <c r="L11" s="22" t="n">
        <v>43203</v>
      </c>
      <c r="M11" s="22" t="n">
        <v>43491</v>
      </c>
      <c r="N11" s="22" t="n">
        <v>43901</v>
      </c>
      <c r="O11" s="22" t="n">
        <v>44038</v>
      </c>
      <c r="P11" s="22" t="n">
        <v>44059</v>
      </c>
      <c r="Q11" s="22" t="n">
        <v>44282</v>
      </c>
      <c r="R11" s="22" t="n">
        <v>44391</v>
      </c>
      <c r="S11" s="22" t="n">
        <v>44553</v>
      </c>
      <c r="T11" s="22" t="n">
        <v>44600</v>
      </c>
      <c r="U11" s="22" t="n">
        <v>44726</v>
      </c>
      <c r="V11" s="22" t="n">
        <v>44822</v>
      </c>
      <c r="W11" s="22" t="n">
        <v>45196</v>
      </c>
      <c r="X11" s="22" t="n">
        <v>45404</v>
      </c>
      <c r="Y11" s="22" t="n">
        <v>45671</v>
      </c>
      <c r="Z11" s="22" t="n">
        <v>45826</v>
      </c>
      <c r="AA11" s="22" t="n">
        <v>46047</v>
      </c>
      <c r="AB11" s="22" t="n">
        <v>46107</v>
      </c>
      <c r="AC11" s="22" t="n">
        <v>46309</v>
      </c>
      <c r="AD11" s="22" t="n">
        <v>46604</v>
      </c>
      <c r="AE11" s="22" t="n">
        <v>47243</v>
      </c>
      <c r="AF11" s="22" t="n">
        <v>47462</v>
      </c>
    </row>
    <row r="12" customFormat="false" ht="15" hidden="false" customHeight="false" outlineLevel="0" collapsed="false">
      <c r="A12" s="22" t="s">
        <v>139</v>
      </c>
      <c r="B12" s="22" t="s">
        <v>3</v>
      </c>
      <c r="C12" s="22" t="s">
        <v>139</v>
      </c>
      <c r="D12" s="22" t="n">
        <v>10900</v>
      </c>
      <c r="E12" s="22" t="s">
        <v>136</v>
      </c>
      <c r="F12" s="22" t="s">
        <v>680</v>
      </c>
      <c r="G12" s="22" t="s">
        <v>131</v>
      </c>
      <c r="H12" s="22" t="s">
        <v>131</v>
      </c>
      <c r="I12" s="22" t="n">
        <v>148</v>
      </c>
      <c r="J12" s="22" t="n">
        <v>150</v>
      </c>
      <c r="K12" s="22" t="n">
        <v>0</v>
      </c>
      <c r="L12" s="22" t="n">
        <v>220</v>
      </c>
      <c r="M12" s="22" t="n">
        <v>149</v>
      </c>
      <c r="N12" s="22" t="n">
        <v>180</v>
      </c>
      <c r="O12" s="22" t="n">
        <v>205</v>
      </c>
      <c r="P12" s="22" t="n">
        <v>310</v>
      </c>
      <c r="Q12" s="22" t="n">
        <v>179</v>
      </c>
      <c r="R12" s="22" t="n">
        <v>264</v>
      </c>
      <c r="S12" s="22" t="n">
        <v>197</v>
      </c>
      <c r="T12" s="22" t="n">
        <v>347</v>
      </c>
      <c r="U12" s="22" t="n">
        <v>0</v>
      </c>
      <c r="V12" s="22" t="n">
        <v>120</v>
      </c>
      <c r="W12" s="22" t="n">
        <v>274</v>
      </c>
      <c r="X12" s="22" t="n">
        <v>0</v>
      </c>
      <c r="Y12" s="22" t="n">
        <v>735</v>
      </c>
      <c r="Z12" s="22" t="n">
        <v>132</v>
      </c>
      <c r="AA12" s="22" t="n">
        <v>216</v>
      </c>
      <c r="AB12" s="22" t="n">
        <v>0</v>
      </c>
      <c r="AC12" s="22" t="n">
        <v>0</v>
      </c>
      <c r="AD12" s="22"/>
      <c r="AE12" s="22"/>
      <c r="AF12" s="22"/>
    </row>
    <row r="13" customFormat="false" ht="15" hidden="false" customHeight="false" outlineLevel="0" collapsed="false">
      <c r="A13" s="22" t="s">
        <v>139</v>
      </c>
      <c r="B13" s="22" t="s">
        <v>3</v>
      </c>
      <c r="C13" s="22" t="s">
        <v>139</v>
      </c>
      <c r="D13" s="22" t="n">
        <v>10900</v>
      </c>
      <c r="E13" s="22" t="s">
        <v>136</v>
      </c>
      <c r="F13" s="22" t="s">
        <v>681</v>
      </c>
      <c r="G13" s="22" t="s">
        <v>131</v>
      </c>
      <c r="H13" s="22" t="s">
        <v>131</v>
      </c>
      <c r="I13" s="22" t="n">
        <v>1257</v>
      </c>
      <c r="J13" s="22" t="n">
        <v>1340</v>
      </c>
      <c r="K13" s="22" t="n">
        <v>973</v>
      </c>
      <c r="L13" s="22" t="n">
        <v>518</v>
      </c>
      <c r="M13" s="22" t="n">
        <v>519</v>
      </c>
      <c r="N13" s="22" t="n">
        <v>549</v>
      </c>
      <c r="O13" s="22" t="n">
        <v>754</v>
      </c>
      <c r="P13" s="22" t="n">
        <v>844</v>
      </c>
      <c r="Q13" s="22" t="n">
        <v>874</v>
      </c>
      <c r="R13" s="22" t="n">
        <v>958</v>
      </c>
      <c r="S13" s="22" t="n">
        <v>950</v>
      </c>
      <c r="T13" s="22" t="n">
        <v>987</v>
      </c>
      <c r="U13" s="22" t="n">
        <v>808</v>
      </c>
      <c r="V13" s="22" t="n">
        <v>664</v>
      </c>
      <c r="W13" s="22" t="n">
        <v>741</v>
      </c>
      <c r="X13" s="22" t="n">
        <v>394</v>
      </c>
      <c r="Y13" s="22" t="n">
        <v>1129</v>
      </c>
      <c r="Z13" s="22" t="n">
        <v>1141</v>
      </c>
      <c r="AA13" s="22" t="n">
        <v>1083</v>
      </c>
      <c r="AB13" s="22" t="n">
        <v>1083</v>
      </c>
      <c r="AC13" s="22" t="n">
        <v>348</v>
      </c>
      <c r="AD13" s="22"/>
      <c r="AE13" s="22"/>
      <c r="AF13" s="22"/>
    </row>
    <row r="14" customFormat="false" ht="15" hidden="false" customHeight="false" outlineLevel="0" collapsed="false">
      <c r="A14" s="22" t="s">
        <v>140</v>
      </c>
      <c r="B14" s="22" t="s">
        <v>3</v>
      </c>
      <c r="C14" s="22" t="s">
        <v>140</v>
      </c>
      <c r="D14" s="22" t="n">
        <v>11244</v>
      </c>
      <c r="E14" s="22" t="s">
        <v>132</v>
      </c>
      <c r="F14" s="22" t="s">
        <v>133</v>
      </c>
      <c r="G14" s="22" t="s">
        <v>131</v>
      </c>
      <c r="H14" s="22" t="s">
        <v>131</v>
      </c>
      <c r="I14" s="22" t="n">
        <v>262985</v>
      </c>
      <c r="J14" s="22" t="n">
        <v>263251</v>
      </c>
      <c r="K14" s="22" t="n">
        <v>264028</v>
      </c>
      <c r="L14" s="22" t="n">
        <v>265068</v>
      </c>
      <c r="M14" s="22" t="n">
        <v>265532</v>
      </c>
      <c r="N14" s="22" t="n">
        <v>265984</v>
      </c>
      <c r="O14" s="22" t="n">
        <v>266057</v>
      </c>
      <c r="P14" s="22" t="n">
        <v>266513</v>
      </c>
      <c r="Q14" s="22" t="n">
        <v>267051</v>
      </c>
      <c r="R14" s="22" t="n">
        <v>268126</v>
      </c>
      <c r="S14" s="22" t="n">
        <v>269105</v>
      </c>
      <c r="T14" s="22" t="n">
        <v>269177</v>
      </c>
      <c r="U14" s="22" t="n">
        <v>269472</v>
      </c>
      <c r="V14" s="22" t="n">
        <v>270319</v>
      </c>
      <c r="W14" s="22" t="n">
        <v>270962</v>
      </c>
      <c r="X14" s="22" t="n">
        <v>271449</v>
      </c>
      <c r="Y14" s="22" t="n">
        <v>272221</v>
      </c>
      <c r="Z14" s="22" t="n">
        <v>272688</v>
      </c>
      <c r="AA14" s="22" t="n">
        <v>273224</v>
      </c>
      <c r="AB14" s="22" t="n">
        <v>274073</v>
      </c>
      <c r="AC14" s="22" t="n">
        <v>274800</v>
      </c>
      <c r="AD14" s="22" t="n">
        <v>275500</v>
      </c>
      <c r="AE14" s="22" t="n">
        <v>277814</v>
      </c>
      <c r="AF14" s="22" t="n">
        <v>278365</v>
      </c>
    </row>
    <row r="15" customFormat="false" ht="15" hidden="false" customHeight="false" outlineLevel="0" collapsed="false">
      <c r="A15" s="22" t="s">
        <v>140</v>
      </c>
      <c r="B15" s="22" t="s">
        <v>3</v>
      </c>
      <c r="C15" s="22" t="s">
        <v>140</v>
      </c>
      <c r="D15" s="22" t="n">
        <v>11244</v>
      </c>
      <c r="E15" s="22" t="s">
        <v>136</v>
      </c>
      <c r="F15" s="22" t="s">
        <v>680</v>
      </c>
      <c r="G15" s="22" t="s">
        <v>131</v>
      </c>
      <c r="H15" s="22" t="s">
        <v>131</v>
      </c>
      <c r="I15" s="22" t="n">
        <v>264</v>
      </c>
      <c r="J15" s="22" t="n">
        <v>1496</v>
      </c>
      <c r="K15" s="22" t="n">
        <v>309</v>
      </c>
      <c r="L15" s="22" t="n">
        <v>0</v>
      </c>
      <c r="M15" s="22" t="n">
        <v>0</v>
      </c>
      <c r="N15" s="22" t="n">
        <v>945</v>
      </c>
      <c r="O15" s="22" t="n">
        <v>558</v>
      </c>
      <c r="P15" s="22" t="n">
        <v>406</v>
      </c>
      <c r="Q15" s="22" t="n">
        <v>808</v>
      </c>
      <c r="R15" s="22" t="n">
        <v>1641</v>
      </c>
      <c r="S15" s="22" t="n">
        <v>0</v>
      </c>
      <c r="T15" s="22" t="n">
        <v>278</v>
      </c>
      <c r="U15" s="22" t="n">
        <v>942</v>
      </c>
      <c r="V15" s="22" t="n">
        <v>913</v>
      </c>
      <c r="W15" s="22" t="n">
        <v>43</v>
      </c>
      <c r="X15" s="22" t="n">
        <v>257</v>
      </c>
      <c r="Y15" s="22" t="n">
        <v>272</v>
      </c>
      <c r="Z15" s="22" t="n">
        <v>1858</v>
      </c>
      <c r="AA15" s="22" t="n">
        <v>2173</v>
      </c>
      <c r="AB15" s="22" t="n">
        <v>1679</v>
      </c>
      <c r="AC15" s="22" t="n">
        <v>184</v>
      </c>
      <c r="AD15" s="22"/>
      <c r="AE15" s="22"/>
      <c r="AF15" s="22"/>
    </row>
    <row r="16" customFormat="false" ht="15" hidden="false" customHeight="false" outlineLevel="0" collapsed="false">
      <c r="A16" s="22" t="s">
        <v>140</v>
      </c>
      <c r="B16" s="22" t="s">
        <v>3</v>
      </c>
      <c r="C16" s="22" t="s">
        <v>140</v>
      </c>
      <c r="D16" s="22" t="n">
        <v>11244</v>
      </c>
      <c r="E16" s="22" t="s">
        <v>136</v>
      </c>
      <c r="F16" s="22" t="s">
        <v>681</v>
      </c>
      <c r="G16" s="22" t="s">
        <v>131</v>
      </c>
      <c r="H16" s="22" t="s">
        <v>131</v>
      </c>
      <c r="I16" s="22" t="n">
        <v>3194</v>
      </c>
      <c r="J16" s="22" t="n">
        <v>3211</v>
      </c>
      <c r="K16" s="22" t="n">
        <v>2487</v>
      </c>
      <c r="L16" s="22" t="n">
        <v>2069</v>
      </c>
      <c r="M16" s="22" t="n">
        <v>1805</v>
      </c>
      <c r="N16" s="22" t="n">
        <v>1254</v>
      </c>
      <c r="O16" s="22" t="n">
        <v>1503</v>
      </c>
      <c r="P16" s="22" t="n">
        <v>1909</v>
      </c>
      <c r="Q16" s="22" t="n">
        <v>2717</v>
      </c>
      <c r="R16" s="22" t="n">
        <v>3413</v>
      </c>
      <c r="S16" s="22" t="n">
        <v>2855</v>
      </c>
      <c r="T16" s="22" t="n">
        <v>2727</v>
      </c>
      <c r="U16" s="22" t="n">
        <v>2861</v>
      </c>
      <c r="V16" s="22" t="n">
        <v>2133</v>
      </c>
      <c r="W16" s="22" t="n">
        <v>2176</v>
      </c>
      <c r="X16" s="22" t="n">
        <v>2155</v>
      </c>
      <c r="Y16" s="22" t="n">
        <v>1485</v>
      </c>
      <c r="Z16" s="22" t="n">
        <v>2430</v>
      </c>
      <c r="AA16" s="22" t="n">
        <v>4560</v>
      </c>
      <c r="AB16" s="22" t="n">
        <v>5982</v>
      </c>
      <c r="AC16" s="22" t="n">
        <v>5894</v>
      </c>
      <c r="AD16" s="22"/>
      <c r="AE16" s="22"/>
      <c r="AF16" s="22"/>
    </row>
    <row r="17" customFormat="false" ht="15" hidden="false" customHeight="false" outlineLevel="0" collapsed="false">
      <c r="A17" s="22" t="s">
        <v>141</v>
      </c>
      <c r="B17" s="22" t="s">
        <v>3</v>
      </c>
      <c r="C17" s="22" t="s">
        <v>141</v>
      </c>
      <c r="D17" s="22" t="n">
        <v>11460</v>
      </c>
      <c r="E17" s="22" t="s">
        <v>132</v>
      </c>
      <c r="F17" s="22" t="s">
        <v>133</v>
      </c>
      <c r="G17" s="22" t="s">
        <v>131</v>
      </c>
      <c r="H17" s="22" t="s">
        <v>131</v>
      </c>
      <c r="I17" s="22" t="n">
        <v>38387</v>
      </c>
      <c r="J17" s="22" t="n">
        <v>38495</v>
      </c>
      <c r="K17" s="22" t="n">
        <v>38533</v>
      </c>
      <c r="L17" s="22" t="n">
        <v>38533</v>
      </c>
      <c r="M17" s="22" t="n">
        <v>38533</v>
      </c>
      <c r="N17" s="22" t="n">
        <v>38533</v>
      </c>
      <c r="O17" s="22" t="n">
        <v>38533</v>
      </c>
      <c r="P17" s="22" t="n">
        <v>38533</v>
      </c>
      <c r="Q17" s="22" t="n">
        <v>38533</v>
      </c>
      <c r="R17" s="22" t="n">
        <v>38533</v>
      </c>
      <c r="S17" s="22" t="n">
        <v>38647</v>
      </c>
      <c r="T17" s="22" t="n">
        <v>38647</v>
      </c>
      <c r="U17" s="22" t="n">
        <v>38791</v>
      </c>
      <c r="V17" s="22" t="n">
        <v>39225</v>
      </c>
      <c r="W17" s="22" t="n">
        <v>39542</v>
      </c>
      <c r="X17" s="22" t="n">
        <v>38845</v>
      </c>
      <c r="Y17" s="22" t="n">
        <v>38919</v>
      </c>
      <c r="Z17" s="22" t="n">
        <v>39056</v>
      </c>
      <c r="AA17" s="22" t="n">
        <v>39125</v>
      </c>
      <c r="AB17" s="22" t="n">
        <v>39125</v>
      </c>
      <c r="AC17" s="22" t="n">
        <v>38892</v>
      </c>
      <c r="AD17" s="22" t="n">
        <v>39279</v>
      </c>
      <c r="AE17" s="22" t="n">
        <v>39332</v>
      </c>
      <c r="AF17" s="22" t="n">
        <v>39339</v>
      </c>
    </row>
    <row r="18" customFormat="false" ht="15" hidden="false" customHeight="false" outlineLevel="0" collapsed="false">
      <c r="A18" s="22" t="s">
        <v>141</v>
      </c>
      <c r="B18" s="22" t="s">
        <v>3</v>
      </c>
      <c r="C18" s="22" t="s">
        <v>141</v>
      </c>
      <c r="D18" s="22" t="n">
        <v>11460</v>
      </c>
      <c r="E18" s="22" t="s">
        <v>136</v>
      </c>
      <c r="F18" s="22" t="s">
        <v>680</v>
      </c>
      <c r="G18" s="22" t="s">
        <v>131</v>
      </c>
      <c r="H18" s="22" t="s">
        <v>131</v>
      </c>
      <c r="I18" s="22" t="n">
        <v>0</v>
      </c>
      <c r="J18" s="22" t="n">
        <v>0</v>
      </c>
      <c r="K18" s="22" t="n">
        <v>0</v>
      </c>
      <c r="L18" s="22" t="n">
        <v>253</v>
      </c>
      <c r="M18" s="22" t="n">
        <v>0</v>
      </c>
      <c r="N18" s="22" t="n">
        <v>0</v>
      </c>
      <c r="O18" s="22" t="n">
        <v>0</v>
      </c>
      <c r="P18" s="22" t="n">
        <v>234</v>
      </c>
      <c r="Q18" s="22" t="n">
        <v>776</v>
      </c>
      <c r="R18" s="22" t="n">
        <v>192</v>
      </c>
      <c r="S18" s="22" t="n">
        <v>0</v>
      </c>
      <c r="T18" s="22" t="n">
        <v>0</v>
      </c>
      <c r="U18" s="22" t="n">
        <v>0</v>
      </c>
      <c r="V18" s="22" t="n">
        <v>370</v>
      </c>
      <c r="W18" s="22" t="n">
        <v>0</v>
      </c>
      <c r="X18" s="22" t="n">
        <v>42</v>
      </c>
      <c r="Y18" s="22" t="n">
        <v>0</v>
      </c>
      <c r="Z18" s="22" t="n">
        <v>0</v>
      </c>
      <c r="AA18" s="22" t="n">
        <v>0</v>
      </c>
      <c r="AB18" s="22" t="n">
        <v>51</v>
      </c>
      <c r="AC18" s="22" t="n">
        <v>0</v>
      </c>
      <c r="AD18" s="22"/>
      <c r="AE18" s="22"/>
      <c r="AF18" s="22"/>
    </row>
    <row r="19" customFormat="false" ht="15" hidden="false" customHeight="false" outlineLevel="0" collapsed="false">
      <c r="A19" s="22" t="s">
        <v>141</v>
      </c>
      <c r="B19" s="22" t="s">
        <v>3</v>
      </c>
      <c r="C19" s="22" t="s">
        <v>141</v>
      </c>
      <c r="D19" s="22" t="n">
        <v>11460</v>
      </c>
      <c r="E19" s="22" t="s">
        <v>136</v>
      </c>
      <c r="F19" s="22" t="s">
        <v>681</v>
      </c>
      <c r="G19" s="22" t="s">
        <v>131</v>
      </c>
      <c r="H19" s="22" t="s">
        <v>131</v>
      </c>
      <c r="I19" s="22" t="n">
        <v>0</v>
      </c>
      <c r="J19" s="22" t="n">
        <v>0</v>
      </c>
      <c r="K19" s="22" t="n">
        <v>0</v>
      </c>
      <c r="L19" s="22" t="n">
        <v>253</v>
      </c>
      <c r="M19" s="22" t="n">
        <v>253</v>
      </c>
      <c r="N19" s="22" t="n">
        <v>253</v>
      </c>
      <c r="O19" s="22" t="n">
        <v>253</v>
      </c>
      <c r="P19" s="22" t="n">
        <v>234</v>
      </c>
      <c r="Q19" s="22" t="n">
        <v>1010</v>
      </c>
      <c r="R19" s="22" t="n">
        <v>1202</v>
      </c>
      <c r="S19" s="22" t="n">
        <v>1202</v>
      </c>
      <c r="T19" s="22" t="n">
        <v>968</v>
      </c>
      <c r="U19" s="22" t="n">
        <v>192</v>
      </c>
      <c r="V19" s="22" t="n">
        <v>370</v>
      </c>
      <c r="W19" s="22" t="n">
        <v>370</v>
      </c>
      <c r="X19" s="22" t="n">
        <v>412</v>
      </c>
      <c r="Y19" s="22" t="n">
        <v>412</v>
      </c>
      <c r="Z19" s="22" t="n">
        <v>42</v>
      </c>
      <c r="AA19" s="22" t="n">
        <v>42</v>
      </c>
      <c r="AB19" s="22" t="n">
        <v>51</v>
      </c>
      <c r="AC19" s="22" t="n">
        <v>51</v>
      </c>
      <c r="AD19" s="22"/>
      <c r="AE19" s="22"/>
      <c r="AF19" s="22"/>
    </row>
    <row r="20" customFormat="false" ht="15" hidden="false" customHeight="false" outlineLevel="0" collapsed="false">
      <c r="A20" s="22" t="s">
        <v>64</v>
      </c>
      <c r="B20" s="22" t="s">
        <v>3</v>
      </c>
      <c r="C20" s="22" t="s">
        <v>64</v>
      </c>
      <c r="D20" s="22" t="n">
        <v>211700</v>
      </c>
      <c r="E20" s="22" t="s">
        <v>132</v>
      </c>
      <c r="F20" s="22" t="s">
        <v>133</v>
      </c>
      <c r="G20" s="22" t="s">
        <v>131</v>
      </c>
      <c r="H20" s="22" t="s">
        <v>131</v>
      </c>
      <c r="I20" s="22" t="n">
        <v>23440</v>
      </c>
      <c r="J20" s="22" t="n">
        <v>23538</v>
      </c>
      <c r="K20" s="22" t="n">
        <v>23864</v>
      </c>
      <c r="L20" s="22" t="n">
        <v>24049</v>
      </c>
      <c r="M20" s="22" t="n">
        <v>24262</v>
      </c>
      <c r="N20" s="22" t="n">
        <v>24487</v>
      </c>
      <c r="O20" s="22" t="n">
        <v>24554</v>
      </c>
      <c r="P20" s="22" t="n">
        <v>24633</v>
      </c>
      <c r="Q20" s="22" t="n">
        <v>24961</v>
      </c>
      <c r="R20" s="22" t="n">
        <v>25445</v>
      </c>
      <c r="S20" s="22" t="n">
        <v>25655</v>
      </c>
      <c r="T20" s="22" t="n">
        <v>25832</v>
      </c>
      <c r="U20" s="22" t="n">
        <v>26220</v>
      </c>
      <c r="V20" s="22" t="n">
        <v>26575</v>
      </c>
      <c r="W20" s="22" t="n">
        <v>26731</v>
      </c>
      <c r="X20" s="22" t="n">
        <v>26996</v>
      </c>
      <c r="Y20" s="22" t="n">
        <v>27692</v>
      </c>
      <c r="Z20" s="22" t="n">
        <v>28180</v>
      </c>
      <c r="AA20" s="22" t="n">
        <v>28886</v>
      </c>
      <c r="AB20" s="22" t="n">
        <v>29674</v>
      </c>
      <c r="AC20" s="22" t="n">
        <v>30377</v>
      </c>
      <c r="AD20" s="22" t="n">
        <v>30637</v>
      </c>
      <c r="AE20" s="22" t="n">
        <v>30978</v>
      </c>
      <c r="AF20" s="22" t="n">
        <v>31177</v>
      </c>
    </row>
    <row r="21" customFormat="false" ht="15" hidden="false" customHeight="false" outlineLevel="0" collapsed="false">
      <c r="A21" s="22" t="s">
        <v>64</v>
      </c>
      <c r="B21" s="22" t="s">
        <v>3</v>
      </c>
      <c r="C21" s="22" t="s">
        <v>64</v>
      </c>
      <c r="D21" s="22" t="n">
        <v>211700</v>
      </c>
      <c r="E21" s="22" t="s">
        <v>136</v>
      </c>
      <c r="F21" s="22" t="s">
        <v>680</v>
      </c>
      <c r="G21" s="22" t="s">
        <v>131</v>
      </c>
      <c r="H21" s="22" t="s">
        <v>131</v>
      </c>
      <c r="I21" s="22" t="n">
        <v>212</v>
      </c>
      <c r="J21" s="22" t="n">
        <v>0</v>
      </c>
      <c r="K21" s="22" t="n">
        <v>334</v>
      </c>
      <c r="L21" s="22" t="n">
        <v>330</v>
      </c>
      <c r="M21" s="22" t="n">
        <v>401</v>
      </c>
      <c r="N21" s="22" t="n">
        <v>262</v>
      </c>
      <c r="O21" s="22" t="n">
        <v>467</v>
      </c>
      <c r="P21" s="22" t="n">
        <v>295</v>
      </c>
      <c r="Q21" s="22" t="n">
        <v>185</v>
      </c>
      <c r="R21" s="22" t="n">
        <v>0</v>
      </c>
      <c r="S21" s="22" t="n">
        <v>1261</v>
      </c>
      <c r="T21" s="22" t="n">
        <v>716</v>
      </c>
      <c r="U21" s="22" t="n">
        <v>461</v>
      </c>
      <c r="V21" s="22" t="n">
        <v>460</v>
      </c>
      <c r="W21" s="22" t="n">
        <v>198</v>
      </c>
      <c r="X21" s="22" t="n">
        <v>0</v>
      </c>
      <c r="Y21" s="22" t="n">
        <v>643</v>
      </c>
      <c r="Z21" s="22" t="n">
        <v>502</v>
      </c>
      <c r="AA21" s="22" t="n">
        <v>1044</v>
      </c>
      <c r="AB21" s="22" t="n">
        <v>483</v>
      </c>
      <c r="AC21" s="22" t="n">
        <v>109</v>
      </c>
      <c r="AD21" s="22"/>
      <c r="AE21" s="22"/>
      <c r="AF21" s="22"/>
    </row>
    <row r="22" customFormat="false" ht="15" hidden="false" customHeight="false" outlineLevel="0" collapsed="false">
      <c r="A22" s="22" t="s">
        <v>64</v>
      </c>
      <c r="B22" s="22" t="s">
        <v>3</v>
      </c>
      <c r="C22" s="22" t="s">
        <v>64</v>
      </c>
      <c r="D22" s="22" t="n">
        <v>211700</v>
      </c>
      <c r="E22" s="22" t="s">
        <v>136</v>
      </c>
      <c r="F22" s="22" t="s">
        <v>681</v>
      </c>
      <c r="G22" s="22" t="s">
        <v>131</v>
      </c>
      <c r="H22" s="22" t="s">
        <v>131</v>
      </c>
      <c r="I22" s="22" t="n">
        <v>451</v>
      </c>
      <c r="J22" s="22" t="n">
        <v>451</v>
      </c>
      <c r="K22" s="22" t="n">
        <v>785</v>
      </c>
      <c r="L22" s="22" t="n">
        <v>876</v>
      </c>
      <c r="M22" s="22" t="n">
        <v>1065</v>
      </c>
      <c r="N22" s="22" t="n">
        <v>1327</v>
      </c>
      <c r="O22" s="22" t="n">
        <v>1460</v>
      </c>
      <c r="P22" s="22" t="n">
        <v>1425</v>
      </c>
      <c r="Q22" s="22" t="n">
        <v>1209</v>
      </c>
      <c r="R22" s="22" t="n">
        <v>947</v>
      </c>
      <c r="S22" s="22" t="n">
        <v>1741</v>
      </c>
      <c r="T22" s="22" t="n">
        <v>2162</v>
      </c>
      <c r="U22" s="22" t="n">
        <v>2438</v>
      </c>
      <c r="V22" s="22" t="n">
        <v>2898</v>
      </c>
      <c r="W22" s="22" t="n">
        <v>1835</v>
      </c>
      <c r="X22" s="22" t="n">
        <v>1119</v>
      </c>
      <c r="Y22" s="22" t="n">
        <v>1301</v>
      </c>
      <c r="Z22" s="22" t="n">
        <v>1343</v>
      </c>
      <c r="AA22" s="22" t="n">
        <v>2189</v>
      </c>
      <c r="AB22" s="22" t="n">
        <v>2672</v>
      </c>
      <c r="AC22" s="22" t="n">
        <v>2138</v>
      </c>
      <c r="AD22" s="22"/>
      <c r="AE22" s="22"/>
      <c r="AF22" s="22"/>
    </row>
    <row r="23" customFormat="false" ht="15" hidden="false" customHeight="false" outlineLevel="0" collapsed="false">
      <c r="A23" s="22" t="s">
        <v>81</v>
      </c>
      <c r="B23" s="22" t="s">
        <v>3</v>
      </c>
      <c r="C23" s="22" t="s">
        <v>81</v>
      </c>
      <c r="D23" s="22" t="n">
        <v>12060</v>
      </c>
      <c r="E23" s="22" t="s">
        <v>132</v>
      </c>
      <c r="F23" s="22" t="s">
        <v>133</v>
      </c>
      <c r="G23" s="22" t="s">
        <v>131</v>
      </c>
      <c r="H23" s="22" t="s">
        <v>131</v>
      </c>
      <c r="I23" s="22" t="n">
        <v>520484</v>
      </c>
      <c r="J23" s="22" t="n">
        <v>521938</v>
      </c>
      <c r="K23" s="22" t="n">
        <v>523502</v>
      </c>
      <c r="L23" s="22" t="n">
        <v>525987</v>
      </c>
      <c r="M23" s="22" t="n">
        <v>528040</v>
      </c>
      <c r="N23" s="22" t="n">
        <v>531562</v>
      </c>
      <c r="O23" s="22" t="n">
        <v>534944</v>
      </c>
      <c r="P23" s="22" t="n">
        <v>538752</v>
      </c>
      <c r="Q23" s="22" t="n">
        <v>544292</v>
      </c>
      <c r="R23" s="22" t="n">
        <v>549477</v>
      </c>
      <c r="S23" s="22" t="n">
        <v>555129</v>
      </c>
      <c r="T23" s="22" t="n">
        <v>560365</v>
      </c>
      <c r="U23" s="22" t="n">
        <v>566113</v>
      </c>
      <c r="V23" s="22" t="n">
        <v>573379</v>
      </c>
      <c r="W23" s="22" t="n">
        <v>579055</v>
      </c>
      <c r="X23" s="22" t="n">
        <v>583692</v>
      </c>
      <c r="Y23" s="22" t="n">
        <v>588232</v>
      </c>
      <c r="Z23" s="22" t="n">
        <v>591864</v>
      </c>
      <c r="AA23" s="22" t="n">
        <v>595053</v>
      </c>
      <c r="AB23" s="22" t="n">
        <v>597135</v>
      </c>
      <c r="AC23" s="22" t="n">
        <v>599838</v>
      </c>
      <c r="AD23" s="22" t="n">
        <v>601863</v>
      </c>
      <c r="AE23" s="22" t="n">
        <v>604556</v>
      </c>
      <c r="AF23" s="22" t="n">
        <v>607519</v>
      </c>
    </row>
    <row r="24" customFormat="false" ht="15" hidden="false" customHeight="false" outlineLevel="0" collapsed="false">
      <c r="A24" s="22" t="s">
        <v>81</v>
      </c>
      <c r="B24" s="22" t="s">
        <v>3</v>
      </c>
      <c r="C24" s="22" t="s">
        <v>81</v>
      </c>
      <c r="D24" s="22" t="n">
        <v>12060</v>
      </c>
      <c r="E24" s="22" t="s">
        <v>136</v>
      </c>
      <c r="F24" s="22" t="s">
        <v>680</v>
      </c>
      <c r="G24" s="22" t="s">
        <v>131</v>
      </c>
      <c r="H24" s="22" t="s">
        <v>131</v>
      </c>
      <c r="I24" s="22" t="n">
        <v>2395</v>
      </c>
      <c r="J24" s="22" t="n">
        <v>4929</v>
      </c>
      <c r="K24" s="22" t="n">
        <v>5793</v>
      </c>
      <c r="L24" s="22" t="n">
        <v>8459</v>
      </c>
      <c r="M24" s="22" t="n">
        <v>7557</v>
      </c>
      <c r="N24" s="22" t="n">
        <v>4176</v>
      </c>
      <c r="O24" s="22" t="n">
        <v>6065</v>
      </c>
      <c r="P24" s="22" t="n">
        <v>6633</v>
      </c>
      <c r="Q24" s="22" t="n">
        <v>2934</v>
      </c>
      <c r="R24" s="22" t="n">
        <v>3366</v>
      </c>
      <c r="S24" s="22" t="n">
        <v>4263</v>
      </c>
      <c r="T24" s="22" t="n">
        <v>2174</v>
      </c>
      <c r="U24" s="22" t="n">
        <v>3112</v>
      </c>
      <c r="V24" s="22" t="n">
        <v>1471</v>
      </c>
      <c r="W24" s="22" t="n">
        <v>3477</v>
      </c>
      <c r="X24" s="22" t="n">
        <v>1384</v>
      </c>
      <c r="Y24" s="22" t="n">
        <v>1787</v>
      </c>
      <c r="Z24" s="22" t="n">
        <v>2750</v>
      </c>
      <c r="AA24" s="22" t="n">
        <v>3860</v>
      </c>
      <c r="AB24" s="22" t="n">
        <v>1215</v>
      </c>
      <c r="AC24" s="22" t="n">
        <v>809</v>
      </c>
      <c r="AD24" s="22"/>
      <c r="AE24" s="22"/>
      <c r="AF24" s="22"/>
    </row>
    <row r="25" customFormat="false" ht="15" hidden="false" customHeight="false" outlineLevel="0" collapsed="false">
      <c r="A25" s="22" t="s">
        <v>81</v>
      </c>
      <c r="B25" s="22" t="s">
        <v>3</v>
      </c>
      <c r="C25" s="22" t="s">
        <v>81</v>
      </c>
      <c r="D25" s="22" t="n">
        <v>12060</v>
      </c>
      <c r="E25" s="22" t="s">
        <v>136</v>
      </c>
      <c r="F25" s="22" t="s">
        <v>681</v>
      </c>
      <c r="G25" s="22" t="s">
        <v>131</v>
      </c>
      <c r="H25" s="22" t="s">
        <v>131</v>
      </c>
      <c r="I25" s="22" t="n">
        <v>12518</v>
      </c>
      <c r="J25" s="22" t="n">
        <v>14118</v>
      </c>
      <c r="K25" s="22" t="n">
        <v>16640</v>
      </c>
      <c r="L25" s="22" t="n">
        <v>21576</v>
      </c>
      <c r="M25" s="22" t="n">
        <v>26738</v>
      </c>
      <c r="N25" s="22" t="n">
        <v>25985</v>
      </c>
      <c r="O25" s="22" t="n">
        <v>26257</v>
      </c>
      <c r="P25" s="22" t="n">
        <v>24431</v>
      </c>
      <c r="Q25" s="22" t="n">
        <v>19808</v>
      </c>
      <c r="R25" s="22" t="n">
        <v>18998</v>
      </c>
      <c r="S25" s="22" t="n">
        <v>17196</v>
      </c>
      <c r="T25" s="22" t="n">
        <v>12737</v>
      </c>
      <c r="U25" s="22" t="n">
        <v>12915</v>
      </c>
      <c r="V25" s="22" t="n">
        <v>11020</v>
      </c>
      <c r="W25" s="22" t="n">
        <v>10234</v>
      </c>
      <c r="X25" s="22" t="n">
        <v>9444</v>
      </c>
      <c r="Y25" s="22" t="n">
        <v>8119</v>
      </c>
      <c r="Z25" s="22" t="n">
        <v>9398</v>
      </c>
      <c r="AA25" s="22" t="n">
        <v>9781</v>
      </c>
      <c r="AB25" s="22" t="n">
        <v>9612</v>
      </c>
      <c r="AC25" s="22" t="n">
        <v>8634</v>
      </c>
      <c r="AD25" s="22"/>
      <c r="AE25" s="22"/>
      <c r="AF25" s="22"/>
    </row>
    <row r="26" customFormat="false" ht="15" hidden="false" customHeight="false" outlineLevel="0" collapsed="false">
      <c r="A26" s="22" t="s">
        <v>142</v>
      </c>
      <c r="B26" s="22" t="s">
        <v>3</v>
      </c>
      <c r="C26" s="22" t="s">
        <v>142</v>
      </c>
      <c r="D26" s="22" t="n">
        <v>12100</v>
      </c>
      <c r="E26" s="22" t="s">
        <v>132</v>
      </c>
      <c r="F26" s="22" t="s">
        <v>133</v>
      </c>
      <c r="G26" s="22" t="s">
        <v>131</v>
      </c>
      <c r="H26" s="22" t="s">
        <v>131</v>
      </c>
      <c r="I26" s="22" t="n">
        <v>31690</v>
      </c>
      <c r="J26" s="22" t="n">
        <v>31752</v>
      </c>
      <c r="K26" s="22" t="n">
        <v>31800</v>
      </c>
      <c r="L26" s="22" t="n">
        <v>31821</v>
      </c>
      <c r="M26" s="22" t="n">
        <v>31852</v>
      </c>
      <c r="N26" s="22" t="n">
        <v>31878</v>
      </c>
      <c r="O26" s="22" t="n">
        <v>31938</v>
      </c>
      <c r="P26" s="22" t="n">
        <v>31966</v>
      </c>
      <c r="Q26" s="22" t="n">
        <v>31994</v>
      </c>
      <c r="R26" s="22" t="n">
        <v>32060</v>
      </c>
      <c r="S26" s="22" t="n">
        <v>32124</v>
      </c>
      <c r="T26" s="22" t="n">
        <v>32177</v>
      </c>
      <c r="U26" s="22" t="n">
        <v>32301</v>
      </c>
      <c r="V26" s="22" t="n">
        <v>32337</v>
      </c>
      <c r="W26" s="22" t="n">
        <v>32345</v>
      </c>
      <c r="X26" s="22" t="n">
        <v>32359</v>
      </c>
      <c r="Y26" s="22" t="n">
        <v>32367</v>
      </c>
      <c r="Z26" s="22" t="n">
        <v>32384</v>
      </c>
      <c r="AA26" s="22" t="n">
        <v>32400</v>
      </c>
      <c r="AB26" s="22" t="n">
        <v>32400</v>
      </c>
      <c r="AC26" s="22" t="n">
        <v>32433</v>
      </c>
      <c r="AD26" s="22" t="n">
        <v>32594</v>
      </c>
      <c r="AE26" s="22" t="n">
        <v>32620</v>
      </c>
      <c r="AF26" s="22" t="n">
        <v>32627</v>
      </c>
    </row>
    <row r="27" customFormat="false" ht="15" hidden="false" customHeight="false" outlineLevel="0" collapsed="false">
      <c r="A27" s="22" t="s">
        <v>142</v>
      </c>
      <c r="B27" s="22" t="s">
        <v>3</v>
      </c>
      <c r="C27" s="22" t="s">
        <v>142</v>
      </c>
      <c r="D27" s="22" t="n">
        <v>12100</v>
      </c>
      <c r="E27" s="22" t="s">
        <v>136</v>
      </c>
      <c r="F27" s="22" t="s">
        <v>680</v>
      </c>
      <c r="G27" s="22" t="s">
        <v>131</v>
      </c>
      <c r="H27" s="22" t="s">
        <v>131</v>
      </c>
      <c r="I27" s="22" t="n">
        <v>0</v>
      </c>
      <c r="J27" s="22" t="n">
        <v>0</v>
      </c>
      <c r="K27" s="22" t="n">
        <v>80</v>
      </c>
      <c r="L27" s="22" t="n">
        <v>0</v>
      </c>
      <c r="M27" s="22" t="n">
        <v>0</v>
      </c>
      <c r="N27" s="22" t="n">
        <v>120</v>
      </c>
      <c r="O27" s="22" t="n">
        <v>35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 t="n">
        <v>0</v>
      </c>
      <c r="AB27" s="22" t="n">
        <v>0</v>
      </c>
      <c r="AC27" s="22" t="n">
        <v>0</v>
      </c>
      <c r="AD27" s="22"/>
      <c r="AE27" s="22"/>
      <c r="AF27" s="22"/>
    </row>
    <row r="28" customFormat="false" ht="15" hidden="false" customHeight="false" outlineLevel="0" collapsed="false">
      <c r="A28" s="22" t="s">
        <v>142</v>
      </c>
      <c r="B28" s="22" t="s">
        <v>3</v>
      </c>
      <c r="C28" s="22" t="s">
        <v>142</v>
      </c>
      <c r="D28" s="22" t="n">
        <v>12100</v>
      </c>
      <c r="E28" s="22" t="s">
        <v>136</v>
      </c>
      <c r="F28" s="22" t="s">
        <v>681</v>
      </c>
      <c r="G28" s="22" t="s">
        <v>131</v>
      </c>
      <c r="H28" s="22" t="s">
        <v>131</v>
      </c>
      <c r="I28" s="22" t="n">
        <v>0</v>
      </c>
      <c r="J28" s="22" t="n">
        <v>0</v>
      </c>
      <c r="K28" s="22" t="n">
        <v>80</v>
      </c>
      <c r="L28" s="22" t="n">
        <v>80</v>
      </c>
      <c r="M28" s="22" t="n">
        <v>80</v>
      </c>
      <c r="N28" s="22" t="n">
        <v>200</v>
      </c>
      <c r="O28" s="22" t="n">
        <v>155</v>
      </c>
      <c r="P28" s="22" t="n">
        <v>155</v>
      </c>
      <c r="Q28" s="22" t="n">
        <v>155</v>
      </c>
      <c r="R28" s="22" t="n">
        <v>35</v>
      </c>
      <c r="S28" s="22" t="n">
        <v>0</v>
      </c>
      <c r="T28" s="22" t="n">
        <v>0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0</v>
      </c>
      <c r="Z28" s="22" t="n">
        <v>0</v>
      </c>
      <c r="AA28" s="22" t="n">
        <v>0</v>
      </c>
      <c r="AB28" s="22" t="n">
        <v>0</v>
      </c>
      <c r="AC28" s="22" t="n">
        <v>0</v>
      </c>
      <c r="AD28" s="22"/>
      <c r="AE28" s="22"/>
      <c r="AF28" s="22"/>
    </row>
    <row r="29" customFormat="false" ht="15" hidden="false" customHeight="false" outlineLevel="0" collapsed="false">
      <c r="A29" s="22" t="s">
        <v>143</v>
      </c>
      <c r="B29" s="22" t="s">
        <v>3</v>
      </c>
      <c r="C29" s="22" t="s">
        <v>143</v>
      </c>
      <c r="D29" s="22" t="n">
        <v>12260</v>
      </c>
      <c r="E29" s="22" t="s">
        <v>132</v>
      </c>
      <c r="F29" s="22" t="s">
        <v>133</v>
      </c>
      <c r="G29" s="22" t="s">
        <v>131</v>
      </c>
      <c r="H29" s="22" t="s">
        <v>131</v>
      </c>
      <c r="I29" s="22" t="n">
        <v>30774</v>
      </c>
      <c r="J29" s="22" t="n">
        <v>31025</v>
      </c>
      <c r="K29" s="22" t="n">
        <v>31256</v>
      </c>
      <c r="L29" s="22" t="n">
        <v>31436</v>
      </c>
      <c r="M29" s="22" t="n">
        <v>31719</v>
      </c>
      <c r="N29" s="22" t="n">
        <v>32276</v>
      </c>
      <c r="O29" s="22" t="n">
        <v>32607</v>
      </c>
      <c r="P29" s="22" t="n">
        <v>33004</v>
      </c>
      <c r="Q29" s="22" t="n">
        <v>33250</v>
      </c>
      <c r="R29" s="22" t="n">
        <v>33403</v>
      </c>
      <c r="S29" s="22" t="n">
        <v>33273</v>
      </c>
      <c r="T29" s="22" t="n">
        <v>33303</v>
      </c>
      <c r="U29" s="22" t="n">
        <v>33524</v>
      </c>
      <c r="V29" s="22" t="n">
        <v>33766</v>
      </c>
      <c r="W29" s="22" t="n">
        <v>34048</v>
      </c>
      <c r="X29" s="22" t="n">
        <v>34233</v>
      </c>
      <c r="Y29" s="22" t="n">
        <v>34309</v>
      </c>
      <c r="Z29" s="22" t="n">
        <v>34387</v>
      </c>
      <c r="AA29" s="22" t="n">
        <v>34747</v>
      </c>
      <c r="AB29" s="22" t="n">
        <v>34938</v>
      </c>
      <c r="AC29" s="22" t="n">
        <v>35340</v>
      </c>
      <c r="AD29" s="22" t="n">
        <v>35625</v>
      </c>
      <c r="AE29" s="22" t="n">
        <v>35714</v>
      </c>
      <c r="AF29" s="22" t="n">
        <v>35765</v>
      </c>
    </row>
    <row r="30" customFormat="false" ht="15" hidden="false" customHeight="false" outlineLevel="0" collapsed="false">
      <c r="A30" s="22" t="s">
        <v>143</v>
      </c>
      <c r="B30" s="22" t="s">
        <v>3</v>
      </c>
      <c r="C30" s="22" t="s">
        <v>143</v>
      </c>
      <c r="D30" s="22" t="n">
        <v>12260</v>
      </c>
      <c r="E30" s="22" t="s">
        <v>136</v>
      </c>
      <c r="F30" s="22" t="s">
        <v>680</v>
      </c>
      <c r="G30" s="22" t="s">
        <v>131</v>
      </c>
      <c r="H30" s="22" t="s">
        <v>131</v>
      </c>
      <c r="I30" s="22" t="n">
        <v>300</v>
      </c>
      <c r="J30" s="22" t="n">
        <v>368</v>
      </c>
      <c r="K30" s="22" t="n">
        <v>0</v>
      </c>
      <c r="L30" s="22" t="n">
        <v>437</v>
      </c>
      <c r="M30" s="22" t="n">
        <v>623</v>
      </c>
      <c r="N30" s="22" t="n">
        <v>0</v>
      </c>
      <c r="O30" s="22" t="n">
        <v>256</v>
      </c>
      <c r="P30" s="22" t="n">
        <v>75</v>
      </c>
      <c r="Q30" s="22" t="n">
        <v>0</v>
      </c>
      <c r="R30" s="22" t="n">
        <v>445</v>
      </c>
      <c r="S30" s="22" t="n">
        <v>0</v>
      </c>
      <c r="T30" s="22" t="n">
        <v>0</v>
      </c>
      <c r="U30" s="22" t="n">
        <v>0</v>
      </c>
      <c r="V30" s="22" t="n">
        <v>315</v>
      </c>
      <c r="W30" s="22" t="n">
        <v>343</v>
      </c>
      <c r="X30" s="22" t="n">
        <v>336</v>
      </c>
      <c r="Y30" s="22" t="n">
        <v>0</v>
      </c>
      <c r="Z30" s="22" t="n">
        <v>0</v>
      </c>
      <c r="AA30" s="22" t="n">
        <v>138</v>
      </c>
      <c r="AB30" s="22" t="n">
        <v>0</v>
      </c>
      <c r="AC30" s="22" t="n">
        <v>0</v>
      </c>
      <c r="AD30" s="22"/>
      <c r="AE30" s="22"/>
      <c r="AF30" s="22"/>
    </row>
    <row r="31" customFormat="false" ht="15" hidden="false" customHeight="false" outlineLevel="0" collapsed="false">
      <c r="A31" s="22" t="s">
        <v>143</v>
      </c>
      <c r="B31" s="22" t="s">
        <v>3</v>
      </c>
      <c r="C31" s="22" t="s">
        <v>143</v>
      </c>
      <c r="D31" s="22" t="n">
        <v>12260</v>
      </c>
      <c r="E31" s="22" t="s">
        <v>136</v>
      </c>
      <c r="F31" s="22" t="s">
        <v>681</v>
      </c>
      <c r="G31" s="22" t="s">
        <v>131</v>
      </c>
      <c r="H31" s="22" t="s">
        <v>131</v>
      </c>
      <c r="I31" s="22" t="n">
        <v>1154</v>
      </c>
      <c r="J31" s="22" t="n">
        <v>1522</v>
      </c>
      <c r="K31" s="22" t="n">
        <v>1130</v>
      </c>
      <c r="L31" s="22" t="n">
        <v>1105</v>
      </c>
      <c r="M31" s="22" t="n">
        <v>1428</v>
      </c>
      <c r="N31" s="22" t="n">
        <v>1060</v>
      </c>
      <c r="O31" s="22" t="n">
        <v>1316</v>
      </c>
      <c r="P31" s="22" t="n">
        <v>954</v>
      </c>
      <c r="Q31" s="22" t="n">
        <v>331</v>
      </c>
      <c r="R31" s="22" t="n">
        <v>776</v>
      </c>
      <c r="S31" s="22" t="n">
        <v>520</v>
      </c>
      <c r="T31" s="22" t="n">
        <v>445</v>
      </c>
      <c r="U31" s="22" t="n">
        <v>445</v>
      </c>
      <c r="V31" s="22" t="n">
        <v>315</v>
      </c>
      <c r="W31" s="22" t="n">
        <v>658</v>
      </c>
      <c r="X31" s="22" t="n">
        <v>994</v>
      </c>
      <c r="Y31" s="22" t="n">
        <v>994</v>
      </c>
      <c r="Z31" s="22" t="n">
        <v>679</v>
      </c>
      <c r="AA31" s="22" t="n">
        <v>474</v>
      </c>
      <c r="AB31" s="22" t="n">
        <v>138</v>
      </c>
      <c r="AC31" s="22" t="n">
        <v>138</v>
      </c>
      <c r="AD31" s="22"/>
      <c r="AE31" s="22"/>
      <c r="AF31" s="22"/>
    </row>
    <row r="32" customFormat="false" ht="15" hidden="false" customHeight="false" outlineLevel="0" collapsed="false">
      <c r="A32" s="22" t="s">
        <v>84</v>
      </c>
      <c r="B32" s="22" t="s">
        <v>3</v>
      </c>
      <c r="C32" s="22" t="s">
        <v>84</v>
      </c>
      <c r="D32" s="22" t="n">
        <v>12420</v>
      </c>
      <c r="E32" s="22" t="s">
        <v>132</v>
      </c>
      <c r="F32" s="22" t="s">
        <v>133</v>
      </c>
      <c r="G32" s="22" t="s">
        <v>131</v>
      </c>
      <c r="H32" s="22" t="s">
        <v>131</v>
      </c>
      <c r="I32" s="22" t="n">
        <v>267593</v>
      </c>
      <c r="J32" s="22" t="n">
        <v>270675</v>
      </c>
      <c r="K32" s="22" t="n">
        <v>273870</v>
      </c>
      <c r="L32" s="22" t="n">
        <v>278151</v>
      </c>
      <c r="M32" s="22" t="n">
        <v>281637</v>
      </c>
      <c r="N32" s="22" t="n">
        <v>284740</v>
      </c>
      <c r="O32" s="22" t="n">
        <v>287404</v>
      </c>
      <c r="P32" s="22" t="n">
        <v>290097</v>
      </c>
      <c r="Q32" s="22" t="n">
        <v>293647</v>
      </c>
      <c r="R32" s="22" t="n">
        <v>298067</v>
      </c>
      <c r="S32" s="22" t="n">
        <v>302088</v>
      </c>
      <c r="T32" s="22" t="n">
        <v>307166</v>
      </c>
      <c r="U32" s="22" t="n">
        <v>315122</v>
      </c>
      <c r="V32" s="22" t="n">
        <v>324575</v>
      </c>
      <c r="W32" s="22" t="n">
        <v>332196</v>
      </c>
      <c r="X32" s="22" t="n">
        <v>337774</v>
      </c>
      <c r="Y32" s="22" t="n">
        <v>341358</v>
      </c>
      <c r="Z32" s="22" t="n">
        <v>344832</v>
      </c>
      <c r="AA32" s="22" t="n">
        <v>348323</v>
      </c>
      <c r="AB32" s="22" t="n">
        <v>350661</v>
      </c>
      <c r="AC32" s="22" t="n">
        <v>353454</v>
      </c>
      <c r="AD32" s="22" t="n">
        <v>356189</v>
      </c>
      <c r="AE32" s="22" t="n">
        <v>359130</v>
      </c>
      <c r="AF32" s="22" t="n">
        <v>361160</v>
      </c>
    </row>
    <row r="33" customFormat="false" ht="15" hidden="false" customHeight="false" outlineLevel="0" collapsed="false">
      <c r="A33" s="22" t="s">
        <v>84</v>
      </c>
      <c r="B33" s="22" t="s">
        <v>3</v>
      </c>
      <c r="C33" s="22" t="s">
        <v>84</v>
      </c>
      <c r="D33" s="22" t="n">
        <v>12420</v>
      </c>
      <c r="E33" s="22" t="s">
        <v>136</v>
      </c>
      <c r="F33" s="22" t="s">
        <v>680</v>
      </c>
      <c r="G33" s="22" t="s">
        <v>131</v>
      </c>
      <c r="H33" s="22" t="s">
        <v>131</v>
      </c>
      <c r="I33" s="22" t="n">
        <v>6771</v>
      </c>
      <c r="J33" s="22" t="n">
        <v>4291</v>
      </c>
      <c r="K33" s="22" t="n">
        <v>5415</v>
      </c>
      <c r="L33" s="22" t="n">
        <v>7465</v>
      </c>
      <c r="M33" s="22" t="n">
        <v>7451</v>
      </c>
      <c r="N33" s="22" t="n">
        <v>7026</v>
      </c>
      <c r="O33" s="22" t="n">
        <v>3243</v>
      </c>
      <c r="P33" s="22" t="n">
        <v>6272</v>
      </c>
      <c r="Q33" s="22" t="n">
        <v>2459</v>
      </c>
      <c r="R33" s="22" t="n">
        <v>2793</v>
      </c>
      <c r="S33" s="22" t="n">
        <v>2965</v>
      </c>
      <c r="T33" s="22" t="n">
        <v>3529</v>
      </c>
      <c r="U33" s="22" t="n">
        <v>1506</v>
      </c>
      <c r="V33" s="22" t="n">
        <v>1618</v>
      </c>
      <c r="W33" s="22" t="n">
        <v>2577</v>
      </c>
      <c r="X33" s="22" t="n">
        <v>2370</v>
      </c>
      <c r="Y33" s="22" t="n">
        <v>896</v>
      </c>
      <c r="Z33" s="22" t="n">
        <v>1680</v>
      </c>
      <c r="AA33" s="22" t="n">
        <v>2154</v>
      </c>
      <c r="AB33" s="22" t="n">
        <v>1118</v>
      </c>
      <c r="AC33" s="22" t="n">
        <v>588</v>
      </c>
      <c r="AD33" s="22"/>
      <c r="AE33" s="22"/>
      <c r="AF33" s="22"/>
    </row>
    <row r="34" customFormat="false" ht="15" hidden="false" customHeight="false" outlineLevel="0" collapsed="false">
      <c r="A34" s="22" t="s">
        <v>84</v>
      </c>
      <c r="B34" s="22" t="s">
        <v>3</v>
      </c>
      <c r="C34" s="22" t="s">
        <v>84</v>
      </c>
      <c r="D34" s="22" t="n">
        <v>12420</v>
      </c>
      <c r="E34" s="22" t="s">
        <v>136</v>
      </c>
      <c r="F34" s="22" t="s">
        <v>681</v>
      </c>
      <c r="G34" s="22" t="s">
        <v>131</v>
      </c>
      <c r="H34" s="22" t="s">
        <v>131</v>
      </c>
      <c r="I34" s="22" t="n">
        <v>18620</v>
      </c>
      <c r="J34" s="22" t="n">
        <v>19037</v>
      </c>
      <c r="K34" s="22" t="n">
        <v>21070</v>
      </c>
      <c r="L34" s="22" t="n">
        <v>23942</v>
      </c>
      <c r="M34" s="22" t="n">
        <v>24622</v>
      </c>
      <c r="N34" s="22" t="n">
        <v>27357</v>
      </c>
      <c r="O34" s="22" t="n">
        <v>25185</v>
      </c>
      <c r="P34" s="22" t="n">
        <v>23992</v>
      </c>
      <c r="Q34" s="22" t="n">
        <v>19000</v>
      </c>
      <c r="R34" s="22" t="n">
        <v>14767</v>
      </c>
      <c r="S34" s="22" t="n">
        <v>14489</v>
      </c>
      <c r="T34" s="22" t="n">
        <v>11746</v>
      </c>
      <c r="U34" s="22" t="n">
        <v>10793</v>
      </c>
      <c r="V34" s="22" t="n">
        <v>9618</v>
      </c>
      <c r="W34" s="22" t="n">
        <v>9230</v>
      </c>
      <c r="X34" s="22" t="n">
        <v>8071</v>
      </c>
      <c r="Y34" s="22" t="n">
        <v>7461</v>
      </c>
      <c r="Z34" s="22" t="n">
        <v>7523</v>
      </c>
      <c r="AA34" s="22" t="n">
        <v>7100</v>
      </c>
      <c r="AB34" s="22" t="n">
        <v>5848</v>
      </c>
      <c r="AC34" s="22" t="n">
        <v>5540</v>
      </c>
      <c r="AD34" s="22"/>
      <c r="AE34" s="22"/>
      <c r="AF34" s="22"/>
    </row>
    <row r="35" customFormat="false" ht="15" hidden="false" customHeight="false" outlineLevel="0" collapsed="false">
      <c r="A35" s="22" t="s">
        <v>144</v>
      </c>
      <c r="B35" s="22" t="s">
        <v>3</v>
      </c>
      <c r="C35" s="22" t="s">
        <v>144</v>
      </c>
      <c r="D35" s="22" t="n">
        <v>12540</v>
      </c>
      <c r="E35" s="22" t="s">
        <v>132</v>
      </c>
      <c r="F35" s="22" t="s">
        <v>133</v>
      </c>
      <c r="G35" s="22" t="s">
        <v>131</v>
      </c>
      <c r="H35" s="22" t="s">
        <v>131</v>
      </c>
      <c r="I35" s="22" t="n">
        <v>26936</v>
      </c>
      <c r="J35" s="22" t="n">
        <v>27102</v>
      </c>
      <c r="K35" s="22" t="n">
        <v>27237</v>
      </c>
      <c r="L35" s="22" t="n">
        <v>27237</v>
      </c>
      <c r="M35" s="22" t="n">
        <v>27237</v>
      </c>
      <c r="N35" s="22" t="n">
        <v>27237</v>
      </c>
      <c r="O35" s="22" t="n">
        <v>27237</v>
      </c>
      <c r="P35" s="22" t="n">
        <v>27237</v>
      </c>
      <c r="Q35" s="22" t="n">
        <v>27237</v>
      </c>
      <c r="R35" s="22" t="n">
        <v>27237</v>
      </c>
      <c r="S35" s="22" t="n">
        <v>27237</v>
      </c>
      <c r="T35" s="22" t="n">
        <v>27237</v>
      </c>
      <c r="U35" s="22" t="n">
        <v>27237</v>
      </c>
      <c r="V35" s="22" t="n">
        <v>27237</v>
      </c>
      <c r="W35" s="22" t="n">
        <v>27237</v>
      </c>
      <c r="X35" s="22" t="n">
        <v>27323</v>
      </c>
      <c r="Y35" s="22" t="n">
        <v>27495</v>
      </c>
      <c r="Z35" s="22" t="n">
        <v>27609</v>
      </c>
      <c r="AA35" s="22" t="n">
        <v>27609</v>
      </c>
      <c r="AB35" s="22" t="n">
        <v>27609</v>
      </c>
      <c r="AC35" s="22" t="n">
        <v>27609</v>
      </c>
      <c r="AD35" s="22" t="n">
        <v>27609</v>
      </c>
      <c r="AE35" s="22" t="n">
        <v>27711</v>
      </c>
      <c r="AF35" s="22" t="n">
        <v>27930</v>
      </c>
    </row>
    <row r="36" customFormat="false" ht="15" hidden="false" customHeight="false" outlineLevel="0" collapsed="false">
      <c r="A36" s="22" t="s">
        <v>144</v>
      </c>
      <c r="B36" s="22" t="s">
        <v>3</v>
      </c>
      <c r="C36" s="22" t="s">
        <v>144</v>
      </c>
      <c r="D36" s="22" t="n">
        <v>12540</v>
      </c>
      <c r="E36" s="22" t="s">
        <v>136</v>
      </c>
      <c r="F36" s="22" t="s">
        <v>680</v>
      </c>
      <c r="G36" s="22" t="s">
        <v>131</v>
      </c>
      <c r="H36" s="22" t="s">
        <v>131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  <c r="P36" s="22" t="n">
        <v>0</v>
      </c>
      <c r="Q36" s="22" t="n">
        <v>0</v>
      </c>
      <c r="R36" s="22" t="n">
        <v>144</v>
      </c>
      <c r="S36" s="22" t="n">
        <v>0</v>
      </c>
      <c r="T36" s="22" t="n">
        <v>228</v>
      </c>
      <c r="U36" s="22" t="n">
        <v>0</v>
      </c>
      <c r="V36" s="22" t="n">
        <v>0</v>
      </c>
      <c r="W36" s="22" t="n">
        <v>0</v>
      </c>
      <c r="X36" s="22" t="n">
        <v>0</v>
      </c>
      <c r="Y36" s="22" t="n">
        <v>528</v>
      </c>
      <c r="Z36" s="22" t="n">
        <v>0</v>
      </c>
      <c r="AA36" s="22" t="n">
        <v>0</v>
      </c>
      <c r="AB36" s="22" t="n">
        <v>0</v>
      </c>
      <c r="AC36" s="22" t="n">
        <v>0</v>
      </c>
      <c r="AD36" s="22"/>
      <c r="AE36" s="22"/>
      <c r="AF36" s="22"/>
    </row>
    <row r="37" customFormat="false" ht="15" hidden="false" customHeight="false" outlineLevel="0" collapsed="false">
      <c r="A37" s="22" t="s">
        <v>144</v>
      </c>
      <c r="B37" s="22" t="s">
        <v>3</v>
      </c>
      <c r="C37" s="22" t="s">
        <v>144</v>
      </c>
      <c r="D37" s="22" t="n">
        <v>12540</v>
      </c>
      <c r="E37" s="22" t="s">
        <v>136</v>
      </c>
      <c r="F37" s="22" t="s">
        <v>681</v>
      </c>
      <c r="G37" s="22" t="s">
        <v>131</v>
      </c>
      <c r="H37" s="22" t="s">
        <v>131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  <c r="P37" s="22" t="n">
        <v>0</v>
      </c>
      <c r="Q37" s="22" t="n">
        <v>0</v>
      </c>
      <c r="R37" s="22" t="n">
        <v>144</v>
      </c>
      <c r="S37" s="22" t="n">
        <v>144</v>
      </c>
      <c r="T37" s="22" t="n">
        <v>372</v>
      </c>
      <c r="U37" s="22" t="n">
        <v>372</v>
      </c>
      <c r="V37" s="22" t="n">
        <v>228</v>
      </c>
      <c r="W37" s="22" t="n">
        <v>228</v>
      </c>
      <c r="X37" s="22" t="n">
        <v>0</v>
      </c>
      <c r="Y37" s="22" t="n">
        <v>528</v>
      </c>
      <c r="Z37" s="22" t="n">
        <v>528</v>
      </c>
      <c r="AA37" s="22" t="n">
        <v>528</v>
      </c>
      <c r="AB37" s="22" t="n">
        <v>528</v>
      </c>
      <c r="AC37" s="22" t="n">
        <v>0</v>
      </c>
      <c r="AD37" s="22"/>
      <c r="AE37" s="22"/>
      <c r="AF37" s="22"/>
    </row>
    <row r="38" customFormat="false" ht="15" hidden="false" customHeight="false" outlineLevel="0" collapsed="false">
      <c r="A38" s="22" t="s">
        <v>145</v>
      </c>
      <c r="B38" s="22" t="s">
        <v>3</v>
      </c>
      <c r="C38" s="22" t="s">
        <v>145</v>
      </c>
      <c r="D38" s="22" t="n">
        <v>12580</v>
      </c>
      <c r="E38" s="22" t="s">
        <v>132</v>
      </c>
      <c r="F38" s="22" t="s">
        <v>133</v>
      </c>
      <c r="G38" s="22" t="s">
        <v>131</v>
      </c>
      <c r="H38" s="22" t="s">
        <v>131</v>
      </c>
      <c r="I38" s="22" t="n">
        <v>231104</v>
      </c>
      <c r="J38" s="22" t="n">
        <v>231619</v>
      </c>
      <c r="K38" s="22" t="n">
        <v>231855</v>
      </c>
      <c r="L38" s="22" t="n">
        <v>231918</v>
      </c>
      <c r="M38" s="22" t="n">
        <v>231971</v>
      </c>
      <c r="N38" s="22" t="n">
        <v>232091</v>
      </c>
      <c r="O38" s="22" t="n">
        <v>232562</v>
      </c>
      <c r="P38" s="22" t="n">
        <v>233456</v>
      </c>
      <c r="Q38" s="22" t="n">
        <v>234268</v>
      </c>
      <c r="R38" s="22" t="n">
        <v>235064</v>
      </c>
      <c r="S38" s="22" t="n">
        <v>235779</v>
      </c>
      <c r="T38" s="22" t="n">
        <v>236488</v>
      </c>
      <c r="U38" s="22" t="n">
        <v>237022</v>
      </c>
      <c r="V38" s="22" t="n">
        <v>237631</v>
      </c>
      <c r="W38" s="22" t="n">
        <v>238785</v>
      </c>
      <c r="X38" s="22" t="n">
        <v>239635</v>
      </c>
      <c r="Y38" s="22" t="n">
        <v>239828</v>
      </c>
      <c r="Z38" s="22" t="n">
        <v>240038</v>
      </c>
      <c r="AA38" s="22" t="n">
        <v>240165</v>
      </c>
      <c r="AB38" s="22" t="n">
        <v>240425</v>
      </c>
      <c r="AC38" s="22" t="n">
        <v>240604</v>
      </c>
      <c r="AD38" s="22" t="n">
        <v>241309</v>
      </c>
      <c r="AE38" s="22" t="n">
        <v>241719</v>
      </c>
      <c r="AF38" s="22" t="n">
        <v>242044</v>
      </c>
    </row>
    <row r="39" customFormat="false" ht="15" hidden="false" customHeight="false" outlineLevel="0" collapsed="false">
      <c r="A39" s="22" t="s">
        <v>145</v>
      </c>
      <c r="B39" s="22" t="s">
        <v>3</v>
      </c>
      <c r="C39" s="22" t="s">
        <v>145</v>
      </c>
      <c r="D39" s="22" t="n">
        <v>12580</v>
      </c>
      <c r="E39" s="22" t="s">
        <v>136</v>
      </c>
      <c r="F39" s="22" t="s">
        <v>680</v>
      </c>
      <c r="G39" s="22" t="s">
        <v>131</v>
      </c>
      <c r="H39" s="22" t="s">
        <v>131</v>
      </c>
      <c r="I39" s="22" t="n">
        <v>472</v>
      </c>
      <c r="J39" s="22" t="n">
        <v>633</v>
      </c>
      <c r="K39" s="22" t="n">
        <v>285</v>
      </c>
      <c r="L39" s="22" t="n">
        <v>953</v>
      </c>
      <c r="M39" s="22" t="n">
        <v>1289</v>
      </c>
      <c r="N39" s="22" t="n">
        <v>66</v>
      </c>
      <c r="O39" s="22" t="n">
        <v>1686</v>
      </c>
      <c r="P39" s="22" t="n">
        <v>572</v>
      </c>
      <c r="Q39" s="22" t="n">
        <v>1195</v>
      </c>
      <c r="R39" s="22" t="n">
        <v>0</v>
      </c>
      <c r="S39" s="22" t="n">
        <v>420</v>
      </c>
      <c r="T39" s="22" t="n">
        <v>94</v>
      </c>
      <c r="U39" s="22" t="n">
        <v>0</v>
      </c>
      <c r="V39" s="22" t="n">
        <v>418</v>
      </c>
      <c r="W39" s="22" t="n">
        <v>323</v>
      </c>
      <c r="X39" s="22" t="n">
        <v>580</v>
      </c>
      <c r="Y39" s="22" t="n">
        <v>277</v>
      </c>
      <c r="Z39" s="22" t="n">
        <v>203</v>
      </c>
      <c r="AA39" s="22" t="n">
        <v>315</v>
      </c>
      <c r="AB39" s="22" t="n">
        <v>60</v>
      </c>
      <c r="AC39" s="22" t="n">
        <v>335</v>
      </c>
      <c r="AD39" s="22"/>
      <c r="AE39" s="22"/>
      <c r="AF39" s="22"/>
    </row>
    <row r="40" customFormat="false" ht="15" hidden="false" customHeight="false" outlineLevel="0" collapsed="false">
      <c r="A40" s="22" t="s">
        <v>145</v>
      </c>
      <c r="B40" s="22" t="s">
        <v>3</v>
      </c>
      <c r="C40" s="22" t="s">
        <v>145</v>
      </c>
      <c r="D40" s="22" t="n">
        <v>12580</v>
      </c>
      <c r="E40" s="22" t="s">
        <v>136</v>
      </c>
      <c r="F40" s="22" t="s">
        <v>681</v>
      </c>
      <c r="G40" s="22" t="s">
        <v>131</v>
      </c>
      <c r="H40" s="22" t="s">
        <v>131</v>
      </c>
      <c r="I40" s="22" t="n">
        <v>2127</v>
      </c>
      <c r="J40" s="22" t="n">
        <v>2105</v>
      </c>
      <c r="K40" s="22" t="n">
        <v>1995</v>
      </c>
      <c r="L40" s="22" t="n">
        <v>2343</v>
      </c>
      <c r="M40" s="22" t="n">
        <v>3160</v>
      </c>
      <c r="N40" s="22" t="n">
        <v>2593</v>
      </c>
      <c r="O40" s="22" t="n">
        <v>3994</v>
      </c>
      <c r="P40" s="22" t="n">
        <v>3613</v>
      </c>
      <c r="Q40" s="22" t="n">
        <v>3519</v>
      </c>
      <c r="R40" s="22" t="n">
        <v>3453</v>
      </c>
      <c r="S40" s="22" t="n">
        <v>2187</v>
      </c>
      <c r="T40" s="22" t="n">
        <v>1709</v>
      </c>
      <c r="U40" s="22" t="n">
        <v>514</v>
      </c>
      <c r="V40" s="22" t="n">
        <v>932</v>
      </c>
      <c r="W40" s="22" t="n">
        <v>835</v>
      </c>
      <c r="X40" s="22" t="n">
        <v>1321</v>
      </c>
      <c r="Y40" s="22" t="n">
        <v>1598</v>
      </c>
      <c r="Z40" s="22" t="n">
        <v>1383</v>
      </c>
      <c r="AA40" s="22" t="n">
        <v>1375</v>
      </c>
      <c r="AB40" s="22" t="n">
        <v>855</v>
      </c>
      <c r="AC40" s="22" t="n">
        <v>913</v>
      </c>
      <c r="AD40" s="22"/>
      <c r="AE40" s="22"/>
      <c r="AF40" s="22"/>
    </row>
    <row r="41" customFormat="false" ht="15" hidden="false" customHeight="false" outlineLevel="0" collapsed="false">
      <c r="A41" s="22" t="s">
        <v>40</v>
      </c>
      <c r="B41" s="22" t="s">
        <v>3</v>
      </c>
      <c r="C41" s="22" t="s">
        <v>40</v>
      </c>
      <c r="D41" s="22" t="n">
        <v>12940</v>
      </c>
      <c r="E41" s="22" t="s">
        <v>132</v>
      </c>
      <c r="F41" s="22" t="s">
        <v>133</v>
      </c>
      <c r="G41" s="22" t="s">
        <v>131</v>
      </c>
      <c r="H41" s="22" t="s">
        <v>131</v>
      </c>
      <c r="I41" s="22" t="n">
        <v>48846</v>
      </c>
      <c r="J41" s="22" t="n">
        <v>49020</v>
      </c>
      <c r="K41" s="22" t="n">
        <v>49091</v>
      </c>
      <c r="L41" s="22" t="n">
        <v>49115</v>
      </c>
      <c r="M41" s="22" t="n">
        <v>49115</v>
      </c>
      <c r="N41" s="22" t="n">
        <v>49139</v>
      </c>
      <c r="O41" s="22" t="n">
        <v>49203</v>
      </c>
      <c r="P41" s="22" t="n">
        <v>49357</v>
      </c>
      <c r="Q41" s="22" t="n">
        <v>49435</v>
      </c>
      <c r="R41" s="22" t="n">
        <v>49593</v>
      </c>
      <c r="S41" s="22" t="n">
        <v>49855</v>
      </c>
      <c r="T41" s="22" t="n">
        <v>51504</v>
      </c>
      <c r="U41" s="22" t="n">
        <v>51642</v>
      </c>
      <c r="V41" s="22" t="n">
        <v>51846</v>
      </c>
      <c r="W41" s="22" t="n">
        <v>52009</v>
      </c>
      <c r="X41" s="22" t="n">
        <v>52075</v>
      </c>
      <c r="Y41" s="22" t="n">
        <v>52125</v>
      </c>
      <c r="Z41" s="22" t="n">
        <v>52025</v>
      </c>
      <c r="AA41" s="22" t="n">
        <v>52025</v>
      </c>
      <c r="AB41" s="22" t="n">
        <v>52025</v>
      </c>
      <c r="AC41" s="22" t="n">
        <v>52025</v>
      </c>
      <c r="AD41" s="22" t="n">
        <v>52025</v>
      </c>
      <c r="AE41" s="22" t="n">
        <v>52025</v>
      </c>
      <c r="AF41" s="22" t="n">
        <v>52103</v>
      </c>
    </row>
    <row r="42" customFormat="false" ht="15" hidden="false" customHeight="false" outlineLevel="0" collapsed="false">
      <c r="A42" s="22" t="s">
        <v>40</v>
      </c>
      <c r="B42" s="22" t="s">
        <v>3</v>
      </c>
      <c r="C42" s="22" t="s">
        <v>40</v>
      </c>
      <c r="D42" s="22" t="n">
        <v>12940</v>
      </c>
      <c r="E42" s="22" t="s">
        <v>136</v>
      </c>
      <c r="F42" s="22" t="s">
        <v>680</v>
      </c>
      <c r="G42" s="22" t="s">
        <v>131</v>
      </c>
      <c r="H42" s="22" t="s">
        <v>131</v>
      </c>
      <c r="I42" s="22" t="n">
        <v>0</v>
      </c>
      <c r="J42" s="22" t="n">
        <v>0</v>
      </c>
      <c r="K42" s="22" t="n">
        <v>56</v>
      </c>
      <c r="L42" s="22" t="n">
        <v>334</v>
      </c>
      <c r="M42" s="22" t="n">
        <v>0</v>
      </c>
      <c r="N42" s="22" t="n">
        <v>0</v>
      </c>
      <c r="O42" s="22" t="n">
        <v>572</v>
      </c>
      <c r="P42" s="22" t="n">
        <v>112</v>
      </c>
      <c r="Q42" s="22" t="n">
        <v>312</v>
      </c>
      <c r="R42" s="22" t="n">
        <v>0</v>
      </c>
      <c r="S42" s="22" t="n">
        <v>100</v>
      </c>
      <c r="T42" s="22" t="n">
        <v>0</v>
      </c>
      <c r="U42" s="22" t="n">
        <v>0</v>
      </c>
      <c r="V42" s="22" t="n">
        <v>0</v>
      </c>
      <c r="W42" s="22" t="n">
        <v>0</v>
      </c>
      <c r="X42" s="22" t="n">
        <v>0</v>
      </c>
      <c r="Y42" s="22" t="n">
        <v>0</v>
      </c>
      <c r="Z42" s="22" t="n">
        <v>312</v>
      </c>
      <c r="AA42" s="22" t="n">
        <v>0</v>
      </c>
      <c r="AB42" s="22" t="n">
        <v>0</v>
      </c>
      <c r="AC42" s="22" t="n">
        <v>0</v>
      </c>
      <c r="AD42" s="22"/>
      <c r="AE42" s="22"/>
      <c r="AF42" s="22"/>
    </row>
    <row r="43" customFormat="false" ht="15" hidden="false" customHeight="false" outlineLevel="0" collapsed="false">
      <c r="A43" s="22" t="s">
        <v>40</v>
      </c>
      <c r="B43" s="22" t="s">
        <v>3</v>
      </c>
      <c r="C43" s="22" t="s">
        <v>40</v>
      </c>
      <c r="D43" s="22" t="n">
        <v>12940</v>
      </c>
      <c r="E43" s="22" t="s">
        <v>136</v>
      </c>
      <c r="F43" s="22" t="s">
        <v>681</v>
      </c>
      <c r="G43" s="22" t="s">
        <v>131</v>
      </c>
      <c r="H43" s="22" t="s">
        <v>131</v>
      </c>
      <c r="I43" s="22" t="n">
        <v>230</v>
      </c>
      <c r="J43" s="22" t="n">
        <v>230</v>
      </c>
      <c r="K43" s="22" t="n">
        <v>224</v>
      </c>
      <c r="L43" s="22" t="n">
        <v>390</v>
      </c>
      <c r="M43" s="22" t="n">
        <v>390</v>
      </c>
      <c r="N43" s="22" t="n">
        <v>390</v>
      </c>
      <c r="O43" s="22" t="n">
        <v>906</v>
      </c>
      <c r="P43" s="22" t="n">
        <v>684</v>
      </c>
      <c r="Q43" s="22" t="n">
        <v>996</v>
      </c>
      <c r="R43" s="22" t="n">
        <v>996</v>
      </c>
      <c r="S43" s="22" t="n">
        <v>524</v>
      </c>
      <c r="T43" s="22" t="n">
        <v>412</v>
      </c>
      <c r="U43" s="22" t="n">
        <v>100</v>
      </c>
      <c r="V43" s="22" t="n">
        <v>100</v>
      </c>
      <c r="W43" s="22" t="n">
        <v>0</v>
      </c>
      <c r="X43" s="22" t="n">
        <v>0</v>
      </c>
      <c r="Y43" s="22" t="n">
        <v>0</v>
      </c>
      <c r="Z43" s="22" t="n">
        <v>312</v>
      </c>
      <c r="AA43" s="22" t="n">
        <v>312</v>
      </c>
      <c r="AB43" s="22" t="n">
        <v>312</v>
      </c>
      <c r="AC43" s="22" t="n">
        <v>312</v>
      </c>
      <c r="AD43" s="22"/>
      <c r="AE43" s="22"/>
      <c r="AF43" s="22"/>
    </row>
    <row r="44" customFormat="false" ht="15" hidden="false" customHeight="false" outlineLevel="0" collapsed="false">
      <c r="A44" s="22" t="s">
        <v>53</v>
      </c>
      <c r="B44" s="22" t="s">
        <v>3</v>
      </c>
      <c r="C44" s="22" t="s">
        <v>53</v>
      </c>
      <c r="D44" s="22" t="n">
        <v>13820</v>
      </c>
      <c r="E44" s="22" t="s">
        <v>132</v>
      </c>
      <c r="F44" s="22" t="s">
        <v>133</v>
      </c>
      <c r="G44" s="22" t="s">
        <v>131</v>
      </c>
      <c r="H44" s="22" t="s">
        <v>131</v>
      </c>
      <c r="I44" s="22" t="n">
        <v>76326</v>
      </c>
      <c r="J44" s="22" t="n">
        <v>76709</v>
      </c>
      <c r="K44" s="22" t="n">
        <v>77231</v>
      </c>
      <c r="L44" s="22" t="n">
        <v>77418</v>
      </c>
      <c r="M44" s="22" t="n">
        <v>77670</v>
      </c>
      <c r="N44" s="22" t="n">
        <v>77814</v>
      </c>
      <c r="O44" s="22" t="n">
        <v>77914</v>
      </c>
      <c r="P44" s="22" t="n">
        <v>78288</v>
      </c>
      <c r="Q44" s="22" t="n">
        <v>78476</v>
      </c>
      <c r="R44" s="22" t="n">
        <v>78911</v>
      </c>
      <c r="S44" s="22" t="n">
        <v>79231</v>
      </c>
      <c r="T44" s="22" t="n">
        <v>79797</v>
      </c>
      <c r="U44" s="22" t="n">
        <v>80087</v>
      </c>
      <c r="V44" s="22" t="n">
        <v>80464</v>
      </c>
      <c r="W44" s="22" t="n">
        <v>80747</v>
      </c>
      <c r="X44" s="22" t="n">
        <v>80892</v>
      </c>
      <c r="Y44" s="22" t="n">
        <v>81086</v>
      </c>
      <c r="Z44" s="22" t="n">
        <v>81503</v>
      </c>
      <c r="AA44" s="22" t="n">
        <v>82044</v>
      </c>
      <c r="AB44" s="22" t="n">
        <v>82358</v>
      </c>
      <c r="AC44" s="22" t="n">
        <v>82502</v>
      </c>
      <c r="AD44" s="22" t="n">
        <v>82550</v>
      </c>
      <c r="AE44" s="22" t="n">
        <v>82550</v>
      </c>
      <c r="AF44" s="22" t="n">
        <v>82889</v>
      </c>
    </row>
    <row r="45" customFormat="false" ht="15" hidden="false" customHeight="false" outlineLevel="0" collapsed="false">
      <c r="A45" s="22" t="s">
        <v>53</v>
      </c>
      <c r="B45" s="22" t="s">
        <v>3</v>
      </c>
      <c r="C45" s="22" t="s">
        <v>53</v>
      </c>
      <c r="D45" s="22" t="n">
        <v>13820</v>
      </c>
      <c r="E45" s="22" t="s">
        <v>136</v>
      </c>
      <c r="F45" s="22" t="s">
        <v>680</v>
      </c>
      <c r="G45" s="22" t="s">
        <v>131</v>
      </c>
      <c r="H45" s="22" t="s">
        <v>131</v>
      </c>
      <c r="I45" s="22" t="n">
        <v>359</v>
      </c>
      <c r="J45" s="22" t="n">
        <v>368</v>
      </c>
      <c r="K45" s="22" t="n">
        <v>259</v>
      </c>
      <c r="L45" s="22" t="n">
        <v>1277</v>
      </c>
      <c r="M45" s="22" t="n">
        <v>474</v>
      </c>
      <c r="N45" s="22" t="n">
        <v>0</v>
      </c>
      <c r="O45" s="22" t="n">
        <v>321</v>
      </c>
      <c r="P45" s="22" t="n">
        <v>55</v>
      </c>
      <c r="Q45" s="22" t="n">
        <v>0</v>
      </c>
      <c r="R45" s="22" t="n">
        <v>0</v>
      </c>
      <c r="S45" s="22" t="n">
        <v>275</v>
      </c>
      <c r="T45" s="22" t="n">
        <v>1055</v>
      </c>
      <c r="U45" s="22" t="n">
        <v>42</v>
      </c>
      <c r="V45" s="22" t="n">
        <v>0</v>
      </c>
      <c r="W45" s="22" t="n">
        <v>0</v>
      </c>
      <c r="X45" s="22" t="n">
        <v>0</v>
      </c>
      <c r="Y45" s="22" t="n">
        <v>289</v>
      </c>
      <c r="Z45" s="22" t="n">
        <v>0</v>
      </c>
      <c r="AA45" s="22" t="n">
        <v>0</v>
      </c>
      <c r="AB45" s="22" t="n">
        <v>135</v>
      </c>
      <c r="AC45" s="22" t="n">
        <v>0</v>
      </c>
      <c r="AD45" s="22"/>
      <c r="AE45" s="22"/>
      <c r="AF45" s="22"/>
    </row>
    <row r="46" customFormat="false" ht="15" hidden="false" customHeight="false" outlineLevel="0" collapsed="false">
      <c r="A46" s="22" t="s">
        <v>53</v>
      </c>
      <c r="B46" s="22" t="s">
        <v>3</v>
      </c>
      <c r="C46" s="22" t="s">
        <v>53</v>
      </c>
      <c r="D46" s="22" t="n">
        <v>13820</v>
      </c>
      <c r="E46" s="22" t="s">
        <v>136</v>
      </c>
      <c r="F46" s="22" t="s">
        <v>681</v>
      </c>
      <c r="G46" s="22" t="s">
        <v>131</v>
      </c>
      <c r="H46" s="22" t="s">
        <v>131</v>
      </c>
      <c r="I46" s="22" t="n">
        <v>996</v>
      </c>
      <c r="J46" s="22" t="n">
        <v>1205</v>
      </c>
      <c r="K46" s="22" t="n">
        <v>986</v>
      </c>
      <c r="L46" s="22" t="n">
        <v>2263</v>
      </c>
      <c r="M46" s="22" t="n">
        <v>2378</v>
      </c>
      <c r="N46" s="22" t="n">
        <v>2010</v>
      </c>
      <c r="O46" s="22" t="n">
        <v>2072</v>
      </c>
      <c r="P46" s="22" t="n">
        <v>850</v>
      </c>
      <c r="Q46" s="22" t="n">
        <v>376</v>
      </c>
      <c r="R46" s="22" t="n">
        <v>376</v>
      </c>
      <c r="S46" s="22" t="n">
        <v>330</v>
      </c>
      <c r="T46" s="22" t="n">
        <v>1330</v>
      </c>
      <c r="U46" s="22" t="n">
        <v>1372</v>
      </c>
      <c r="V46" s="22" t="n">
        <v>1372</v>
      </c>
      <c r="W46" s="22" t="n">
        <v>1097</v>
      </c>
      <c r="X46" s="22" t="n">
        <v>42</v>
      </c>
      <c r="Y46" s="22" t="n">
        <v>289</v>
      </c>
      <c r="Z46" s="22" t="n">
        <v>289</v>
      </c>
      <c r="AA46" s="22" t="n">
        <v>289</v>
      </c>
      <c r="AB46" s="22" t="n">
        <v>424</v>
      </c>
      <c r="AC46" s="22" t="n">
        <v>135</v>
      </c>
      <c r="AD46" s="22"/>
      <c r="AE46" s="22"/>
      <c r="AF46" s="22"/>
    </row>
    <row r="47" customFormat="false" ht="15" hidden="false" customHeight="false" outlineLevel="0" collapsed="false">
      <c r="A47" s="22" t="s">
        <v>30</v>
      </c>
      <c r="B47" s="22" t="s">
        <v>3</v>
      </c>
      <c r="C47" s="22" t="s">
        <v>30</v>
      </c>
      <c r="D47" s="22" t="n">
        <v>14260</v>
      </c>
      <c r="E47" s="22" t="s">
        <v>132</v>
      </c>
      <c r="F47" s="22" t="s">
        <v>133</v>
      </c>
      <c r="G47" s="22" t="s">
        <v>131</v>
      </c>
      <c r="H47" s="22" t="s">
        <v>131</v>
      </c>
      <c r="I47" s="22" t="n">
        <v>29963</v>
      </c>
      <c r="J47" s="22" t="n">
        <v>30692</v>
      </c>
      <c r="K47" s="22" t="n">
        <v>31104</v>
      </c>
      <c r="L47" s="22" t="n">
        <v>31656</v>
      </c>
      <c r="M47" s="22" t="n">
        <v>32050</v>
      </c>
      <c r="N47" s="22" t="n">
        <v>32500</v>
      </c>
      <c r="O47" s="22" t="n">
        <v>32846</v>
      </c>
      <c r="P47" s="22" t="n">
        <v>33079</v>
      </c>
      <c r="Q47" s="22" t="n">
        <v>33433</v>
      </c>
      <c r="R47" s="22" t="n">
        <v>34215</v>
      </c>
      <c r="S47" s="22" t="n">
        <v>35040</v>
      </c>
      <c r="T47" s="22" t="n">
        <v>35626</v>
      </c>
      <c r="U47" s="22" t="n">
        <v>36396</v>
      </c>
      <c r="V47" s="22" t="n">
        <v>37210</v>
      </c>
      <c r="W47" s="22" t="n">
        <v>38051</v>
      </c>
      <c r="X47" s="22" t="n">
        <v>38726</v>
      </c>
      <c r="Y47" s="22" t="n">
        <v>39353</v>
      </c>
      <c r="Z47" s="22" t="n">
        <v>39551</v>
      </c>
      <c r="AA47" s="22" t="n">
        <v>39780</v>
      </c>
      <c r="AB47" s="22" t="n">
        <v>40002</v>
      </c>
      <c r="AC47" s="22" t="n">
        <v>40146</v>
      </c>
      <c r="AD47" s="22" t="n">
        <v>40371</v>
      </c>
      <c r="AE47" s="22" t="n">
        <v>40532</v>
      </c>
      <c r="AF47" s="22" t="n">
        <v>40722</v>
      </c>
    </row>
    <row r="48" customFormat="false" ht="15" hidden="false" customHeight="false" outlineLevel="0" collapsed="false">
      <c r="A48" s="22" t="s">
        <v>30</v>
      </c>
      <c r="B48" s="22" t="s">
        <v>3</v>
      </c>
      <c r="C48" s="22" t="s">
        <v>30</v>
      </c>
      <c r="D48" s="22" t="n">
        <v>14260</v>
      </c>
      <c r="E48" s="22" t="s">
        <v>136</v>
      </c>
      <c r="F48" s="22" t="s">
        <v>680</v>
      </c>
      <c r="G48" s="22" t="s">
        <v>131</v>
      </c>
      <c r="H48" s="22" t="s">
        <v>131</v>
      </c>
      <c r="I48" s="22" t="n">
        <v>832</v>
      </c>
      <c r="J48" s="22" t="n">
        <v>542</v>
      </c>
      <c r="K48" s="22" t="n">
        <v>360</v>
      </c>
      <c r="L48" s="22" t="n">
        <v>568</v>
      </c>
      <c r="M48" s="22" t="n">
        <v>379</v>
      </c>
      <c r="N48" s="22" t="n">
        <v>538</v>
      </c>
      <c r="O48" s="22" t="n">
        <v>694</v>
      </c>
      <c r="P48" s="22" t="n">
        <v>1225</v>
      </c>
      <c r="Q48" s="22" t="n">
        <v>820</v>
      </c>
      <c r="R48" s="22" t="n">
        <v>0</v>
      </c>
      <c r="S48" s="22" t="n">
        <v>365</v>
      </c>
      <c r="T48" s="22" t="n">
        <v>0</v>
      </c>
      <c r="U48" s="22" t="n">
        <v>0</v>
      </c>
      <c r="V48" s="22" t="n">
        <v>0</v>
      </c>
      <c r="W48" s="22" t="n">
        <v>264</v>
      </c>
      <c r="X48" s="22" t="n">
        <v>84</v>
      </c>
      <c r="Y48" s="22" t="n">
        <v>0</v>
      </c>
      <c r="Z48" s="22" t="n">
        <v>481</v>
      </c>
      <c r="AA48" s="22" t="n">
        <v>0</v>
      </c>
      <c r="AB48" s="22" t="n">
        <v>0</v>
      </c>
      <c r="AC48" s="22" t="n">
        <v>0</v>
      </c>
      <c r="AD48" s="22"/>
      <c r="AE48" s="22"/>
      <c r="AF48" s="22"/>
    </row>
    <row r="49" customFormat="false" ht="15" hidden="false" customHeight="false" outlineLevel="0" collapsed="false">
      <c r="A49" s="22" t="s">
        <v>30</v>
      </c>
      <c r="B49" s="22" t="s">
        <v>3</v>
      </c>
      <c r="C49" s="22" t="s">
        <v>30</v>
      </c>
      <c r="D49" s="22" t="n">
        <v>14260</v>
      </c>
      <c r="E49" s="22" t="s">
        <v>136</v>
      </c>
      <c r="F49" s="22" t="s">
        <v>681</v>
      </c>
      <c r="G49" s="22" t="s">
        <v>131</v>
      </c>
      <c r="H49" s="22" t="s">
        <v>131</v>
      </c>
      <c r="I49" s="22" t="n">
        <v>1889</v>
      </c>
      <c r="J49" s="22" t="n">
        <v>2230</v>
      </c>
      <c r="K49" s="22" t="n">
        <v>2402</v>
      </c>
      <c r="L49" s="22" t="n">
        <v>2302</v>
      </c>
      <c r="M49" s="22" t="n">
        <v>1849</v>
      </c>
      <c r="N49" s="22" t="n">
        <v>1845</v>
      </c>
      <c r="O49" s="22" t="n">
        <v>2179</v>
      </c>
      <c r="P49" s="22" t="n">
        <v>2836</v>
      </c>
      <c r="Q49" s="22" t="n">
        <v>3277</v>
      </c>
      <c r="R49" s="22" t="n">
        <v>2739</v>
      </c>
      <c r="S49" s="22" t="n">
        <v>2410</v>
      </c>
      <c r="T49" s="22" t="n">
        <v>1185</v>
      </c>
      <c r="U49" s="22" t="n">
        <v>365</v>
      </c>
      <c r="V49" s="22" t="n">
        <v>365</v>
      </c>
      <c r="W49" s="22" t="n">
        <v>264</v>
      </c>
      <c r="X49" s="22" t="n">
        <v>348</v>
      </c>
      <c r="Y49" s="22" t="n">
        <v>348</v>
      </c>
      <c r="Z49" s="22" t="n">
        <v>829</v>
      </c>
      <c r="AA49" s="22" t="n">
        <v>565</v>
      </c>
      <c r="AB49" s="22" t="n">
        <v>481</v>
      </c>
      <c r="AC49" s="22" t="n">
        <v>481</v>
      </c>
      <c r="AD49" s="22"/>
      <c r="AE49" s="22"/>
      <c r="AF49" s="22"/>
    </row>
    <row r="50" customFormat="false" ht="15" hidden="false" customHeight="false" outlineLevel="0" collapsed="false">
      <c r="A50" s="22" t="s">
        <v>146</v>
      </c>
      <c r="B50" s="22" t="s">
        <v>3</v>
      </c>
      <c r="C50" s="22" t="s">
        <v>146</v>
      </c>
      <c r="D50" s="22" t="n">
        <v>14460</v>
      </c>
      <c r="E50" s="22" t="s">
        <v>132</v>
      </c>
      <c r="F50" s="22" t="s">
        <v>133</v>
      </c>
      <c r="G50" s="22" t="s">
        <v>131</v>
      </c>
      <c r="H50" s="22" t="s">
        <v>131</v>
      </c>
      <c r="I50" s="22" t="n">
        <v>408398</v>
      </c>
      <c r="J50" s="22" t="n">
        <v>409759</v>
      </c>
      <c r="K50" s="22" t="n">
        <v>411161</v>
      </c>
      <c r="L50" s="22" t="n">
        <v>411907</v>
      </c>
      <c r="M50" s="22" t="n">
        <v>413376</v>
      </c>
      <c r="N50" s="22" t="n">
        <v>414887</v>
      </c>
      <c r="O50" s="22" t="n">
        <v>416876</v>
      </c>
      <c r="P50" s="22" t="n">
        <v>418811</v>
      </c>
      <c r="Q50" s="22" t="n">
        <v>420083</v>
      </c>
      <c r="R50" s="22" t="n">
        <v>421804</v>
      </c>
      <c r="S50" s="22" t="n">
        <v>424637</v>
      </c>
      <c r="T50" s="22" t="n">
        <v>426506</v>
      </c>
      <c r="U50" s="22" t="n">
        <v>427826</v>
      </c>
      <c r="V50" s="22" t="n">
        <v>429526</v>
      </c>
      <c r="W50" s="22" t="n">
        <v>431442</v>
      </c>
      <c r="X50" s="22" t="n">
        <v>432547</v>
      </c>
      <c r="Y50" s="22" t="n">
        <v>434513</v>
      </c>
      <c r="Z50" s="22" t="n">
        <v>437069</v>
      </c>
      <c r="AA50" s="22" t="n">
        <v>438876</v>
      </c>
      <c r="AB50" s="22" t="n">
        <v>440466</v>
      </c>
      <c r="AC50" s="22" t="n">
        <v>441937</v>
      </c>
      <c r="AD50" s="22" t="n">
        <v>443120</v>
      </c>
      <c r="AE50" s="22" t="n">
        <v>443465</v>
      </c>
      <c r="AF50" s="22" t="n">
        <v>444265</v>
      </c>
    </row>
    <row r="51" customFormat="false" ht="15" hidden="false" customHeight="false" outlineLevel="0" collapsed="false">
      <c r="A51" s="22" t="s">
        <v>146</v>
      </c>
      <c r="B51" s="22" t="s">
        <v>3</v>
      </c>
      <c r="C51" s="22" t="s">
        <v>146</v>
      </c>
      <c r="D51" s="22" t="n">
        <v>14460</v>
      </c>
      <c r="E51" s="22" t="s">
        <v>136</v>
      </c>
      <c r="F51" s="22" t="s">
        <v>680</v>
      </c>
      <c r="G51" s="22" t="s">
        <v>131</v>
      </c>
      <c r="H51" s="22" t="s">
        <v>131</v>
      </c>
      <c r="I51" s="22" t="n">
        <v>2879</v>
      </c>
      <c r="J51" s="22" t="n">
        <v>1716</v>
      </c>
      <c r="K51" s="22" t="n">
        <v>3042</v>
      </c>
      <c r="L51" s="22" t="n">
        <v>1697</v>
      </c>
      <c r="M51" s="22" t="n">
        <v>2869</v>
      </c>
      <c r="N51" s="22" t="n">
        <v>1257</v>
      </c>
      <c r="O51" s="22" t="n">
        <v>2167</v>
      </c>
      <c r="P51" s="22" t="n">
        <v>326</v>
      </c>
      <c r="Q51" s="22" t="n">
        <v>1526</v>
      </c>
      <c r="R51" s="22" t="n">
        <v>1541</v>
      </c>
      <c r="S51" s="22" t="n">
        <v>906</v>
      </c>
      <c r="T51" s="22" t="n">
        <v>2225</v>
      </c>
      <c r="U51" s="22" t="n">
        <v>1997</v>
      </c>
      <c r="V51" s="22" t="n">
        <v>739</v>
      </c>
      <c r="W51" s="22" t="n">
        <v>251</v>
      </c>
      <c r="X51" s="22" t="n">
        <v>1095</v>
      </c>
      <c r="Y51" s="22" t="n">
        <v>637</v>
      </c>
      <c r="Z51" s="22" t="n">
        <v>1482</v>
      </c>
      <c r="AA51" s="22" t="n">
        <v>1497</v>
      </c>
      <c r="AB51" s="22" t="n">
        <v>598</v>
      </c>
      <c r="AC51" s="22" t="n">
        <v>351</v>
      </c>
      <c r="AD51" s="22"/>
      <c r="AE51" s="22"/>
      <c r="AF51" s="22"/>
    </row>
    <row r="52" customFormat="false" ht="15" hidden="false" customHeight="false" outlineLevel="0" collapsed="false">
      <c r="A52" s="22" t="s">
        <v>146</v>
      </c>
      <c r="B52" s="22" t="s">
        <v>3</v>
      </c>
      <c r="C52" s="22" t="s">
        <v>146</v>
      </c>
      <c r="D52" s="22" t="n">
        <v>14460</v>
      </c>
      <c r="E52" s="22" t="s">
        <v>136</v>
      </c>
      <c r="F52" s="22" t="s">
        <v>681</v>
      </c>
      <c r="G52" s="22" t="s">
        <v>131</v>
      </c>
      <c r="H52" s="22" t="s">
        <v>131</v>
      </c>
      <c r="I52" s="22" t="n">
        <v>7584</v>
      </c>
      <c r="J52" s="22" t="n">
        <v>8247</v>
      </c>
      <c r="K52" s="22" t="n">
        <v>9080</v>
      </c>
      <c r="L52" s="22" t="n">
        <v>9334</v>
      </c>
      <c r="M52" s="22" t="n">
        <v>9324</v>
      </c>
      <c r="N52" s="22" t="n">
        <v>8865</v>
      </c>
      <c r="O52" s="22" t="n">
        <v>7990</v>
      </c>
      <c r="P52" s="22" t="n">
        <v>6619</v>
      </c>
      <c r="Q52" s="22" t="n">
        <v>5276</v>
      </c>
      <c r="R52" s="22" t="n">
        <v>5560</v>
      </c>
      <c r="S52" s="22" t="n">
        <v>4299</v>
      </c>
      <c r="T52" s="22" t="n">
        <v>6198</v>
      </c>
      <c r="U52" s="22" t="n">
        <v>6669</v>
      </c>
      <c r="V52" s="22" t="n">
        <v>5867</v>
      </c>
      <c r="W52" s="22" t="n">
        <v>5212</v>
      </c>
      <c r="X52" s="22" t="n">
        <v>4082</v>
      </c>
      <c r="Y52" s="22" t="n">
        <v>2722</v>
      </c>
      <c r="Z52" s="22" t="n">
        <v>3465</v>
      </c>
      <c r="AA52" s="22" t="n">
        <v>4711</v>
      </c>
      <c r="AB52" s="22" t="n">
        <v>4214</v>
      </c>
      <c r="AC52" s="22" t="n">
        <v>3928</v>
      </c>
      <c r="AD52" s="22"/>
      <c r="AE52" s="22"/>
      <c r="AF52" s="22"/>
    </row>
    <row r="53" customFormat="false" ht="15" hidden="false" customHeight="false" outlineLevel="0" collapsed="false">
      <c r="A53" s="22" t="s">
        <v>147</v>
      </c>
      <c r="B53" s="22" t="s">
        <v>3</v>
      </c>
      <c r="C53" s="22" t="s">
        <v>147</v>
      </c>
      <c r="D53" s="22" t="n">
        <v>14500</v>
      </c>
      <c r="E53" s="22" t="s">
        <v>132</v>
      </c>
      <c r="F53" s="22" t="s">
        <v>133</v>
      </c>
      <c r="G53" s="22" t="s">
        <v>131</v>
      </c>
      <c r="H53" s="22" t="s">
        <v>131</v>
      </c>
      <c r="I53" s="22" t="n">
        <v>29031</v>
      </c>
      <c r="J53" s="22" t="n">
        <v>29079</v>
      </c>
      <c r="K53" s="22" t="n">
        <v>29359</v>
      </c>
      <c r="L53" s="22" t="n">
        <v>29505</v>
      </c>
      <c r="M53" s="22" t="n">
        <v>29772</v>
      </c>
      <c r="N53" s="22" t="n">
        <v>30105</v>
      </c>
      <c r="O53" s="22" t="n">
        <v>30337</v>
      </c>
      <c r="P53" s="22" t="n">
        <v>30434</v>
      </c>
      <c r="Q53" s="22" t="n">
        <v>30467</v>
      </c>
      <c r="R53" s="22" t="n">
        <v>30602</v>
      </c>
      <c r="S53" s="22" t="n">
        <v>30889</v>
      </c>
      <c r="T53" s="22" t="n">
        <v>30994</v>
      </c>
      <c r="U53" s="22" t="n">
        <v>31299</v>
      </c>
      <c r="V53" s="22" t="n">
        <v>31579</v>
      </c>
      <c r="W53" s="22" t="n">
        <v>31845</v>
      </c>
      <c r="X53" s="22" t="n">
        <v>31984</v>
      </c>
      <c r="Y53" s="22" t="n">
        <v>32014</v>
      </c>
      <c r="Z53" s="22" t="n">
        <v>32515</v>
      </c>
      <c r="AA53" s="22" t="n">
        <v>32759</v>
      </c>
      <c r="AB53" s="22" t="n">
        <v>32804</v>
      </c>
      <c r="AC53" s="22" t="n">
        <v>32939</v>
      </c>
      <c r="AD53" s="22" t="n">
        <v>33157</v>
      </c>
      <c r="AE53" s="22" t="n">
        <v>33352</v>
      </c>
      <c r="AF53" s="22" t="n">
        <v>33578</v>
      </c>
    </row>
    <row r="54" customFormat="false" ht="15" hidden="false" customHeight="false" outlineLevel="0" collapsed="false">
      <c r="A54" s="22" t="s">
        <v>147</v>
      </c>
      <c r="B54" s="22" t="s">
        <v>3</v>
      </c>
      <c r="C54" s="22" t="s">
        <v>147</v>
      </c>
      <c r="D54" s="22" t="n">
        <v>14500</v>
      </c>
      <c r="E54" s="22" t="s">
        <v>136</v>
      </c>
      <c r="F54" s="22" t="s">
        <v>680</v>
      </c>
      <c r="G54" s="22" t="s">
        <v>131</v>
      </c>
      <c r="H54" s="22" t="s">
        <v>131</v>
      </c>
      <c r="I54" s="22" t="n">
        <v>311</v>
      </c>
      <c r="J54" s="22" t="n">
        <v>61</v>
      </c>
      <c r="K54" s="22" t="n">
        <v>0</v>
      </c>
      <c r="L54" s="22" t="n">
        <v>493</v>
      </c>
      <c r="M54" s="22" t="n">
        <v>463</v>
      </c>
      <c r="N54" s="22" t="n">
        <v>479</v>
      </c>
      <c r="O54" s="22" t="n">
        <v>284</v>
      </c>
      <c r="P54" s="22" t="n">
        <v>0</v>
      </c>
      <c r="Q54" s="22" t="n">
        <v>0</v>
      </c>
      <c r="R54" s="22" t="n">
        <v>27</v>
      </c>
      <c r="S54" s="22" t="n">
        <v>207</v>
      </c>
      <c r="T54" s="22" t="n">
        <v>357</v>
      </c>
      <c r="U54" s="22" t="n">
        <v>255</v>
      </c>
      <c r="V54" s="22" t="n">
        <v>0</v>
      </c>
      <c r="W54" s="22" t="n">
        <v>324</v>
      </c>
      <c r="X54" s="22" t="n">
        <v>224</v>
      </c>
      <c r="Y54" s="22" t="n">
        <v>251</v>
      </c>
      <c r="Z54" s="22" t="n">
        <v>44</v>
      </c>
      <c r="AA54" s="22" t="n">
        <v>0</v>
      </c>
      <c r="AB54" s="22" t="n">
        <v>254</v>
      </c>
      <c r="AC54" s="22" t="n">
        <v>252</v>
      </c>
      <c r="AD54" s="22"/>
      <c r="AE54" s="22"/>
      <c r="AF54" s="22"/>
    </row>
    <row r="55" customFormat="false" ht="15" hidden="false" customHeight="false" outlineLevel="0" collapsed="false">
      <c r="A55" s="22" t="s">
        <v>147</v>
      </c>
      <c r="B55" s="22" t="s">
        <v>3</v>
      </c>
      <c r="C55" s="22" t="s">
        <v>147</v>
      </c>
      <c r="D55" s="22" t="n">
        <v>14500</v>
      </c>
      <c r="E55" s="22" t="s">
        <v>136</v>
      </c>
      <c r="F55" s="22" t="s">
        <v>681</v>
      </c>
      <c r="G55" s="22" t="s">
        <v>131</v>
      </c>
      <c r="H55" s="22" t="s">
        <v>131</v>
      </c>
      <c r="I55" s="22" t="n">
        <v>686</v>
      </c>
      <c r="J55" s="22" t="n">
        <v>747</v>
      </c>
      <c r="K55" s="22" t="n">
        <v>460</v>
      </c>
      <c r="L55" s="22" t="n">
        <v>865</v>
      </c>
      <c r="M55" s="22" t="n">
        <v>1017</v>
      </c>
      <c r="N55" s="22" t="n">
        <v>1435</v>
      </c>
      <c r="O55" s="22" t="n">
        <v>1719</v>
      </c>
      <c r="P55" s="22" t="n">
        <v>1226</v>
      </c>
      <c r="Q55" s="22" t="n">
        <v>763</v>
      </c>
      <c r="R55" s="22" t="n">
        <v>311</v>
      </c>
      <c r="S55" s="22" t="n">
        <v>234</v>
      </c>
      <c r="T55" s="22" t="n">
        <v>591</v>
      </c>
      <c r="U55" s="22" t="n">
        <v>846</v>
      </c>
      <c r="V55" s="22" t="n">
        <v>819</v>
      </c>
      <c r="W55" s="22" t="n">
        <v>936</v>
      </c>
      <c r="X55" s="22" t="n">
        <v>803</v>
      </c>
      <c r="Y55" s="22" t="n">
        <v>799</v>
      </c>
      <c r="Z55" s="22" t="n">
        <v>843</v>
      </c>
      <c r="AA55" s="22" t="n">
        <v>519</v>
      </c>
      <c r="AB55" s="22" t="n">
        <v>549</v>
      </c>
      <c r="AC55" s="22" t="n">
        <v>550</v>
      </c>
      <c r="AD55" s="22"/>
      <c r="AE55" s="22"/>
      <c r="AF55" s="22"/>
    </row>
    <row r="56" customFormat="false" ht="15" hidden="false" customHeight="false" outlineLevel="0" collapsed="false">
      <c r="A56" s="22" t="s">
        <v>148</v>
      </c>
      <c r="B56" s="22" t="s">
        <v>3</v>
      </c>
      <c r="C56" s="22" t="s">
        <v>148</v>
      </c>
      <c r="D56" s="22" t="n">
        <v>14860</v>
      </c>
      <c r="E56" s="22" t="s">
        <v>132</v>
      </c>
      <c r="F56" s="22" t="s">
        <v>133</v>
      </c>
      <c r="G56" s="22" t="s">
        <v>131</v>
      </c>
      <c r="H56" s="22" t="s">
        <v>131</v>
      </c>
      <c r="I56" s="22" t="n">
        <v>57696</v>
      </c>
      <c r="J56" s="22" t="n">
        <v>58170</v>
      </c>
      <c r="K56" s="22" t="n">
        <v>58175</v>
      </c>
      <c r="L56" s="22" t="n">
        <v>58391</v>
      </c>
      <c r="M56" s="22" t="n">
        <v>58767</v>
      </c>
      <c r="N56" s="22" t="n">
        <v>59203</v>
      </c>
      <c r="O56" s="22" t="n">
        <v>60006</v>
      </c>
      <c r="P56" s="22" t="n">
        <v>60248</v>
      </c>
      <c r="Q56" s="22" t="n">
        <v>60082</v>
      </c>
      <c r="R56" s="22" t="n">
        <v>60240</v>
      </c>
      <c r="S56" s="22" t="n">
        <v>60356</v>
      </c>
      <c r="T56" s="22" t="n">
        <v>60859</v>
      </c>
      <c r="U56" s="22" t="n">
        <v>61273</v>
      </c>
      <c r="V56" s="22" t="n">
        <v>61798</v>
      </c>
      <c r="W56" s="22" t="n">
        <v>62589</v>
      </c>
      <c r="X56" s="22" t="n">
        <v>62838</v>
      </c>
      <c r="Y56" s="22" t="n">
        <v>63073</v>
      </c>
      <c r="Z56" s="22" t="n">
        <v>63651</v>
      </c>
      <c r="AA56" s="22" t="n">
        <v>64300</v>
      </c>
      <c r="AB56" s="22" t="n">
        <v>64521</v>
      </c>
      <c r="AC56" s="22" t="n">
        <v>64836</v>
      </c>
      <c r="AD56" s="22" t="n">
        <v>65310</v>
      </c>
      <c r="AE56" s="22" t="n">
        <v>65729</v>
      </c>
      <c r="AF56" s="22" t="n">
        <v>66032</v>
      </c>
    </row>
    <row r="57" customFormat="false" ht="15" hidden="false" customHeight="false" outlineLevel="0" collapsed="false">
      <c r="A57" s="22" t="s">
        <v>148</v>
      </c>
      <c r="B57" s="22" t="s">
        <v>3</v>
      </c>
      <c r="C57" s="22" t="s">
        <v>148</v>
      </c>
      <c r="D57" s="22" t="n">
        <v>14860</v>
      </c>
      <c r="E57" s="22" t="s">
        <v>136</v>
      </c>
      <c r="F57" s="22" t="s">
        <v>680</v>
      </c>
      <c r="G57" s="22" t="s">
        <v>131</v>
      </c>
      <c r="H57" s="22" t="s">
        <v>131</v>
      </c>
      <c r="I57" s="22" t="n">
        <v>77</v>
      </c>
      <c r="J57" s="22" t="n">
        <v>0</v>
      </c>
      <c r="K57" s="22" t="n">
        <v>554</v>
      </c>
      <c r="L57" s="22" t="n">
        <v>92</v>
      </c>
      <c r="M57" s="22" t="n">
        <v>69</v>
      </c>
      <c r="N57" s="22" t="n">
        <v>1671</v>
      </c>
      <c r="O57" s="22" t="n">
        <v>110</v>
      </c>
      <c r="P57" s="22" t="n">
        <v>445</v>
      </c>
      <c r="Q57" s="22" t="n">
        <v>504</v>
      </c>
      <c r="R57" s="22" t="n">
        <v>324</v>
      </c>
      <c r="S57" s="22" t="n">
        <v>30</v>
      </c>
      <c r="T57" s="22" t="n">
        <v>420</v>
      </c>
      <c r="U57" s="22" t="n">
        <v>362</v>
      </c>
      <c r="V57" s="22" t="n">
        <v>68</v>
      </c>
      <c r="W57" s="22" t="n">
        <v>671</v>
      </c>
      <c r="X57" s="22" t="n">
        <v>185</v>
      </c>
      <c r="Y57" s="22" t="n">
        <v>472</v>
      </c>
      <c r="Z57" s="22" t="n">
        <v>1246</v>
      </c>
      <c r="AA57" s="22" t="n">
        <v>422</v>
      </c>
      <c r="AB57" s="22" t="n">
        <v>475</v>
      </c>
      <c r="AC57" s="22" t="n">
        <v>57</v>
      </c>
      <c r="AD57" s="22"/>
      <c r="AE57" s="22"/>
      <c r="AF57" s="22"/>
    </row>
    <row r="58" customFormat="false" ht="15" hidden="false" customHeight="false" outlineLevel="0" collapsed="false">
      <c r="A58" s="22" t="s">
        <v>148</v>
      </c>
      <c r="B58" s="22" t="s">
        <v>3</v>
      </c>
      <c r="C58" s="22" t="s">
        <v>148</v>
      </c>
      <c r="D58" s="22" t="n">
        <v>14860</v>
      </c>
      <c r="E58" s="22" t="s">
        <v>136</v>
      </c>
      <c r="F58" s="22" t="s">
        <v>681</v>
      </c>
      <c r="G58" s="22" t="s">
        <v>131</v>
      </c>
      <c r="H58" s="22" t="s">
        <v>131</v>
      </c>
      <c r="I58" s="22" t="n">
        <v>1810</v>
      </c>
      <c r="J58" s="22" t="n">
        <v>1109</v>
      </c>
      <c r="K58" s="22" t="n">
        <v>657</v>
      </c>
      <c r="L58" s="22" t="n">
        <v>723</v>
      </c>
      <c r="M58" s="22" t="n">
        <v>715</v>
      </c>
      <c r="N58" s="22" t="n">
        <v>2386</v>
      </c>
      <c r="O58" s="22" t="n">
        <v>1942</v>
      </c>
      <c r="P58" s="22" t="n">
        <v>2295</v>
      </c>
      <c r="Q58" s="22" t="n">
        <v>2730</v>
      </c>
      <c r="R58" s="22" t="n">
        <v>1383</v>
      </c>
      <c r="S58" s="22" t="n">
        <v>1303</v>
      </c>
      <c r="T58" s="22" t="n">
        <v>1278</v>
      </c>
      <c r="U58" s="22" t="n">
        <v>1136</v>
      </c>
      <c r="V58" s="22" t="n">
        <v>880</v>
      </c>
      <c r="W58" s="22" t="n">
        <v>1521</v>
      </c>
      <c r="X58" s="22" t="n">
        <v>1286</v>
      </c>
      <c r="Y58" s="22" t="n">
        <v>1396</v>
      </c>
      <c r="Z58" s="22" t="n">
        <v>2574</v>
      </c>
      <c r="AA58" s="22" t="n">
        <v>2325</v>
      </c>
      <c r="AB58" s="22" t="n">
        <v>2615</v>
      </c>
      <c r="AC58" s="22" t="n">
        <v>2200</v>
      </c>
      <c r="AD58" s="22"/>
      <c r="AE58" s="22"/>
      <c r="AF58" s="22"/>
    </row>
    <row r="59" customFormat="false" ht="15" hidden="false" customHeight="false" outlineLevel="0" collapsed="false">
      <c r="A59" s="22" t="s">
        <v>149</v>
      </c>
      <c r="B59" s="22" t="s">
        <v>3</v>
      </c>
      <c r="C59" s="22" t="s">
        <v>149</v>
      </c>
      <c r="D59" s="22" t="n">
        <v>15380</v>
      </c>
      <c r="E59" s="22" t="s">
        <v>132</v>
      </c>
      <c r="F59" s="22" t="s">
        <v>133</v>
      </c>
      <c r="G59" s="22" t="s">
        <v>131</v>
      </c>
      <c r="H59" s="22" t="s">
        <v>131</v>
      </c>
      <c r="I59" s="22" t="n">
        <v>64202</v>
      </c>
      <c r="J59" s="22" t="n">
        <v>64567</v>
      </c>
      <c r="K59" s="22" t="n">
        <v>64865</v>
      </c>
      <c r="L59" s="22" t="n">
        <v>64939</v>
      </c>
      <c r="M59" s="22" t="n">
        <v>64996</v>
      </c>
      <c r="N59" s="22" t="n">
        <v>65090</v>
      </c>
      <c r="O59" s="22" t="n">
        <v>65263</v>
      </c>
      <c r="P59" s="22" t="n">
        <v>65417</v>
      </c>
      <c r="Q59" s="22" t="n">
        <v>65426</v>
      </c>
      <c r="R59" s="22" t="n">
        <v>65434</v>
      </c>
      <c r="S59" s="22" t="n">
        <v>65475</v>
      </c>
      <c r="T59" s="22" t="n">
        <v>65614</v>
      </c>
      <c r="U59" s="22" t="n">
        <v>65683</v>
      </c>
      <c r="V59" s="22" t="n">
        <v>66136</v>
      </c>
      <c r="W59" s="22" t="n">
        <v>66382</v>
      </c>
      <c r="X59" s="22" t="n">
        <v>66692</v>
      </c>
      <c r="Y59" s="22" t="n">
        <v>66759</v>
      </c>
      <c r="Z59" s="22" t="n">
        <v>66925</v>
      </c>
      <c r="AA59" s="22" t="n">
        <v>66969</v>
      </c>
      <c r="AB59" s="22" t="n">
        <v>67087</v>
      </c>
      <c r="AC59" s="22" t="n">
        <v>67233</v>
      </c>
      <c r="AD59" s="22" t="n">
        <v>67459</v>
      </c>
      <c r="AE59" s="22" t="n">
        <v>67613</v>
      </c>
      <c r="AF59" s="22" t="n">
        <v>67655</v>
      </c>
    </row>
    <row r="60" customFormat="false" ht="15" hidden="false" customHeight="false" outlineLevel="0" collapsed="false">
      <c r="A60" s="22" t="s">
        <v>149</v>
      </c>
      <c r="B60" s="22" t="s">
        <v>3</v>
      </c>
      <c r="C60" s="22" t="s">
        <v>149</v>
      </c>
      <c r="D60" s="22" t="n">
        <v>15380</v>
      </c>
      <c r="E60" s="22" t="s">
        <v>136</v>
      </c>
      <c r="F60" s="22" t="s">
        <v>680</v>
      </c>
      <c r="G60" s="22" t="s">
        <v>131</v>
      </c>
      <c r="H60" s="22" t="s">
        <v>131</v>
      </c>
      <c r="I60" s="22" t="n">
        <v>0</v>
      </c>
      <c r="J60" s="22" t="n">
        <v>24</v>
      </c>
      <c r="K60" s="22" t="n">
        <v>284</v>
      </c>
      <c r="L60" s="22" t="n">
        <v>335</v>
      </c>
      <c r="M60" s="22" t="n">
        <v>563</v>
      </c>
      <c r="N60" s="22" t="n">
        <v>82</v>
      </c>
      <c r="O60" s="22" t="n">
        <v>0</v>
      </c>
      <c r="P60" s="22" t="n">
        <v>108</v>
      </c>
      <c r="Q60" s="22" t="n">
        <v>153</v>
      </c>
      <c r="R60" s="22" t="n">
        <v>173</v>
      </c>
      <c r="S60" s="22" t="n">
        <v>99</v>
      </c>
      <c r="T60" s="22" t="n">
        <v>84</v>
      </c>
      <c r="U60" s="22" t="n">
        <v>0</v>
      </c>
      <c r="V60" s="22" t="n">
        <v>0</v>
      </c>
      <c r="W60" s="22" t="n">
        <v>0</v>
      </c>
      <c r="X60" s="22" t="n">
        <v>339</v>
      </c>
      <c r="Y60" s="22" t="n">
        <v>162</v>
      </c>
      <c r="Z60" s="22" t="n">
        <v>64</v>
      </c>
      <c r="AA60" s="22" t="n">
        <v>89</v>
      </c>
      <c r="AB60" s="22" t="n">
        <v>144</v>
      </c>
      <c r="AC60" s="22" t="n">
        <v>0</v>
      </c>
      <c r="AD60" s="22"/>
      <c r="AE60" s="22"/>
      <c r="AF60" s="22"/>
    </row>
    <row r="61" customFormat="false" ht="15" hidden="false" customHeight="false" outlineLevel="0" collapsed="false">
      <c r="A61" s="22" t="s">
        <v>149</v>
      </c>
      <c r="B61" s="22" t="s">
        <v>3</v>
      </c>
      <c r="C61" s="22" t="s">
        <v>149</v>
      </c>
      <c r="D61" s="22" t="n">
        <v>15380</v>
      </c>
      <c r="E61" s="22" t="s">
        <v>136</v>
      </c>
      <c r="F61" s="22" t="s">
        <v>681</v>
      </c>
      <c r="G61" s="22" t="s">
        <v>131</v>
      </c>
      <c r="H61" s="22" t="s">
        <v>131</v>
      </c>
      <c r="I61" s="22" t="n">
        <v>348</v>
      </c>
      <c r="J61" s="22" t="n">
        <v>136</v>
      </c>
      <c r="K61" s="22" t="n">
        <v>420</v>
      </c>
      <c r="L61" s="22" t="n">
        <v>643</v>
      </c>
      <c r="M61" s="22" t="n">
        <v>1206</v>
      </c>
      <c r="N61" s="22" t="n">
        <v>1264</v>
      </c>
      <c r="O61" s="22" t="n">
        <v>980</v>
      </c>
      <c r="P61" s="22" t="n">
        <v>753</v>
      </c>
      <c r="Q61" s="22" t="n">
        <v>343</v>
      </c>
      <c r="R61" s="22" t="n">
        <v>434</v>
      </c>
      <c r="S61" s="22" t="n">
        <v>533</v>
      </c>
      <c r="T61" s="22" t="n">
        <v>509</v>
      </c>
      <c r="U61" s="22" t="n">
        <v>356</v>
      </c>
      <c r="V61" s="22" t="n">
        <v>183</v>
      </c>
      <c r="W61" s="22" t="n">
        <v>84</v>
      </c>
      <c r="X61" s="22" t="n">
        <v>339</v>
      </c>
      <c r="Y61" s="22" t="n">
        <v>501</v>
      </c>
      <c r="Z61" s="22" t="n">
        <v>565</v>
      </c>
      <c r="AA61" s="22" t="n">
        <v>654</v>
      </c>
      <c r="AB61" s="22" t="n">
        <v>459</v>
      </c>
      <c r="AC61" s="22" t="n">
        <v>297</v>
      </c>
      <c r="AD61" s="22"/>
      <c r="AE61" s="22"/>
      <c r="AF61" s="22"/>
    </row>
    <row r="62" customFormat="false" ht="15" hidden="false" customHeight="false" outlineLevel="0" collapsed="false">
      <c r="A62" s="22" t="s">
        <v>79</v>
      </c>
      <c r="B62" s="22" t="s">
        <v>3</v>
      </c>
      <c r="C62" s="22" t="s">
        <v>79</v>
      </c>
      <c r="D62" s="22" t="n">
        <v>15980</v>
      </c>
      <c r="E62" s="22" t="s">
        <v>132</v>
      </c>
      <c r="F62" s="22" t="s">
        <v>133</v>
      </c>
      <c r="G62" s="22" t="s">
        <v>131</v>
      </c>
      <c r="H62" s="22" t="s">
        <v>131</v>
      </c>
      <c r="I62" s="22" t="n">
        <v>48815</v>
      </c>
      <c r="J62" s="22" t="n">
        <v>49987</v>
      </c>
      <c r="K62" s="22" t="n">
        <v>50692</v>
      </c>
      <c r="L62" s="22" t="n">
        <v>51297</v>
      </c>
      <c r="M62" s="22" t="n">
        <v>51639</v>
      </c>
      <c r="N62" s="22" t="n">
        <v>51765</v>
      </c>
      <c r="O62" s="22" t="n">
        <v>52385</v>
      </c>
      <c r="P62" s="22" t="n">
        <v>52777</v>
      </c>
      <c r="Q62" s="22" t="n">
        <v>53027</v>
      </c>
      <c r="R62" s="22" t="n">
        <v>53126</v>
      </c>
      <c r="S62" s="22" t="n">
        <v>53669</v>
      </c>
      <c r="T62" s="22" t="n">
        <v>54183</v>
      </c>
      <c r="U62" s="22" t="n">
        <v>55437</v>
      </c>
      <c r="V62" s="22" t="n">
        <v>56590</v>
      </c>
      <c r="W62" s="22" t="n">
        <v>57704</v>
      </c>
      <c r="X62" s="22" t="n">
        <v>58890</v>
      </c>
      <c r="Y62" s="22" t="n">
        <v>59678</v>
      </c>
      <c r="Z62" s="22" t="n">
        <v>60520</v>
      </c>
      <c r="AA62" s="22" t="n">
        <v>61298</v>
      </c>
      <c r="AB62" s="22" t="n">
        <v>62515</v>
      </c>
      <c r="AC62" s="22" t="n">
        <v>63421</v>
      </c>
      <c r="AD62" s="22" t="n">
        <v>64198</v>
      </c>
      <c r="AE62" s="22" t="n">
        <v>65266</v>
      </c>
      <c r="AF62" s="22" t="n">
        <v>65989</v>
      </c>
    </row>
    <row r="63" customFormat="false" ht="15" hidden="false" customHeight="false" outlineLevel="0" collapsed="false">
      <c r="A63" s="22" t="s">
        <v>79</v>
      </c>
      <c r="B63" s="22" t="s">
        <v>3</v>
      </c>
      <c r="C63" s="22" t="s">
        <v>79</v>
      </c>
      <c r="D63" s="22" t="n">
        <v>15980</v>
      </c>
      <c r="E63" s="22" t="s">
        <v>136</v>
      </c>
      <c r="F63" s="22" t="s">
        <v>680</v>
      </c>
      <c r="G63" s="22" t="s">
        <v>131</v>
      </c>
      <c r="H63" s="22" t="s">
        <v>131</v>
      </c>
      <c r="I63" s="22" t="n">
        <v>998</v>
      </c>
      <c r="J63" s="22" t="n">
        <v>129</v>
      </c>
      <c r="K63" s="22" t="n">
        <v>684</v>
      </c>
      <c r="L63" s="22" t="n">
        <v>703</v>
      </c>
      <c r="M63" s="22" t="n">
        <v>1341</v>
      </c>
      <c r="N63" s="22" t="n">
        <v>1230</v>
      </c>
      <c r="O63" s="22" t="n">
        <v>1463</v>
      </c>
      <c r="P63" s="22" t="n">
        <v>976</v>
      </c>
      <c r="Q63" s="22" t="n">
        <v>404</v>
      </c>
      <c r="R63" s="22" t="n">
        <v>0</v>
      </c>
      <c r="S63" s="22" t="n">
        <v>931</v>
      </c>
      <c r="T63" s="22" t="n">
        <v>1998</v>
      </c>
      <c r="U63" s="22" t="n">
        <v>922</v>
      </c>
      <c r="V63" s="22" t="n">
        <v>565</v>
      </c>
      <c r="W63" s="22" t="n">
        <v>1016</v>
      </c>
      <c r="X63" s="22" t="n">
        <v>868</v>
      </c>
      <c r="Y63" s="22" t="n">
        <v>994</v>
      </c>
      <c r="Z63" s="22" t="n">
        <v>296</v>
      </c>
      <c r="AA63" s="22" t="n">
        <v>430</v>
      </c>
      <c r="AB63" s="22" t="n">
        <v>0</v>
      </c>
      <c r="AC63" s="22" t="n">
        <v>350</v>
      </c>
      <c r="AD63" s="22"/>
      <c r="AE63" s="22"/>
      <c r="AF63" s="22"/>
    </row>
    <row r="64" customFormat="false" ht="15" hidden="false" customHeight="false" outlineLevel="0" collapsed="false">
      <c r="A64" s="22" t="s">
        <v>79</v>
      </c>
      <c r="B64" s="22" t="s">
        <v>3</v>
      </c>
      <c r="C64" s="22" t="s">
        <v>79</v>
      </c>
      <c r="D64" s="22" t="n">
        <v>15980</v>
      </c>
      <c r="E64" s="22" t="s">
        <v>136</v>
      </c>
      <c r="F64" s="22" t="s">
        <v>681</v>
      </c>
      <c r="G64" s="22" t="s">
        <v>131</v>
      </c>
      <c r="H64" s="22" t="s">
        <v>131</v>
      </c>
      <c r="I64" s="22" t="n">
        <v>998</v>
      </c>
      <c r="J64" s="22" t="n">
        <v>1127</v>
      </c>
      <c r="K64" s="22" t="n">
        <v>1811</v>
      </c>
      <c r="L64" s="22" t="n">
        <v>2514</v>
      </c>
      <c r="M64" s="22" t="n">
        <v>2857</v>
      </c>
      <c r="N64" s="22" t="n">
        <v>3958</v>
      </c>
      <c r="O64" s="22" t="n">
        <v>4737</v>
      </c>
      <c r="P64" s="22" t="n">
        <v>5010</v>
      </c>
      <c r="Q64" s="22" t="n">
        <v>4073</v>
      </c>
      <c r="R64" s="22" t="n">
        <v>2843</v>
      </c>
      <c r="S64" s="22" t="n">
        <v>2311</v>
      </c>
      <c r="T64" s="22" t="n">
        <v>3333</v>
      </c>
      <c r="U64" s="22" t="n">
        <v>3851</v>
      </c>
      <c r="V64" s="22" t="n">
        <v>4416</v>
      </c>
      <c r="W64" s="22" t="n">
        <v>4501</v>
      </c>
      <c r="X64" s="22" t="n">
        <v>3371</v>
      </c>
      <c r="Y64" s="22" t="n">
        <v>3443</v>
      </c>
      <c r="Z64" s="22" t="n">
        <v>3174</v>
      </c>
      <c r="AA64" s="22" t="n">
        <v>2588</v>
      </c>
      <c r="AB64" s="22" t="n">
        <v>1720</v>
      </c>
      <c r="AC64" s="22" t="n">
        <v>1076</v>
      </c>
      <c r="AD64" s="22"/>
      <c r="AE64" s="22"/>
      <c r="AF64" s="22"/>
    </row>
    <row r="65" customFormat="false" ht="15" hidden="false" customHeight="false" outlineLevel="0" collapsed="false">
      <c r="A65" s="22" t="s">
        <v>150</v>
      </c>
      <c r="B65" s="22" t="s">
        <v>3</v>
      </c>
      <c r="C65" s="22" t="s">
        <v>150</v>
      </c>
      <c r="D65" s="22" t="n">
        <v>16580</v>
      </c>
      <c r="E65" s="22" t="s">
        <v>132</v>
      </c>
      <c r="F65" s="22" t="s">
        <v>133</v>
      </c>
      <c r="G65" s="22" t="s">
        <v>131</v>
      </c>
      <c r="H65" s="22" t="s">
        <v>131</v>
      </c>
      <c r="I65" s="22" t="n">
        <v>26862</v>
      </c>
      <c r="J65" s="22" t="n">
        <v>26862</v>
      </c>
      <c r="K65" s="22" t="n">
        <v>26862</v>
      </c>
      <c r="L65" s="22" t="n">
        <v>27210</v>
      </c>
      <c r="M65" s="22" t="n">
        <v>27210</v>
      </c>
      <c r="N65" s="22" t="n">
        <v>27210</v>
      </c>
      <c r="O65" s="22" t="n">
        <v>27210</v>
      </c>
      <c r="P65" s="22" t="n">
        <v>27210</v>
      </c>
      <c r="Q65" s="22" t="n">
        <v>27210</v>
      </c>
      <c r="R65" s="22" t="n">
        <v>27210</v>
      </c>
      <c r="S65" s="22" t="n">
        <v>27210</v>
      </c>
      <c r="T65" s="22" t="n">
        <v>27402</v>
      </c>
      <c r="U65" s="22" t="n">
        <v>27419</v>
      </c>
      <c r="V65" s="22" t="n">
        <v>27514</v>
      </c>
      <c r="W65" s="22" t="n">
        <v>27532</v>
      </c>
      <c r="X65" s="22" t="n">
        <v>27532</v>
      </c>
      <c r="Y65" s="22" t="n">
        <v>27532</v>
      </c>
      <c r="Z65" s="22" t="n">
        <v>27512</v>
      </c>
      <c r="AA65" s="22" t="n">
        <v>27680</v>
      </c>
      <c r="AB65" s="22" t="n">
        <v>27680</v>
      </c>
      <c r="AC65" s="22" t="n">
        <v>27680</v>
      </c>
      <c r="AD65" s="22" t="n">
        <v>27702</v>
      </c>
      <c r="AE65" s="22" t="n">
        <v>27735</v>
      </c>
      <c r="AF65" s="22" t="n">
        <v>27769</v>
      </c>
    </row>
    <row r="66" customFormat="false" ht="15" hidden="false" customHeight="false" outlineLevel="0" collapsed="false">
      <c r="A66" s="22" t="s">
        <v>150</v>
      </c>
      <c r="B66" s="22" t="s">
        <v>3</v>
      </c>
      <c r="C66" s="22" t="s">
        <v>150</v>
      </c>
      <c r="D66" s="22" t="n">
        <v>16580</v>
      </c>
      <c r="E66" s="22" t="s">
        <v>136</v>
      </c>
      <c r="F66" s="22" t="s">
        <v>680</v>
      </c>
      <c r="G66" s="22" t="s">
        <v>131</v>
      </c>
      <c r="H66" s="22" t="s">
        <v>131</v>
      </c>
      <c r="I66" s="22" t="n">
        <v>0</v>
      </c>
      <c r="J66" s="22" t="n">
        <v>0</v>
      </c>
      <c r="K66" s="22" t="n">
        <v>0</v>
      </c>
      <c r="L66" s="22" t="n">
        <v>0</v>
      </c>
      <c r="M66" s="22" t="n">
        <v>0</v>
      </c>
      <c r="N66" s="22" t="n">
        <v>0</v>
      </c>
      <c r="O66" s="22" t="n">
        <v>0</v>
      </c>
      <c r="P66" s="22" t="n">
        <v>0</v>
      </c>
      <c r="Q66" s="22" t="n">
        <v>86</v>
      </c>
      <c r="R66" s="22" t="n">
        <v>0</v>
      </c>
      <c r="S66" s="22" t="n">
        <v>0</v>
      </c>
      <c r="T66" s="22" t="n">
        <v>0</v>
      </c>
      <c r="U66" s="22" t="n">
        <v>0</v>
      </c>
      <c r="V66" s="22" t="n">
        <v>0</v>
      </c>
      <c r="W66" s="22" t="n">
        <v>0</v>
      </c>
      <c r="X66" s="22" t="n">
        <v>0</v>
      </c>
      <c r="Y66" s="22" t="n">
        <v>0</v>
      </c>
      <c r="Z66" s="22" t="n">
        <v>101</v>
      </c>
      <c r="AA66" s="22" t="n">
        <v>0</v>
      </c>
      <c r="AB66" s="22" t="n">
        <v>0</v>
      </c>
      <c r="AC66" s="22" t="n">
        <v>0</v>
      </c>
      <c r="AD66" s="22"/>
      <c r="AE66" s="22"/>
      <c r="AF66" s="22"/>
    </row>
    <row r="67" customFormat="false" ht="15" hidden="false" customHeight="false" outlineLevel="0" collapsed="false">
      <c r="A67" s="22" t="s">
        <v>150</v>
      </c>
      <c r="B67" s="22" t="s">
        <v>3</v>
      </c>
      <c r="C67" s="22" t="s">
        <v>150</v>
      </c>
      <c r="D67" s="22" t="n">
        <v>16580</v>
      </c>
      <c r="E67" s="22" t="s">
        <v>136</v>
      </c>
      <c r="F67" s="22" t="s">
        <v>681</v>
      </c>
      <c r="G67" s="22" t="s">
        <v>131</v>
      </c>
      <c r="H67" s="22" t="s">
        <v>131</v>
      </c>
      <c r="I67" s="22" t="n">
        <v>0</v>
      </c>
      <c r="J67" s="22" t="n">
        <v>0</v>
      </c>
      <c r="K67" s="22" t="n">
        <v>0</v>
      </c>
      <c r="L67" s="22" t="n">
        <v>0</v>
      </c>
      <c r="M67" s="22" t="n">
        <v>0</v>
      </c>
      <c r="N67" s="22" t="n">
        <v>0</v>
      </c>
      <c r="O67" s="22" t="n">
        <v>0</v>
      </c>
      <c r="P67" s="22" t="n">
        <v>0</v>
      </c>
      <c r="Q67" s="22" t="n">
        <v>86</v>
      </c>
      <c r="R67" s="22" t="n">
        <v>86</v>
      </c>
      <c r="S67" s="22" t="n">
        <v>86</v>
      </c>
      <c r="T67" s="22" t="n">
        <v>86</v>
      </c>
      <c r="U67" s="22" t="n">
        <v>0</v>
      </c>
      <c r="V67" s="22" t="n">
        <v>0</v>
      </c>
      <c r="W67" s="22" t="n">
        <v>0</v>
      </c>
      <c r="X67" s="22" t="n">
        <v>0</v>
      </c>
      <c r="Y67" s="22" t="n">
        <v>0</v>
      </c>
      <c r="Z67" s="22" t="n">
        <v>101</v>
      </c>
      <c r="AA67" s="22" t="n">
        <v>101</v>
      </c>
      <c r="AB67" s="22" t="n">
        <v>101</v>
      </c>
      <c r="AC67" s="22" t="n">
        <v>101</v>
      </c>
      <c r="AD67" s="22"/>
      <c r="AE67" s="22"/>
      <c r="AF67" s="22"/>
    </row>
    <row r="68" customFormat="false" ht="15" hidden="false" customHeight="false" outlineLevel="0" collapsed="false">
      <c r="A68" s="22" t="s">
        <v>48</v>
      </c>
      <c r="B68" s="22" t="s">
        <v>3</v>
      </c>
      <c r="C68" s="22" t="s">
        <v>48</v>
      </c>
      <c r="D68" s="22" t="n">
        <v>16700</v>
      </c>
      <c r="E68" s="22" t="s">
        <v>132</v>
      </c>
      <c r="F68" s="22" t="s">
        <v>133</v>
      </c>
      <c r="G68" s="22" t="s">
        <v>131</v>
      </c>
      <c r="H68" s="22" t="s">
        <v>131</v>
      </c>
      <c r="I68" s="22" t="n">
        <v>66233</v>
      </c>
      <c r="J68" s="22" t="n">
        <v>67324</v>
      </c>
      <c r="K68" s="22" t="n">
        <v>68145</v>
      </c>
      <c r="L68" s="22" t="n">
        <v>68898</v>
      </c>
      <c r="M68" s="22" t="n">
        <v>69474</v>
      </c>
      <c r="N68" s="22" t="n">
        <v>70189</v>
      </c>
      <c r="O68" s="22" t="n">
        <v>71149</v>
      </c>
      <c r="P68" s="22" t="n">
        <v>72063</v>
      </c>
      <c r="Q68" s="22" t="n">
        <v>72311</v>
      </c>
      <c r="R68" s="22" t="n">
        <v>73017</v>
      </c>
      <c r="S68" s="22" t="n">
        <v>73608</v>
      </c>
      <c r="T68" s="22" t="n">
        <v>74292</v>
      </c>
      <c r="U68" s="22" t="n">
        <v>75094</v>
      </c>
      <c r="V68" s="22" t="n">
        <v>76418</v>
      </c>
      <c r="W68" s="22" t="n">
        <v>78087</v>
      </c>
      <c r="X68" s="22" t="n">
        <v>78936</v>
      </c>
      <c r="Y68" s="22" t="n">
        <v>80685</v>
      </c>
      <c r="Z68" s="22" t="n">
        <v>81087</v>
      </c>
      <c r="AA68" s="22" t="n">
        <v>81541</v>
      </c>
      <c r="AB68" s="22" t="n">
        <v>81758</v>
      </c>
      <c r="AC68" s="22" t="n">
        <v>82086</v>
      </c>
      <c r="AD68" s="22" t="n">
        <v>82486</v>
      </c>
      <c r="AE68" s="22" t="n">
        <v>83381</v>
      </c>
      <c r="AF68" s="22" t="n">
        <v>83606</v>
      </c>
    </row>
    <row r="69" customFormat="false" ht="15" hidden="false" customHeight="false" outlineLevel="0" collapsed="false">
      <c r="A69" s="22" t="s">
        <v>48</v>
      </c>
      <c r="B69" s="22" t="s">
        <v>3</v>
      </c>
      <c r="C69" s="22" t="s">
        <v>48</v>
      </c>
      <c r="D69" s="22" t="n">
        <v>16700</v>
      </c>
      <c r="E69" s="22" t="s">
        <v>136</v>
      </c>
      <c r="F69" s="22" t="s">
        <v>680</v>
      </c>
      <c r="G69" s="22" t="s">
        <v>131</v>
      </c>
      <c r="H69" s="22" t="s">
        <v>131</v>
      </c>
      <c r="I69" s="22" t="n">
        <v>1205</v>
      </c>
      <c r="J69" s="22" t="n">
        <v>557</v>
      </c>
      <c r="K69" s="22" t="n">
        <v>1114</v>
      </c>
      <c r="L69" s="22" t="n">
        <v>878</v>
      </c>
      <c r="M69" s="22" t="n">
        <v>361</v>
      </c>
      <c r="N69" s="22" t="n">
        <v>966</v>
      </c>
      <c r="O69" s="22" t="n">
        <v>1294</v>
      </c>
      <c r="P69" s="22" t="n">
        <v>2231</v>
      </c>
      <c r="Q69" s="22" t="n">
        <v>336</v>
      </c>
      <c r="R69" s="22" t="n">
        <v>955</v>
      </c>
      <c r="S69" s="22" t="n">
        <v>278</v>
      </c>
      <c r="T69" s="22" t="n">
        <v>106</v>
      </c>
      <c r="U69" s="22" t="n">
        <v>0</v>
      </c>
      <c r="V69" s="22" t="n">
        <v>479</v>
      </c>
      <c r="W69" s="22" t="n">
        <v>1265</v>
      </c>
      <c r="X69" s="22" t="n">
        <v>529</v>
      </c>
      <c r="Y69" s="22" t="n">
        <v>200</v>
      </c>
      <c r="Z69" s="22" t="n">
        <v>0</v>
      </c>
      <c r="AA69" s="22" t="n">
        <v>1114</v>
      </c>
      <c r="AB69" s="22" t="n">
        <v>842</v>
      </c>
      <c r="AC69" s="22" t="n">
        <v>450</v>
      </c>
      <c r="AD69" s="22"/>
      <c r="AE69" s="22"/>
      <c r="AF69" s="22"/>
    </row>
    <row r="70" customFormat="false" ht="15" hidden="false" customHeight="false" outlineLevel="0" collapsed="false">
      <c r="A70" s="22" t="s">
        <v>48</v>
      </c>
      <c r="B70" s="22" t="s">
        <v>3</v>
      </c>
      <c r="C70" s="22" t="s">
        <v>48</v>
      </c>
      <c r="D70" s="22" t="n">
        <v>16700</v>
      </c>
      <c r="E70" s="22" t="s">
        <v>136</v>
      </c>
      <c r="F70" s="22" t="s">
        <v>681</v>
      </c>
      <c r="G70" s="22" t="s">
        <v>131</v>
      </c>
      <c r="H70" s="22" t="s">
        <v>131</v>
      </c>
      <c r="I70" s="22" t="n">
        <v>2847</v>
      </c>
      <c r="J70" s="22" t="n">
        <v>3289</v>
      </c>
      <c r="K70" s="22" t="n">
        <v>3822</v>
      </c>
      <c r="L70" s="22" t="n">
        <v>3754</v>
      </c>
      <c r="M70" s="22" t="n">
        <v>2910</v>
      </c>
      <c r="N70" s="22" t="n">
        <v>3319</v>
      </c>
      <c r="O70" s="22" t="n">
        <v>3499</v>
      </c>
      <c r="P70" s="22" t="n">
        <v>4852</v>
      </c>
      <c r="Q70" s="22" t="n">
        <v>4827</v>
      </c>
      <c r="R70" s="22" t="n">
        <v>4816</v>
      </c>
      <c r="S70" s="22" t="n">
        <v>3800</v>
      </c>
      <c r="T70" s="22" t="n">
        <v>1675</v>
      </c>
      <c r="U70" s="22" t="n">
        <v>1339</v>
      </c>
      <c r="V70" s="22" t="n">
        <v>863</v>
      </c>
      <c r="W70" s="22" t="n">
        <v>1850</v>
      </c>
      <c r="X70" s="22" t="n">
        <v>2273</v>
      </c>
      <c r="Y70" s="22" t="n">
        <v>2473</v>
      </c>
      <c r="Z70" s="22" t="n">
        <v>1994</v>
      </c>
      <c r="AA70" s="22" t="n">
        <v>1843</v>
      </c>
      <c r="AB70" s="22" t="n">
        <v>2156</v>
      </c>
      <c r="AC70" s="22" t="n">
        <v>2406</v>
      </c>
      <c r="AD70" s="22"/>
      <c r="AE70" s="22"/>
      <c r="AF70" s="22"/>
    </row>
    <row r="71" customFormat="false" ht="15" hidden="false" customHeight="false" outlineLevel="0" collapsed="false">
      <c r="A71" s="22" t="s">
        <v>68</v>
      </c>
      <c r="B71" s="22" t="s">
        <v>3</v>
      </c>
      <c r="C71" s="22" t="s">
        <v>68</v>
      </c>
      <c r="D71" s="22" t="n">
        <v>16740</v>
      </c>
      <c r="E71" s="22" t="s">
        <v>132</v>
      </c>
      <c r="F71" s="22" t="s">
        <v>133</v>
      </c>
      <c r="G71" s="22" t="s">
        <v>131</v>
      </c>
      <c r="H71" s="22" t="s">
        <v>131</v>
      </c>
      <c r="I71" s="22" t="n">
        <v>202407</v>
      </c>
      <c r="J71" s="22" t="n">
        <v>204615</v>
      </c>
      <c r="K71" s="22" t="n">
        <v>206369</v>
      </c>
      <c r="L71" s="22" t="n">
        <v>208078</v>
      </c>
      <c r="M71" s="22" t="n">
        <v>209268</v>
      </c>
      <c r="N71" s="22" t="n">
        <v>211084</v>
      </c>
      <c r="O71" s="22" t="n">
        <v>212908</v>
      </c>
      <c r="P71" s="22" t="n">
        <v>215496</v>
      </c>
      <c r="Q71" s="22" t="n">
        <v>218434</v>
      </c>
      <c r="R71" s="22" t="n">
        <v>221814</v>
      </c>
      <c r="S71" s="22" t="n">
        <v>225430</v>
      </c>
      <c r="T71" s="22" t="n">
        <v>229075</v>
      </c>
      <c r="U71" s="22" t="n">
        <v>232463</v>
      </c>
      <c r="V71" s="22" t="n">
        <v>237489</v>
      </c>
      <c r="W71" s="22" t="n">
        <v>242356</v>
      </c>
      <c r="X71" s="22" t="n">
        <v>246751</v>
      </c>
      <c r="Y71" s="22" t="n">
        <v>250871</v>
      </c>
      <c r="Z71" s="22" t="n">
        <v>254484</v>
      </c>
      <c r="AA71" s="22" t="n">
        <v>256826</v>
      </c>
      <c r="AB71" s="22" t="n">
        <v>259276</v>
      </c>
      <c r="AC71" s="22" t="n">
        <v>261346</v>
      </c>
      <c r="AD71" s="22" t="n">
        <v>263015</v>
      </c>
      <c r="AE71" s="22" t="n">
        <v>265660</v>
      </c>
      <c r="AF71" s="22" t="n">
        <v>268358</v>
      </c>
    </row>
    <row r="72" customFormat="false" ht="15" hidden="false" customHeight="false" outlineLevel="0" collapsed="false">
      <c r="A72" s="22" t="s">
        <v>68</v>
      </c>
      <c r="B72" s="22" t="s">
        <v>3</v>
      </c>
      <c r="C72" s="22" t="s">
        <v>68</v>
      </c>
      <c r="D72" s="22" t="n">
        <v>16740</v>
      </c>
      <c r="E72" s="22" t="s">
        <v>136</v>
      </c>
      <c r="F72" s="22" t="s">
        <v>680</v>
      </c>
      <c r="G72" s="22" t="s">
        <v>131</v>
      </c>
      <c r="H72" s="22" t="s">
        <v>131</v>
      </c>
      <c r="I72" s="22" t="n">
        <v>2882</v>
      </c>
      <c r="J72" s="22" t="n">
        <v>5061</v>
      </c>
      <c r="K72" s="22" t="n">
        <v>4947</v>
      </c>
      <c r="L72" s="22" t="n">
        <v>5091</v>
      </c>
      <c r="M72" s="22" t="n">
        <v>6032</v>
      </c>
      <c r="N72" s="22" t="n">
        <v>6002</v>
      </c>
      <c r="O72" s="22" t="n">
        <v>2253</v>
      </c>
      <c r="P72" s="22" t="n">
        <v>2514</v>
      </c>
      <c r="Q72" s="22" t="n">
        <v>4231</v>
      </c>
      <c r="R72" s="22" t="n">
        <v>3143</v>
      </c>
      <c r="S72" s="22" t="n">
        <v>1649</v>
      </c>
      <c r="T72" s="22" t="n">
        <v>2055</v>
      </c>
      <c r="U72" s="22" t="n">
        <v>2235</v>
      </c>
      <c r="V72" s="22" t="n">
        <v>1829</v>
      </c>
      <c r="W72" s="22" t="n">
        <v>3513</v>
      </c>
      <c r="X72" s="22" t="n">
        <v>1605</v>
      </c>
      <c r="Y72" s="22" t="n">
        <v>2733</v>
      </c>
      <c r="Z72" s="22" t="n">
        <v>1661</v>
      </c>
      <c r="AA72" s="22" t="n">
        <v>1053</v>
      </c>
      <c r="AB72" s="22" t="n">
        <v>1903</v>
      </c>
      <c r="AC72" s="22" t="n">
        <v>595</v>
      </c>
      <c r="AD72" s="22"/>
      <c r="AE72" s="22"/>
      <c r="AF72" s="22"/>
    </row>
    <row r="73" customFormat="false" ht="15" hidden="false" customHeight="false" outlineLevel="0" collapsed="false">
      <c r="A73" s="22" t="s">
        <v>68</v>
      </c>
      <c r="B73" s="22" t="s">
        <v>3</v>
      </c>
      <c r="C73" s="22" t="s">
        <v>68</v>
      </c>
      <c r="D73" s="22" t="n">
        <v>16740</v>
      </c>
      <c r="E73" s="22" t="s">
        <v>136</v>
      </c>
      <c r="F73" s="22" t="s">
        <v>681</v>
      </c>
      <c r="G73" s="22" t="s">
        <v>131</v>
      </c>
      <c r="H73" s="22" t="s">
        <v>131</v>
      </c>
      <c r="I73" s="22" t="n">
        <v>11941</v>
      </c>
      <c r="J73" s="22" t="n">
        <v>13627</v>
      </c>
      <c r="K73" s="22" t="n">
        <v>14900</v>
      </c>
      <c r="L73" s="22" t="n">
        <v>17981</v>
      </c>
      <c r="M73" s="22" t="n">
        <v>21131</v>
      </c>
      <c r="N73" s="22" t="n">
        <v>22072</v>
      </c>
      <c r="O73" s="22" t="n">
        <v>19378</v>
      </c>
      <c r="P73" s="22" t="n">
        <v>16801</v>
      </c>
      <c r="Q73" s="22" t="n">
        <v>15000</v>
      </c>
      <c r="R73" s="22" t="n">
        <v>12141</v>
      </c>
      <c r="S73" s="22" t="n">
        <v>11537</v>
      </c>
      <c r="T73" s="22" t="n">
        <v>11078</v>
      </c>
      <c r="U73" s="22" t="n">
        <v>9082</v>
      </c>
      <c r="V73" s="22" t="n">
        <v>7768</v>
      </c>
      <c r="W73" s="22" t="n">
        <v>9632</v>
      </c>
      <c r="X73" s="22" t="n">
        <v>9182</v>
      </c>
      <c r="Y73" s="22" t="n">
        <v>9680</v>
      </c>
      <c r="Z73" s="22" t="n">
        <v>9512</v>
      </c>
      <c r="AA73" s="22" t="n">
        <v>7052</v>
      </c>
      <c r="AB73" s="22" t="n">
        <v>7350</v>
      </c>
      <c r="AC73" s="22" t="n">
        <v>5212</v>
      </c>
      <c r="AD73" s="22"/>
      <c r="AE73" s="22"/>
      <c r="AF73" s="22"/>
    </row>
    <row r="74" customFormat="false" ht="15" hidden="false" customHeight="false" outlineLevel="0" collapsed="false">
      <c r="A74" s="22" t="s">
        <v>39</v>
      </c>
      <c r="B74" s="22" t="s">
        <v>3</v>
      </c>
      <c r="C74" s="22" t="s">
        <v>39</v>
      </c>
      <c r="D74" s="22" t="n">
        <v>16860</v>
      </c>
      <c r="E74" s="22" t="s">
        <v>132</v>
      </c>
      <c r="F74" s="22" t="s">
        <v>133</v>
      </c>
      <c r="G74" s="22" t="s">
        <v>131</v>
      </c>
      <c r="H74" s="22" t="s">
        <v>131</v>
      </c>
      <c r="I74" s="22" t="n">
        <v>31919</v>
      </c>
      <c r="J74" s="22" t="n">
        <v>31971</v>
      </c>
      <c r="K74" s="22" t="n">
        <v>32054</v>
      </c>
      <c r="L74" s="22" t="n">
        <v>32149</v>
      </c>
      <c r="M74" s="22" t="n">
        <v>32256</v>
      </c>
      <c r="N74" s="22" t="n">
        <v>32342</v>
      </c>
      <c r="O74" s="22" t="n">
        <v>32575</v>
      </c>
      <c r="P74" s="22" t="n">
        <v>32815</v>
      </c>
      <c r="Q74" s="22" t="n">
        <v>33200</v>
      </c>
      <c r="R74" s="22" t="n">
        <v>33482</v>
      </c>
      <c r="S74" s="22" t="n">
        <v>33768</v>
      </c>
      <c r="T74" s="22" t="n">
        <v>34075</v>
      </c>
      <c r="U74" s="22" t="n">
        <v>34339</v>
      </c>
      <c r="V74" s="22" t="n">
        <v>34654</v>
      </c>
      <c r="W74" s="22" t="n">
        <v>34945</v>
      </c>
      <c r="X74" s="22" t="n">
        <v>35182</v>
      </c>
      <c r="Y74" s="22" t="n">
        <v>35448</v>
      </c>
      <c r="Z74" s="22" t="n">
        <v>35526</v>
      </c>
      <c r="AA74" s="22" t="n">
        <v>35526</v>
      </c>
      <c r="AB74" s="22" t="n">
        <v>35526</v>
      </c>
      <c r="AC74" s="22" t="n">
        <v>35526</v>
      </c>
      <c r="AD74" s="22" t="n">
        <v>35614</v>
      </c>
      <c r="AE74" s="22" t="n">
        <v>35658</v>
      </c>
      <c r="AF74" s="22" t="n">
        <v>35658</v>
      </c>
    </row>
    <row r="75" customFormat="false" ht="15" hidden="false" customHeight="false" outlineLevel="0" collapsed="false">
      <c r="A75" s="22" t="s">
        <v>39</v>
      </c>
      <c r="B75" s="22" t="s">
        <v>3</v>
      </c>
      <c r="C75" s="22" t="s">
        <v>39</v>
      </c>
      <c r="D75" s="22" t="n">
        <v>16860</v>
      </c>
      <c r="E75" s="22" t="s">
        <v>136</v>
      </c>
      <c r="F75" s="22" t="s">
        <v>680</v>
      </c>
      <c r="G75" s="22" t="s">
        <v>131</v>
      </c>
      <c r="H75" s="22" t="s">
        <v>131</v>
      </c>
      <c r="I75" s="22" t="n">
        <v>58</v>
      </c>
      <c r="J75" s="22" t="n">
        <v>204</v>
      </c>
      <c r="K75" s="22" t="n">
        <v>327</v>
      </c>
      <c r="L75" s="22" t="n">
        <v>45</v>
      </c>
      <c r="M75" s="22" t="n">
        <v>150</v>
      </c>
      <c r="N75" s="22" t="n">
        <v>710</v>
      </c>
      <c r="O75" s="22" t="n">
        <v>480</v>
      </c>
      <c r="P75" s="22" t="n">
        <v>269</v>
      </c>
      <c r="Q75" s="22" t="n">
        <v>0</v>
      </c>
      <c r="R75" s="22" t="n">
        <v>279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0</v>
      </c>
      <c r="X75" s="22" t="n">
        <v>132</v>
      </c>
      <c r="Y75" s="22" t="n">
        <v>0</v>
      </c>
      <c r="Z75" s="22" t="n">
        <v>232</v>
      </c>
      <c r="AA75" s="22" t="n">
        <v>0</v>
      </c>
      <c r="AB75" s="22" t="n">
        <v>278</v>
      </c>
      <c r="AC75" s="22" t="n">
        <v>0</v>
      </c>
      <c r="AD75" s="22"/>
      <c r="AE75" s="22"/>
      <c r="AF75" s="22"/>
    </row>
    <row r="76" customFormat="false" ht="15" hidden="false" customHeight="false" outlineLevel="0" collapsed="false">
      <c r="A76" s="22" t="s">
        <v>39</v>
      </c>
      <c r="B76" s="22" t="s">
        <v>3</v>
      </c>
      <c r="C76" s="22" t="s">
        <v>39</v>
      </c>
      <c r="D76" s="22" t="n">
        <v>16860</v>
      </c>
      <c r="E76" s="22" t="s">
        <v>136</v>
      </c>
      <c r="F76" s="22" t="s">
        <v>681</v>
      </c>
      <c r="G76" s="22" t="s">
        <v>131</v>
      </c>
      <c r="H76" s="22" t="s">
        <v>131</v>
      </c>
      <c r="I76" s="22" t="n">
        <v>849</v>
      </c>
      <c r="J76" s="22" t="n">
        <v>661</v>
      </c>
      <c r="K76" s="22" t="n">
        <v>899</v>
      </c>
      <c r="L76" s="22" t="n">
        <v>634</v>
      </c>
      <c r="M76" s="22" t="n">
        <v>726</v>
      </c>
      <c r="N76" s="22" t="n">
        <v>1232</v>
      </c>
      <c r="O76" s="22" t="n">
        <v>1385</v>
      </c>
      <c r="P76" s="22" t="n">
        <v>1609</v>
      </c>
      <c r="Q76" s="22" t="n">
        <v>1459</v>
      </c>
      <c r="R76" s="22" t="n">
        <v>1028</v>
      </c>
      <c r="S76" s="22" t="n">
        <v>548</v>
      </c>
      <c r="T76" s="22" t="n">
        <v>279</v>
      </c>
      <c r="U76" s="22" t="n">
        <v>279</v>
      </c>
      <c r="V76" s="22" t="n">
        <v>0</v>
      </c>
      <c r="W76" s="22" t="n">
        <v>0</v>
      </c>
      <c r="X76" s="22" t="n">
        <v>132</v>
      </c>
      <c r="Y76" s="22" t="n">
        <v>132</v>
      </c>
      <c r="Z76" s="22" t="n">
        <v>364</v>
      </c>
      <c r="AA76" s="22" t="n">
        <v>364</v>
      </c>
      <c r="AB76" s="22" t="n">
        <v>510</v>
      </c>
      <c r="AC76" s="22" t="n">
        <v>510</v>
      </c>
      <c r="AD76" s="22"/>
      <c r="AE76" s="22"/>
      <c r="AF76" s="22"/>
    </row>
    <row r="77" customFormat="false" ht="15" hidden="false" customHeight="false" outlineLevel="0" collapsed="false">
      <c r="A77" s="22" t="s">
        <v>151</v>
      </c>
      <c r="B77" s="22" t="s">
        <v>3</v>
      </c>
      <c r="C77" s="22" t="s">
        <v>151</v>
      </c>
      <c r="D77" s="22" t="n">
        <v>216980</v>
      </c>
      <c r="E77" s="22" t="s">
        <v>132</v>
      </c>
      <c r="F77" s="22" t="s">
        <v>133</v>
      </c>
      <c r="G77" s="22" t="s">
        <v>131</v>
      </c>
      <c r="H77" s="22" t="s">
        <v>131</v>
      </c>
      <c r="I77" s="22" t="n">
        <v>738693</v>
      </c>
      <c r="J77" s="22" t="n">
        <v>741464</v>
      </c>
      <c r="K77" s="22" t="n">
        <v>742881</v>
      </c>
      <c r="L77" s="22" t="n">
        <v>744585</v>
      </c>
      <c r="M77" s="22" t="n">
        <v>746357</v>
      </c>
      <c r="N77" s="22" t="n">
        <v>748034</v>
      </c>
      <c r="O77" s="22" t="n">
        <v>749379</v>
      </c>
      <c r="P77" s="22" t="n">
        <v>751154</v>
      </c>
      <c r="Q77" s="22" t="n">
        <v>754482</v>
      </c>
      <c r="R77" s="22" t="n">
        <v>756567</v>
      </c>
      <c r="S77" s="22" t="n">
        <v>758566</v>
      </c>
      <c r="T77" s="22" t="n">
        <v>760208</v>
      </c>
      <c r="U77" s="22" t="n">
        <v>762096</v>
      </c>
      <c r="V77" s="22" t="n">
        <v>763805</v>
      </c>
      <c r="W77" s="22" t="n">
        <v>765038</v>
      </c>
      <c r="X77" s="22" t="n">
        <v>766095</v>
      </c>
      <c r="Y77" s="22" t="n">
        <v>767197</v>
      </c>
      <c r="Z77" s="22" t="n">
        <v>767537</v>
      </c>
      <c r="AA77" s="22" t="n">
        <v>768557</v>
      </c>
      <c r="AB77" s="22" t="n">
        <v>769439</v>
      </c>
      <c r="AC77" s="22" t="n">
        <v>770503</v>
      </c>
      <c r="AD77" s="22" t="n">
        <v>772123</v>
      </c>
      <c r="AE77" s="22" t="n">
        <v>773821</v>
      </c>
      <c r="AF77" s="22" t="n">
        <v>775005</v>
      </c>
    </row>
    <row r="78" customFormat="false" ht="15" hidden="false" customHeight="false" outlineLevel="0" collapsed="false">
      <c r="A78" s="22" t="s">
        <v>151</v>
      </c>
      <c r="B78" s="22" t="s">
        <v>3</v>
      </c>
      <c r="C78" s="22" t="s">
        <v>151</v>
      </c>
      <c r="D78" s="22" t="n">
        <v>216980</v>
      </c>
      <c r="E78" s="22" t="s">
        <v>136</v>
      </c>
      <c r="F78" s="22" t="s">
        <v>680</v>
      </c>
      <c r="G78" s="22" t="s">
        <v>131</v>
      </c>
      <c r="H78" s="22" t="s">
        <v>131</v>
      </c>
      <c r="I78" s="22" t="n">
        <v>2468</v>
      </c>
      <c r="J78" s="22" t="n">
        <v>1781</v>
      </c>
      <c r="K78" s="22" t="n">
        <v>3378</v>
      </c>
      <c r="L78" s="22" t="n">
        <v>1184</v>
      </c>
      <c r="M78" s="22" t="n">
        <v>3101</v>
      </c>
      <c r="N78" s="22" t="n">
        <v>3150</v>
      </c>
      <c r="O78" s="22" t="n">
        <v>1033</v>
      </c>
      <c r="P78" s="22" t="n">
        <v>1637</v>
      </c>
      <c r="Q78" s="22" t="n">
        <v>1561</v>
      </c>
      <c r="R78" s="22" t="n">
        <v>382</v>
      </c>
      <c r="S78" s="22" t="n">
        <v>1718</v>
      </c>
      <c r="T78" s="22" t="n">
        <v>458</v>
      </c>
      <c r="U78" s="22" t="n">
        <v>316</v>
      </c>
      <c r="V78" s="22" t="n">
        <v>943</v>
      </c>
      <c r="W78" s="22" t="n">
        <v>2123</v>
      </c>
      <c r="X78" s="22" t="n">
        <v>469</v>
      </c>
      <c r="Y78" s="22" t="n">
        <v>2554</v>
      </c>
      <c r="Z78" s="22" t="n">
        <v>1468</v>
      </c>
      <c r="AA78" s="22" t="n">
        <v>2203</v>
      </c>
      <c r="AB78" s="22" t="n">
        <v>954</v>
      </c>
      <c r="AC78" s="22" t="n">
        <v>2114</v>
      </c>
      <c r="AD78" s="22"/>
      <c r="AE78" s="22"/>
      <c r="AF78" s="22"/>
    </row>
    <row r="79" customFormat="false" ht="15" hidden="false" customHeight="false" outlineLevel="0" collapsed="false">
      <c r="A79" s="22" t="s">
        <v>151</v>
      </c>
      <c r="B79" s="22" t="s">
        <v>3</v>
      </c>
      <c r="C79" s="22" t="s">
        <v>151</v>
      </c>
      <c r="D79" s="22" t="n">
        <v>216980</v>
      </c>
      <c r="E79" s="22" t="s">
        <v>136</v>
      </c>
      <c r="F79" s="22" t="s">
        <v>681</v>
      </c>
      <c r="G79" s="22" t="s">
        <v>131</v>
      </c>
      <c r="H79" s="22" t="s">
        <v>131</v>
      </c>
      <c r="I79" s="22" t="n">
        <v>6604</v>
      </c>
      <c r="J79" s="22" t="n">
        <v>6202</v>
      </c>
      <c r="K79" s="22" t="n">
        <v>8786</v>
      </c>
      <c r="L79" s="22" t="n">
        <v>8811</v>
      </c>
      <c r="M79" s="22" t="n">
        <v>9444</v>
      </c>
      <c r="N79" s="22" t="n">
        <v>10813</v>
      </c>
      <c r="O79" s="22" t="n">
        <v>8468</v>
      </c>
      <c r="P79" s="22" t="n">
        <v>8921</v>
      </c>
      <c r="Q79" s="22" t="n">
        <v>7381</v>
      </c>
      <c r="R79" s="22" t="n">
        <v>4613</v>
      </c>
      <c r="S79" s="22" t="n">
        <v>5298</v>
      </c>
      <c r="T79" s="22" t="n">
        <v>4119</v>
      </c>
      <c r="U79" s="22" t="n">
        <v>2874</v>
      </c>
      <c r="V79" s="22" t="n">
        <v>3435</v>
      </c>
      <c r="W79" s="22" t="n">
        <v>3840</v>
      </c>
      <c r="X79" s="22" t="n">
        <v>3851</v>
      </c>
      <c r="Y79" s="22" t="n">
        <v>6089</v>
      </c>
      <c r="Z79" s="22" t="n">
        <v>6614</v>
      </c>
      <c r="AA79" s="22" t="n">
        <v>6694</v>
      </c>
      <c r="AB79" s="22" t="n">
        <v>7179</v>
      </c>
      <c r="AC79" s="22" t="n">
        <v>6739</v>
      </c>
      <c r="AD79" s="22"/>
      <c r="AE79" s="22"/>
      <c r="AF79" s="22"/>
    </row>
    <row r="80" customFormat="false" ht="15" hidden="false" customHeight="false" outlineLevel="0" collapsed="false">
      <c r="A80" s="22" t="s">
        <v>38</v>
      </c>
      <c r="B80" s="22" t="s">
        <v>3</v>
      </c>
      <c r="C80" s="22" t="s">
        <v>38</v>
      </c>
      <c r="D80" s="22" t="n">
        <v>17140</v>
      </c>
      <c r="E80" s="22" t="s">
        <v>132</v>
      </c>
      <c r="F80" s="22" t="s">
        <v>133</v>
      </c>
      <c r="G80" s="22" t="s">
        <v>131</v>
      </c>
      <c r="H80" s="22" t="s">
        <v>131</v>
      </c>
      <c r="I80" s="22" t="n">
        <v>161780</v>
      </c>
      <c r="J80" s="22" t="n">
        <v>162204</v>
      </c>
      <c r="K80" s="22" t="n">
        <v>162440</v>
      </c>
      <c r="L80" s="22" t="n">
        <v>162410</v>
      </c>
      <c r="M80" s="22" t="n">
        <v>163180</v>
      </c>
      <c r="N80" s="22" t="n">
        <v>164448</v>
      </c>
      <c r="O80" s="22" t="n">
        <v>164952</v>
      </c>
      <c r="P80" s="22" t="n">
        <v>165457</v>
      </c>
      <c r="Q80" s="22" t="n">
        <v>166479</v>
      </c>
      <c r="R80" s="22" t="n">
        <v>167027</v>
      </c>
      <c r="S80" s="22" t="n">
        <v>167803</v>
      </c>
      <c r="T80" s="22" t="n">
        <v>168658</v>
      </c>
      <c r="U80" s="22" t="n">
        <v>169644</v>
      </c>
      <c r="V80" s="22" t="n">
        <v>170254</v>
      </c>
      <c r="W80" s="22" t="n">
        <v>170936</v>
      </c>
      <c r="X80" s="22" t="n">
        <v>171605</v>
      </c>
      <c r="Y80" s="22" t="n">
        <v>171928</v>
      </c>
      <c r="Z80" s="22" t="n">
        <v>172078</v>
      </c>
      <c r="AA80" s="22" t="n">
        <v>172632</v>
      </c>
      <c r="AB80" s="22" t="n">
        <v>173170</v>
      </c>
      <c r="AC80" s="22" t="n">
        <v>173811</v>
      </c>
      <c r="AD80" s="22" t="n">
        <v>174697</v>
      </c>
      <c r="AE80" s="22" t="n">
        <v>175375</v>
      </c>
      <c r="AF80" s="22" t="n">
        <v>175853</v>
      </c>
    </row>
    <row r="81" customFormat="false" ht="15" hidden="false" customHeight="false" outlineLevel="0" collapsed="false">
      <c r="A81" s="22" t="s">
        <v>38</v>
      </c>
      <c r="B81" s="22" t="s">
        <v>3</v>
      </c>
      <c r="C81" s="22" t="s">
        <v>38</v>
      </c>
      <c r="D81" s="22" t="n">
        <v>17140</v>
      </c>
      <c r="E81" s="22" t="s">
        <v>136</v>
      </c>
      <c r="F81" s="22" t="s">
        <v>680</v>
      </c>
      <c r="G81" s="22" t="s">
        <v>131</v>
      </c>
      <c r="H81" s="22" t="s">
        <v>131</v>
      </c>
      <c r="I81" s="22" t="n">
        <v>619</v>
      </c>
      <c r="J81" s="22" t="n">
        <v>1380</v>
      </c>
      <c r="K81" s="22" t="n">
        <v>1045</v>
      </c>
      <c r="L81" s="22" t="n">
        <v>1238</v>
      </c>
      <c r="M81" s="22" t="n">
        <v>627</v>
      </c>
      <c r="N81" s="22" t="n">
        <v>168</v>
      </c>
      <c r="O81" s="22" t="n">
        <v>722</v>
      </c>
      <c r="P81" s="22" t="n">
        <v>922</v>
      </c>
      <c r="Q81" s="22" t="n">
        <v>82</v>
      </c>
      <c r="R81" s="22" t="n">
        <v>702</v>
      </c>
      <c r="S81" s="22" t="n">
        <v>0</v>
      </c>
      <c r="T81" s="22" t="n">
        <v>331</v>
      </c>
      <c r="U81" s="22" t="n">
        <v>233</v>
      </c>
      <c r="V81" s="22" t="n">
        <v>696</v>
      </c>
      <c r="W81" s="22" t="n">
        <v>790</v>
      </c>
      <c r="X81" s="22" t="n">
        <v>1020</v>
      </c>
      <c r="Y81" s="22" t="n">
        <v>306</v>
      </c>
      <c r="Z81" s="22" t="n">
        <v>405</v>
      </c>
      <c r="AA81" s="22" t="n">
        <v>694</v>
      </c>
      <c r="AB81" s="22" t="n">
        <v>634</v>
      </c>
      <c r="AC81" s="22" t="n">
        <v>758</v>
      </c>
      <c r="AD81" s="22"/>
      <c r="AE81" s="22"/>
      <c r="AF81" s="22"/>
    </row>
    <row r="82" customFormat="false" ht="15" hidden="false" customHeight="false" outlineLevel="0" collapsed="false">
      <c r="A82" s="22" t="s">
        <v>38</v>
      </c>
      <c r="B82" s="22" t="s">
        <v>3</v>
      </c>
      <c r="C82" s="22" t="s">
        <v>38</v>
      </c>
      <c r="D82" s="22" t="n">
        <v>17140</v>
      </c>
      <c r="E82" s="22" t="s">
        <v>136</v>
      </c>
      <c r="F82" s="22" t="s">
        <v>681</v>
      </c>
      <c r="G82" s="22" t="s">
        <v>131</v>
      </c>
      <c r="H82" s="22" t="s">
        <v>131</v>
      </c>
      <c r="I82" s="22" t="n">
        <v>3051</v>
      </c>
      <c r="J82" s="22" t="n">
        <v>4260</v>
      </c>
      <c r="K82" s="22" t="n">
        <v>3732</v>
      </c>
      <c r="L82" s="22" t="n">
        <v>4282</v>
      </c>
      <c r="M82" s="22" t="n">
        <v>4290</v>
      </c>
      <c r="N82" s="22" t="n">
        <v>3078</v>
      </c>
      <c r="O82" s="22" t="n">
        <v>2755</v>
      </c>
      <c r="P82" s="22" t="n">
        <v>2439</v>
      </c>
      <c r="Q82" s="22" t="n">
        <v>1894</v>
      </c>
      <c r="R82" s="22" t="n">
        <v>2428</v>
      </c>
      <c r="S82" s="22" t="n">
        <v>1706</v>
      </c>
      <c r="T82" s="22" t="n">
        <v>1115</v>
      </c>
      <c r="U82" s="22" t="n">
        <v>1266</v>
      </c>
      <c r="V82" s="22" t="n">
        <v>1260</v>
      </c>
      <c r="W82" s="22" t="n">
        <v>2050</v>
      </c>
      <c r="X82" s="22" t="n">
        <v>2739</v>
      </c>
      <c r="Y82" s="22" t="n">
        <v>2812</v>
      </c>
      <c r="Z82" s="22" t="n">
        <v>2521</v>
      </c>
      <c r="AA82" s="22" t="n">
        <v>2425</v>
      </c>
      <c r="AB82" s="22" t="n">
        <v>2039</v>
      </c>
      <c r="AC82" s="22" t="n">
        <v>2491</v>
      </c>
      <c r="AD82" s="22"/>
      <c r="AE82" s="22"/>
      <c r="AF82" s="22"/>
    </row>
    <row r="83" customFormat="false" ht="15" hidden="false" customHeight="false" outlineLevel="0" collapsed="false">
      <c r="A83" s="22" t="s">
        <v>152</v>
      </c>
      <c r="B83" s="22" t="s">
        <v>3</v>
      </c>
      <c r="C83" s="22" t="s">
        <v>152</v>
      </c>
      <c r="D83" s="22" t="n">
        <v>17410</v>
      </c>
      <c r="E83" s="22" t="s">
        <v>132</v>
      </c>
      <c r="F83" s="22" t="s">
        <v>133</v>
      </c>
      <c r="G83" s="22" t="s">
        <v>131</v>
      </c>
      <c r="H83" s="22" t="s">
        <v>131</v>
      </c>
      <c r="I83" s="22" t="n">
        <v>171782</v>
      </c>
      <c r="J83" s="22" t="n">
        <v>171887</v>
      </c>
      <c r="K83" s="22" t="n">
        <v>172226</v>
      </c>
      <c r="L83" s="22" t="n">
        <v>172301</v>
      </c>
      <c r="M83" s="22" t="n">
        <v>172532</v>
      </c>
      <c r="N83" s="22" t="n">
        <v>172834</v>
      </c>
      <c r="O83" s="22" t="n">
        <v>173273</v>
      </c>
      <c r="P83" s="22" t="n">
        <v>173755</v>
      </c>
      <c r="Q83" s="22" t="n">
        <v>174206</v>
      </c>
      <c r="R83" s="22" t="n">
        <v>174470</v>
      </c>
      <c r="S83" s="22" t="n">
        <v>174972</v>
      </c>
      <c r="T83" s="22" t="n">
        <v>175423</v>
      </c>
      <c r="U83" s="22" t="n">
        <v>175792</v>
      </c>
      <c r="V83" s="22" t="n">
        <v>176213</v>
      </c>
      <c r="W83" s="22" t="n">
        <v>176688</v>
      </c>
      <c r="X83" s="22" t="n">
        <v>176900</v>
      </c>
      <c r="Y83" s="22" t="n">
        <v>177234</v>
      </c>
      <c r="Z83" s="22" t="n">
        <v>177848</v>
      </c>
      <c r="AA83" s="22" t="n">
        <v>178092</v>
      </c>
      <c r="AB83" s="22" t="n">
        <v>178454</v>
      </c>
      <c r="AC83" s="22" t="n">
        <v>178715</v>
      </c>
      <c r="AD83" s="22" t="n">
        <v>178941</v>
      </c>
      <c r="AE83" s="22" t="n">
        <v>178971</v>
      </c>
      <c r="AF83" s="22" t="n">
        <v>179049</v>
      </c>
    </row>
    <row r="84" customFormat="false" ht="15" hidden="false" customHeight="false" outlineLevel="0" collapsed="false">
      <c r="A84" s="22" t="s">
        <v>152</v>
      </c>
      <c r="B84" s="22" t="s">
        <v>3</v>
      </c>
      <c r="C84" s="22" t="s">
        <v>152</v>
      </c>
      <c r="D84" s="22" t="n">
        <v>17410</v>
      </c>
      <c r="E84" s="22" t="s">
        <v>136</v>
      </c>
      <c r="F84" s="22" t="s">
        <v>680</v>
      </c>
      <c r="G84" s="22" t="s">
        <v>131</v>
      </c>
      <c r="H84" s="22" t="s">
        <v>131</v>
      </c>
      <c r="I84" s="22" t="n">
        <v>489</v>
      </c>
      <c r="J84" s="22" t="n">
        <v>542</v>
      </c>
      <c r="K84" s="22" t="n">
        <v>503</v>
      </c>
      <c r="L84" s="22" t="n">
        <v>551</v>
      </c>
      <c r="M84" s="22" t="n">
        <v>0</v>
      </c>
      <c r="N84" s="22" t="n">
        <v>1221</v>
      </c>
      <c r="O84" s="22" t="n">
        <v>347</v>
      </c>
      <c r="P84" s="22" t="n">
        <v>429</v>
      </c>
      <c r="Q84" s="22" t="n">
        <v>204</v>
      </c>
      <c r="R84" s="22" t="n">
        <v>184</v>
      </c>
      <c r="S84" s="22" t="n">
        <v>261</v>
      </c>
      <c r="T84" s="22" t="n">
        <v>523</v>
      </c>
      <c r="U84" s="22" t="n">
        <v>0</v>
      </c>
      <c r="V84" s="22" t="n">
        <v>84</v>
      </c>
      <c r="W84" s="22" t="n">
        <v>52</v>
      </c>
      <c r="X84" s="22" t="n">
        <v>209</v>
      </c>
      <c r="Y84" s="22" t="n">
        <v>287</v>
      </c>
      <c r="Z84" s="22" t="n">
        <v>0</v>
      </c>
      <c r="AA84" s="22" t="n">
        <v>706</v>
      </c>
      <c r="AB84" s="22" t="n">
        <v>217</v>
      </c>
      <c r="AC84" s="22" t="n">
        <v>0</v>
      </c>
      <c r="AD84" s="22"/>
      <c r="AE84" s="22"/>
      <c r="AF84" s="22"/>
    </row>
    <row r="85" customFormat="false" ht="15" hidden="false" customHeight="false" outlineLevel="0" collapsed="false">
      <c r="A85" s="22" t="s">
        <v>152</v>
      </c>
      <c r="B85" s="22" t="s">
        <v>3</v>
      </c>
      <c r="C85" s="22" t="s">
        <v>152</v>
      </c>
      <c r="D85" s="22" t="n">
        <v>17410</v>
      </c>
      <c r="E85" s="22" t="s">
        <v>136</v>
      </c>
      <c r="F85" s="22" t="s">
        <v>681</v>
      </c>
      <c r="G85" s="22" t="s">
        <v>131</v>
      </c>
      <c r="H85" s="22" t="s">
        <v>131</v>
      </c>
      <c r="I85" s="22" t="n">
        <v>1136</v>
      </c>
      <c r="J85" s="22" t="n">
        <v>1645</v>
      </c>
      <c r="K85" s="22" t="n">
        <v>1819</v>
      </c>
      <c r="L85" s="22" t="n">
        <v>2085</v>
      </c>
      <c r="M85" s="22" t="n">
        <v>1596</v>
      </c>
      <c r="N85" s="22" t="n">
        <v>2275</v>
      </c>
      <c r="O85" s="22" t="n">
        <v>2119</v>
      </c>
      <c r="P85" s="22" t="n">
        <v>1997</v>
      </c>
      <c r="Q85" s="22" t="n">
        <v>2201</v>
      </c>
      <c r="R85" s="22" t="n">
        <v>1164</v>
      </c>
      <c r="S85" s="22" t="n">
        <v>1078</v>
      </c>
      <c r="T85" s="22" t="n">
        <v>1172</v>
      </c>
      <c r="U85" s="22" t="n">
        <v>968</v>
      </c>
      <c r="V85" s="22" t="n">
        <v>868</v>
      </c>
      <c r="W85" s="22" t="n">
        <v>659</v>
      </c>
      <c r="X85" s="22" t="n">
        <v>345</v>
      </c>
      <c r="Y85" s="22" t="n">
        <v>632</v>
      </c>
      <c r="Z85" s="22" t="n">
        <v>548</v>
      </c>
      <c r="AA85" s="22" t="n">
        <v>1202</v>
      </c>
      <c r="AB85" s="22" t="n">
        <v>1210</v>
      </c>
      <c r="AC85" s="22" t="n">
        <v>923</v>
      </c>
      <c r="AD85" s="22"/>
      <c r="AE85" s="22"/>
      <c r="AF85" s="22"/>
    </row>
    <row r="86" customFormat="false" ht="15" hidden="false" customHeight="false" outlineLevel="0" collapsed="false">
      <c r="A86" s="22" t="s">
        <v>153</v>
      </c>
      <c r="B86" s="22" t="s">
        <v>3</v>
      </c>
      <c r="C86" s="22" t="s">
        <v>153</v>
      </c>
      <c r="D86" s="22" t="n">
        <v>17780</v>
      </c>
      <c r="E86" s="22" t="s">
        <v>132</v>
      </c>
      <c r="F86" s="22" t="s">
        <v>133</v>
      </c>
      <c r="G86" s="22" t="s">
        <v>131</v>
      </c>
      <c r="H86" s="22" t="s">
        <v>131</v>
      </c>
      <c r="I86" s="22" t="n">
        <v>26297</v>
      </c>
      <c r="J86" s="22" t="n">
        <v>26434</v>
      </c>
      <c r="K86" s="22" t="n">
        <v>26529</v>
      </c>
      <c r="L86" s="22" t="n">
        <v>26361</v>
      </c>
      <c r="M86" s="22" t="n">
        <v>26361</v>
      </c>
      <c r="N86" s="22" t="n">
        <v>26361</v>
      </c>
      <c r="O86" s="22" t="n">
        <v>26361</v>
      </c>
      <c r="P86" s="22" t="n">
        <v>26473</v>
      </c>
      <c r="Q86" s="22" t="n">
        <v>26587</v>
      </c>
      <c r="R86" s="22" t="n">
        <v>26625</v>
      </c>
      <c r="S86" s="22" t="n">
        <v>26673</v>
      </c>
      <c r="T86" s="22" t="n">
        <v>26817</v>
      </c>
      <c r="U86" s="22" t="n">
        <v>26913</v>
      </c>
      <c r="V86" s="22" t="n">
        <v>26913</v>
      </c>
      <c r="W86" s="22" t="n">
        <v>26913</v>
      </c>
      <c r="X86" s="22" t="n">
        <v>26913</v>
      </c>
      <c r="Y86" s="22" t="n">
        <v>26500</v>
      </c>
      <c r="Z86" s="22" t="n">
        <v>26593</v>
      </c>
      <c r="AA86" s="22" t="n">
        <v>26688</v>
      </c>
      <c r="AB86" s="22" t="n">
        <v>26757</v>
      </c>
      <c r="AC86" s="22" t="n">
        <v>26967</v>
      </c>
      <c r="AD86" s="22" t="n">
        <v>26967</v>
      </c>
      <c r="AE86" s="22" t="n">
        <v>26967</v>
      </c>
      <c r="AF86" s="22" t="n">
        <v>26967</v>
      </c>
    </row>
    <row r="87" customFormat="false" ht="15" hidden="false" customHeight="false" outlineLevel="0" collapsed="false">
      <c r="A87" s="22" t="s">
        <v>153</v>
      </c>
      <c r="B87" s="22" t="s">
        <v>3</v>
      </c>
      <c r="C87" s="22" t="s">
        <v>153</v>
      </c>
      <c r="D87" s="22" t="n">
        <v>17780</v>
      </c>
      <c r="E87" s="22" t="s">
        <v>136</v>
      </c>
      <c r="F87" s="22" t="s">
        <v>680</v>
      </c>
      <c r="G87" s="22" t="s">
        <v>131</v>
      </c>
      <c r="H87" s="22" t="s">
        <v>131</v>
      </c>
      <c r="I87" s="22" t="n">
        <v>264</v>
      </c>
      <c r="J87" s="22" t="n">
        <v>0</v>
      </c>
      <c r="K87" s="22" t="n">
        <v>0</v>
      </c>
      <c r="L87" s="22" t="n">
        <v>288</v>
      </c>
      <c r="M87" s="22" t="n">
        <v>0</v>
      </c>
      <c r="N87" s="22" t="n">
        <v>0</v>
      </c>
      <c r="O87" s="22" t="n">
        <v>0</v>
      </c>
      <c r="P87" s="22" t="n">
        <v>0</v>
      </c>
      <c r="Q87" s="22" t="n">
        <v>0</v>
      </c>
      <c r="R87" s="22" t="n">
        <v>0</v>
      </c>
      <c r="S87" s="22" t="n">
        <v>0</v>
      </c>
      <c r="T87" s="22" t="n">
        <v>0</v>
      </c>
      <c r="U87" s="22" t="n">
        <v>0</v>
      </c>
      <c r="V87" s="22" t="n">
        <v>315</v>
      </c>
      <c r="W87" s="22" t="n">
        <v>279</v>
      </c>
      <c r="X87" s="22" t="n">
        <v>0</v>
      </c>
      <c r="Y87" s="22" t="n">
        <v>0</v>
      </c>
      <c r="Z87" s="22" t="n">
        <v>0</v>
      </c>
      <c r="AA87" s="22" t="n">
        <v>0</v>
      </c>
      <c r="AB87" s="22" t="n">
        <v>0</v>
      </c>
      <c r="AC87" s="22" t="n">
        <v>150</v>
      </c>
      <c r="AD87" s="22"/>
      <c r="AE87" s="22"/>
      <c r="AF87" s="22"/>
    </row>
    <row r="88" customFormat="false" ht="15" hidden="false" customHeight="false" outlineLevel="0" collapsed="false">
      <c r="A88" s="22" t="s">
        <v>153</v>
      </c>
      <c r="B88" s="22" t="s">
        <v>3</v>
      </c>
      <c r="C88" s="22" t="s">
        <v>153</v>
      </c>
      <c r="D88" s="22" t="n">
        <v>17780</v>
      </c>
      <c r="E88" s="22" t="s">
        <v>136</v>
      </c>
      <c r="F88" s="22" t="s">
        <v>681</v>
      </c>
      <c r="G88" s="22" t="s">
        <v>131</v>
      </c>
      <c r="H88" s="22" t="s">
        <v>131</v>
      </c>
      <c r="I88" s="22" t="n">
        <v>264</v>
      </c>
      <c r="J88" s="22" t="n">
        <v>264</v>
      </c>
      <c r="K88" s="22" t="n">
        <v>264</v>
      </c>
      <c r="L88" s="22" t="n">
        <v>552</v>
      </c>
      <c r="M88" s="22" t="n">
        <v>288</v>
      </c>
      <c r="N88" s="22" t="n">
        <v>288</v>
      </c>
      <c r="O88" s="22" t="n">
        <v>288</v>
      </c>
      <c r="P88" s="22" t="n">
        <v>0</v>
      </c>
      <c r="Q88" s="22" t="n">
        <v>0</v>
      </c>
      <c r="R88" s="22" t="n">
        <v>0</v>
      </c>
      <c r="S88" s="22" t="n">
        <v>0</v>
      </c>
      <c r="T88" s="22" t="n">
        <v>0</v>
      </c>
      <c r="U88" s="22" t="n">
        <v>0</v>
      </c>
      <c r="V88" s="22" t="n">
        <v>315</v>
      </c>
      <c r="W88" s="22" t="n">
        <v>594</v>
      </c>
      <c r="X88" s="22" t="n">
        <v>594</v>
      </c>
      <c r="Y88" s="22" t="n">
        <v>594</v>
      </c>
      <c r="Z88" s="22" t="n">
        <v>279</v>
      </c>
      <c r="AA88" s="22" t="n">
        <v>0</v>
      </c>
      <c r="AB88" s="22" t="n">
        <v>0</v>
      </c>
      <c r="AC88" s="22" t="n">
        <v>150</v>
      </c>
      <c r="AD88" s="22"/>
      <c r="AE88" s="22"/>
      <c r="AF88" s="22"/>
    </row>
    <row r="89" customFormat="false" ht="15" hidden="false" customHeight="false" outlineLevel="0" collapsed="false">
      <c r="A89" s="22" t="s">
        <v>72</v>
      </c>
      <c r="B89" s="22" t="s">
        <v>3</v>
      </c>
      <c r="C89" s="22" t="s">
        <v>72</v>
      </c>
      <c r="D89" s="22" t="n">
        <v>17820</v>
      </c>
      <c r="E89" s="22" t="s">
        <v>132</v>
      </c>
      <c r="F89" s="22" t="s">
        <v>133</v>
      </c>
      <c r="G89" s="22" t="s">
        <v>131</v>
      </c>
      <c r="H89" s="22" t="s">
        <v>131</v>
      </c>
      <c r="I89" s="22" t="n">
        <v>52062</v>
      </c>
      <c r="J89" s="22" t="n">
        <v>52246</v>
      </c>
      <c r="K89" s="22" t="n">
        <v>52423</v>
      </c>
      <c r="L89" s="22" t="n">
        <v>52423</v>
      </c>
      <c r="M89" s="22" t="n">
        <v>52532</v>
      </c>
      <c r="N89" s="22" t="n">
        <v>52776</v>
      </c>
      <c r="O89" s="22" t="n">
        <v>53095</v>
      </c>
      <c r="P89" s="22" t="n">
        <v>53766</v>
      </c>
      <c r="Q89" s="22" t="n">
        <v>54563</v>
      </c>
      <c r="R89" s="22" t="n">
        <v>55113</v>
      </c>
      <c r="S89" s="22" t="n">
        <v>55579</v>
      </c>
      <c r="T89" s="22" t="n">
        <v>56536</v>
      </c>
      <c r="U89" s="22" t="n">
        <v>58145</v>
      </c>
      <c r="V89" s="22" t="n">
        <v>60069</v>
      </c>
      <c r="W89" s="22" t="n">
        <v>61296</v>
      </c>
      <c r="X89" s="22" t="n">
        <v>61807</v>
      </c>
      <c r="Y89" s="22" t="n">
        <v>62270</v>
      </c>
      <c r="Z89" s="22" t="n">
        <v>62952</v>
      </c>
      <c r="AA89" s="22" t="n">
        <v>63341</v>
      </c>
      <c r="AB89" s="22" t="n">
        <v>63481</v>
      </c>
      <c r="AC89" s="22" t="n">
        <v>63623</v>
      </c>
      <c r="AD89" s="22" t="n">
        <v>63693</v>
      </c>
      <c r="AE89" s="22" t="n">
        <v>63807</v>
      </c>
      <c r="AF89" s="22" t="n">
        <v>63879</v>
      </c>
    </row>
    <row r="90" customFormat="false" ht="15" hidden="false" customHeight="false" outlineLevel="0" collapsed="false">
      <c r="A90" s="22" t="s">
        <v>72</v>
      </c>
      <c r="B90" s="22" t="s">
        <v>3</v>
      </c>
      <c r="C90" s="22" t="s">
        <v>72</v>
      </c>
      <c r="D90" s="22" t="n">
        <v>17820</v>
      </c>
      <c r="E90" s="22" t="s">
        <v>136</v>
      </c>
      <c r="F90" s="22" t="s">
        <v>680</v>
      </c>
      <c r="G90" s="22" t="s">
        <v>131</v>
      </c>
      <c r="H90" s="22" t="s">
        <v>131</v>
      </c>
      <c r="I90" s="22" t="n">
        <v>469</v>
      </c>
      <c r="J90" s="22" t="n">
        <v>1977</v>
      </c>
      <c r="K90" s="22" t="n">
        <v>0</v>
      </c>
      <c r="L90" s="22" t="n">
        <v>874</v>
      </c>
      <c r="M90" s="22" t="n">
        <v>1253</v>
      </c>
      <c r="N90" s="22" t="n">
        <v>2047</v>
      </c>
      <c r="O90" s="22" t="n">
        <v>123</v>
      </c>
      <c r="P90" s="22" t="n">
        <v>1266</v>
      </c>
      <c r="Q90" s="22" t="n">
        <v>550</v>
      </c>
      <c r="R90" s="22" t="n">
        <v>0</v>
      </c>
      <c r="S90" s="22" t="n">
        <v>284</v>
      </c>
      <c r="T90" s="22" t="n">
        <v>294</v>
      </c>
      <c r="U90" s="22" t="n">
        <v>0</v>
      </c>
      <c r="V90" s="22" t="n">
        <v>0</v>
      </c>
      <c r="W90" s="22" t="n">
        <v>276</v>
      </c>
      <c r="X90" s="22" t="n">
        <v>368</v>
      </c>
      <c r="Y90" s="22" t="n">
        <v>163</v>
      </c>
      <c r="Z90" s="22" t="n">
        <v>0</v>
      </c>
      <c r="AA90" s="22" t="n">
        <v>432</v>
      </c>
      <c r="AB90" s="22" t="n">
        <v>0</v>
      </c>
      <c r="AC90" s="22" t="n">
        <v>0</v>
      </c>
      <c r="AD90" s="22"/>
      <c r="AE90" s="22"/>
      <c r="AF90" s="22"/>
    </row>
    <row r="91" customFormat="false" ht="15" hidden="false" customHeight="false" outlineLevel="0" collapsed="false">
      <c r="A91" s="22" t="s">
        <v>72</v>
      </c>
      <c r="B91" s="22" t="s">
        <v>3</v>
      </c>
      <c r="C91" s="22" t="s">
        <v>72</v>
      </c>
      <c r="D91" s="22" t="n">
        <v>17820</v>
      </c>
      <c r="E91" s="22" t="s">
        <v>136</v>
      </c>
      <c r="F91" s="22" t="s">
        <v>681</v>
      </c>
      <c r="G91" s="22" t="s">
        <v>131</v>
      </c>
      <c r="H91" s="22" t="s">
        <v>131</v>
      </c>
      <c r="I91" s="22" t="n">
        <v>2321</v>
      </c>
      <c r="J91" s="22" t="n">
        <v>4298</v>
      </c>
      <c r="K91" s="22" t="n">
        <v>3304</v>
      </c>
      <c r="L91" s="22" t="n">
        <v>3320</v>
      </c>
      <c r="M91" s="22" t="n">
        <v>4104</v>
      </c>
      <c r="N91" s="22" t="n">
        <v>4174</v>
      </c>
      <c r="O91" s="22" t="n">
        <v>4297</v>
      </c>
      <c r="P91" s="22" t="n">
        <v>4689</v>
      </c>
      <c r="Q91" s="22" t="n">
        <v>3986</v>
      </c>
      <c r="R91" s="22" t="n">
        <v>1939</v>
      </c>
      <c r="S91" s="22" t="n">
        <v>2100</v>
      </c>
      <c r="T91" s="22" t="n">
        <v>1128</v>
      </c>
      <c r="U91" s="22" t="n">
        <v>578</v>
      </c>
      <c r="V91" s="22" t="n">
        <v>578</v>
      </c>
      <c r="W91" s="22" t="n">
        <v>570</v>
      </c>
      <c r="X91" s="22" t="n">
        <v>644</v>
      </c>
      <c r="Y91" s="22" t="n">
        <v>807</v>
      </c>
      <c r="Z91" s="22" t="n">
        <v>807</v>
      </c>
      <c r="AA91" s="22" t="n">
        <v>963</v>
      </c>
      <c r="AB91" s="22" t="n">
        <v>595</v>
      </c>
      <c r="AC91" s="22" t="n">
        <v>432</v>
      </c>
      <c r="AD91" s="22"/>
      <c r="AE91" s="22"/>
      <c r="AF91" s="22"/>
    </row>
    <row r="92" customFormat="false" ht="15" hidden="false" customHeight="false" outlineLevel="0" collapsed="false">
      <c r="A92" s="22" t="s">
        <v>51</v>
      </c>
      <c r="B92" s="22" t="s">
        <v>3</v>
      </c>
      <c r="C92" s="22" t="s">
        <v>51</v>
      </c>
      <c r="D92" s="22" t="n">
        <v>17900</v>
      </c>
      <c r="E92" s="22" t="s">
        <v>132</v>
      </c>
      <c r="F92" s="22" t="s">
        <v>133</v>
      </c>
      <c r="G92" s="22" t="s">
        <v>131</v>
      </c>
      <c r="H92" s="22" t="s">
        <v>131</v>
      </c>
      <c r="I92" s="22" t="n">
        <v>48565</v>
      </c>
      <c r="J92" s="22" t="n">
        <v>48401</v>
      </c>
      <c r="K92" s="22" t="n">
        <v>48401</v>
      </c>
      <c r="L92" s="22" t="n">
        <v>48484</v>
      </c>
      <c r="M92" s="22" t="n">
        <v>48524</v>
      </c>
      <c r="N92" s="22" t="n">
        <v>48582</v>
      </c>
      <c r="O92" s="22" t="n">
        <v>48661</v>
      </c>
      <c r="P92" s="22" t="n">
        <v>48692</v>
      </c>
      <c r="Q92" s="22" t="n">
        <v>48465</v>
      </c>
      <c r="R92" s="22" t="n">
        <v>48528</v>
      </c>
      <c r="S92" s="22" t="n">
        <v>48561</v>
      </c>
      <c r="T92" s="22" t="n">
        <v>48604</v>
      </c>
      <c r="U92" s="22" t="n">
        <v>48988</v>
      </c>
      <c r="V92" s="22" t="n">
        <v>49236</v>
      </c>
      <c r="W92" s="22" t="n">
        <v>49402</v>
      </c>
      <c r="X92" s="22" t="n">
        <v>49434</v>
      </c>
      <c r="Y92" s="22" t="n">
        <v>49500</v>
      </c>
      <c r="Z92" s="22" t="n">
        <v>49716</v>
      </c>
      <c r="AA92" s="22" t="n">
        <v>49860</v>
      </c>
      <c r="AB92" s="22" t="n">
        <v>49860</v>
      </c>
      <c r="AC92" s="22" t="n">
        <v>50168</v>
      </c>
      <c r="AD92" s="22" t="n">
        <v>50168</v>
      </c>
      <c r="AE92" s="22" t="n">
        <v>50168</v>
      </c>
      <c r="AF92" s="22" t="n">
        <v>50504</v>
      </c>
    </row>
    <row r="93" customFormat="false" ht="15" hidden="false" customHeight="false" outlineLevel="0" collapsed="false">
      <c r="A93" s="22" t="s">
        <v>51</v>
      </c>
      <c r="B93" s="22" t="s">
        <v>3</v>
      </c>
      <c r="C93" s="22" t="s">
        <v>51</v>
      </c>
      <c r="D93" s="22" t="n">
        <v>17900</v>
      </c>
      <c r="E93" s="22" t="s">
        <v>136</v>
      </c>
      <c r="F93" s="22" t="s">
        <v>680</v>
      </c>
      <c r="G93" s="22" t="s">
        <v>131</v>
      </c>
      <c r="H93" s="22" t="s">
        <v>131</v>
      </c>
      <c r="I93" s="22" t="n">
        <v>0</v>
      </c>
      <c r="J93" s="22" t="n">
        <v>28</v>
      </c>
      <c r="K93" s="22" t="n">
        <v>318</v>
      </c>
      <c r="L93" s="22" t="n">
        <v>52</v>
      </c>
      <c r="M93" s="22" t="n">
        <v>0</v>
      </c>
      <c r="N93" s="22" t="n">
        <v>0</v>
      </c>
      <c r="O93" s="22" t="n">
        <v>522</v>
      </c>
      <c r="P93" s="22" t="n">
        <v>258</v>
      </c>
      <c r="Q93" s="22" t="n">
        <v>0</v>
      </c>
      <c r="R93" s="22" t="n">
        <v>0</v>
      </c>
      <c r="S93" s="22" t="n">
        <v>0</v>
      </c>
      <c r="T93" s="22" t="n">
        <v>426</v>
      </c>
      <c r="U93" s="22" t="n">
        <v>308</v>
      </c>
      <c r="V93" s="22" t="n">
        <v>0</v>
      </c>
      <c r="W93" s="22" t="n">
        <v>0</v>
      </c>
      <c r="X93" s="22" t="n">
        <v>336</v>
      </c>
      <c r="Y93" s="22" t="n">
        <v>0</v>
      </c>
      <c r="Z93" s="22" t="n">
        <v>0</v>
      </c>
      <c r="AA93" s="22" t="n">
        <v>320</v>
      </c>
      <c r="AB93" s="22" t="n">
        <v>494</v>
      </c>
      <c r="AC93" s="22" t="n">
        <v>0</v>
      </c>
      <c r="AD93" s="22"/>
      <c r="AE93" s="22"/>
      <c r="AF93" s="22"/>
    </row>
    <row r="94" customFormat="false" ht="15" hidden="false" customHeight="false" outlineLevel="0" collapsed="false">
      <c r="A94" s="22" t="s">
        <v>51</v>
      </c>
      <c r="B94" s="22" t="s">
        <v>3</v>
      </c>
      <c r="C94" s="22" t="s">
        <v>51</v>
      </c>
      <c r="D94" s="22" t="n">
        <v>17900</v>
      </c>
      <c r="E94" s="22" t="s">
        <v>136</v>
      </c>
      <c r="F94" s="22" t="s">
        <v>681</v>
      </c>
      <c r="G94" s="22" t="s">
        <v>131</v>
      </c>
      <c r="H94" s="22" t="s">
        <v>131</v>
      </c>
      <c r="I94" s="22" t="n">
        <v>291</v>
      </c>
      <c r="J94" s="22" t="n">
        <v>236</v>
      </c>
      <c r="K94" s="22" t="n">
        <v>346</v>
      </c>
      <c r="L94" s="22" t="n">
        <v>398</v>
      </c>
      <c r="M94" s="22" t="n">
        <v>398</v>
      </c>
      <c r="N94" s="22" t="n">
        <v>370</v>
      </c>
      <c r="O94" s="22" t="n">
        <v>574</v>
      </c>
      <c r="P94" s="22" t="n">
        <v>780</v>
      </c>
      <c r="Q94" s="22" t="n">
        <v>780</v>
      </c>
      <c r="R94" s="22" t="n">
        <v>780</v>
      </c>
      <c r="S94" s="22" t="n">
        <v>258</v>
      </c>
      <c r="T94" s="22" t="n">
        <v>426</v>
      </c>
      <c r="U94" s="22" t="n">
        <v>734</v>
      </c>
      <c r="V94" s="22" t="n">
        <v>734</v>
      </c>
      <c r="W94" s="22" t="n">
        <v>734</v>
      </c>
      <c r="X94" s="22" t="n">
        <v>644</v>
      </c>
      <c r="Y94" s="22" t="n">
        <v>336</v>
      </c>
      <c r="Z94" s="22" t="n">
        <v>336</v>
      </c>
      <c r="AA94" s="22" t="n">
        <v>656</v>
      </c>
      <c r="AB94" s="22" t="n">
        <v>814</v>
      </c>
      <c r="AC94" s="22" t="n">
        <v>814</v>
      </c>
      <c r="AD94" s="22"/>
      <c r="AE94" s="22"/>
      <c r="AF94" s="22"/>
    </row>
    <row r="95" customFormat="false" ht="15" hidden="false" customHeight="false" outlineLevel="0" collapsed="false">
      <c r="A95" s="22" t="s">
        <v>154</v>
      </c>
      <c r="B95" s="22" t="s">
        <v>3</v>
      </c>
      <c r="C95" s="22" t="s">
        <v>154</v>
      </c>
      <c r="D95" s="22" t="n">
        <v>17980</v>
      </c>
      <c r="E95" s="22" t="s">
        <v>132</v>
      </c>
      <c r="F95" s="22" t="s">
        <v>133</v>
      </c>
      <c r="G95" s="22" t="s">
        <v>131</v>
      </c>
      <c r="H95" s="22" t="s">
        <v>131</v>
      </c>
      <c r="I95" s="22" t="n">
        <v>24384</v>
      </c>
      <c r="J95" s="22" t="n">
        <v>24384</v>
      </c>
      <c r="K95" s="22" t="n">
        <v>24408</v>
      </c>
      <c r="L95" s="22" t="n">
        <v>24458</v>
      </c>
      <c r="M95" s="22" t="n">
        <v>24506</v>
      </c>
      <c r="N95" s="22" t="n">
        <v>24562</v>
      </c>
      <c r="O95" s="22" t="n">
        <v>24627</v>
      </c>
      <c r="P95" s="22" t="n">
        <v>24732</v>
      </c>
      <c r="Q95" s="22" t="n">
        <v>24823</v>
      </c>
      <c r="R95" s="22" t="n">
        <v>24894</v>
      </c>
      <c r="S95" s="22" t="n">
        <v>24998</v>
      </c>
      <c r="T95" s="22" t="n">
        <v>25095</v>
      </c>
      <c r="U95" s="22" t="n">
        <v>25506</v>
      </c>
      <c r="V95" s="22" t="n">
        <v>25620</v>
      </c>
      <c r="W95" s="22" t="n">
        <v>25696</v>
      </c>
      <c r="X95" s="22" t="n">
        <v>25696</v>
      </c>
      <c r="Y95" s="22" t="n">
        <v>25696</v>
      </c>
      <c r="Z95" s="22" t="n">
        <v>25696</v>
      </c>
      <c r="AA95" s="22" t="n">
        <v>25458</v>
      </c>
      <c r="AB95" s="22" t="n">
        <v>25458</v>
      </c>
      <c r="AC95" s="22" t="n">
        <v>25458</v>
      </c>
      <c r="AD95" s="22" t="n">
        <v>25458</v>
      </c>
      <c r="AE95" s="22" t="n">
        <v>25458</v>
      </c>
      <c r="AF95" s="22" t="n">
        <v>25458</v>
      </c>
    </row>
    <row r="96" customFormat="false" ht="15" hidden="false" customHeight="false" outlineLevel="0" collapsed="false">
      <c r="A96" s="22" t="s">
        <v>154</v>
      </c>
      <c r="B96" s="22" t="s">
        <v>3</v>
      </c>
      <c r="C96" s="22" t="s">
        <v>154</v>
      </c>
      <c r="D96" s="22" t="n">
        <v>17980</v>
      </c>
      <c r="E96" s="22" t="s">
        <v>136</v>
      </c>
      <c r="F96" s="22" t="s">
        <v>680</v>
      </c>
      <c r="G96" s="22" t="s">
        <v>131</v>
      </c>
      <c r="H96" s="22" t="s">
        <v>131</v>
      </c>
      <c r="I96" s="22" t="n">
        <v>0</v>
      </c>
      <c r="J96" s="22" t="n">
        <v>0</v>
      </c>
      <c r="K96" s="22" t="n">
        <v>226</v>
      </c>
      <c r="L96" s="22" t="n">
        <v>222</v>
      </c>
      <c r="M96" s="22" t="n">
        <v>0</v>
      </c>
      <c r="N96" s="22" t="n">
        <v>32</v>
      </c>
      <c r="O96" s="22" t="n">
        <v>498</v>
      </c>
      <c r="P96" s="22" t="n">
        <v>0</v>
      </c>
      <c r="Q96" s="22" t="n">
        <v>0</v>
      </c>
      <c r="R96" s="22" t="n">
        <v>0</v>
      </c>
      <c r="S96" s="22" t="n">
        <v>0</v>
      </c>
      <c r="T96" s="22" t="n">
        <v>0</v>
      </c>
      <c r="U96" s="22" t="n">
        <v>0</v>
      </c>
      <c r="V96" s="22" t="n">
        <v>0</v>
      </c>
      <c r="W96" s="22" t="n">
        <v>0</v>
      </c>
      <c r="X96" s="22" t="n">
        <v>0</v>
      </c>
      <c r="Y96" s="22" t="n">
        <v>0</v>
      </c>
      <c r="Z96" s="22" t="n">
        <v>0</v>
      </c>
      <c r="AA96" s="22" t="n">
        <v>0</v>
      </c>
      <c r="AB96" s="22" t="n">
        <v>0</v>
      </c>
      <c r="AC96" s="22" t="n">
        <v>0</v>
      </c>
      <c r="AD96" s="22"/>
      <c r="AE96" s="22"/>
      <c r="AF96" s="22"/>
    </row>
    <row r="97" customFormat="false" ht="15" hidden="false" customHeight="false" outlineLevel="0" collapsed="false">
      <c r="A97" s="22" t="s">
        <v>154</v>
      </c>
      <c r="B97" s="22" t="s">
        <v>3</v>
      </c>
      <c r="C97" s="22" t="s">
        <v>154</v>
      </c>
      <c r="D97" s="22" t="n">
        <v>17980</v>
      </c>
      <c r="E97" s="22" t="s">
        <v>136</v>
      </c>
      <c r="F97" s="22" t="s">
        <v>681</v>
      </c>
      <c r="G97" s="22" t="s">
        <v>131</v>
      </c>
      <c r="H97" s="22" t="s">
        <v>131</v>
      </c>
      <c r="I97" s="22" t="n">
        <v>260</v>
      </c>
      <c r="J97" s="22" t="n">
        <v>260</v>
      </c>
      <c r="K97" s="22" t="n">
        <v>486</v>
      </c>
      <c r="L97" s="22" t="n">
        <v>448</v>
      </c>
      <c r="M97" s="22" t="n">
        <v>448</v>
      </c>
      <c r="N97" s="22" t="n">
        <v>480</v>
      </c>
      <c r="O97" s="22" t="n">
        <v>752</v>
      </c>
      <c r="P97" s="22" t="n">
        <v>530</v>
      </c>
      <c r="Q97" s="22" t="n">
        <v>530</v>
      </c>
      <c r="R97" s="22" t="n">
        <v>498</v>
      </c>
      <c r="S97" s="22" t="n">
        <v>0</v>
      </c>
      <c r="T97" s="22" t="n">
        <v>0</v>
      </c>
      <c r="U97" s="22" t="n">
        <v>0</v>
      </c>
      <c r="V97" s="22" t="n">
        <v>0</v>
      </c>
      <c r="W97" s="22" t="n">
        <v>0</v>
      </c>
      <c r="X97" s="22" t="n">
        <v>0</v>
      </c>
      <c r="Y97" s="22" t="n">
        <v>0</v>
      </c>
      <c r="Z97" s="22" t="n">
        <v>0</v>
      </c>
      <c r="AA97" s="22" t="n">
        <v>0</v>
      </c>
      <c r="AB97" s="22" t="n">
        <v>0</v>
      </c>
      <c r="AC97" s="22" t="n">
        <v>0</v>
      </c>
      <c r="AD97" s="22"/>
      <c r="AE97" s="22"/>
      <c r="AF97" s="22"/>
    </row>
    <row r="98" customFormat="false" ht="15" hidden="false" customHeight="false" outlineLevel="0" collapsed="false">
      <c r="A98" s="22" t="s">
        <v>29</v>
      </c>
      <c r="B98" s="22" t="s">
        <v>3</v>
      </c>
      <c r="C98" s="22" t="s">
        <v>29</v>
      </c>
      <c r="D98" s="22" t="n">
        <v>18140</v>
      </c>
      <c r="E98" s="22" t="s">
        <v>132</v>
      </c>
      <c r="F98" s="22" t="s">
        <v>133</v>
      </c>
      <c r="G98" s="22" t="s">
        <v>131</v>
      </c>
      <c r="H98" s="22" t="s">
        <v>131</v>
      </c>
      <c r="I98" s="22" t="n">
        <v>192797</v>
      </c>
      <c r="J98" s="22" t="n">
        <v>194072</v>
      </c>
      <c r="K98" s="22" t="n">
        <v>194663</v>
      </c>
      <c r="L98" s="22" t="n">
        <v>195385</v>
      </c>
      <c r="M98" s="22" t="n">
        <v>196518</v>
      </c>
      <c r="N98" s="22" t="n">
        <v>197303</v>
      </c>
      <c r="O98" s="22" t="n">
        <v>198071</v>
      </c>
      <c r="P98" s="22" t="n">
        <v>198967</v>
      </c>
      <c r="Q98" s="22" t="n">
        <v>200679</v>
      </c>
      <c r="R98" s="22" t="n">
        <v>202503</v>
      </c>
      <c r="S98" s="22" t="n">
        <v>204553</v>
      </c>
      <c r="T98" s="22" t="n">
        <v>205402</v>
      </c>
      <c r="U98" s="22" t="n">
        <v>206924</v>
      </c>
      <c r="V98" s="22" t="n">
        <v>208862</v>
      </c>
      <c r="W98" s="22" t="n">
        <v>210054</v>
      </c>
      <c r="X98" s="22" t="n">
        <v>210575</v>
      </c>
      <c r="Y98" s="22" t="n">
        <v>212932</v>
      </c>
      <c r="Z98" s="22" t="n">
        <v>215135</v>
      </c>
      <c r="AA98" s="22" t="n">
        <v>216889</v>
      </c>
      <c r="AB98" s="22" t="n">
        <v>218082</v>
      </c>
      <c r="AC98" s="22" t="n">
        <v>219896</v>
      </c>
      <c r="AD98" s="22" t="n">
        <v>221866</v>
      </c>
      <c r="AE98" s="22" t="n">
        <v>222774</v>
      </c>
      <c r="AF98" s="22" t="n">
        <v>224483</v>
      </c>
    </row>
    <row r="99" customFormat="false" ht="15" hidden="false" customHeight="false" outlineLevel="0" collapsed="false">
      <c r="A99" s="22" t="s">
        <v>29</v>
      </c>
      <c r="B99" s="22" t="s">
        <v>3</v>
      </c>
      <c r="C99" s="22" t="s">
        <v>29</v>
      </c>
      <c r="D99" s="22" t="n">
        <v>18140</v>
      </c>
      <c r="E99" s="22" t="s">
        <v>136</v>
      </c>
      <c r="F99" s="22" t="s">
        <v>680</v>
      </c>
      <c r="G99" s="22" t="s">
        <v>131</v>
      </c>
      <c r="H99" s="22" t="s">
        <v>131</v>
      </c>
      <c r="I99" s="22" t="n">
        <v>1986</v>
      </c>
      <c r="J99" s="22" t="n">
        <v>729</v>
      </c>
      <c r="K99" s="22" t="n">
        <v>550</v>
      </c>
      <c r="L99" s="22" t="n">
        <v>1402</v>
      </c>
      <c r="M99" s="22" t="n">
        <v>1956</v>
      </c>
      <c r="N99" s="22" t="n">
        <v>2243</v>
      </c>
      <c r="O99" s="22" t="n">
        <v>2372</v>
      </c>
      <c r="P99" s="22" t="n">
        <v>1469</v>
      </c>
      <c r="Q99" s="22" t="n">
        <v>1505</v>
      </c>
      <c r="R99" s="22" t="n">
        <v>1718</v>
      </c>
      <c r="S99" s="22" t="n">
        <v>2031</v>
      </c>
      <c r="T99" s="22" t="n">
        <v>1462</v>
      </c>
      <c r="U99" s="22" t="n">
        <v>1992</v>
      </c>
      <c r="V99" s="22" t="n">
        <v>1124</v>
      </c>
      <c r="W99" s="22" t="n">
        <v>2808</v>
      </c>
      <c r="X99" s="22" t="n">
        <v>1652</v>
      </c>
      <c r="Y99" s="22" t="n">
        <v>1035</v>
      </c>
      <c r="Z99" s="22" t="n">
        <v>1654</v>
      </c>
      <c r="AA99" s="22" t="n">
        <v>845</v>
      </c>
      <c r="AB99" s="22" t="n">
        <v>883</v>
      </c>
      <c r="AC99" s="22" t="n">
        <v>606</v>
      </c>
      <c r="AD99" s="22"/>
      <c r="AE99" s="22"/>
      <c r="AF99" s="22"/>
    </row>
    <row r="100" customFormat="false" ht="15" hidden="false" customHeight="false" outlineLevel="0" collapsed="false">
      <c r="A100" s="22" t="s">
        <v>29</v>
      </c>
      <c r="B100" s="22" t="s">
        <v>3</v>
      </c>
      <c r="C100" s="22" t="s">
        <v>29</v>
      </c>
      <c r="D100" s="22" t="n">
        <v>18140</v>
      </c>
      <c r="E100" s="22" t="s">
        <v>136</v>
      </c>
      <c r="F100" s="22" t="s">
        <v>681</v>
      </c>
      <c r="G100" s="22" t="s">
        <v>131</v>
      </c>
      <c r="H100" s="22" t="s">
        <v>131</v>
      </c>
      <c r="I100" s="22" t="n">
        <v>6663</v>
      </c>
      <c r="J100" s="22" t="n">
        <v>6385</v>
      </c>
      <c r="K100" s="22" t="n">
        <v>4636</v>
      </c>
      <c r="L100" s="22" t="n">
        <v>4667</v>
      </c>
      <c r="M100" s="22" t="n">
        <v>4637</v>
      </c>
      <c r="N100" s="22" t="n">
        <v>6151</v>
      </c>
      <c r="O100" s="22" t="n">
        <v>7973</v>
      </c>
      <c r="P100" s="22" t="n">
        <v>8040</v>
      </c>
      <c r="Q100" s="22" t="n">
        <v>7589</v>
      </c>
      <c r="R100" s="22" t="n">
        <v>7064</v>
      </c>
      <c r="S100" s="22" t="n">
        <v>6723</v>
      </c>
      <c r="T100" s="22" t="n">
        <v>6716</v>
      </c>
      <c r="U100" s="22" t="n">
        <v>7203</v>
      </c>
      <c r="V100" s="22" t="n">
        <v>6609</v>
      </c>
      <c r="W100" s="22" t="n">
        <v>7386</v>
      </c>
      <c r="X100" s="22" t="n">
        <v>7576</v>
      </c>
      <c r="Y100" s="22" t="n">
        <v>6619</v>
      </c>
      <c r="Z100" s="22" t="n">
        <v>7149</v>
      </c>
      <c r="AA100" s="22" t="n">
        <v>5186</v>
      </c>
      <c r="AB100" s="22" t="n">
        <v>4417</v>
      </c>
      <c r="AC100" s="22" t="n">
        <v>3988</v>
      </c>
      <c r="AD100" s="22"/>
      <c r="AE100" s="22"/>
      <c r="AF100" s="22"/>
    </row>
    <row r="101" customFormat="false" ht="15" hidden="false" customHeight="false" outlineLevel="0" collapsed="false">
      <c r="A101" s="22" t="s">
        <v>155</v>
      </c>
      <c r="B101" s="22" t="s">
        <v>3</v>
      </c>
      <c r="C101" s="22" t="s">
        <v>155</v>
      </c>
      <c r="D101" s="22" t="n">
        <v>18580</v>
      </c>
      <c r="E101" s="22" t="s">
        <v>132</v>
      </c>
      <c r="F101" s="22" t="s">
        <v>133</v>
      </c>
      <c r="G101" s="22" t="s">
        <v>131</v>
      </c>
      <c r="H101" s="22" t="s">
        <v>131</v>
      </c>
      <c r="I101" s="22" t="n">
        <v>35609</v>
      </c>
      <c r="J101" s="22" t="n">
        <v>35787</v>
      </c>
      <c r="K101" s="22" t="n">
        <v>35925</v>
      </c>
      <c r="L101" s="22" t="n">
        <v>35816</v>
      </c>
      <c r="M101" s="22" t="n">
        <v>35879</v>
      </c>
      <c r="N101" s="22" t="n">
        <v>35988</v>
      </c>
      <c r="O101" s="22" t="n">
        <v>36056</v>
      </c>
      <c r="P101" s="22" t="n">
        <v>36233</v>
      </c>
      <c r="Q101" s="22" t="n">
        <v>36308</v>
      </c>
      <c r="R101" s="22" t="n">
        <v>36353</v>
      </c>
      <c r="S101" s="22" t="n">
        <v>36446</v>
      </c>
      <c r="T101" s="22" t="n">
        <v>36614</v>
      </c>
      <c r="U101" s="22" t="n">
        <v>36904</v>
      </c>
      <c r="V101" s="22" t="n">
        <v>37099</v>
      </c>
      <c r="W101" s="22" t="n">
        <v>37353</v>
      </c>
      <c r="X101" s="22" t="n">
        <v>37443</v>
      </c>
      <c r="Y101" s="22" t="n">
        <v>37239</v>
      </c>
      <c r="Z101" s="22" t="n">
        <v>37504</v>
      </c>
      <c r="AA101" s="22" t="n">
        <v>37585</v>
      </c>
      <c r="AB101" s="22" t="n">
        <v>37604</v>
      </c>
      <c r="AC101" s="22" t="n">
        <v>37725</v>
      </c>
      <c r="AD101" s="22" t="n">
        <v>37848</v>
      </c>
      <c r="AE101" s="22" t="n">
        <v>37848</v>
      </c>
      <c r="AF101" s="22" t="n">
        <v>37848</v>
      </c>
    </row>
    <row r="102" customFormat="false" ht="15" hidden="false" customHeight="false" outlineLevel="0" collapsed="false">
      <c r="A102" s="22" t="s">
        <v>155</v>
      </c>
      <c r="B102" s="22" t="s">
        <v>3</v>
      </c>
      <c r="C102" s="22" t="s">
        <v>155</v>
      </c>
      <c r="D102" s="22" t="n">
        <v>18580</v>
      </c>
      <c r="E102" s="22" t="s">
        <v>136</v>
      </c>
      <c r="F102" s="22" t="s">
        <v>680</v>
      </c>
      <c r="G102" s="22" t="s">
        <v>131</v>
      </c>
      <c r="H102" s="22" t="s">
        <v>131</v>
      </c>
      <c r="I102" s="22" t="n">
        <v>150</v>
      </c>
      <c r="J102" s="22" t="n">
        <v>264</v>
      </c>
      <c r="K102" s="22" t="n">
        <v>0</v>
      </c>
      <c r="L102" s="22" t="n">
        <v>48</v>
      </c>
      <c r="M102" s="22" t="n">
        <v>116</v>
      </c>
      <c r="N102" s="22" t="n">
        <v>312</v>
      </c>
      <c r="O102" s="22" t="n">
        <v>0</v>
      </c>
      <c r="P102" s="22" t="n">
        <v>855</v>
      </c>
      <c r="Q102" s="22" t="n">
        <v>0</v>
      </c>
      <c r="R102" s="22" t="n">
        <v>300</v>
      </c>
      <c r="S102" s="22" t="n">
        <v>244</v>
      </c>
      <c r="T102" s="22" t="n">
        <v>0</v>
      </c>
      <c r="U102" s="22" t="n">
        <v>0</v>
      </c>
      <c r="V102" s="22" t="n">
        <v>0</v>
      </c>
      <c r="W102" s="22" t="n">
        <v>55</v>
      </c>
      <c r="X102" s="22" t="n">
        <v>0</v>
      </c>
      <c r="Y102" s="22" t="n">
        <v>0</v>
      </c>
      <c r="Z102" s="22" t="n">
        <v>102</v>
      </c>
      <c r="AA102" s="22" t="n">
        <v>0</v>
      </c>
      <c r="AB102" s="22" t="n">
        <v>0</v>
      </c>
      <c r="AC102" s="22" t="n">
        <v>0</v>
      </c>
      <c r="AD102" s="22"/>
      <c r="AE102" s="22"/>
      <c r="AF102" s="22"/>
    </row>
    <row r="103" customFormat="false" ht="15" hidden="false" customHeight="false" outlineLevel="0" collapsed="false">
      <c r="A103" s="22" t="s">
        <v>155</v>
      </c>
      <c r="B103" s="22" t="s">
        <v>3</v>
      </c>
      <c r="C103" s="22" t="s">
        <v>155</v>
      </c>
      <c r="D103" s="22" t="n">
        <v>18580</v>
      </c>
      <c r="E103" s="22" t="s">
        <v>136</v>
      </c>
      <c r="F103" s="22" t="s">
        <v>681</v>
      </c>
      <c r="G103" s="22" t="s">
        <v>131</v>
      </c>
      <c r="H103" s="22" t="s">
        <v>131</v>
      </c>
      <c r="I103" s="22" t="n">
        <v>150</v>
      </c>
      <c r="J103" s="22" t="n">
        <v>414</v>
      </c>
      <c r="K103" s="22" t="n">
        <v>414</v>
      </c>
      <c r="L103" s="22" t="n">
        <v>462</v>
      </c>
      <c r="M103" s="22" t="n">
        <v>428</v>
      </c>
      <c r="N103" s="22" t="n">
        <v>476</v>
      </c>
      <c r="O103" s="22" t="n">
        <v>476</v>
      </c>
      <c r="P103" s="22" t="n">
        <v>1283</v>
      </c>
      <c r="Q103" s="22" t="n">
        <v>1167</v>
      </c>
      <c r="R103" s="22" t="n">
        <v>1155</v>
      </c>
      <c r="S103" s="22" t="n">
        <v>1399</v>
      </c>
      <c r="T103" s="22" t="n">
        <v>544</v>
      </c>
      <c r="U103" s="22" t="n">
        <v>544</v>
      </c>
      <c r="V103" s="22" t="n">
        <v>244</v>
      </c>
      <c r="W103" s="22" t="n">
        <v>55</v>
      </c>
      <c r="X103" s="22" t="n">
        <v>55</v>
      </c>
      <c r="Y103" s="22" t="n">
        <v>55</v>
      </c>
      <c r="Z103" s="22" t="n">
        <v>157</v>
      </c>
      <c r="AA103" s="22" t="n">
        <v>102</v>
      </c>
      <c r="AB103" s="22" t="n">
        <v>102</v>
      </c>
      <c r="AC103" s="22" t="n">
        <v>102</v>
      </c>
      <c r="AD103" s="22"/>
      <c r="AE103" s="22"/>
      <c r="AF103" s="22"/>
    </row>
    <row r="104" customFormat="false" ht="15" hidden="false" customHeight="false" outlineLevel="0" collapsed="false">
      <c r="A104" s="22" t="s">
        <v>156</v>
      </c>
      <c r="B104" s="22" t="s">
        <v>3</v>
      </c>
      <c r="C104" s="22" t="s">
        <v>156</v>
      </c>
      <c r="D104" s="22" t="n">
        <v>18880</v>
      </c>
      <c r="E104" s="22" t="s">
        <v>132</v>
      </c>
      <c r="F104" s="22" t="s">
        <v>133</v>
      </c>
      <c r="G104" s="22" t="s">
        <v>131</v>
      </c>
      <c r="H104" s="22" t="s">
        <v>131</v>
      </c>
      <c r="I104" s="22" t="n">
        <v>23600</v>
      </c>
      <c r="J104" s="22" t="n">
        <v>23671</v>
      </c>
      <c r="K104" s="22" t="n">
        <v>23744</v>
      </c>
      <c r="L104" s="22" t="n">
        <v>23762</v>
      </c>
      <c r="M104" s="22" t="n">
        <v>23888</v>
      </c>
      <c r="N104" s="22" t="n">
        <v>24014</v>
      </c>
      <c r="O104" s="22" t="n">
        <v>24142</v>
      </c>
      <c r="P104" s="22" t="n">
        <v>24220</v>
      </c>
      <c r="Q104" s="22" t="n">
        <v>24238</v>
      </c>
      <c r="R104" s="22" t="n">
        <v>24244</v>
      </c>
      <c r="S104" s="22" t="n">
        <v>24304</v>
      </c>
      <c r="T104" s="22" t="n">
        <v>24484</v>
      </c>
      <c r="U104" s="22" t="n">
        <v>24749</v>
      </c>
      <c r="V104" s="22" t="n">
        <v>25133</v>
      </c>
      <c r="W104" s="22" t="n">
        <v>25682</v>
      </c>
      <c r="X104" s="22" t="n">
        <v>26545</v>
      </c>
      <c r="Y104" s="22" t="n">
        <v>26876</v>
      </c>
      <c r="Z104" s="22" t="n">
        <v>27208</v>
      </c>
      <c r="AA104" s="22" t="n">
        <v>27366</v>
      </c>
      <c r="AB104" s="22" t="n">
        <v>27690</v>
      </c>
      <c r="AC104" s="22" t="n">
        <v>27941</v>
      </c>
      <c r="AD104" s="22" t="n">
        <v>28094</v>
      </c>
      <c r="AE104" s="22" t="n">
        <v>28193</v>
      </c>
      <c r="AF104" s="22" t="n">
        <v>28227</v>
      </c>
    </row>
    <row r="105" customFormat="false" ht="15" hidden="false" customHeight="false" outlineLevel="0" collapsed="false">
      <c r="A105" s="22" t="s">
        <v>156</v>
      </c>
      <c r="B105" s="22" t="s">
        <v>3</v>
      </c>
      <c r="C105" s="22" t="s">
        <v>156</v>
      </c>
      <c r="D105" s="22" t="n">
        <v>18880</v>
      </c>
      <c r="E105" s="22" t="s">
        <v>136</v>
      </c>
      <c r="F105" s="22" t="s">
        <v>680</v>
      </c>
      <c r="G105" s="22" t="s">
        <v>131</v>
      </c>
      <c r="H105" s="22" t="s">
        <v>131</v>
      </c>
      <c r="I105" s="22" t="n">
        <v>98</v>
      </c>
      <c r="J105" s="22" t="n">
        <v>0</v>
      </c>
      <c r="K105" s="22" t="n">
        <v>0</v>
      </c>
      <c r="L105" s="22" t="n">
        <v>0</v>
      </c>
      <c r="M105" s="22" t="n">
        <v>672</v>
      </c>
      <c r="N105" s="22" t="n">
        <v>0</v>
      </c>
      <c r="O105" s="22" t="n">
        <v>0</v>
      </c>
      <c r="P105" s="22" t="n">
        <v>916</v>
      </c>
      <c r="Q105" s="22" t="n">
        <v>256</v>
      </c>
      <c r="R105" s="22" t="n">
        <v>830</v>
      </c>
      <c r="S105" s="22" t="n">
        <v>546</v>
      </c>
      <c r="T105" s="22" t="n">
        <v>0</v>
      </c>
      <c r="U105" s="22" t="n">
        <v>0</v>
      </c>
      <c r="V105" s="22" t="n">
        <v>321</v>
      </c>
      <c r="W105" s="22" t="n">
        <v>210</v>
      </c>
      <c r="X105" s="22" t="n">
        <v>0</v>
      </c>
      <c r="Y105" s="22" t="n">
        <v>0</v>
      </c>
      <c r="Z105" s="22" t="n">
        <v>232</v>
      </c>
      <c r="AA105" s="22" t="n">
        <v>352</v>
      </c>
      <c r="AB105" s="22" t="n">
        <v>0</v>
      </c>
      <c r="AC105" s="22" t="n">
        <v>0</v>
      </c>
      <c r="AD105" s="22"/>
      <c r="AE105" s="22"/>
      <c r="AF105" s="22"/>
    </row>
    <row r="106" customFormat="false" ht="15" hidden="false" customHeight="false" outlineLevel="0" collapsed="false">
      <c r="A106" s="22" t="s">
        <v>156</v>
      </c>
      <c r="B106" s="22" t="s">
        <v>3</v>
      </c>
      <c r="C106" s="22" t="s">
        <v>156</v>
      </c>
      <c r="D106" s="22" t="n">
        <v>18880</v>
      </c>
      <c r="E106" s="22" t="s">
        <v>136</v>
      </c>
      <c r="F106" s="22" t="s">
        <v>681</v>
      </c>
      <c r="G106" s="22" t="s">
        <v>131</v>
      </c>
      <c r="H106" s="22" t="s">
        <v>131</v>
      </c>
      <c r="I106" s="22" t="n">
        <v>386</v>
      </c>
      <c r="J106" s="22" t="n">
        <v>386</v>
      </c>
      <c r="K106" s="22" t="n">
        <v>386</v>
      </c>
      <c r="L106" s="22" t="n">
        <v>98</v>
      </c>
      <c r="M106" s="22" t="n">
        <v>672</v>
      </c>
      <c r="N106" s="22" t="n">
        <v>672</v>
      </c>
      <c r="O106" s="22" t="n">
        <v>672</v>
      </c>
      <c r="P106" s="22" t="n">
        <v>1588</v>
      </c>
      <c r="Q106" s="22" t="n">
        <v>1172</v>
      </c>
      <c r="R106" s="22" t="n">
        <v>2002</v>
      </c>
      <c r="S106" s="22" t="n">
        <v>2548</v>
      </c>
      <c r="T106" s="22" t="n">
        <v>1632</v>
      </c>
      <c r="U106" s="22" t="n">
        <v>1376</v>
      </c>
      <c r="V106" s="22" t="n">
        <v>867</v>
      </c>
      <c r="W106" s="22" t="n">
        <v>531</v>
      </c>
      <c r="X106" s="22" t="n">
        <v>531</v>
      </c>
      <c r="Y106" s="22" t="n">
        <v>531</v>
      </c>
      <c r="Z106" s="22" t="n">
        <v>442</v>
      </c>
      <c r="AA106" s="22" t="n">
        <v>584</v>
      </c>
      <c r="AB106" s="22" t="n">
        <v>584</v>
      </c>
      <c r="AC106" s="22" t="n">
        <v>584</v>
      </c>
      <c r="AD106" s="22"/>
      <c r="AE106" s="22"/>
      <c r="AF106" s="22"/>
    </row>
    <row r="107" customFormat="false" ht="15" hidden="false" customHeight="false" outlineLevel="0" collapsed="false">
      <c r="A107" s="22" t="s">
        <v>78</v>
      </c>
      <c r="B107" s="22" t="s">
        <v>3</v>
      </c>
      <c r="C107" s="22" t="s">
        <v>78</v>
      </c>
      <c r="D107" s="22" t="n">
        <v>19124</v>
      </c>
      <c r="E107" s="22" t="s">
        <v>132</v>
      </c>
      <c r="F107" s="22" t="s">
        <v>133</v>
      </c>
      <c r="G107" s="22" t="s">
        <v>131</v>
      </c>
      <c r="H107" s="22" t="s">
        <v>131</v>
      </c>
      <c r="I107" s="22" t="n">
        <v>645794</v>
      </c>
      <c r="J107" s="22" t="n">
        <v>650480</v>
      </c>
      <c r="K107" s="22" t="n">
        <v>654840</v>
      </c>
      <c r="L107" s="22" t="n">
        <v>658359</v>
      </c>
      <c r="M107" s="22" t="n">
        <v>661274</v>
      </c>
      <c r="N107" s="22" t="n">
        <v>664501</v>
      </c>
      <c r="O107" s="22" t="n">
        <v>667726</v>
      </c>
      <c r="P107" s="22" t="n">
        <v>670890</v>
      </c>
      <c r="Q107" s="22" t="n">
        <v>674899</v>
      </c>
      <c r="R107" s="22" t="n">
        <v>679626</v>
      </c>
      <c r="S107" s="22" t="n">
        <v>685710</v>
      </c>
      <c r="T107" s="22" t="n">
        <v>692970</v>
      </c>
      <c r="U107" s="22" t="n">
        <v>702888</v>
      </c>
      <c r="V107" s="22" t="n">
        <v>710798</v>
      </c>
      <c r="W107" s="22" t="n">
        <v>719758</v>
      </c>
      <c r="X107" s="22" t="n">
        <v>726428</v>
      </c>
      <c r="Y107" s="22" t="n">
        <v>733548</v>
      </c>
      <c r="Z107" s="22" t="n">
        <v>738304</v>
      </c>
      <c r="AA107" s="22" t="n">
        <v>742223</v>
      </c>
      <c r="AB107" s="22" t="n">
        <v>746683</v>
      </c>
      <c r="AC107" s="22" t="n">
        <v>751845</v>
      </c>
      <c r="AD107" s="22" t="n">
        <v>757536</v>
      </c>
      <c r="AE107" s="22" t="n">
        <v>761996</v>
      </c>
      <c r="AF107" s="22" t="n">
        <v>766006</v>
      </c>
    </row>
    <row r="108" customFormat="false" ht="15" hidden="false" customHeight="false" outlineLevel="0" collapsed="false">
      <c r="A108" s="22" t="s">
        <v>78</v>
      </c>
      <c r="B108" s="22" t="s">
        <v>3</v>
      </c>
      <c r="C108" s="22" t="s">
        <v>78</v>
      </c>
      <c r="D108" s="22" t="n">
        <v>19124</v>
      </c>
      <c r="E108" s="22" t="s">
        <v>136</v>
      </c>
      <c r="F108" s="22" t="s">
        <v>680</v>
      </c>
      <c r="G108" s="22" t="s">
        <v>131</v>
      </c>
      <c r="H108" s="22" t="s">
        <v>131</v>
      </c>
      <c r="I108" s="22" t="n">
        <v>6297</v>
      </c>
      <c r="J108" s="22" t="n">
        <v>5715</v>
      </c>
      <c r="K108" s="22" t="n">
        <v>4827</v>
      </c>
      <c r="L108" s="22" t="n">
        <v>7888</v>
      </c>
      <c r="M108" s="22" t="n">
        <v>13431</v>
      </c>
      <c r="N108" s="22" t="n">
        <v>7967</v>
      </c>
      <c r="O108" s="22" t="n">
        <v>6246</v>
      </c>
      <c r="P108" s="22" t="n">
        <v>8102</v>
      </c>
      <c r="Q108" s="22" t="n">
        <v>3667</v>
      </c>
      <c r="R108" s="22" t="n">
        <v>6225</v>
      </c>
      <c r="S108" s="22" t="n">
        <v>2878</v>
      </c>
      <c r="T108" s="22" t="n">
        <v>2882</v>
      </c>
      <c r="U108" s="22" t="n">
        <v>5351</v>
      </c>
      <c r="V108" s="22" t="n">
        <v>2468</v>
      </c>
      <c r="W108" s="22" t="n">
        <v>4252</v>
      </c>
      <c r="X108" s="22" t="n">
        <v>5806</v>
      </c>
      <c r="Y108" s="22" t="n">
        <v>4658</v>
      </c>
      <c r="Z108" s="22" t="n">
        <v>3778</v>
      </c>
      <c r="AA108" s="22" t="n">
        <v>6752</v>
      </c>
      <c r="AB108" s="22" t="n">
        <v>5193</v>
      </c>
      <c r="AC108" s="22" t="n">
        <v>2693</v>
      </c>
      <c r="AD108" s="22"/>
      <c r="AE108" s="22"/>
      <c r="AF108" s="22"/>
    </row>
    <row r="109" customFormat="false" ht="15" hidden="false" customHeight="false" outlineLevel="0" collapsed="false">
      <c r="A109" s="22" t="s">
        <v>78</v>
      </c>
      <c r="B109" s="22" t="s">
        <v>3</v>
      </c>
      <c r="C109" s="22" t="s">
        <v>78</v>
      </c>
      <c r="D109" s="22" t="n">
        <v>19124</v>
      </c>
      <c r="E109" s="22" t="s">
        <v>136</v>
      </c>
      <c r="F109" s="22" t="s">
        <v>681</v>
      </c>
      <c r="G109" s="22" t="s">
        <v>131</v>
      </c>
      <c r="H109" s="22" t="s">
        <v>131</v>
      </c>
      <c r="I109" s="22" t="n">
        <v>15690</v>
      </c>
      <c r="J109" s="22" t="n">
        <v>19739</v>
      </c>
      <c r="K109" s="22" t="n">
        <v>22003</v>
      </c>
      <c r="L109" s="22" t="n">
        <v>24727</v>
      </c>
      <c r="M109" s="22" t="n">
        <v>31861</v>
      </c>
      <c r="N109" s="22" t="n">
        <v>34113</v>
      </c>
      <c r="O109" s="22" t="n">
        <v>35532</v>
      </c>
      <c r="P109" s="22" t="n">
        <v>35746</v>
      </c>
      <c r="Q109" s="22" t="n">
        <v>25982</v>
      </c>
      <c r="R109" s="22" t="n">
        <v>24240</v>
      </c>
      <c r="S109" s="22" t="n">
        <v>20872</v>
      </c>
      <c r="T109" s="22" t="n">
        <v>15652</v>
      </c>
      <c r="U109" s="22" t="n">
        <v>17336</v>
      </c>
      <c r="V109" s="22" t="n">
        <v>13579</v>
      </c>
      <c r="W109" s="22" t="n">
        <v>14953</v>
      </c>
      <c r="X109" s="22" t="n">
        <v>17877</v>
      </c>
      <c r="Y109" s="22" t="n">
        <v>17184</v>
      </c>
      <c r="Z109" s="22" t="n">
        <v>18494</v>
      </c>
      <c r="AA109" s="22" t="n">
        <v>20994</v>
      </c>
      <c r="AB109" s="22" t="n">
        <v>20381</v>
      </c>
      <c r="AC109" s="22" t="n">
        <v>18416</v>
      </c>
      <c r="AD109" s="22"/>
      <c r="AE109" s="22"/>
      <c r="AF109" s="22"/>
    </row>
    <row r="110" customFormat="false" ht="15" hidden="false" customHeight="false" outlineLevel="0" collapsed="false">
      <c r="A110" s="22" t="s">
        <v>157</v>
      </c>
      <c r="B110" s="22" t="s">
        <v>3</v>
      </c>
      <c r="C110" s="22" t="s">
        <v>157</v>
      </c>
      <c r="D110" s="22" t="n">
        <v>19430</v>
      </c>
      <c r="E110" s="22" t="s">
        <v>132</v>
      </c>
      <c r="F110" s="22" t="s">
        <v>133</v>
      </c>
      <c r="G110" s="22" t="s">
        <v>131</v>
      </c>
      <c r="H110" s="22" t="s">
        <v>131</v>
      </c>
      <c r="I110" s="22" t="n">
        <v>55640</v>
      </c>
      <c r="J110" s="22" t="n">
        <v>55680</v>
      </c>
      <c r="K110" s="22" t="n">
        <v>55680</v>
      </c>
      <c r="L110" s="22" t="n">
        <v>55730</v>
      </c>
      <c r="M110" s="22" t="n">
        <v>55975</v>
      </c>
      <c r="N110" s="22" t="n">
        <v>56020</v>
      </c>
      <c r="O110" s="22" t="n">
        <v>56081</v>
      </c>
      <c r="P110" s="22" t="n">
        <v>56285</v>
      </c>
      <c r="Q110" s="22" t="n">
        <v>56543</v>
      </c>
      <c r="R110" s="22" t="n">
        <v>56791</v>
      </c>
      <c r="S110" s="22" t="n">
        <v>56983</v>
      </c>
      <c r="T110" s="22" t="n">
        <v>57140</v>
      </c>
      <c r="U110" s="22" t="n">
        <v>57419</v>
      </c>
      <c r="V110" s="22" t="n">
        <v>57621</v>
      </c>
      <c r="W110" s="22" t="n">
        <v>57664</v>
      </c>
      <c r="X110" s="22" t="n">
        <v>57664</v>
      </c>
      <c r="Y110" s="22" t="n">
        <v>57811</v>
      </c>
      <c r="Z110" s="22" t="n">
        <v>57934</v>
      </c>
      <c r="AA110" s="22" t="n">
        <v>58129</v>
      </c>
      <c r="AB110" s="22" t="n">
        <v>58356</v>
      </c>
      <c r="AC110" s="22" t="n">
        <v>58485</v>
      </c>
      <c r="AD110" s="22" t="n">
        <v>58616</v>
      </c>
      <c r="AE110" s="22" t="n">
        <v>58870</v>
      </c>
      <c r="AF110" s="22" t="n">
        <v>59119</v>
      </c>
    </row>
    <row r="111" customFormat="false" ht="15" hidden="false" customHeight="false" outlineLevel="0" collapsed="false">
      <c r="A111" s="22" t="s">
        <v>157</v>
      </c>
      <c r="B111" s="22" t="s">
        <v>3</v>
      </c>
      <c r="C111" s="22" t="s">
        <v>157</v>
      </c>
      <c r="D111" s="22" t="n">
        <v>19430</v>
      </c>
      <c r="E111" s="22" t="s">
        <v>136</v>
      </c>
      <c r="F111" s="22" t="s">
        <v>680</v>
      </c>
      <c r="G111" s="22" t="s">
        <v>131</v>
      </c>
      <c r="H111" s="22" t="s">
        <v>131</v>
      </c>
      <c r="I111" s="22" t="n">
        <v>71</v>
      </c>
      <c r="J111" s="22" t="n">
        <v>0</v>
      </c>
      <c r="K111" s="22" t="n">
        <v>586</v>
      </c>
      <c r="L111" s="22" t="n">
        <v>497</v>
      </c>
      <c r="M111" s="22" t="n">
        <v>96</v>
      </c>
      <c r="N111" s="22" t="n">
        <v>0</v>
      </c>
      <c r="O111" s="22" t="n">
        <v>141</v>
      </c>
      <c r="P111" s="22" t="n">
        <v>0</v>
      </c>
      <c r="Q111" s="22" t="n">
        <v>111</v>
      </c>
      <c r="R111" s="22" t="n">
        <v>0</v>
      </c>
      <c r="S111" s="22" t="n">
        <v>0</v>
      </c>
      <c r="T111" s="22" t="n">
        <v>288</v>
      </c>
      <c r="U111" s="22" t="n">
        <v>0</v>
      </c>
      <c r="V111" s="22" t="n">
        <v>0</v>
      </c>
      <c r="W111" s="22" t="n">
        <v>246</v>
      </c>
      <c r="X111" s="22" t="n">
        <v>0</v>
      </c>
      <c r="Y111" s="22" t="n">
        <v>0</v>
      </c>
      <c r="Z111" s="22" t="n">
        <v>680</v>
      </c>
      <c r="AA111" s="22" t="n">
        <v>118</v>
      </c>
      <c r="AB111" s="22" t="n">
        <v>0</v>
      </c>
      <c r="AC111" s="22" t="n">
        <v>0</v>
      </c>
      <c r="AD111" s="22"/>
      <c r="AE111" s="22"/>
      <c r="AF111" s="22"/>
    </row>
    <row r="112" customFormat="false" ht="15" hidden="false" customHeight="false" outlineLevel="0" collapsed="false">
      <c r="A112" s="22" t="s">
        <v>157</v>
      </c>
      <c r="B112" s="22" t="s">
        <v>3</v>
      </c>
      <c r="C112" s="22" t="s">
        <v>157</v>
      </c>
      <c r="D112" s="22" t="n">
        <v>19430</v>
      </c>
      <c r="E112" s="22" t="s">
        <v>136</v>
      </c>
      <c r="F112" s="22" t="s">
        <v>681</v>
      </c>
      <c r="G112" s="22" t="s">
        <v>131</v>
      </c>
      <c r="H112" s="22" t="s">
        <v>131</v>
      </c>
      <c r="I112" s="22" t="n">
        <v>402</v>
      </c>
      <c r="J112" s="22" t="n">
        <v>352</v>
      </c>
      <c r="K112" s="22" t="n">
        <v>657</v>
      </c>
      <c r="L112" s="22" t="n">
        <v>1154</v>
      </c>
      <c r="M112" s="22" t="n">
        <v>1179</v>
      </c>
      <c r="N112" s="22" t="n">
        <v>1179</v>
      </c>
      <c r="O112" s="22" t="n">
        <v>734</v>
      </c>
      <c r="P112" s="22" t="n">
        <v>237</v>
      </c>
      <c r="Q112" s="22" t="n">
        <v>252</v>
      </c>
      <c r="R112" s="22" t="n">
        <v>252</v>
      </c>
      <c r="S112" s="22" t="n">
        <v>111</v>
      </c>
      <c r="T112" s="22" t="n">
        <v>399</v>
      </c>
      <c r="U112" s="22" t="n">
        <v>288</v>
      </c>
      <c r="V112" s="22" t="n">
        <v>288</v>
      </c>
      <c r="W112" s="22" t="n">
        <v>534</v>
      </c>
      <c r="X112" s="22" t="n">
        <v>246</v>
      </c>
      <c r="Y112" s="22" t="n">
        <v>246</v>
      </c>
      <c r="Z112" s="22" t="n">
        <v>926</v>
      </c>
      <c r="AA112" s="22" t="n">
        <v>798</v>
      </c>
      <c r="AB112" s="22" t="n">
        <v>798</v>
      </c>
      <c r="AC112" s="22" t="n">
        <v>798</v>
      </c>
      <c r="AD112" s="22"/>
      <c r="AE112" s="22"/>
      <c r="AF112" s="22"/>
    </row>
    <row r="113" customFormat="false" ht="15" hidden="false" customHeight="false" outlineLevel="0" collapsed="false">
      <c r="A113" s="22" t="s">
        <v>158</v>
      </c>
      <c r="B113" s="22" t="s">
        <v>3</v>
      </c>
      <c r="C113" s="22" t="s">
        <v>158</v>
      </c>
      <c r="D113" s="22" t="n">
        <v>19660</v>
      </c>
      <c r="E113" s="22" t="s">
        <v>132</v>
      </c>
      <c r="F113" s="22" t="s">
        <v>133</v>
      </c>
      <c r="G113" s="22" t="s">
        <v>131</v>
      </c>
      <c r="H113" s="22" t="s">
        <v>131</v>
      </c>
      <c r="I113" s="22" t="n">
        <v>36084</v>
      </c>
      <c r="J113" s="22" t="n">
        <v>36402</v>
      </c>
      <c r="K113" s="22" t="n">
        <v>36740</v>
      </c>
      <c r="L113" s="22" t="n">
        <v>36782</v>
      </c>
      <c r="M113" s="22" t="n">
        <v>36941</v>
      </c>
      <c r="N113" s="22" t="n">
        <v>37358</v>
      </c>
      <c r="O113" s="22" t="n">
        <v>37697</v>
      </c>
      <c r="P113" s="22" t="n">
        <v>37944</v>
      </c>
      <c r="Q113" s="22" t="n">
        <v>38122</v>
      </c>
      <c r="R113" s="22" t="n">
        <v>38462</v>
      </c>
      <c r="S113" s="22" t="n">
        <v>39063</v>
      </c>
      <c r="T113" s="22" t="n">
        <v>39560</v>
      </c>
      <c r="U113" s="22" t="n">
        <v>39935</v>
      </c>
      <c r="V113" s="22" t="n">
        <v>40128</v>
      </c>
      <c r="W113" s="22" t="n">
        <v>40846</v>
      </c>
      <c r="X113" s="22" t="n">
        <v>41691</v>
      </c>
      <c r="Y113" s="22" t="n">
        <v>42185</v>
      </c>
      <c r="Z113" s="22" t="n">
        <v>42457</v>
      </c>
      <c r="AA113" s="22" t="n">
        <v>42583</v>
      </c>
      <c r="AB113" s="22" t="n">
        <v>42838</v>
      </c>
      <c r="AC113" s="22" t="n">
        <v>43100</v>
      </c>
      <c r="AD113" s="22" t="n">
        <v>43649</v>
      </c>
      <c r="AE113" s="22" t="n">
        <v>44107</v>
      </c>
      <c r="AF113" s="22" t="n">
        <v>44107</v>
      </c>
    </row>
    <row r="114" customFormat="false" ht="15" hidden="false" customHeight="false" outlineLevel="0" collapsed="false">
      <c r="A114" s="22" t="s">
        <v>158</v>
      </c>
      <c r="B114" s="22" t="s">
        <v>3</v>
      </c>
      <c r="C114" s="22" t="s">
        <v>158</v>
      </c>
      <c r="D114" s="22" t="n">
        <v>19660</v>
      </c>
      <c r="E114" s="22" t="s">
        <v>136</v>
      </c>
      <c r="F114" s="22" t="s">
        <v>680</v>
      </c>
      <c r="G114" s="22" t="s">
        <v>131</v>
      </c>
      <c r="H114" s="22" t="s">
        <v>131</v>
      </c>
      <c r="I114" s="22" t="n">
        <v>264</v>
      </c>
      <c r="J114" s="22" t="n">
        <v>680</v>
      </c>
      <c r="K114" s="22" t="n">
        <v>0</v>
      </c>
      <c r="L114" s="22" t="n">
        <v>697</v>
      </c>
      <c r="M114" s="22" t="n">
        <v>1316</v>
      </c>
      <c r="N114" s="22" t="n">
        <v>0</v>
      </c>
      <c r="O114" s="22" t="n">
        <v>0</v>
      </c>
      <c r="P114" s="22" t="n">
        <v>611</v>
      </c>
      <c r="Q114" s="22" t="n">
        <v>592</v>
      </c>
      <c r="R114" s="22" t="n">
        <v>0</v>
      </c>
      <c r="S114" s="22" t="n">
        <v>555</v>
      </c>
      <c r="T114" s="22" t="n">
        <v>360</v>
      </c>
      <c r="U114" s="22" t="n">
        <v>256</v>
      </c>
      <c r="V114" s="22" t="n">
        <v>816</v>
      </c>
      <c r="W114" s="22" t="n">
        <v>0</v>
      </c>
      <c r="X114" s="22" t="n">
        <v>188</v>
      </c>
      <c r="Y114" s="22" t="n">
        <v>330</v>
      </c>
      <c r="Z114" s="22" t="n">
        <v>793</v>
      </c>
      <c r="AA114" s="22" t="n">
        <v>0</v>
      </c>
      <c r="AB114" s="22" t="n">
        <v>0</v>
      </c>
      <c r="AC114" s="22" t="n">
        <v>0</v>
      </c>
      <c r="AD114" s="22"/>
      <c r="AE114" s="22"/>
      <c r="AF114" s="22"/>
    </row>
    <row r="115" customFormat="false" ht="15" hidden="false" customHeight="false" outlineLevel="0" collapsed="false">
      <c r="A115" s="22" t="s">
        <v>158</v>
      </c>
      <c r="B115" s="22" t="s">
        <v>3</v>
      </c>
      <c r="C115" s="22" t="s">
        <v>158</v>
      </c>
      <c r="D115" s="22" t="n">
        <v>19660</v>
      </c>
      <c r="E115" s="22" t="s">
        <v>136</v>
      </c>
      <c r="F115" s="22" t="s">
        <v>681</v>
      </c>
      <c r="G115" s="22" t="s">
        <v>131</v>
      </c>
      <c r="H115" s="22" t="s">
        <v>131</v>
      </c>
      <c r="I115" s="22" t="n">
        <v>1516</v>
      </c>
      <c r="J115" s="22" t="n">
        <v>1856</v>
      </c>
      <c r="K115" s="22" t="n">
        <v>1599</v>
      </c>
      <c r="L115" s="22" t="n">
        <v>1641</v>
      </c>
      <c r="M115" s="22" t="n">
        <v>2693</v>
      </c>
      <c r="N115" s="22" t="n">
        <v>2013</v>
      </c>
      <c r="O115" s="22" t="n">
        <v>2013</v>
      </c>
      <c r="P115" s="22" t="n">
        <v>1927</v>
      </c>
      <c r="Q115" s="22" t="n">
        <v>1203</v>
      </c>
      <c r="R115" s="22" t="n">
        <v>1203</v>
      </c>
      <c r="S115" s="22" t="n">
        <v>1758</v>
      </c>
      <c r="T115" s="22" t="n">
        <v>1507</v>
      </c>
      <c r="U115" s="22" t="n">
        <v>1171</v>
      </c>
      <c r="V115" s="22" t="n">
        <v>1987</v>
      </c>
      <c r="W115" s="22" t="n">
        <v>1432</v>
      </c>
      <c r="X115" s="22" t="n">
        <v>1260</v>
      </c>
      <c r="Y115" s="22" t="n">
        <v>1334</v>
      </c>
      <c r="Z115" s="22" t="n">
        <v>1311</v>
      </c>
      <c r="AA115" s="22" t="n">
        <v>1311</v>
      </c>
      <c r="AB115" s="22" t="n">
        <v>1123</v>
      </c>
      <c r="AC115" s="22" t="n">
        <v>793</v>
      </c>
      <c r="AD115" s="22"/>
      <c r="AE115" s="22"/>
      <c r="AF115" s="22"/>
    </row>
    <row r="116" customFormat="false" ht="15" hidden="false" customHeight="false" outlineLevel="0" collapsed="false">
      <c r="A116" s="22" t="s">
        <v>85</v>
      </c>
      <c r="B116" s="22" t="s">
        <v>3</v>
      </c>
      <c r="C116" s="22" t="s">
        <v>85</v>
      </c>
      <c r="D116" s="22" t="n">
        <v>19740</v>
      </c>
      <c r="E116" s="22" t="s">
        <v>132</v>
      </c>
      <c r="F116" s="22" t="s">
        <v>133</v>
      </c>
      <c r="G116" s="22" t="s">
        <v>131</v>
      </c>
      <c r="H116" s="22" t="s">
        <v>131</v>
      </c>
      <c r="I116" s="22" t="n">
        <v>308937</v>
      </c>
      <c r="J116" s="22" t="n">
        <v>311589</v>
      </c>
      <c r="K116" s="22" t="n">
        <v>313461</v>
      </c>
      <c r="L116" s="22" t="n">
        <v>315276</v>
      </c>
      <c r="M116" s="22" t="n">
        <v>317994</v>
      </c>
      <c r="N116" s="22" t="n">
        <v>319858</v>
      </c>
      <c r="O116" s="22" t="n">
        <v>322075</v>
      </c>
      <c r="P116" s="22" t="n">
        <v>324151</v>
      </c>
      <c r="Q116" s="22" t="n">
        <v>326554</v>
      </c>
      <c r="R116" s="22" t="n">
        <v>329028</v>
      </c>
      <c r="S116" s="22" t="n">
        <v>331111</v>
      </c>
      <c r="T116" s="22" t="n">
        <v>334624</v>
      </c>
      <c r="U116" s="22" t="n">
        <v>338922</v>
      </c>
      <c r="V116" s="22" t="n">
        <v>345007</v>
      </c>
      <c r="W116" s="22" t="n">
        <v>349669</v>
      </c>
      <c r="X116" s="22" t="n">
        <v>352196</v>
      </c>
      <c r="Y116" s="22" t="n">
        <v>355122</v>
      </c>
      <c r="Z116" s="22" t="n">
        <v>358085</v>
      </c>
      <c r="AA116" s="22" t="n">
        <v>360242</v>
      </c>
      <c r="AB116" s="22" t="n">
        <v>362303</v>
      </c>
      <c r="AC116" s="22" t="n">
        <v>364323</v>
      </c>
      <c r="AD116" s="22" t="n">
        <v>365745</v>
      </c>
      <c r="AE116" s="22" t="n">
        <v>367941</v>
      </c>
      <c r="AF116" s="22" t="n">
        <v>369938</v>
      </c>
    </row>
    <row r="117" customFormat="false" ht="15" hidden="false" customHeight="false" outlineLevel="0" collapsed="false">
      <c r="A117" s="22" t="s">
        <v>85</v>
      </c>
      <c r="B117" s="22" t="s">
        <v>3</v>
      </c>
      <c r="C117" s="22" t="s">
        <v>85</v>
      </c>
      <c r="D117" s="22" t="n">
        <v>19740</v>
      </c>
      <c r="E117" s="22" t="s">
        <v>136</v>
      </c>
      <c r="F117" s="22" t="s">
        <v>680</v>
      </c>
      <c r="G117" s="22" t="s">
        <v>131</v>
      </c>
      <c r="H117" s="22" t="s">
        <v>131</v>
      </c>
      <c r="I117" s="22" t="n">
        <v>3669</v>
      </c>
      <c r="J117" s="22" t="n">
        <v>3065</v>
      </c>
      <c r="K117" s="22" t="n">
        <v>5667</v>
      </c>
      <c r="L117" s="22" t="n">
        <v>5449</v>
      </c>
      <c r="M117" s="22" t="n">
        <v>3681</v>
      </c>
      <c r="N117" s="22" t="n">
        <v>2902</v>
      </c>
      <c r="O117" s="22" t="n">
        <v>5085</v>
      </c>
      <c r="P117" s="22" t="n">
        <v>2144</v>
      </c>
      <c r="Q117" s="22" t="n">
        <v>2056</v>
      </c>
      <c r="R117" s="22" t="n">
        <v>2190</v>
      </c>
      <c r="S117" s="22" t="n">
        <v>1432</v>
      </c>
      <c r="T117" s="22" t="n">
        <v>854</v>
      </c>
      <c r="U117" s="22" t="n">
        <v>728</v>
      </c>
      <c r="V117" s="22" t="n">
        <v>2328</v>
      </c>
      <c r="W117" s="22" t="n">
        <v>2785</v>
      </c>
      <c r="X117" s="22" t="n">
        <v>724</v>
      </c>
      <c r="Y117" s="22" t="n">
        <v>2829</v>
      </c>
      <c r="Z117" s="22" t="n">
        <v>1895</v>
      </c>
      <c r="AA117" s="22" t="n">
        <v>2128</v>
      </c>
      <c r="AB117" s="22" t="n">
        <v>1785</v>
      </c>
      <c r="AC117" s="22" t="n">
        <v>1286</v>
      </c>
      <c r="AD117" s="22"/>
      <c r="AE117" s="22"/>
      <c r="AF117" s="22"/>
    </row>
    <row r="118" customFormat="false" ht="15" hidden="false" customHeight="false" outlineLevel="0" collapsed="false">
      <c r="A118" s="22" t="s">
        <v>85</v>
      </c>
      <c r="B118" s="22" t="s">
        <v>3</v>
      </c>
      <c r="C118" s="22" t="s">
        <v>85</v>
      </c>
      <c r="D118" s="22" t="n">
        <v>19740</v>
      </c>
      <c r="E118" s="22" t="s">
        <v>136</v>
      </c>
      <c r="F118" s="22" t="s">
        <v>681</v>
      </c>
      <c r="G118" s="22" t="s">
        <v>131</v>
      </c>
      <c r="H118" s="22" t="s">
        <v>131</v>
      </c>
      <c r="I118" s="22" t="n">
        <v>10293</v>
      </c>
      <c r="J118" s="22" t="n">
        <v>12362</v>
      </c>
      <c r="K118" s="22" t="n">
        <v>15427</v>
      </c>
      <c r="L118" s="22" t="n">
        <v>17850</v>
      </c>
      <c r="M118" s="22" t="n">
        <v>17862</v>
      </c>
      <c r="N118" s="22" t="n">
        <v>17699</v>
      </c>
      <c r="O118" s="22" t="n">
        <v>17117</v>
      </c>
      <c r="P118" s="22" t="n">
        <v>13812</v>
      </c>
      <c r="Q118" s="22" t="n">
        <v>12187</v>
      </c>
      <c r="R118" s="22" t="n">
        <v>11475</v>
      </c>
      <c r="S118" s="22" t="n">
        <v>7822</v>
      </c>
      <c r="T118" s="22" t="n">
        <v>6532</v>
      </c>
      <c r="U118" s="22" t="n">
        <v>5204</v>
      </c>
      <c r="V118" s="22" t="n">
        <v>5342</v>
      </c>
      <c r="W118" s="22" t="n">
        <v>6695</v>
      </c>
      <c r="X118" s="22" t="n">
        <v>6565</v>
      </c>
      <c r="Y118" s="22" t="n">
        <v>8666</v>
      </c>
      <c r="Z118" s="22" t="n">
        <v>8233</v>
      </c>
      <c r="AA118" s="22" t="n">
        <v>7576</v>
      </c>
      <c r="AB118" s="22" t="n">
        <v>8637</v>
      </c>
      <c r="AC118" s="22" t="n">
        <v>7094</v>
      </c>
      <c r="AD118" s="22"/>
      <c r="AE118" s="22"/>
      <c r="AF118" s="22"/>
    </row>
    <row r="119" customFormat="false" ht="15" hidden="false" customHeight="false" outlineLevel="0" collapsed="false">
      <c r="A119" s="22" t="s">
        <v>76</v>
      </c>
      <c r="B119" s="22" t="s">
        <v>3</v>
      </c>
      <c r="C119" s="22" t="s">
        <v>76</v>
      </c>
      <c r="D119" s="22" t="n">
        <v>19780</v>
      </c>
      <c r="E119" s="22" t="s">
        <v>132</v>
      </c>
      <c r="F119" s="22" t="s">
        <v>133</v>
      </c>
      <c r="G119" s="22" t="s">
        <v>131</v>
      </c>
      <c r="H119" s="22" t="s">
        <v>131</v>
      </c>
      <c r="I119" s="22" t="n">
        <v>54815</v>
      </c>
      <c r="J119" s="22" t="n">
        <v>54971</v>
      </c>
      <c r="K119" s="22" t="n">
        <v>55220</v>
      </c>
      <c r="L119" s="22" t="n">
        <v>55547</v>
      </c>
      <c r="M119" s="22" t="n">
        <v>55783</v>
      </c>
      <c r="N119" s="22" t="n">
        <v>55972</v>
      </c>
      <c r="O119" s="22" t="n">
        <v>56145</v>
      </c>
      <c r="P119" s="22" t="n">
        <v>56421</v>
      </c>
      <c r="Q119" s="22" t="n">
        <v>56758</v>
      </c>
      <c r="R119" s="22" t="n">
        <v>57205</v>
      </c>
      <c r="S119" s="22" t="n">
        <v>57571</v>
      </c>
      <c r="T119" s="22" t="n">
        <v>57920</v>
      </c>
      <c r="U119" s="22" t="n">
        <v>58491</v>
      </c>
      <c r="V119" s="22" t="n">
        <v>59232</v>
      </c>
      <c r="W119" s="22" t="n">
        <v>59695</v>
      </c>
      <c r="X119" s="22" t="n">
        <v>59904</v>
      </c>
      <c r="Y119" s="22" t="n">
        <v>60080</v>
      </c>
      <c r="Z119" s="22" t="n">
        <v>60353</v>
      </c>
      <c r="AA119" s="22" t="n">
        <v>60457</v>
      </c>
      <c r="AB119" s="22" t="n">
        <v>60490</v>
      </c>
      <c r="AC119" s="22" t="n">
        <v>60685</v>
      </c>
      <c r="AD119" s="22" t="n">
        <v>61118</v>
      </c>
      <c r="AE119" s="22" t="n">
        <v>61437</v>
      </c>
      <c r="AF119" s="22" t="n">
        <v>61938</v>
      </c>
    </row>
    <row r="120" customFormat="false" ht="15" hidden="false" customHeight="false" outlineLevel="0" collapsed="false">
      <c r="A120" s="22" t="s">
        <v>76</v>
      </c>
      <c r="B120" s="22" t="s">
        <v>3</v>
      </c>
      <c r="C120" s="22" t="s">
        <v>76</v>
      </c>
      <c r="D120" s="22" t="n">
        <v>19780</v>
      </c>
      <c r="E120" s="22" t="s">
        <v>136</v>
      </c>
      <c r="F120" s="22" t="s">
        <v>680</v>
      </c>
      <c r="G120" s="22" t="s">
        <v>131</v>
      </c>
      <c r="H120" s="22" t="s">
        <v>131</v>
      </c>
      <c r="I120" s="22" t="n">
        <v>42</v>
      </c>
      <c r="J120" s="22" t="n">
        <v>170</v>
      </c>
      <c r="K120" s="22" t="n">
        <v>847</v>
      </c>
      <c r="L120" s="22" t="n">
        <v>81</v>
      </c>
      <c r="M120" s="22" t="n">
        <v>361</v>
      </c>
      <c r="N120" s="22" t="n">
        <v>391</v>
      </c>
      <c r="O120" s="22" t="n">
        <v>446</v>
      </c>
      <c r="P120" s="22" t="n">
        <v>283</v>
      </c>
      <c r="Q120" s="22" t="n">
        <v>887</v>
      </c>
      <c r="R120" s="22" t="n">
        <v>195</v>
      </c>
      <c r="S120" s="22" t="n">
        <v>40</v>
      </c>
      <c r="T120" s="22" t="n">
        <v>404</v>
      </c>
      <c r="U120" s="22" t="n">
        <v>105</v>
      </c>
      <c r="V120" s="22" t="n">
        <v>293</v>
      </c>
      <c r="W120" s="22" t="n">
        <v>161</v>
      </c>
      <c r="X120" s="22" t="n">
        <v>961</v>
      </c>
      <c r="Y120" s="22" t="n">
        <v>373</v>
      </c>
      <c r="Z120" s="22" t="n">
        <v>411</v>
      </c>
      <c r="AA120" s="22" t="n">
        <v>221</v>
      </c>
      <c r="AB120" s="22" t="n">
        <v>0</v>
      </c>
      <c r="AC120" s="22" t="n">
        <v>82</v>
      </c>
      <c r="AD120" s="22"/>
      <c r="AE120" s="22"/>
      <c r="AF120" s="22"/>
    </row>
    <row r="121" customFormat="false" ht="15" hidden="false" customHeight="false" outlineLevel="0" collapsed="false">
      <c r="A121" s="22" t="s">
        <v>76</v>
      </c>
      <c r="B121" s="22" t="s">
        <v>3</v>
      </c>
      <c r="C121" s="22" t="s">
        <v>76</v>
      </c>
      <c r="D121" s="22" t="n">
        <v>19780</v>
      </c>
      <c r="E121" s="22" t="s">
        <v>136</v>
      </c>
      <c r="F121" s="22" t="s">
        <v>681</v>
      </c>
      <c r="G121" s="22" t="s">
        <v>131</v>
      </c>
      <c r="H121" s="22" t="s">
        <v>131</v>
      </c>
      <c r="I121" s="22" t="n">
        <v>796</v>
      </c>
      <c r="J121" s="22" t="n">
        <v>536</v>
      </c>
      <c r="K121" s="22" t="n">
        <v>1383</v>
      </c>
      <c r="L121" s="22" t="n">
        <v>1140</v>
      </c>
      <c r="M121" s="22" t="n">
        <v>1459</v>
      </c>
      <c r="N121" s="22" t="n">
        <v>1680</v>
      </c>
      <c r="O121" s="22" t="n">
        <v>1279</v>
      </c>
      <c r="P121" s="22" t="n">
        <v>1481</v>
      </c>
      <c r="Q121" s="22" t="n">
        <v>2007</v>
      </c>
      <c r="R121" s="22" t="n">
        <v>1811</v>
      </c>
      <c r="S121" s="22" t="n">
        <v>1405</v>
      </c>
      <c r="T121" s="22" t="n">
        <v>1526</v>
      </c>
      <c r="U121" s="22" t="n">
        <v>744</v>
      </c>
      <c r="V121" s="22" t="n">
        <v>842</v>
      </c>
      <c r="W121" s="22" t="n">
        <v>963</v>
      </c>
      <c r="X121" s="22" t="n">
        <v>1520</v>
      </c>
      <c r="Y121" s="22" t="n">
        <v>1788</v>
      </c>
      <c r="Z121" s="22" t="n">
        <v>1906</v>
      </c>
      <c r="AA121" s="22" t="n">
        <v>1966</v>
      </c>
      <c r="AB121" s="22" t="n">
        <v>1005</v>
      </c>
      <c r="AC121" s="22" t="n">
        <v>714</v>
      </c>
      <c r="AD121" s="22"/>
      <c r="AE121" s="22"/>
      <c r="AF121" s="22"/>
    </row>
    <row r="122" customFormat="false" ht="15" hidden="false" customHeight="false" outlineLevel="0" collapsed="false">
      <c r="A122" s="22" t="s">
        <v>159</v>
      </c>
      <c r="B122" s="22" t="s">
        <v>3</v>
      </c>
      <c r="C122" s="22" t="s">
        <v>159</v>
      </c>
      <c r="D122" s="22" t="n">
        <v>19820</v>
      </c>
      <c r="E122" s="22" t="s">
        <v>132</v>
      </c>
      <c r="F122" s="22" t="s">
        <v>133</v>
      </c>
      <c r="G122" s="22" t="s">
        <v>131</v>
      </c>
      <c r="H122" s="22" t="s">
        <v>131</v>
      </c>
      <c r="I122" s="22" t="n">
        <v>276392</v>
      </c>
      <c r="J122" s="22" t="n">
        <v>277221</v>
      </c>
      <c r="K122" s="22" t="n">
        <v>277937</v>
      </c>
      <c r="L122" s="22" t="n">
        <v>278334</v>
      </c>
      <c r="M122" s="22" t="n">
        <v>278723</v>
      </c>
      <c r="N122" s="22" t="n">
        <v>279039</v>
      </c>
      <c r="O122" s="22" t="n">
        <v>279317</v>
      </c>
      <c r="P122" s="22" t="n">
        <v>279751</v>
      </c>
      <c r="Q122" s="22" t="n">
        <v>280142</v>
      </c>
      <c r="R122" s="22" t="n">
        <v>280665</v>
      </c>
      <c r="S122" s="22" t="n">
        <v>281285</v>
      </c>
      <c r="T122" s="22" t="n">
        <v>281972</v>
      </c>
      <c r="U122" s="22" t="n">
        <v>282450</v>
      </c>
      <c r="V122" s="22" t="n">
        <v>282954</v>
      </c>
      <c r="W122" s="22" t="n">
        <v>283363</v>
      </c>
      <c r="X122" s="22" t="n">
        <v>283620</v>
      </c>
      <c r="Y122" s="22" t="n">
        <v>284182</v>
      </c>
      <c r="Z122" s="22" t="n">
        <v>284440</v>
      </c>
      <c r="AA122" s="22" t="n">
        <v>284605</v>
      </c>
      <c r="AB122" s="22" t="n">
        <v>284816</v>
      </c>
      <c r="AC122" s="22" t="n">
        <v>285677</v>
      </c>
      <c r="AD122" s="22" t="n">
        <v>287058</v>
      </c>
      <c r="AE122" s="22" t="n">
        <v>287312</v>
      </c>
      <c r="AF122" s="22" t="n">
        <v>287451</v>
      </c>
    </row>
    <row r="123" customFormat="false" ht="15" hidden="false" customHeight="false" outlineLevel="0" collapsed="false">
      <c r="A123" s="22" t="s">
        <v>159</v>
      </c>
      <c r="B123" s="22" t="s">
        <v>3</v>
      </c>
      <c r="C123" s="22" t="s">
        <v>159</v>
      </c>
      <c r="D123" s="22" t="n">
        <v>19820</v>
      </c>
      <c r="E123" s="22" t="s">
        <v>136</v>
      </c>
      <c r="F123" s="22" t="s">
        <v>680</v>
      </c>
      <c r="G123" s="22" t="s">
        <v>131</v>
      </c>
      <c r="H123" s="22" t="s">
        <v>131</v>
      </c>
      <c r="I123" s="22" t="n">
        <v>0</v>
      </c>
      <c r="J123" s="22" t="n">
        <v>1699</v>
      </c>
      <c r="K123" s="22" t="n">
        <v>102</v>
      </c>
      <c r="L123" s="22" t="n">
        <v>1155</v>
      </c>
      <c r="M123" s="22" t="n">
        <v>1174</v>
      </c>
      <c r="N123" s="22" t="n">
        <v>350</v>
      </c>
      <c r="O123" s="22" t="n">
        <v>157</v>
      </c>
      <c r="P123" s="22" t="n">
        <v>778</v>
      </c>
      <c r="Q123" s="22" t="n">
        <v>603</v>
      </c>
      <c r="R123" s="22" t="n">
        <v>364</v>
      </c>
      <c r="S123" s="22" t="n">
        <v>110</v>
      </c>
      <c r="T123" s="22" t="n">
        <v>497</v>
      </c>
      <c r="U123" s="22" t="n">
        <v>594</v>
      </c>
      <c r="V123" s="22" t="n">
        <v>212</v>
      </c>
      <c r="W123" s="22" t="n">
        <v>360</v>
      </c>
      <c r="X123" s="22" t="n">
        <v>180</v>
      </c>
      <c r="Y123" s="22" t="n">
        <v>95</v>
      </c>
      <c r="Z123" s="22" t="n">
        <v>235</v>
      </c>
      <c r="AA123" s="22" t="n">
        <v>0</v>
      </c>
      <c r="AB123" s="22" t="n">
        <v>218</v>
      </c>
      <c r="AC123" s="22" t="n">
        <v>137</v>
      </c>
      <c r="AD123" s="22"/>
      <c r="AE123" s="22"/>
      <c r="AF123" s="22"/>
    </row>
    <row r="124" customFormat="false" ht="15" hidden="false" customHeight="false" outlineLevel="0" collapsed="false">
      <c r="A124" s="22" t="s">
        <v>159</v>
      </c>
      <c r="B124" s="22" t="s">
        <v>3</v>
      </c>
      <c r="C124" s="22" t="s">
        <v>159</v>
      </c>
      <c r="D124" s="22" t="n">
        <v>19820</v>
      </c>
      <c r="E124" s="22" t="s">
        <v>136</v>
      </c>
      <c r="F124" s="22" t="s">
        <v>681</v>
      </c>
      <c r="G124" s="22" t="s">
        <v>131</v>
      </c>
      <c r="H124" s="22" t="s">
        <v>131</v>
      </c>
      <c r="I124" s="22" t="n">
        <v>635</v>
      </c>
      <c r="J124" s="22" t="n">
        <v>2334</v>
      </c>
      <c r="K124" s="22" t="n">
        <v>2232</v>
      </c>
      <c r="L124" s="22" t="n">
        <v>2956</v>
      </c>
      <c r="M124" s="22" t="n">
        <v>4130</v>
      </c>
      <c r="N124" s="22" t="n">
        <v>2781</v>
      </c>
      <c r="O124" s="22" t="n">
        <v>2836</v>
      </c>
      <c r="P124" s="22" t="n">
        <v>2459</v>
      </c>
      <c r="Q124" s="22" t="n">
        <v>1888</v>
      </c>
      <c r="R124" s="22" t="n">
        <v>1902</v>
      </c>
      <c r="S124" s="22" t="n">
        <v>1855</v>
      </c>
      <c r="T124" s="22" t="n">
        <v>1574</v>
      </c>
      <c r="U124" s="22" t="n">
        <v>1565</v>
      </c>
      <c r="V124" s="22" t="n">
        <v>1413</v>
      </c>
      <c r="W124" s="22" t="n">
        <v>1663</v>
      </c>
      <c r="X124" s="22" t="n">
        <v>1346</v>
      </c>
      <c r="Y124" s="22" t="n">
        <v>847</v>
      </c>
      <c r="Z124" s="22" t="n">
        <v>870</v>
      </c>
      <c r="AA124" s="22" t="n">
        <v>510</v>
      </c>
      <c r="AB124" s="22" t="n">
        <v>548</v>
      </c>
      <c r="AC124" s="22" t="n">
        <v>590</v>
      </c>
      <c r="AD124" s="22"/>
      <c r="AE124" s="22"/>
      <c r="AF124" s="22"/>
    </row>
    <row r="125" customFormat="false" ht="15" hidden="false" customHeight="false" outlineLevel="0" collapsed="false">
      <c r="A125" s="22" t="s">
        <v>160</v>
      </c>
      <c r="B125" s="22" t="s">
        <v>3</v>
      </c>
      <c r="C125" s="22" t="s">
        <v>160</v>
      </c>
      <c r="D125" s="22" t="n">
        <v>21340</v>
      </c>
      <c r="E125" s="22" t="s">
        <v>132</v>
      </c>
      <c r="F125" s="22" t="s">
        <v>133</v>
      </c>
      <c r="G125" s="22" t="s">
        <v>131</v>
      </c>
      <c r="H125" s="22" t="s">
        <v>131</v>
      </c>
      <c r="I125" s="22" t="n">
        <v>54847</v>
      </c>
      <c r="J125" s="22" t="n">
        <v>54874</v>
      </c>
      <c r="K125" s="22" t="n">
        <v>54922</v>
      </c>
      <c r="L125" s="22" t="n">
        <v>54965</v>
      </c>
      <c r="M125" s="22" t="n">
        <v>55055</v>
      </c>
      <c r="N125" s="22" t="n">
        <v>55085</v>
      </c>
      <c r="O125" s="22" t="n">
        <v>55140</v>
      </c>
      <c r="P125" s="22" t="n">
        <v>55187</v>
      </c>
      <c r="Q125" s="22" t="n">
        <v>55219</v>
      </c>
      <c r="R125" s="22" t="n">
        <v>55249</v>
      </c>
      <c r="S125" s="22" t="n">
        <v>55318</v>
      </c>
      <c r="T125" s="22" t="n">
        <v>55418</v>
      </c>
      <c r="U125" s="22" t="n">
        <v>55538</v>
      </c>
      <c r="V125" s="22" t="n">
        <v>55829</v>
      </c>
      <c r="W125" s="22" t="n">
        <v>55959</v>
      </c>
      <c r="X125" s="22" t="n">
        <v>55959</v>
      </c>
      <c r="Y125" s="22" t="n">
        <v>55959</v>
      </c>
      <c r="Z125" s="22" t="n">
        <v>55959</v>
      </c>
      <c r="AA125" s="22" t="n">
        <v>55989</v>
      </c>
      <c r="AB125" s="22" t="n">
        <v>56079</v>
      </c>
      <c r="AC125" s="22" t="n">
        <v>56109</v>
      </c>
      <c r="AD125" s="22" t="n">
        <v>56109</v>
      </c>
      <c r="AE125" s="22" t="n">
        <v>56209</v>
      </c>
      <c r="AF125" s="22" t="n">
        <v>56309</v>
      </c>
    </row>
    <row r="126" customFormat="false" ht="15" hidden="false" customHeight="false" outlineLevel="0" collapsed="false">
      <c r="A126" s="22" t="s">
        <v>160</v>
      </c>
      <c r="B126" s="22" t="s">
        <v>3</v>
      </c>
      <c r="C126" s="22" t="s">
        <v>160</v>
      </c>
      <c r="D126" s="22" t="n">
        <v>21340</v>
      </c>
      <c r="E126" s="22" t="s">
        <v>136</v>
      </c>
      <c r="F126" s="22" t="s">
        <v>680</v>
      </c>
      <c r="G126" s="22" t="s">
        <v>131</v>
      </c>
      <c r="H126" s="22" t="s">
        <v>131</v>
      </c>
      <c r="I126" s="22" t="n">
        <v>0</v>
      </c>
      <c r="J126" s="22" t="n">
        <v>225</v>
      </c>
      <c r="K126" s="22" t="n">
        <v>124</v>
      </c>
      <c r="L126" s="22" t="n">
        <v>0</v>
      </c>
      <c r="M126" s="22" t="n">
        <v>0</v>
      </c>
      <c r="N126" s="22" t="n">
        <v>0</v>
      </c>
      <c r="O126" s="22" t="n">
        <v>0</v>
      </c>
      <c r="P126" s="22" t="n">
        <v>343</v>
      </c>
      <c r="Q126" s="22" t="n">
        <v>94</v>
      </c>
      <c r="R126" s="22" t="n">
        <v>0</v>
      </c>
      <c r="S126" s="22" t="n">
        <v>0</v>
      </c>
      <c r="T126" s="22" t="n">
        <v>0</v>
      </c>
      <c r="U126" s="22" t="n">
        <v>150</v>
      </c>
      <c r="V126" s="22" t="n">
        <v>0</v>
      </c>
      <c r="W126" s="22" t="n">
        <v>0</v>
      </c>
      <c r="X126" s="22" t="n">
        <v>0</v>
      </c>
      <c r="Y126" s="22" t="n">
        <v>200</v>
      </c>
      <c r="Z126" s="22" t="n">
        <v>0</v>
      </c>
      <c r="AA126" s="22" t="n">
        <v>0</v>
      </c>
      <c r="AB126" s="22" t="n">
        <v>0</v>
      </c>
      <c r="AC126" s="22" t="n">
        <v>0</v>
      </c>
      <c r="AD126" s="22"/>
      <c r="AE126" s="22"/>
      <c r="AF126" s="22"/>
    </row>
    <row r="127" customFormat="false" ht="15" hidden="false" customHeight="false" outlineLevel="0" collapsed="false">
      <c r="A127" s="22" t="s">
        <v>160</v>
      </c>
      <c r="B127" s="22" t="s">
        <v>3</v>
      </c>
      <c r="C127" s="22" t="s">
        <v>160</v>
      </c>
      <c r="D127" s="22" t="n">
        <v>21340</v>
      </c>
      <c r="E127" s="22" t="s">
        <v>136</v>
      </c>
      <c r="F127" s="22" t="s">
        <v>681</v>
      </c>
      <c r="G127" s="22" t="s">
        <v>131</v>
      </c>
      <c r="H127" s="22" t="s">
        <v>131</v>
      </c>
      <c r="I127" s="22" t="n">
        <v>175</v>
      </c>
      <c r="J127" s="22" t="n">
        <v>400</v>
      </c>
      <c r="K127" s="22" t="n">
        <v>349</v>
      </c>
      <c r="L127" s="22" t="n">
        <v>349</v>
      </c>
      <c r="M127" s="22" t="n">
        <v>349</v>
      </c>
      <c r="N127" s="22" t="n">
        <v>124</v>
      </c>
      <c r="O127" s="22" t="n">
        <v>0</v>
      </c>
      <c r="P127" s="22" t="n">
        <v>343</v>
      </c>
      <c r="Q127" s="22" t="n">
        <v>437</v>
      </c>
      <c r="R127" s="22" t="n">
        <v>437</v>
      </c>
      <c r="S127" s="22" t="n">
        <v>437</v>
      </c>
      <c r="T127" s="22" t="n">
        <v>94</v>
      </c>
      <c r="U127" s="22" t="n">
        <v>150</v>
      </c>
      <c r="V127" s="22" t="n">
        <v>150</v>
      </c>
      <c r="W127" s="22" t="n">
        <v>150</v>
      </c>
      <c r="X127" s="22" t="n">
        <v>150</v>
      </c>
      <c r="Y127" s="22" t="n">
        <v>200</v>
      </c>
      <c r="Z127" s="22" t="n">
        <v>200</v>
      </c>
      <c r="AA127" s="22" t="n">
        <v>200</v>
      </c>
      <c r="AB127" s="22" t="n">
        <v>200</v>
      </c>
      <c r="AC127" s="22" t="n">
        <v>0</v>
      </c>
      <c r="AD127" s="22"/>
      <c r="AE127" s="22"/>
      <c r="AF127" s="22"/>
    </row>
    <row r="128" customFormat="false" ht="15" hidden="false" customHeight="false" outlineLevel="0" collapsed="false">
      <c r="A128" s="22" t="s">
        <v>161</v>
      </c>
      <c r="B128" s="22" t="s">
        <v>3</v>
      </c>
      <c r="C128" s="22" t="s">
        <v>161</v>
      </c>
      <c r="D128" s="22" t="n">
        <v>21660</v>
      </c>
      <c r="E128" s="22" t="s">
        <v>132</v>
      </c>
      <c r="F128" s="22" t="s">
        <v>133</v>
      </c>
      <c r="G128" s="22" t="s">
        <v>131</v>
      </c>
      <c r="H128" s="22" t="s">
        <v>131</v>
      </c>
      <c r="I128" s="22" t="n">
        <v>25195</v>
      </c>
      <c r="J128" s="22" t="n">
        <v>25119</v>
      </c>
      <c r="K128" s="22" t="n">
        <v>25155</v>
      </c>
      <c r="L128" s="22" t="n">
        <v>25173</v>
      </c>
      <c r="M128" s="22" t="n">
        <v>25229</v>
      </c>
      <c r="N128" s="22" t="n">
        <v>25276</v>
      </c>
      <c r="O128" s="22" t="n">
        <v>25500</v>
      </c>
      <c r="P128" s="22" t="n">
        <v>25806</v>
      </c>
      <c r="Q128" s="22" t="n">
        <v>25902</v>
      </c>
      <c r="R128" s="22" t="n">
        <v>25912</v>
      </c>
      <c r="S128" s="22" t="n">
        <v>25912</v>
      </c>
      <c r="T128" s="22" t="n">
        <v>25997</v>
      </c>
      <c r="U128" s="22" t="n">
        <v>25997</v>
      </c>
      <c r="V128" s="22" t="n">
        <v>26205</v>
      </c>
      <c r="W128" s="22" t="n">
        <v>26267</v>
      </c>
      <c r="X128" s="22" t="n">
        <v>26267</v>
      </c>
      <c r="Y128" s="22" t="n">
        <v>26360</v>
      </c>
      <c r="Z128" s="22" t="n">
        <v>26509</v>
      </c>
      <c r="AA128" s="22" t="n">
        <v>26465</v>
      </c>
      <c r="AB128" s="22" t="n">
        <v>26465</v>
      </c>
      <c r="AC128" s="22" t="n">
        <v>26465</v>
      </c>
      <c r="AD128" s="22" t="n">
        <v>26465</v>
      </c>
      <c r="AE128" s="22" t="n">
        <v>26465</v>
      </c>
      <c r="AF128" s="22" t="n">
        <v>26465</v>
      </c>
    </row>
    <row r="129" customFormat="false" ht="15" hidden="false" customHeight="false" outlineLevel="0" collapsed="false">
      <c r="A129" s="22" t="s">
        <v>161</v>
      </c>
      <c r="B129" s="22" t="s">
        <v>3</v>
      </c>
      <c r="C129" s="22" t="s">
        <v>161</v>
      </c>
      <c r="D129" s="22" t="n">
        <v>21660</v>
      </c>
      <c r="E129" s="22" t="s">
        <v>136</v>
      </c>
      <c r="F129" s="22" t="s">
        <v>680</v>
      </c>
      <c r="G129" s="22" t="s">
        <v>131</v>
      </c>
      <c r="H129" s="22" t="s">
        <v>131</v>
      </c>
      <c r="I129" s="22" t="n">
        <v>93</v>
      </c>
      <c r="J129" s="22" t="n">
        <v>478</v>
      </c>
      <c r="K129" s="22" t="n">
        <v>0</v>
      </c>
      <c r="L129" s="22" t="n">
        <v>0</v>
      </c>
      <c r="M129" s="22" t="n">
        <v>0</v>
      </c>
      <c r="N129" s="22" t="n">
        <v>85</v>
      </c>
      <c r="O129" s="22" t="n">
        <v>84</v>
      </c>
      <c r="P129" s="22" t="n">
        <v>186</v>
      </c>
      <c r="Q129" s="22" t="n">
        <v>130</v>
      </c>
      <c r="R129" s="22" t="n">
        <v>0</v>
      </c>
      <c r="S129" s="22" t="n">
        <v>0</v>
      </c>
      <c r="T129" s="22" t="n">
        <v>0</v>
      </c>
      <c r="U129" s="22" t="n">
        <v>0</v>
      </c>
      <c r="V129" s="22" t="n">
        <v>168</v>
      </c>
      <c r="W129" s="22" t="n">
        <v>0</v>
      </c>
      <c r="X129" s="22" t="n">
        <v>0</v>
      </c>
      <c r="Y129" s="22" t="n">
        <v>0</v>
      </c>
      <c r="Z129" s="22" t="n">
        <v>0</v>
      </c>
      <c r="AA129" s="22" t="n">
        <v>0</v>
      </c>
      <c r="AB129" s="22" t="n">
        <v>0</v>
      </c>
      <c r="AC129" s="22" t="n">
        <v>24</v>
      </c>
      <c r="AD129" s="22"/>
      <c r="AE129" s="22"/>
      <c r="AF129" s="22"/>
    </row>
    <row r="130" customFormat="false" ht="15" hidden="false" customHeight="false" outlineLevel="0" collapsed="false">
      <c r="A130" s="22" t="s">
        <v>161</v>
      </c>
      <c r="B130" s="22" t="s">
        <v>3</v>
      </c>
      <c r="C130" s="22" t="s">
        <v>161</v>
      </c>
      <c r="D130" s="22" t="n">
        <v>21660</v>
      </c>
      <c r="E130" s="22" t="s">
        <v>136</v>
      </c>
      <c r="F130" s="22" t="s">
        <v>681</v>
      </c>
      <c r="G130" s="22" t="s">
        <v>131</v>
      </c>
      <c r="H130" s="22" t="s">
        <v>131</v>
      </c>
      <c r="I130" s="22" t="n">
        <v>93</v>
      </c>
      <c r="J130" s="22" t="n">
        <v>571</v>
      </c>
      <c r="K130" s="22" t="n">
        <v>571</v>
      </c>
      <c r="L130" s="22" t="n">
        <v>571</v>
      </c>
      <c r="M130" s="22" t="n">
        <v>478</v>
      </c>
      <c r="N130" s="22" t="n">
        <v>85</v>
      </c>
      <c r="O130" s="22" t="n">
        <v>169</v>
      </c>
      <c r="P130" s="22" t="n">
        <v>355</v>
      </c>
      <c r="Q130" s="22" t="n">
        <v>485</v>
      </c>
      <c r="R130" s="22" t="n">
        <v>400</v>
      </c>
      <c r="S130" s="22" t="n">
        <v>316</v>
      </c>
      <c r="T130" s="22" t="n">
        <v>130</v>
      </c>
      <c r="U130" s="22" t="n">
        <v>0</v>
      </c>
      <c r="V130" s="22" t="n">
        <v>168</v>
      </c>
      <c r="W130" s="22" t="n">
        <v>168</v>
      </c>
      <c r="X130" s="22" t="n">
        <v>168</v>
      </c>
      <c r="Y130" s="22" t="n">
        <v>168</v>
      </c>
      <c r="Z130" s="22" t="n">
        <v>0</v>
      </c>
      <c r="AA130" s="22" t="n">
        <v>0</v>
      </c>
      <c r="AB130" s="22" t="n">
        <v>0</v>
      </c>
      <c r="AC130" s="22" t="n">
        <v>24</v>
      </c>
      <c r="AD130" s="22"/>
      <c r="AE130" s="22"/>
      <c r="AF130" s="22"/>
    </row>
    <row r="131" customFormat="false" ht="15" hidden="false" customHeight="false" outlineLevel="0" collapsed="false">
      <c r="A131" s="22" t="s">
        <v>162</v>
      </c>
      <c r="B131" s="22" t="s">
        <v>3</v>
      </c>
      <c r="C131" s="22" t="s">
        <v>162</v>
      </c>
      <c r="D131" s="22" t="n">
        <v>22020</v>
      </c>
      <c r="E131" s="22" t="s">
        <v>132</v>
      </c>
      <c r="F131" s="22" t="s">
        <v>133</v>
      </c>
      <c r="G131" s="22" t="s">
        <v>131</v>
      </c>
      <c r="H131" s="22" t="s">
        <v>131</v>
      </c>
      <c r="I131" s="22" t="n">
        <v>35974</v>
      </c>
      <c r="J131" s="22" t="n">
        <v>36324</v>
      </c>
      <c r="K131" s="22" t="n">
        <v>36475</v>
      </c>
      <c r="L131" s="22" t="n">
        <v>36516</v>
      </c>
      <c r="M131" s="22" t="n">
        <v>36635</v>
      </c>
      <c r="N131" s="22" t="n">
        <v>36960</v>
      </c>
      <c r="O131" s="22" t="n">
        <v>36968</v>
      </c>
      <c r="P131" s="22" t="n">
        <v>37092</v>
      </c>
      <c r="Q131" s="22" t="n">
        <v>37156</v>
      </c>
      <c r="R131" s="22" t="n">
        <v>37440</v>
      </c>
      <c r="S131" s="22" t="n">
        <v>37708</v>
      </c>
      <c r="T131" s="22" t="n">
        <v>38088</v>
      </c>
      <c r="U131" s="22" t="n">
        <v>38580</v>
      </c>
      <c r="V131" s="22" t="n">
        <v>38776</v>
      </c>
      <c r="W131" s="22" t="n">
        <v>39035</v>
      </c>
      <c r="X131" s="22" t="n">
        <v>39065</v>
      </c>
      <c r="Y131" s="22" t="n">
        <v>39102</v>
      </c>
      <c r="Z131" s="22" t="n">
        <v>39138</v>
      </c>
      <c r="AA131" s="22" t="n">
        <v>39192</v>
      </c>
      <c r="AB131" s="22" t="n">
        <v>39228</v>
      </c>
      <c r="AC131" s="22" t="n">
        <v>39228</v>
      </c>
      <c r="AD131" s="22" t="n">
        <v>39228</v>
      </c>
      <c r="AE131" s="22" t="n">
        <v>39361</v>
      </c>
      <c r="AF131" s="22" t="n">
        <v>39424</v>
      </c>
    </row>
    <row r="132" customFormat="false" ht="15" hidden="false" customHeight="false" outlineLevel="0" collapsed="false">
      <c r="A132" s="22" t="s">
        <v>162</v>
      </c>
      <c r="B132" s="22" t="s">
        <v>3</v>
      </c>
      <c r="C132" s="22" t="s">
        <v>162</v>
      </c>
      <c r="D132" s="22" t="n">
        <v>22020</v>
      </c>
      <c r="E132" s="22" t="s">
        <v>136</v>
      </c>
      <c r="F132" s="22" t="s">
        <v>680</v>
      </c>
      <c r="G132" s="22" t="s">
        <v>131</v>
      </c>
      <c r="H132" s="22" t="s">
        <v>131</v>
      </c>
      <c r="I132" s="22" t="n">
        <v>0</v>
      </c>
      <c r="J132" s="22" t="n">
        <v>758</v>
      </c>
      <c r="K132" s="22" t="n">
        <v>93</v>
      </c>
      <c r="L132" s="22" t="n">
        <v>110</v>
      </c>
      <c r="M132" s="22" t="n">
        <v>474</v>
      </c>
      <c r="N132" s="22" t="n">
        <v>53</v>
      </c>
      <c r="O132" s="22" t="n">
        <v>282</v>
      </c>
      <c r="P132" s="22" t="n">
        <v>315</v>
      </c>
      <c r="Q132" s="22" t="n">
        <v>37</v>
      </c>
      <c r="R132" s="22" t="n">
        <v>89</v>
      </c>
      <c r="S132" s="22" t="n">
        <v>126</v>
      </c>
      <c r="T132" s="22" t="n">
        <v>0</v>
      </c>
      <c r="U132" s="22" t="n">
        <v>168</v>
      </c>
      <c r="V132" s="22" t="n">
        <v>0</v>
      </c>
      <c r="W132" s="22" t="n">
        <v>0</v>
      </c>
      <c r="X132" s="22" t="n">
        <v>0</v>
      </c>
      <c r="Y132" s="22" t="n">
        <v>0</v>
      </c>
      <c r="Z132" s="22" t="n">
        <v>28</v>
      </c>
      <c r="AA132" s="22" t="n">
        <v>0</v>
      </c>
      <c r="AB132" s="22" t="n">
        <v>0</v>
      </c>
      <c r="AC132" s="22" t="n">
        <v>0</v>
      </c>
      <c r="AD132" s="22"/>
      <c r="AE132" s="22"/>
      <c r="AF132" s="22"/>
    </row>
    <row r="133" customFormat="false" ht="15" hidden="false" customHeight="false" outlineLevel="0" collapsed="false">
      <c r="A133" s="22" t="s">
        <v>162</v>
      </c>
      <c r="B133" s="22" t="s">
        <v>3</v>
      </c>
      <c r="C133" s="22" t="s">
        <v>162</v>
      </c>
      <c r="D133" s="22" t="n">
        <v>22020</v>
      </c>
      <c r="E133" s="22" t="s">
        <v>136</v>
      </c>
      <c r="F133" s="22" t="s">
        <v>681</v>
      </c>
      <c r="G133" s="22" t="s">
        <v>131</v>
      </c>
      <c r="H133" s="22" t="s">
        <v>131</v>
      </c>
      <c r="I133" s="22" t="n">
        <v>648</v>
      </c>
      <c r="J133" s="22" t="n">
        <v>1054</v>
      </c>
      <c r="K133" s="22" t="n">
        <v>884</v>
      </c>
      <c r="L133" s="22" t="n">
        <v>961</v>
      </c>
      <c r="M133" s="22" t="n">
        <v>1435</v>
      </c>
      <c r="N133" s="22" t="n">
        <v>730</v>
      </c>
      <c r="O133" s="22" t="n">
        <v>919</v>
      </c>
      <c r="P133" s="22" t="n">
        <v>1124</v>
      </c>
      <c r="Q133" s="22" t="n">
        <v>687</v>
      </c>
      <c r="R133" s="22" t="n">
        <v>723</v>
      </c>
      <c r="S133" s="22" t="n">
        <v>567</v>
      </c>
      <c r="T133" s="22" t="n">
        <v>252</v>
      </c>
      <c r="U133" s="22" t="n">
        <v>383</v>
      </c>
      <c r="V133" s="22" t="n">
        <v>294</v>
      </c>
      <c r="W133" s="22" t="n">
        <v>168</v>
      </c>
      <c r="X133" s="22" t="n">
        <v>168</v>
      </c>
      <c r="Y133" s="22" t="n">
        <v>0</v>
      </c>
      <c r="Z133" s="22" t="n">
        <v>28</v>
      </c>
      <c r="AA133" s="22" t="n">
        <v>28</v>
      </c>
      <c r="AB133" s="22" t="n">
        <v>28</v>
      </c>
      <c r="AC133" s="22" t="n">
        <v>28</v>
      </c>
      <c r="AD133" s="22"/>
      <c r="AE133" s="22"/>
      <c r="AF133" s="22"/>
    </row>
    <row r="134" customFormat="false" ht="15" hidden="false" customHeight="false" outlineLevel="0" collapsed="false">
      <c r="A134" s="22" t="s">
        <v>163</v>
      </c>
      <c r="B134" s="22" t="s">
        <v>3</v>
      </c>
      <c r="C134" s="22" t="s">
        <v>163</v>
      </c>
      <c r="D134" s="22" t="n">
        <v>22180</v>
      </c>
      <c r="E134" s="22" t="s">
        <v>132</v>
      </c>
      <c r="F134" s="22" t="s">
        <v>133</v>
      </c>
      <c r="G134" s="22" t="s">
        <v>131</v>
      </c>
      <c r="H134" s="22" t="s">
        <v>131</v>
      </c>
      <c r="I134" s="22" t="n">
        <v>25620</v>
      </c>
      <c r="J134" s="22" t="n">
        <v>25620</v>
      </c>
      <c r="K134" s="22" t="n">
        <v>25620</v>
      </c>
      <c r="L134" s="22" t="n">
        <v>25620</v>
      </c>
      <c r="M134" s="22" t="n">
        <v>25620</v>
      </c>
      <c r="N134" s="22" t="n">
        <v>25620</v>
      </c>
      <c r="O134" s="22" t="n">
        <v>25620</v>
      </c>
      <c r="P134" s="22" t="n">
        <v>25620</v>
      </c>
      <c r="Q134" s="22" t="n">
        <v>25734</v>
      </c>
      <c r="R134" s="22" t="n">
        <v>25812</v>
      </c>
      <c r="S134" s="22" t="n">
        <v>25838</v>
      </c>
      <c r="T134" s="22" t="n">
        <v>25700</v>
      </c>
      <c r="U134" s="22" t="n">
        <v>26034</v>
      </c>
      <c r="V134" s="22" t="n">
        <v>26115</v>
      </c>
      <c r="W134" s="22" t="n">
        <v>26166</v>
      </c>
      <c r="X134" s="22" t="n">
        <v>26217</v>
      </c>
      <c r="Y134" s="22" t="n">
        <v>26268</v>
      </c>
      <c r="Z134" s="22" t="n">
        <v>26439</v>
      </c>
      <c r="AA134" s="22" t="n">
        <v>26731</v>
      </c>
      <c r="AB134" s="22" t="n">
        <v>26867</v>
      </c>
      <c r="AC134" s="22" t="n">
        <v>26871</v>
      </c>
      <c r="AD134" s="22" t="n">
        <v>26875</v>
      </c>
      <c r="AE134" s="22" t="n">
        <v>26875</v>
      </c>
      <c r="AF134" s="22" t="n">
        <v>26875</v>
      </c>
    </row>
    <row r="135" customFormat="false" ht="15" hidden="false" customHeight="false" outlineLevel="0" collapsed="false">
      <c r="A135" s="22" t="s">
        <v>163</v>
      </c>
      <c r="B135" s="22" t="s">
        <v>3</v>
      </c>
      <c r="C135" s="22" t="s">
        <v>163</v>
      </c>
      <c r="D135" s="22" t="n">
        <v>22180</v>
      </c>
      <c r="E135" s="22" t="s">
        <v>136</v>
      </c>
      <c r="F135" s="22" t="s">
        <v>680</v>
      </c>
      <c r="G135" s="22" t="s">
        <v>131</v>
      </c>
      <c r="H135" s="22" t="s">
        <v>131</v>
      </c>
      <c r="I135" s="22" t="n">
        <v>0</v>
      </c>
      <c r="J135" s="22" t="n">
        <v>0</v>
      </c>
      <c r="K135" s="22" t="n">
        <v>192</v>
      </c>
      <c r="L135" s="22" t="n">
        <v>0</v>
      </c>
      <c r="M135" s="22" t="n">
        <v>0</v>
      </c>
      <c r="N135" s="22" t="n">
        <v>264</v>
      </c>
      <c r="O135" s="22" t="n">
        <v>0</v>
      </c>
      <c r="P135" s="22" t="n">
        <v>0</v>
      </c>
      <c r="Q135" s="22" t="n">
        <v>655</v>
      </c>
      <c r="R135" s="22" t="n">
        <v>360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0</v>
      </c>
      <c r="Y135" s="22" t="n">
        <v>0</v>
      </c>
      <c r="Z135" s="22" t="n">
        <v>0</v>
      </c>
      <c r="AA135" s="22" t="n">
        <v>0</v>
      </c>
      <c r="AB135" s="22" t="n">
        <v>0</v>
      </c>
      <c r="AC135" s="22" t="n">
        <v>0</v>
      </c>
      <c r="AD135" s="22"/>
      <c r="AE135" s="22"/>
      <c r="AF135" s="22"/>
    </row>
    <row r="136" customFormat="false" ht="15" hidden="false" customHeight="false" outlineLevel="0" collapsed="false">
      <c r="A136" s="22" t="s">
        <v>163</v>
      </c>
      <c r="B136" s="22" t="s">
        <v>3</v>
      </c>
      <c r="C136" s="22" t="s">
        <v>163</v>
      </c>
      <c r="D136" s="22" t="n">
        <v>22180</v>
      </c>
      <c r="E136" s="22" t="s">
        <v>136</v>
      </c>
      <c r="F136" s="22" t="s">
        <v>681</v>
      </c>
      <c r="G136" s="22" t="s">
        <v>131</v>
      </c>
      <c r="H136" s="22" t="s">
        <v>131</v>
      </c>
      <c r="I136" s="22" t="n">
        <v>0</v>
      </c>
      <c r="J136" s="22" t="n">
        <v>0</v>
      </c>
      <c r="K136" s="22" t="n">
        <v>192</v>
      </c>
      <c r="L136" s="22" t="n">
        <v>192</v>
      </c>
      <c r="M136" s="22" t="n">
        <v>192</v>
      </c>
      <c r="N136" s="22" t="n">
        <v>456</v>
      </c>
      <c r="O136" s="22" t="n">
        <v>264</v>
      </c>
      <c r="P136" s="22" t="n">
        <v>264</v>
      </c>
      <c r="Q136" s="22" t="n">
        <v>919</v>
      </c>
      <c r="R136" s="22" t="n">
        <v>1015</v>
      </c>
      <c r="S136" s="22" t="n">
        <v>1015</v>
      </c>
      <c r="T136" s="22" t="n">
        <v>1015</v>
      </c>
      <c r="U136" s="22" t="n">
        <v>360</v>
      </c>
      <c r="V136" s="22" t="n">
        <v>0</v>
      </c>
      <c r="W136" s="22" t="n">
        <v>0</v>
      </c>
      <c r="X136" s="22" t="n">
        <v>0</v>
      </c>
      <c r="Y136" s="22" t="n">
        <v>0</v>
      </c>
      <c r="Z136" s="22" t="n">
        <v>0</v>
      </c>
      <c r="AA136" s="22" t="n">
        <v>0</v>
      </c>
      <c r="AB136" s="22" t="n">
        <v>0</v>
      </c>
      <c r="AC136" s="22" t="n">
        <v>0</v>
      </c>
      <c r="AD136" s="22"/>
      <c r="AE136" s="22"/>
      <c r="AF136" s="22"/>
    </row>
    <row r="137" customFormat="false" ht="15" hidden="false" customHeight="false" outlineLevel="0" collapsed="false">
      <c r="A137" s="22" t="s">
        <v>36</v>
      </c>
      <c r="B137" s="22" t="s">
        <v>3</v>
      </c>
      <c r="C137" s="22" t="s">
        <v>36</v>
      </c>
      <c r="D137" s="22" t="n">
        <v>22220</v>
      </c>
      <c r="E137" s="22" t="s">
        <v>132</v>
      </c>
      <c r="F137" s="22" t="s">
        <v>133</v>
      </c>
      <c r="G137" s="22" t="s">
        <v>131</v>
      </c>
      <c r="H137" s="22" t="s">
        <v>131</v>
      </c>
      <c r="I137" s="22" t="n">
        <v>36960</v>
      </c>
      <c r="J137" s="22" t="n">
        <v>37412</v>
      </c>
      <c r="K137" s="22" t="n">
        <v>37541</v>
      </c>
      <c r="L137" s="22" t="n">
        <v>37691</v>
      </c>
      <c r="M137" s="22" t="n">
        <v>38071</v>
      </c>
      <c r="N137" s="22" t="n">
        <v>38612</v>
      </c>
      <c r="O137" s="22" t="n">
        <v>38808</v>
      </c>
      <c r="P137" s="22" t="n">
        <v>38878</v>
      </c>
      <c r="Q137" s="22" t="n">
        <v>39080</v>
      </c>
      <c r="R137" s="22" t="n">
        <v>39534</v>
      </c>
      <c r="S137" s="22" t="n">
        <v>39888</v>
      </c>
      <c r="T137" s="22" t="n">
        <v>40527</v>
      </c>
      <c r="U137" s="22" t="n">
        <v>41163</v>
      </c>
      <c r="V137" s="22" t="n">
        <v>41545</v>
      </c>
      <c r="W137" s="22" t="n">
        <v>42067</v>
      </c>
      <c r="X137" s="22" t="n">
        <v>42285</v>
      </c>
      <c r="Y137" s="22" t="n">
        <v>42536</v>
      </c>
      <c r="Z137" s="22" t="n">
        <v>43014</v>
      </c>
      <c r="AA137" s="22" t="n">
        <v>43415</v>
      </c>
      <c r="AB137" s="22" t="n">
        <v>43640</v>
      </c>
      <c r="AC137" s="22" t="n">
        <v>43883</v>
      </c>
      <c r="AD137" s="22" t="n">
        <v>44040</v>
      </c>
      <c r="AE137" s="22" t="n">
        <v>44382</v>
      </c>
      <c r="AF137" s="22" t="n">
        <v>45297</v>
      </c>
    </row>
    <row r="138" customFormat="false" ht="15" hidden="false" customHeight="false" outlineLevel="0" collapsed="false">
      <c r="A138" s="22" t="s">
        <v>36</v>
      </c>
      <c r="B138" s="22" t="s">
        <v>3</v>
      </c>
      <c r="C138" s="22" t="s">
        <v>36</v>
      </c>
      <c r="D138" s="22" t="n">
        <v>22220</v>
      </c>
      <c r="E138" s="22" t="s">
        <v>136</v>
      </c>
      <c r="F138" s="22" t="s">
        <v>680</v>
      </c>
      <c r="G138" s="22" t="s">
        <v>131</v>
      </c>
      <c r="H138" s="22" t="s">
        <v>131</v>
      </c>
      <c r="I138" s="22" t="n">
        <v>0</v>
      </c>
      <c r="J138" s="22" t="n">
        <v>519</v>
      </c>
      <c r="K138" s="22" t="n">
        <v>270</v>
      </c>
      <c r="L138" s="22" t="n">
        <v>160</v>
      </c>
      <c r="M138" s="22" t="n">
        <v>404</v>
      </c>
      <c r="N138" s="22" t="n">
        <v>201</v>
      </c>
      <c r="O138" s="22" t="n">
        <v>349</v>
      </c>
      <c r="P138" s="22" t="n">
        <v>931</v>
      </c>
      <c r="Q138" s="22" t="n">
        <v>76</v>
      </c>
      <c r="R138" s="22" t="n">
        <v>514</v>
      </c>
      <c r="S138" s="22" t="n">
        <v>508</v>
      </c>
      <c r="T138" s="22" t="n">
        <v>86</v>
      </c>
      <c r="U138" s="22" t="n">
        <v>0</v>
      </c>
      <c r="V138" s="22" t="n">
        <v>177</v>
      </c>
      <c r="W138" s="22" t="n">
        <v>207</v>
      </c>
      <c r="X138" s="22" t="n">
        <v>767</v>
      </c>
      <c r="Y138" s="22" t="n">
        <v>221</v>
      </c>
      <c r="Z138" s="22" t="n">
        <v>185</v>
      </c>
      <c r="AA138" s="22" t="n">
        <v>722</v>
      </c>
      <c r="AB138" s="22" t="n">
        <v>0</v>
      </c>
      <c r="AC138" s="22" t="n">
        <v>0</v>
      </c>
      <c r="AD138" s="22"/>
      <c r="AE138" s="22"/>
      <c r="AF138" s="22"/>
    </row>
    <row r="139" customFormat="false" ht="15" hidden="false" customHeight="false" outlineLevel="0" collapsed="false">
      <c r="A139" s="22" t="s">
        <v>36</v>
      </c>
      <c r="B139" s="22" t="s">
        <v>3</v>
      </c>
      <c r="C139" s="22" t="s">
        <v>36</v>
      </c>
      <c r="D139" s="22" t="n">
        <v>22220</v>
      </c>
      <c r="E139" s="22" t="s">
        <v>136</v>
      </c>
      <c r="F139" s="22" t="s">
        <v>681</v>
      </c>
      <c r="G139" s="22" t="s">
        <v>131</v>
      </c>
      <c r="H139" s="22" t="s">
        <v>131</v>
      </c>
      <c r="I139" s="22" t="n">
        <v>719</v>
      </c>
      <c r="J139" s="22" t="n">
        <v>946</v>
      </c>
      <c r="K139" s="22" t="n">
        <v>789</v>
      </c>
      <c r="L139" s="22" t="n">
        <v>949</v>
      </c>
      <c r="M139" s="22" t="n">
        <v>1353</v>
      </c>
      <c r="N139" s="22" t="n">
        <v>1035</v>
      </c>
      <c r="O139" s="22" t="n">
        <v>1114</v>
      </c>
      <c r="P139" s="22" t="n">
        <v>1885</v>
      </c>
      <c r="Q139" s="22" t="n">
        <v>1557</v>
      </c>
      <c r="R139" s="22" t="n">
        <v>1870</v>
      </c>
      <c r="S139" s="22" t="n">
        <v>2029</v>
      </c>
      <c r="T139" s="22" t="n">
        <v>1184</v>
      </c>
      <c r="U139" s="22" t="n">
        <v>1108</v>
      </c>
      <c r="V139" s="22" t="n">
        <v>771</v>
      </c>
      <c r="W139" s="22" t="n">
        <v>470</v>
      </c>
      <c r="X139" s="22" t="n">
        <v>1151</v>
      </c>
      <c r="Y139" s="22" t="n">
        <v>1372</v>
      </c>
      <c r="Z139" s="22" t="n">
        <v>1380</v>
      </c>
      <c r="AA139" s="22" t="n">
        <v>1895</v>
      </c>
      <c r="AB139" s="22" t="n">
        <v>1128</v>
      </c>
      <c r="AC139" s="22" t="n">
        <v>907</v>
      </c>
      <c r="AD139" s="22"/>
      <c r="AE139" s="22"/>
      <c r="AF139" s="22"/>
    </row>
    <row r="140" customFormat="false" ht="15" hidden="false" customHeight="false" outlineLevel="0" collapsed="false">
      <c r="A140" s="22" t="s">
        <v>164</v>
      </c>
      <c r="B140" s="22" t="s">
        <v>3</v>
      </c>
      <c r="C140" s="22" t="s">
        <v>164</v>
      </c>
      <c r="D140" s="22" t="n">
        <v>22420</v>
      </c>
      <c r="E140" s="22" t="s">
        <v>132</v>
      </c>
      <c r="F140" s="22" t="s">
        <v>133</v>
      </c>
      <c r="G140" s="22" t="s">
        <v>131</v>
      </c>
      <c r="H140" s="22" t="s">
        <v>131</v>
      </c>
      <c r="I140" s="22" t="n">
        <v>25210</v>
      </c>
      <c r="J140" s="22" t="n">
        <v>25210</v>
      </c>
      <c r="K140" s="22" t="n">
        <v>25210</v>
      </c>
      <c r="L140" s="22" t="n">
        <v>25210</v>
      </c>
      <c r="M140" s="22" t="n">
        <v>25210</v>
      </c>
      <c r="N140" s="22" t="n">
        <v>25210</v>
      </c>
      <c r="O140" s="22" t="n">
        <v>25210</v>
      </c>
      <c r="P140" s="22" t="n">
        <v>25210</v>
      </c>
      <c r="Q140" s="22" t="n">
        <v>25210</v>
      </c>
      <c r="R140" s="22" t="n">
        <v>25210</v>
      </c>
      <c r="S140" s="22" t="n">
        <v>25210</v>
      </c>
      <c r="T140" s="22" t="n">
        <v>25210</v>
      </c>
      <c r="U140" s="22" t="n">
        <v>25210</v>
      </c>
      <c r="V140" s="22" t="n">
        <v>25210</v>
      </c>
      <c r="W140" s="22" t="n">
        <v>25210</v>
      </c>
      <c r="X140" s="22" t="n">
        <v>25210</v>
      </c>
      <c r="Y140" s="22" t="n">
        <v>25260</v>
      </c>
      <c r="Z140" s="22" t="n">
        <v>25260</v>
      </c>
      <c r="AA140" s="22" t="n">
        <v>25260</v>
      </c>
      <c r="AB140" s="22" t="n">
        <v>25260</v>
      </c>
      <c r="AC140" s="22" t="n">
        <v>25260</v>
      </c>
      <c r="AD140" s="22" t="n">
        <v>25260</v>
      </c>
      <c r="AE140" s="22" t="n">
        <v>25260</v>
      </c>
      <c r="AF140" s="22" t="n">
        <v>25260</v>
      </c>
    </row>
    <row r="141" customFormat="false" ht="15" hidden="false" customHeight="false" outlineLevel="0" collapsed="false">
      <c r="A141" s="22" t="s">
        <v>164</v>
      </c>
      <c r="B141" s="22" t="s">
        <v>3</v>
      </c>
      <c r="C141" s="22" t="s">
        <v>164</v>
      </c>
      <c r="D141" s="22" t="n">
        <v>22420</v>
      </c>
      <c r="E141" s="22" t="s">
        <v>136</v>
      </c>
      <c r="F141" s="22" t="s">
        <v>680</v>
      </c>
      <c r="G141" s="22" t="s">
        <v>131</v>
      </c>
      <c r="H141" s="22" t="s">
        <v>131</v>
      </c>
      <c r="I141" s="22" t="n">
        <v>0</v>
      </c>
      <c r="J141" s="22" t="n">
        <v>0</v>
      </c>
      <c r="K141" s="22" t="n">
        <v>0</v>
      </c>
      <c r="L141" s="22" t="n">
        <v>0</v>
      </c>
      <c r="M141" s="22" t="n">
        <v>0</v>
      </c>
      <c r="N141" s="22" t="n">
        <v>0</v>
      </c>
      <c r="O141" s="22" t="n">
        <v>0</v>
      </c>
      <c r="P141" s="22" t="n">
        <v>0</v>
      </c>
      <c r="Q141" s="22" t="n">
        <v>50</v>
      </c>
      <c r="R141" s="22" t="n">
        <v>0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0</v>
      </c>
      <c r="X141" s="22" t="n">
        <v>0</v>
      </c>
      <c r="Y141" s="22" t="n">
        <v>0</v>
      </c>
      <c r="Z141" s="22" t="n">
        <v>0</v>
      </c>
      <c r="AA141" s="22" t="n">
        <v>0</v>
      </c>
      <c r="AB141" s="22" t="n">
        <v>0</v>
      </c>
      <c r="AC141" s="22" t="n">
        <v>0</v>
      </c>
      <c r="AD141" s="22"/>
      <c r="AE141" s="22"/>
      <c r="AF141" s="22"/>
    </row>
    <row r="142" customFormat="false" ht="15" hidden="false" customHeight="false" outlineLevel="0" collapsed="false">
      <c r="A142" s="22" t="s">
        <v>164</v>
      </c>
      <c r="B142" s="22" t="s">
        <v>3</v>
      </c>
      <c r="C142" s="22" t="s">
        <v>164</v>
      </c>
      <c r="D142" s="22" t="n">
        <v>22420</v>
      </c>
      <c r="E142" s="22" t="s">
        <v>136</v>
      </c>
      <c r="F142" s="22" t="s">
        <v>681</v>
      </c>
      <c r="G142" s="22" t="s">
        <v>131</v>
      </c>
      <c r="H142" s="22" t="s">
        <v>131</v>
      </c>
      <c r="I142" s="22" t="n">
        <v>0</v>
      </c>
      <c r="J142" s="22" t="n">
        <v>0</v>
      </c>
      <c r="K142" s="22" t="n">
        <v>0</v>
      </c>
      <c r="L142" s="22" t="n">
        <v>0</v>
      </c>
      <c r="M142" s="22" t="n">
        <v>0</v>
      </c>
      <c r="N142" s="22" t="n">
        <v>0</v>
      </c>
      <c r="O142" s="22" t="n">
        <v>0</v>
      </c>
      <c r="P142" s="22" t="n">
        <v>0</v>
      </c>
      <c r="Q142" s="22" t="n">
        <v>50</v>
      </c>
      <c r="R142" s="22" t="n">
        <v>50</v>
      </c>
      <c r="S142" s="22" t="n">
        <v>50</v>
      </c>
      <c r="T142" s="22" t="n">
        <v>50</v>
      </c>
      <c r="U142" s="22" t="n">
        <v>0</v>
      </c>
      <c r="V142" s="22" t="n">
        <v>0</v>
      </c>
      <c r="W142" s="22" t="n">
        <v>0</v>
      </c>
      <c r="X142" s="22" t="n">
        <v>0</v>
      </c>
      <c r="Y142" s="22" t="n">
        <v>0</v>
      </c>
      <c r="Z142" s="22" t="n">
        <v>0</v>
      </c>
      <c r="AA142" s="22" t="n">
        <v>0</v>
      </c>
      <c r="AB142" s="22" t="n">
        <v>0</v>
      </c>
      <c r="AC142" s="22" t="n">
        <v>0</v>
      </c>
      <c r="AD142" s="22"/>
      <c r="AE142" s="22"/>
      <c r="AF142" s="22"/>
    </row>
    <row r="143" customFormat="false" ht="15" hidden="false" customHeight="false" outlineLevel="0" collapsed="false">
      <c r="A143" s="22" t="s">
        <v>49</v>
      </c>
      <c r="B143" s="22" t="s">
        <v>3</v>
      </c>
      <c r="C143" s="22" t="s">
        <v>49</v>
      </c>
      <c r="D143" s="22" t="n">
        <v>22660</v>
      </c>
      <c r="E143" s="22" t="s">
        <v>132</v>
      </c>
      <c r="F143" s="22" t="s">
        <v>133</v>
      </c>
      <c r="G143" s="22" t="s">
        <v>131</v>
      </c>
      <c r="H143" s="22" t="s">
        <v>131</v>
      </c>
      <c r="I143" s="22" t="n">
        <v>22712</v>
      </c>
      <c r="J143" s="22" t="n">
        <v>22732</v>
      </c>
      <c r="K143" s="22" t="n">
        <v>22795</v>
      </c>
      <c r="L143" s="22" t="n">
        <v>22858</v>
      </c>
      <c r="M143" s="22" t="n">
        <v>22938</v>
      </c>
      <c r="N143" s="22" t="n">
        <v>23201</v>
      </c>
      <c r="O143" s="22" t="n">
        <v>23297</v>
      </c>
      <c r="P143" s="22" t="n">
        <v>23483</v>
      </c>
      <c r="Q143" s="22" t="n">
        <v>23394</v>
      </c>
      <c r="R143" s="22" t="n">
        <v>23459</v>
      </c>
      <c r="S143" s="22" t="n">
        <v>23509</v>
      </c>
      <c r="T143" s="22" t="n">
        <v>23560</v>
      </c>
      <c r="U143" s="22" t="n">
        <v>23716</v>
      </c>
      <c r="V143" s="22" t="n">
        <v>24085</v>
      </c>
      <c r="W143" s="22" t="n">
        <v>24356</v>
      </c>
      <c r="X143" s="22" t="n">
        <v>24229</v>
      </c>
      <c r="Y143" s="22" t="n">
        <v>24367</v>
      </c>
      <c r="Z143" s="22" t="n">
        <v>24499</v>
      </c>
      <c r="AA143" s="22" t="n">
        <v>24627</v>
      </c>
      <c r="AB143" s="22" t="n">
        <v>24713</v>
      </c>
      <c r="AC143" s="22" t="n">
        <v>24829</v>
      </c>
      <c r="AD143" s="22" t="n">
        <v>24950</v>
      </c>
      <c r="AE143" s="22" t="n">
        <v>25145</v>
      </c>
      <c r="AF143" s="22" t="n">
        <v>25651</v>
      </c>
    </row>
    <row r="144" customFormat="false" ht="15" hidden="false" customHeight="false" outlineLevel="0" collapsed="false">
      <c r="A144" s="22" t="s">
        <v>49</v>
      </c>
      <c r="B144" s="22" t="s">
        <v>3</v>
      </c>
      <c r="C144" s="22" t="s">
        <v>49</v>
      </c>
      <c r="D144" s="22" t="n">
        <v>22660</v>
      </c>
      <c r="E144" s="22" t="s">
        <v>136</v>
      </c>
      <c r="F144" s="22" t="s">
        <v>680</v>
      </c>
      <c r="G144" s="22" t="s">
        <v>131</v>
      </c>
      <c r="H144" s="22" t="s">
        <v>131</v>
      </c>
      <c r="I144" s="22" t="n">
        <v>0</v>
      </c>
      <c r="J144" s="22" t="n">
        <v>0</v>
      </c>
      <c r="K144" s="22" t="n">
        <v>0</v>
      </c>
      <c r="L144" s="22" t="n">
        <v>499</v>
      </c>
      <c r="M144" s="22" t="n">
        <v>216</v>
      </c>
      <c r="N144" s="22" t="n">
        <v>240</v>
      </c>
      <c r="O144" s="22" t="n">
        <v>0</v>
      </c>
      <c r="P144" s="22" t="n">
        <v>288</v>
      </c>
      <c r="Q144" s="22" t="n">
        <v>358</v>
      </c>
      <c r="R144" s="22" t="n">
        <v>0</v>
      </c>
      <c r="S144" s="22" t="n">
        <v>0</v>
      </c>
      <c r="T144" s="22" t="n">
        <v>0</v>
      </c>
      <c r="U144" s="22" t="n">
        <v>0</v>
      </c>
      <c r="V144" s="22" t="n">
        <v>344</v>
      </c>
      <c r="W144" s="22" t="n">
        <v>0</v>
      </c>
      <c r="X144" s="22" t="n">
        <v>0</v>
      </c>
      <c r="Y144" s="22" t="n">
        <v>811</v>
      </c>
      <c r="Z144" s="22" t="n">
        <v>712</v>
      </c>
      <c r="AA144" s="22" t="n">
        <v>0</v>
      </c>
      <c r="AB144" s="22" t="n">
        <v>0</v>
      </c>
      <c r="AC144" s="22" t="n">
        <v>0</v>
      </c>
      <c r="AD144" s="22"/>
      <c r="AE144" s="22"/>
      <c r="AF144" s="22"/>
    </row>
    <row r="145" customFormat="false" ht="15" hidden="false" customHeight="false" outlineLevel="0" collapsed="false">
      <c r="A145" s="22" t="s">
        <v>49</v>
      </c>
      <c r="B145" s="22" t="s">
        <v>3</v>
      </c>
      <c r="C145" s="22" t="s">
        <v>49</v>
      </c>
      <c r="D145" s="22" t="n">
        <v>22660</v>
      </c>
      <c r="E145" s="22" t="s">
        <v>136</v>
      </c>
      <c r="F145" s="22" t="s">
        <v>681</v>
      </c>
      <c r="G145" s="22" t="s">
        <v>131</v>
      </c>
      <c r="H145" s="22" t="s">
        <v>131</v>
      </c>
      <c r="I145" s="22" t="n">
        <v>462</v>
      </c>
      <c r="J145" s="22" t="n">
        <v>252</v>
      </c>
      <c r="K145" s="22" t="n">
        <v>0</v>
      </c>
      <c r="L145" s="22" t="n">
        <v>499</v>
      </c>
      <c r="M145" s="22" t="n">
        <v>715</v>
      </c>
      <c r="N145" s="22" t="n">
        <v>955</v>
      </c>
      <c r="O145" s="22" t="n">
        <v>955</v>
      </c>
      <c r="P145" s="22" t="n">
        <v>744</v>
      </c>
      <c r="Q145" s="22" t="n">
        <v>886</v>
      </c>
      <c r="R145" s="22" t="n">
        <v>646</v>
      </c>
      <c r="S145" s="22" t="n">
        <v>646</v>
      </c>
      <c r="T145" s="22" t="n">
        <v>358</v>
      </c>
      <c r="U145" s="22" t="n">
        <v>0</v>
      </c>
      <c r="V145" s="22" t="n">
        <v>344</v>
      </c>
      <c r="W145" s="22" t="n">
        <v>344</v>
      </c>
      <c r="X145" s="22" t="n">
        <v>344</v>
      </c>
      <c r="Y145" s="22" t="n">
        <v>1155</v>
      </c>
      <c r="Z145" s="22" t="n">
        <v>1523</v>
      </c>
      <c r="AA145" s="22" t="n">
        <v>1523</v>
      </c>
      <c r="AB145" s="22" t="n">
        <v>1523</v>
      </c>
      <c r="AC145" s="22" t="n">
        <v>712</v>
      </c>
      <c r="AD145" s="22"/>
      <c r="AE145" s="22"/>
      <c r="AF145" s="22"/>
    </row>
    <row r="146" customFormat="false" ht="15" hidden="false" customHeight="false" outlineLevel="0" collapsed="false">
      <c r="A146" s="22" t="s">
        <v>54</v>
      </c>
      <c r="B146" s="22" t="s">
        <v>3</v>
      </c>
      <c r="C146" s="22" t="s">
        <v>54</v>
      </c>
      <c r="D146" s="22" t="n">
        <v>22744</v>
      </c>
      <c r="E146" s="22" t="s">
        <v>132</v>
      </c>
      <c r="F146" s="22" t="s">
        <v>133</v>
      </c>
      <c r="G146" s="22" t="s">
        <v>131</v>
      </c>
      <c r="H146" s="22" t="s">
        <v>131</v>
      </c>
      <c r="I146" s="22" t="n">
        <v>193791</v>
      </c>
      <c r="J146" s="22" t="n">
        <v>194601</v>
      </c>
      <c r="K146" s="22" t="n">
        <v>195311</v>
      </c>
      <c r="L146" s="22" t="n">
        <v>195997</v>
      </c>
      <c r="M146" s="22" t="n">
        <v>197461</v>
      </c>
      <c r="N146" s="22" t="n">
        <v>197935</v>
      </c>
      <c r="O146" s="22" t="n">
        <v>198281</v>
      </c>
      <c r="P146" s="22" t="n">
        <v>199219</v>
      </c>
      <c r="Q146" s="22" t="n">
        <v>200581</v>
      </c>
      <c r="R146" s="22" t="n">
        <v>201836</v>
      </c>
      <c r="S146" s="22" t="n">
        <v>202852</v>
      </c>
      <c r="T146" s="22" t="n">
        <v>203955</v>
      </c>
      <c r="U146" s="22" t="n">
        <v>204794</v>
      </c>
      <c r="V146" s="22" t="n">
        <v>206833</v>
      </c>
      <c r="W146" s="22" t="n">
        <v>208182</v>
      </c>
      <c r="X146" s="22" t="n">
        <v>209349</v>
      </c>
      <c r="Y146" s="22" t="n">
        <v>210112</v>
      </c>
      <c r="Z146" s="22" t="n">
        <v>210873</v>
      </c>
      <c r="AA146" s="22" t="n">
        <v>212241</v>
      </c>
      <c r="AB146" s="22" t="n">
        <v>213123</v>
      </c>
      <c r="AC146" s="22" t="n">
        <v>214441</v>
      </c>
      <c r="AD146" s="22" t="n">
        <v>215107</v>
      </c>
      <c r="AE146" s="22" t="n">
        <v>216559</v>
      </c>
      <c r="AF146" s="22" t="n">
        <v>217848</v>
      </c>
    </row>
    <row r="147" customFormat="false" ht="15" hidden="false" customHeight="false" outlineLevel="0" collapsed="false">
      <c r="A147" s="22" t="s">
        <v>54</v>
      </c>
      <c r="B147" s="22" t="s">
        <v>3</v>
      </c>
      <c r="C147" s="22" t="s">
        <v>54</v>
      </c>
      <c r="D147" s="22" t="n">
        <v>22744</v>
      </c>
      <c r="E147" s="22" t="s">
        <v>136</v>
      </c>
      <c r="F147" s="22" t="s">
        <v>680</v>
      </c>
      <c r="G147" s="22" t="s">
        <v>131</v>
      </c>
      <c r="H147" s="22" t="s">
        <v>131</v>
      </c>
      <c r="I147" s="22" t="n">
        <v>895</v>
      </c>
      <c r="J147" s="22" t="n">
        <v>1169</v>
      </c>
      <c r="K147" s="22" t="n">
        <v>2640</v>
      </c>
      <c r="L147" s="22" t="n">
        <v>809</v>
      </c>
      <c r="M147" s="22" t="n">
        <v>982</v>
      </c>
      <c r="N147" s="22" t="n">
        <v>2107</v>
      </c>
      <c r="O147" s="22" t="n">
        <v>1287</v>
      </c>
      <c r="P147" s="22" t="n">
        <v>633</v>
      </c>
      <c r="Q147" s="22" t="n">
        <v>600</v>
      </c>
      <c r="R147" s="22" t="n">
        <v>2275</v>
      </c>
      <c r="S147" s="22" t="n">
        <v>497</v>
      </c>
      <c r="T147" s="22" t="n">
        <v>97</v>
      </c>
      <c r="U147" s="22" t="n">
        <v>450</v>
      </c>
      <c r="V147" s="22" t="n">
        <v>563</v>
      </c>
      <c r="W147" s="22" t="n">
        <v>1118</v>
      </c>
      <c r="X147" s="22" t="n">
        <v>683</v>
      </c>
      <c r="Y147" s="22" t="n">
        <v>1544</v>
      </c>
      <c r="Z147" s="22" t="n">
        <v>0</v>
      </c>
      <c r="AA147" s="22" t="n">
        <v>338</v>
      </c>
      <c r="AB147" s="22" t="n">
        <v>913</v>
      </c>
      <c r="AC147" s="22" t="n">
        <v>838</v>
      </c>
      <c r="AD147" s="22"/>
      <c r="AE147" s="22"/>
      <c r="AF147" s="22"/>
    </row>
    <row r="148" customFormat="false" ht="15" hidden="false" customHeight="false" outlineLevel="0" collapsed="false">
      <c r="A148" s="22" t="s">
        <v>54</v>
      </c>
      <c r="B148" s="22" t="s">
        <v>3</v>
      </c>
      <c r="C148" s="22" t="s">
        <v>54</v>
      </c>
      <c r="D148" s="22" t="n">
        <v>22744</v>
      </c>
      <c r="E148" s="22" t="s">
        <v>136</v>
      </c>
      <c r="F148" s="22" t="s">
        <v>681</v>
      </c>
      <c r="G148" s="22" t="s">
        <v>131</v>
      </c>
      <c r="H148" s="22" t="s">
        <v>131</v>
      </c>
      <c r="I148" s="22" t="n">
        <v>3930</v>
      </c>
      <c r="J148" s="22" t="n">
        <v>4555</v>
      </c>
      <c r="K148" s="22" t="n">
        <v>6907</v>
      </c>
      <c r="L148" s="22" t="n">
        <v>5513</v>
      </c>
      <c r="M148" s="22" t="n">
        <v>5600</v>
      </c>
      <c r="N148" s="22" t="n">
        <v>6538</v>
      </c>
      <c r="O148" s="22" t="n">
        <v>5185</v>
      </c>
      <c r="P148" s="22" t="n">
        <v>5009</v>
      </c>
      <c r="Q148" s="22" t="n">
        <v>4627</v>
      </c>
      <c r="R148" s="22" t="n">
        <v>4795</v>
      </c>
      <c r="S148" s="22" t="n">
        <v>4005</v>
      </c>
      <c r="T148" s="22" t="n">
        <v>3469</v>
      </c>
      <c r="U148" s="22" t="n">
        <v>3319</v>
      </c>
      <c r="V148" s="22" t="n">
        <v>1607</v>
      </c>
      <c r="W148" s="22" t="n">
        <v>2228</v>
      </c>
      <c r="X148" s="22" t="n">
        <v>2814</v>
      </c>
      <c r="Y148" s="22" t="n">
        <v>3908</v>
      </c>
      <c r="Z148" s="22" t="n">
        <v>3345</v>
      </c>
      <c r="AA148" s="22" t="n">
        <v>2565</v>
      </c>
      <c r="AB148" s="22" t="n">
        <v>2795</v>
      </c>
      <c r="AC148" s="22" t="n">
        <v>2089</v>
      </c>
      <c r="AD148" s="22"/>
      <c r="AE148" s="22"/>
      <c r="AF148" s="22"/>
    </row>
    <row r="149" customFormat="false" ht="15" hidden="false" customHeight="false" outlineLevel="0" collapsed="false">
      <c r="A149" s="22" t="s">
        <v>165</v>
      </c>
      <c r="B149" s="22" t="s">
        <v>3</v>
      </c>
      <c r="C149" s="22" t="s">
        <v>165</v>
      </c>
      <c r="D149" s="22" t="n">
        <v>23060</v>
      </c>
      <c r="E149" s="22" t="s">
        <v>132</v>
      </c>
      <c r="F149" s="22" t="s">
        <v>133</v>
      </c>
      <c r="G149" s="22" t="s">
        <v>131</v>
      </c>
      <c r="H149" s="22" t="s">
        <v>131</v>
      </c>
      <c r="I149" s="22" t="n">
        <v>27985</v>
      </c>
      <c r="J149" s="22" t="n">
        <v>28029</v>
      </c>
      <c r="K149" s="22" t="n">
        <v>28096</v>
      </c>
      <c r="L149" s="22" t="n">
        <v>28165</v>
      </c>
      <c r="M149" s="22" t="n">
        <v>28165</v>
      </c>
      <c r="N149" s="22" t="n">
        <v>28199</v>
      </c>
      <c r="O149" s="22" t="n">
        <v>28427</v>
      </c>
      <c r="P149" s="22" t="n">
        <v>28682</v>
      </c>
      <c r="Q149" s="22" t="n">
        <v>28714</v>
      </c>
      <c r="R149" s="22" t="n">
        <v>28819</v>
      </c>
      <c r="S149" s="22" t="n">
        <v>28939</v>
      </c>
      <c r="T149" s="22" t="n">
        <v>29062</v>
      </c>
      <c r="U149" s="22" t="n">
        <v>29185</v>
      </c>
      <c r="V149" s="22" t="n">
        <v>29277</v>
      </c>
      <c r="W149" s="22" t="n">
        <v>29520</v>
      </c>
      <c r="X149" s="22" t="n">
        <v>29718</v>
      </c>
      <c r="Y149" s="22" t="n">
        <v>29774</v>
      </c>
      <c r="Z149" s="22" t="n">
        <v>29833</v>
      </c>
      <c r="AA149" s="22" t="n">
        <v>30010</v>
      </c>
      <c r="AB149" s="22" t="n">
        <v>30070</v>
      </c>
      <c r="AC149" s="22" t="n">
        <v>30302</v>
      </c>
      <c r="AD149" s="22" t="n">
        <v>30317</v>
      </c>
      <c r="AE149" s="22" t="n">
        <v>30322</v>
      </c>
      <c r="AF149" s="22" t="n">
        <v>30346</v>
      </c>
    </row>
    <row r="150" customFormat="false" ht="15" hidden="false" customHeight="false" outlineLevel="0" collapsed="false">
      <c r="A150" s="22" t="s">
        <v>165</v>
      </c>
      <c r="B150" s="22" t="s">
        <v>3</v>
      </c>
      <c r="C150" s="22" t="s">
        <v>165</v>
      </c>
      <c r="D150" s="22" t="n">
        <v>23060</v>
      </c>
      <c r="E150" s="22" t="s">
        <v>136</v>
      </c>
      <c r="F150" s="22" t="s">
        <v>680</v>
      </c>
      <c r="G150" s="22" t="s">
        <v>131</v>
      </c>
      <c r="H150" s="22" t="s">
        <v>131</v>
      </c>
      <c r="I150" s="22" t="n">
        <v>289</v>
      </c>
      <c r="J150" s="22" t="n">
        <v>0</v>
      </c>
      <c r="K150" s="22" t="n">
        <v>0</v>
      </c>
      <c r="L150" s="22" t="n">
        <v>232</v>
      </c>
      <c r="M150" s="22" t="n">
        <v>250</v>
      </c>
      <c r="N150" s="22" t="n">
        <v>76</v>
      </c>
      <c r="O150" s="22" t="n">
        <v>0</v>
      </c>
      <c r="P150" s="22" t="n">
        <v>464</v>
      </c>
      <c r="Q150" s="22" t="n">
        <v>216</v>
      </c>
      <c r="R150" s="22" t="n">
        <v>0</v>
      </c>
      <c r="S150" s="22" t="n">
        <v>322</v>
      </c>
      <c r="T150" s="22" t="n">
        <v>60</v>
      </c>
      <c r="U150" s="22" t="n">
        <v>0</v>
      </c>
      <c r="V150" s="22" t="n">
        <v>0</v>
      </c>
      <c r="W150" s="22" t="n">
        <v>0</v>
      </c>
      <c r="X150" s="22" t="n">
        <v>0</v>
      </c>
      <c r="Y150" s="22" t="n">
        <v>20</v>
      </c>
      <c r="Z150" s="22" t="n">
        <v>42</v>
      </c>
      <c r="AA150" s="22" t="n">
        <v>0</v>
      </c>
      <c r="AB150" s="22" t="n">
        <v>142</v>
      </c>
      <c r="AC150" s="22" t="n">
        <v>0</v>
      </c>
      <c r="AD150" s="22"/>
      <c r="AE150" s="22"/>
      <c r="AF150" s="22"/>
    </row>
    <row r="151" customFormat="false" ht="15" hidden="false" customHeight="false" outlineLevel="0" collapsed="false">
      <c r="A151" s="22" t="s">
        <v>165</v>
      </c>
      <c r="B151" s="22" t="s">
        <v>3</v>
      </c>
      <c r="C151" s="22" t="s">
        <v>165</v>
      </c>
      <c r="D151" s="22" t="n">
        <v>23060</v>
      </c>
      <c r="E151" s="22" t="s">
        <v>136</v>
      </c>
      <c r="F151" s="22" t="s">
        <v>681</v>
      </c>
      <c r="G151" s="22" t="s">
        <v>131</v>
      </c>
      <c r="H151" s="22" t="s">
        <v>131</v>
      </c>
      <c r="I151" s="22" t="n">
        <v>697</v>
      </c>
      <c r="J151" s="22" t="n">
        <v>517</v>
      </c>
      <c r="K151" s="22" t="n">
        <v>517</v>
      </c>
      <c r="L151" s="22" t="n">
        <v>521</v>
      </c>
      <c r="M151" s="22" t="n">
        <v>482</v>
      </c>
      <c r="N151" s="22" t="n">
        <v>558</v>
      </c>
      <c r="O151" s="22" t="n">
        <v>558</v>
      </c>
      <c r="P151" s="22" t="n">
        <v>790</v>
      </c>
      <c r="Q151" s="22" t="n">
        <v>756</v>
      </c>
      <c r="R151" s="22" t="n">
        <v>680</v>
      </c>
      <c r="S151" s="22" t="n">
        <v>1002</v>
      </c>
      <c r="T151" s="22" t="n">
        <v>598</v>
      </c>
      <c r="U151" s="22" t="n">
        <v>382</v>
      </c>
      <c r="V151" s="22" t="n">
        <v>382</v>
      </c>
      <c r="W151" s="22" t="n">
        <v>60</v>
      </c>
      <c r="X151" s="22" t="n">
        <v>0</v>
      </c>
      <c r="Y151" s="22" t="n">
        <v>20</v>
      </c>
      <c r="Z151" s="22" t="n">
        <v>62</v>
      </c>
      <c r="AA151" s="22" t="n">
        <v>62</v>
      </c>
      <c r="AB151" s="22" t="n">
        <v>204</v>
      </c>
      <c r="AC151" s="22" t="n">
        <v>184</v>
      </c>
      <c r="AD151" s="22"/>
      <c r="AE151" s="22"/>
      <c r="AF151" s="22"/>
    </row>
    <row r="152" customFormat="false" ht="15" hidden="false" customHeight="false" outlineLevel="0" collapsed="false">
      <c r="A152" s="22" t="s">
        <v>71</v>
      </c>
      <c r="B152" s="22" t="s">
        <v>3</v>
      </c>
      <c r="C152" s="22" t="s">
        <v>71</v>
      </c>
      <c r="D152" s="22" t="n">
        <v>223104</v>
      </c>
      <c r="E152" s="22" t="s">
        <v>132</v>
      </c>
      <c r="F152" s="22" t="s">
        <v>133</v>
      </c>
      <c r="G152" s="22" t="s">
        <v>131</v>
      </c>
      <c r="H152" s="22" t="s">
        <v>131</v>
      </c>
      <c r="I152" s="22" t="n">
        <v>213183</v>
      </c>
      <c r="J152" s="22" t="n">
        <v>215330</v>
      </c>
      <c r="K152" s="22" t="n">
        <v>216637</v>
      </c>
      <c r="L152" s="22" t="n">
        <v>217819</v>
      </c>
      <c r="M152" s="22" t="n">
        <v>219316</v>
      </c>
      <c r="N152" s="22" t="n">
        <v>221164</v>
      </c>
      <c r="O152" s="22" t="n">
        <v>222808</v>
      </c>
      <c r="P152" s="22" t="n">
        <v>224228</v>
      </c>
      <c r="Q152" s="22" t="n">
        <v>226972</v>
      </c>
      <c r="R152" s="22" t="n">
        <v>229640</v>
      </c>
      <c r="S152" s="22" t="n">
        <v>231917</v>
      </c>
      <c r="T152" s="22" t="n">
        <v>234067</v>
      </c>
      <c r="U152" s="22" t="n">
        <v>236616</v>
      </c>
      <c r="V152" s="22" t="n">
        <v>238773</v>
      </c>
      <c r="W152" s="22" t="n">
        <v>240124</v>
      </c>
      <c r="X152" s="22" t="n">
        <v>241078</v>
      </c>
      <c r="Y152" s="22" t="n">
        <v>242210</v>
      </c>
      <c r="Z152" s="22" t="n">
        <v>244771</v>
      </c>
      <c r="AA152" s="22" t="n">
        <v>248055</v>
      </c>
      <c r="AB152" s="22" t="n">
        <v>250306</v>
      </c>
      <c r="AC152" s="22" t="n">
        <v>251382</v>
      </c>
      <c r="AD152" s="22" t="n">
        <v>252649</v>
      </c>
      <c r="AE152" s="22" t="n">
        <v>254206</v>
      </c>
      <c r="AF152" s="22" t="n">
        <v>255381</v>
      </c>
    </row>
    <row r="153" customFormat="false" ht="15" hidden="false" customHeight="false" outlineLevel="0" collapsed="false">
      <c r="A153" s="22" t="s">
        <v>71</v>
      </c>
      <c r="B153" s="22" t="s">
        <v>3</v>
      </c>
      <c r="C153" s="22" t="s">
        <v>71</v>
      </c>
      <c r="D153" s="22" t="n">
        <v>223104</v>
      </c>
      <c r="E153" s="22" t="s">
        <v>136</v>
      </c>
      <c r="F153" s="22" t="s">
        <v>680</v>
      </c>
      <c r="G153" s="22" t="s">
        <v>131</v>
      </c>
      <c r="H153" s="22" t="s">
        <v>131</v>
      </c>
      <c r="I153" s="22" t="n">
        <v>1590</v>
      </c>
      <c r="J153" s="22" t="n">
        <v>2458</v>
      </c>
      <c r="K153" s="22" t="n">
        <v>2674</v>
      </c>
      <c r="L153" s="22" t="n">
        <v>1911</v>
      </c>
      <c r="M153" s="22" t="n">
        <v>2746</v>
      </c>
      <c r="N153" s="22" t="n">
        <v>1314</v>
      </c>
      <c r="O153" s="22" t="n">
        <v>3804</v>
      </c>
      <c r="P153" s="22" t="n">
        <v>959</v>
      </c>
      <c r="Q153" s="22" t="n">
        <v>656</v>
      </c>
      <c r="R153" s="22" t="n">
        <v>1227</v>
      </c>
      <c r="S153" s="22" t="n">
        <v>2726</v>
      </c>
      <c r="T153" s="22" t="n">
        <v>2191</v>
      </c>
      <c r="U153" s="22" t="n">
        <v>1717</v>
      </c>
      <c r="V153" s="22" t="n">
        <v>226</v>
      </c>
      <c r="W153" s="22" t="n">
        <v>1838</v>
      </c>
      <c r="X153" s="22" t="n">
        <v>741</v>
      </c>
      <c r="Y153" s="22" t="n">
        <v>1344</v>
      </c>
      <c r="Z153" s="22" t="n">
        <v>1548</v>
      </c>
      <c r="AA153" s="22" t="n">
        <v>1839</v>
      </c>
      <c r="AB153" s="22" t="n">
        <v>1763</v>
      </c>
      <c r="AC153" s="22" t="n">
        <v>350</v>
      </c>
      <c r="AD153" s="22"/>
      <c r="AE153" s="22"/>
      <c r="AF153" s="22"/>
    </row>
    <row r="154" customFormat="false" ht="15" hidden="false" customHeight="false" outlineLevel="0" collapsed="false">
      <c r="A154" s="22" t="s">
        <v>71</v>
      </c>
      <c r="B154" s="22" t="s">
        <v>3</v>
      </c>
      <c r="C154" s="22" t="s">
        <v>71</v>
      </c>
      <c r="D154" s="22" t="n">
        <v>223104</v>
      </c>
      <c r="E154" s="22" t="s">
        <v>136</v>
      </c>
      <c r="F154" s="22" t="s">
        <v>681</v>
      </c>
      <c r="G154" s="22" t="s">
        <v>131</v>
      </c>
      <c r="H154" s="22" t="s">
        <v>131</v>
      </c>
      <c r="I154" s="22" t="n">
        <v>6459</v>
      </c>
      <c r="J154" s="22" t="n">
        <v>7948</v>
      </c>
      <c r="K154" s="22" t="n">
        <v>10274</v>
      </c>
      <c r="L154" s="22" t="n">
        <v>8633</v>
      </c>
      <c r="M154" s="22" t="n">
        <v>9789</v>
      </c>
      <c r="N154" s="22" t="n">
        <v>8645</v>
      </c>
      <c r="O154" s="22" t="n">
        <v>9775</v>
      </c>
      <c r="P154" s="22" t="n">
        <v>8823</v>
      </c>
      <c r="Q154" s="22" t="n">
        <v>6733</v>
      </c>
      <c r="R154" s="22" t="n">
        <v>6646</v>
      </c>
      <c r="S154" s="22" t="n">
        <v>5568</v>
      </c>
      <c r="T154" s="22" t="n">
        <v>6800</v>
      </c>
      <c r="U154" s="22" t="n">
        <v>7861</v>
      </c>
      <c r="V154" s="22" t="n">
        <v>6860</v>
      </c>
      <c r="W154" s="22" t="n">
        <v>5972</v>
      </c>
      <c r="X154" s="22" t="n">
        <v>4522</v>
      </c>
      <c r="Y154" s="22" t="n">
        <v>4149</v>
      </c>
      <c r="Z154" s="22" t="n">
        <v>5471</v>
      </c>
      <c r="AA154" s="22" t="n">
        <v>5472</v>
      </c>
      <c r="AB154" s="22" t="n">
        <v>6494</v>
      </c>
      <c r="AC154" s="22" t="n">
        <v>5500</v>
      </c>
      <c r="AD154" s="22"/>
      <c r="AE154" s="22"/>
      <c r="AF154" s="22"/>
    </row>
    <row r="155" customFormat="false" ht="15" hidden="false" customHeight="false" outlineLevel="0" collapsed="false">
      <c r="A155" s="22" t="s">
        <v>166</v>
      </c>
      <c r="B155" s="22" t="s">
        <v>3</v>
      </c>
      <c r="C155" s="22" t="s">
        <v>166</v>
      </c>
      <c r="D155" s="22" t="n">
        <v>23420</v>
      </c>
      <c r="E155" s="22" t="s">
        <v>132</v>
      </c>
      <c r="F155" s="22" t="s">
        <v>133</v>
      </c>
      <c r="G155" s="22" t="s">
        <v>131</v>
      </c>
      <c r="H155" s="22" t="s">
        <v>131</v>
      </c>
      <c r="I155" s="22" t="n">
        <v>58508</v>
      </c>
      <c r="J155" s="22" t="n">
        <v>58684</v>
      </c>
      <c r="K155" s="22" t="n">
        <v>58684</v>
      </c>
      <c r="L155" s="22" t="n">
        <v>58684</v>
      </c>
      <c r="M155" s="22" t="n">
        <v>58684</v>
      </c>
      <c r="N155" s="22" t="n">
        <v>58684</v>
      </c>
      <c r="O155" s="22" t="n">
        <v>58282</v>
      </c>
      <c r="P155" s="22" t="n">
        <v>58282</v>
      </c>
      <c r="Q155" s="22" t="n">
        <v>58034</v>
      </c>
      <c r="R155" s="22" t="n">
        <v>58034</v>
      </c>
      <c r="S155" s="22" t="n">
        <v>58103</v>
      </c>
      <c r="T155" s="22" t="n">
        <v>58480</v>
      </c>
      <c r="U155" s="22" t="n">
        <v>58504</v>
      </c>
      <c r="V155" s="22" t="n">
        <v>58720</v>
      </c>
      <c r="W155" s="22" t="n">
        <v>58777</v>
      </c>
      <c r="X155" s="22" t="n">
        <v>58777</v>
      </c>
      <c r="Y155" s="22" t="n">
        <v>58777</v>
      </c>
      <c r="Z155" s="22" t="n">
        <v>58777</v>
      </c>
      <c r="AA155" s="22" t="n">
        <v>58689</v>
      </c>
      <c r="AB155" s="22" t="n">
        <v>58689</v>
      </c>
      <c r="AC155" s="22" t="n">
        <v>58689</v>
      </c>
      <c r="AD155" s="22" t="n">
        <v>58689</v>
      </c>
      <c r="AE155" s="22" t="n">
        <v>58689</v>
      </c>
      <c r="AF155" s="22" t="n">
        <v>58689</v>
      </c>
    </row>
    <row r="156" customFormat="false" ht="15" hidden="false" customHeight="false" outlineLevel="0" collapsed="false">
      <c r="A156" s="22" t="s">
        <v>166</v>
      </c>
      <c r="B156" s="22" t="s">
        <v>3</v>
      </c>
      <c r="C156" s="22" t="s">
        <v>166</v>
      </c>
      <c r="D156" s="22" t="n">
        <v>23420</v>
      </c>
      <c r="E156" s="22" t="s">
        <v>136</v>
      </c>
      <c r="F156" s="22" t="s">
        <v>680</v>
      </c>
      <c r="G156" s="22" t="s">
        <v>131</v>
      </c>
      <c r="H156" s="22" t="s">
        <v>131</v>
      </c>
      <c r="I156" s="22" t="n">
        <v>164</v>
      </c>
      <c r="J156" s="22" t="n">
        <v>0</v>
      </c>
      <c r="K156" s="22" t="n">
        <v>0</v>
      </c>
      <c r="L156" s="22" t="n">
        <v>0</v>
      </c>
      <c r="M156" s="22" t="n">
        <v>71</v>
      </c>
      <c r="N156" s="22" t="n">
        <v>273</v>
      </c>
      <c r="O156" s="22" t="n">
        <v>0</v>
      </c>
      <c r="P156" s="22" t="n">
        <v>0</v>
      </c>
      <c r="Q156" s="22" t="n">
        <v>0</v>
      </c>
      <c r="R156" s="22" t="n">
        <v>0</v>
      </c>
      <c r="S156" s="22" t="n">
        <v>0</v>
      </c>
      <c r="T156" s="22" t="n">
        <v>0</v>
      </c>
      <c r="U156" s="22" t="n">
        <v>0</v>
      </c>
      <c r="V156" s="22" t="n">
        <v>0</v>
      </c>
      <c r="W156" s="22" t="n">
        <v>0</v>
      </c>
      <c r="X156" s="22" t="n">
        <v>0</v>
      </c>
      <c r="Y156" s="22" t="n">
        <v>0</v>
      </c>
      <c r="Z156" s="22" t="n">
        <v>0</v>
      </c>
      <c r="AA156" s="22" t="n">
        <v>0</v>
      </c>
      <c r="AB156" s="22" t="n">
        <v>0</v>
      </c>
      <c r="AC156" s="22" t="n">
        <v>0</v>
      </c>
      <c r="AD156" s="22"/>
      <c r="AE156" s="22"/>
      <c r="AF156" s="22"/>
    </row>
    <row r="157" customFormat="false" ht="15" hidden="false" customHeight="false" outlineLevel="0" collapsed="false">
      <c r="A157" s="22" t="s">
        <v>166</v>
      </c>
      <c r="B157" s="22" t="s">
        <v>3</v>
      </c>
      <c r="C157" s="22" t="s">
        <v>166</v>
      </c>
      <c r="D157" s="22" t="n">
        <v>23420</v>
      </c>
      <c r="E157" s="22" t="s">
        <v>136</v>
      </c>
      <c r="F157" s="22" t="s">
        <v>681</v>
      </c>
      <c r="G157" s="22" t="s">
        <v>131</v>
      </c>
      <c r="H157" s="22" t="s">
        <v>131</v>
      </c>
      <c r="I157" s="22" t="n">
        <v>164</v>
      </c>
      <c r="J157" s="22" t="n">
        <v>164</v>
      </c>
      <c r="K157" s="22" t="n">
        <v>164</v>
      </c>
      <c r="L157" s="22" t="n">
        <v>164</v>
      </c>
      <c r="M157" s="22" t="n">
        <v>71</v>
      </c>
      <c r="N157" s="22" t="n">
        <v>344</v>
      </c>
      <c r="O157" s="22" t="n">
        <v>344</v>
      </c>
      <c r="P157" s="22" t="n">
        <v>344</v>
      </c>
      <c r="Q157" s="22" t="n">
        <v>273</v>
      </c>
      <c r="R157" s="22" t="n">
        <v>0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0</v>
      </c>
      <c r="X157" s="22" t="n">
        <v>0</v>
      </c>
      <c r="Y157" s="22" t="n">
        <v>0</v>
      </c>
      <c r="Z157" s="22" t="n">
        <v>0</v>
      </c>
      <c r="AA157" s="22" t="n">
        <v>0</v>
      </c>
      <c r="AB157" s="22" t="n">
        <v>0</v>
      </c>
      <c r="AC157" s="22" t="n">
        <v>0</v>
      </c>
      <c r="AD157" s="22"/>
      <c r="AE157" s="22"/>
      <c r="AF157" s="22"/>
    </row>
    <row r="158" customFormat="false" ht="15" hidden="false" customHeight="false" outlineLevel="0" collapsed="false">
      <c r="A158" s="22" t="s">
        <v>167</v>
      </c>
      <c r="B158" s="22" t="s">
        <v>3</v>
      </c>
      <c r="C158" s="22" t="s">
        <v>167</v>
      </c>
      <c r="D158" s="22" t="n">
        <v>23540</v>
      </c>
      <c r="E158" s="22" t="s">
        <v>132</v>
      </c>
      <c r="F158" s="22" t="s">
        <v>133</v>
      </c>
      <c r="G158" s="22" t="s">
        <v>131</v>
      </c>
      <c r="H158" s="22" t="s">
        <v>131</v>
      </c>
      <c r="I158" s="22" t="n">
        <v>29222</v>
      </c>
      <c r="J158" s="22" t="n">
        <v>29387</v>
      </c>
      <c r="K158" s="22" t="n">
        <v>29387</v>
      </c>
      <c r="L158" s="22" t="n">
        <v>29429</v>
      </c>
      <c r="M158" s="22" t="n">
        <v>29558</v>
      </c>
      <c r="N158" s="22" t="n">
        <v>29807</v>
      </c>
      <c r="O158" s="22" t="n">
        <v>29807</v>
      </c>
      <c r="P158" s="22" t="n">
        <v>29870</v>
      </c>
      <c r="Q158" s="22" t="n">
        <v>29974</v>
      </c>
      <c r="R158" s="22" t="n">
        <v>30176</v>
      </c>
      <c r="S158" s="22" t="n">
        <v>30319</v>
      </c>
      <c r="T158" s="22" t="n">
        <v>30355</v>
      </c>
      <c r="U158" s="22" t="n">
        <v>30496</v>
      </c>
      <c r="V158" s="22" t="n">
        <v>30686</v>
      </c>
      <c r="W158" s="22" t="n">
        <v>30782</v>
      </c>
      <c r="X158" s="22" t="n">
        <v>30919</v>
      </c>
      <c r="Y158" s="22" t="n">
        <v>30982</v>
      </c>
      <c r="Z158" s="22" t="n">
        <v>31054</v>
      </c>
      <c r="AA158" s="22" t="n">
        <v>31105</v>
      </c>
      <c r="AB158" s="22" t="n">
        <v>31156</v>
      </c>
      <c r="AC158" s="22" t="n">
        <v>30953</v>
      </c>
      <c r="AD158" s="22" t="n">
        <v>31199</v>
      </c>
      <c r="AE158" s="22" t="n">
        <v>31304</v>
      </c>
      <c r="AF158" s="22" t="n">
        <v>31375</v>
      </c>
    </row>
    <row r="159" customFormat="false" ht="15" hidden="false" customHeight="false" outlineLevel="0" collapsed="false">
      <c r="A159" s="22" t="s">
        <v>167</v>
      </c>
      <c r="B159" s="22" t="s">
        <v>3</v>
      </c>
      <c r="C159" s="22" t="s">
        <v>167</v>
      </c>
      <c r="D159" s="22" t="n">
        <v>23540</v>
      </c>
      <c r="E159" s="22" t="s">
        <v>136</v>
      </c>
      <c r="F159" s="22" t="s">
        <v>680</v>
      </c>
      <c r="G159" s="22" t="s">
        <v>131</v>
      </c>
      <c r="H159" s="22" t="s">
        <v>131</v>
      </c>
      <c r="I159" s="22" t="n">
        <v>300</v>
      </c>
      <c r="J159" s="22" t="n">
        <v>73</v>
      </c>
      <c r="K159" s="22" t="n">
        <v>80</v>
      </c>
      <c r="L159" s="22" t="n">
        <v>407</v>
      </c>
      <c r="M159" s="22" t="n">
        <v>0</v>
      </c>
      <c r="N159" s="22" t="n">
        <v>0</v>
      </c>
      <c r="O159" s="22" t="n">
        <v>125</v>
      </c>
      <c r="P159" s="22" t="n">
        <v>0</v>
      </c>
      <c r="Q159" s="22" t="n">
        <v>288</v>
      </c>
      <c r="R159" s="22" t="n">
        <v>240</v>
      </c>
      <c r="S159" s="22" t="n">
        <v>0</v>
      </c>
      <c r="T159" s="22" t="n">
        <v>0</v>
      </c>
      <c r="U159" s="22" t="n">
        <v>0</v>
      </c>
      <c r="V159" s="22" t="n">
        <v>315</v>
      </c>
      <c r="W159" s="22" t="n">
        <v>0</v>
      </c>
      <c r="X159" s="22" t="n">
        <v>0</v>
      </c>
      <c r="Y159" s="22" t="n">
        <v>176</v>
      </c>
      <c r="Z159" s="22" t="n">
        <v>0</v>
      </c>
      <c r="AA159" s="22" t="n">
        <v>0</v>
      </c>
      <c r="AB159" s="22" t="n">
        <v>0</v>
      </c>
      <c r="AC159" s="22" t="n">
        <v>0</v>
      </c>
      <c r="AD159" s="22"/>
      <c r="AE159" s="22"/>
      <c r="AF159" s="22"/>
    </row>
    <row r="160" customFormat="false" ht="15" hidden="false" customHeight="false" outlineLevel="0" collapsed="false">
      <c r="A160" s="22" t="s">
        <v>167</v>
      </c>
      <c r="B160" s="22" t="s">
        <v>3</v>
      </c>
      <c r="C160" s="22" t="s">
        <v>167</v>
      </c>
      <c r="D160" s="22" t="n">
        <v>23540</v>
      </c>
      <c r="E160" s="22" t="s">
        <v>136</v>
      </c>
      <c r="F160" s="22" t="s">
        <v>681</v>
      </c>
      <c r="G160" s="22" t="s">
        <v>131</v>
      </c>
      <c r="H160" s="22" t="s">
        <v>131</v>
      </c>
      <c r="I160" s="22" t="n">
        <v>300</v>
      </c>
      <c r="J160" s="22" t="n">
        <v>373</v>
      </c>
      <c r="K160" s="22" t="n">
        <v>453</v>
      </c>
      <c r="L160" s="22" t="n">
        <v>860</v>
      </c>
      <c r="M160" s="22" t="n">
        <v>560</v>
      </c>
      <c r="N160" s="22" t="n">
        <v>487</v>
      </c>
      <c r="O160" s="22" t="n">
        <v>532</v>
      </c>
      <c r="P160" s="22" t="n">
        <v>125</v>
      </c>
      <c r="Q160" s="22" t="n">
        <v>413</v>
      </c>
      <c r="R160" s="22" t="n">
        <v>653</v>
      </c>
      <c r="S160" s="22" t="n">
        <v>528</v>
      </c>
      <c r="T160" s="22" t="n">
        <v>528</v>
      </c>
      <c r="U160" s="22" t="n">
        <v>240</v>
      </c>
      <c r="V160" s="22" t="n">
        <v>315</v>
      </c>
      <c r="W160" s="22" t="n">
        <v>315</v>
      </c>
      <c r="X160" s="22" t="n">
        <v>315</v>
      </c>
      <c r="Y160" s="22" t="n">
        <v>491</v>
      </c>
      <c r="Z160" s="22" t="n">
        <v>176</v>
      </c>
      <c r="AA160" s="22" t="n">
        <v>176</v>
      </c>
      <c r="AB160" s="22" t="n">
        <v>176</v>
      </c>
      <c r="AC160" s="22" t="n">
        <v>0</v>
      </c>
      <c r="AD160" s="22"/>
      <c r="AE160" s="22"/>
      <c r="AF160" s="22"/>
    </row>
    <row r="161" customFormat="false" ht="15" hidden="false" customHeight="false" outlineLevel="0" collapsed="false">
      <c r="A161" s="22" t="s">
        <v>168</v>
      </c>
      <c r="B161" s="22" t="s">
        <v>3</v>
      </c>
      <c r="C161" s="22" t="s">
        <v>168</v>
      </c>
      <c r="D161" s="22" t="n">
        <v>324340</v>
      </c>
      <c r="E161" s="22" t="s">
        <v>132</v>
      </c>
      <c r="F161" s="22" t="s">
        <v>133</v>
      </c>
      <c r="G161" s="22" t="s">
        <v>131</v>
      </c>
      <c r="H161" s="22" t="s">
        <v>131</v>
      </c>
      <c r="I161" s="22" t="n">
        <v>68415</v>
      </c>
      <c r="J161" s="22" t="n">
        <v>68656</v>
      </c>
      <c r="K161" s="22" t="n">
        <v>68880</v>
      </c>
      <c r="L161" s="22" t="n">
        <v>69076</v>
      </c>
      <c r="M161" s="22" t="n">
        <v>69225</v>
      </c>
      <c r="N161" s="22" t="n">
        <v>69589</v>
      </c>
      <c r="O161" s="22" t="n">
        <v>69706</v>
      </c>
      <c r="P161" s="22" t="n">
        <v>70037</v>
      </c>
      <c r="Q161" s="22" t="n">
        <v>70458</v>
      </c>
      <c r="R161" s="22" t="n">
        <v>70841</v>
      </c>
      <c r="S161" s="22" t="n">
        <v>71363</v>
      </c>
      <c r="T161" s="22" t="n">
        <v>71744</v>
      </c>
      <c r="U161" s="22" t="n">
        <v>72243</v>
      </c>
      <c r="V161" s="22" t="n">
        <v>72610</v>
      </c>
      <c r="W161" s="22" t="n">
        <v>72966</v>
      </c>
      <c r="X161" s="22" t="n">
        <v>73211</v>
      </c>
      <c r="Y161" s="22" t="n">
        <v>73465</v>
      </c>
      <c r="Z161" s="22" t="n">
        <v>73549</v>
      </c>
      <c r="AA161" s="22" t="n">
        <v>73753</v>
      </c>
      <c r="AB161" s="22" t="n">
        <v>73875</v>
      </c>
      <c r="AC161" s="22" t="n">
        <v>74053</v>
      </c>
      <c r="AD161" s="22" t="n">
        <v>74244</v>
      </c>
      <c r="AE161" s="22" t="n">
        <v>74307</v>
      </c>
      <c r="AF161" s="22" t="n">
        <v>74376</v>
      </c>
    </row>
    <row r="162" customFormat="false" ht="15" hidden="false" customHeight="false" outlineLevel="0" collapsed="false">
      <c r="A162" s="22" t="s">
        <v>168</v>
      </c>
      <c r="B162" s="22" t="s">
        <v>3</v>
      </c>
      <c r="C162" s="22" t="s">
        <v>168</v>
      </c>
      <c r="D162" s="22" t="n">
        <v>324340</v>
      </c>
      <c r="E162" s="22" t="s">
        <v>136</v>
      </c>
      <c r="F162" s="22" t="s">
        <v>680</v>
      </c>
      <c r="G162" s="22" t="s">
        <v>131</v>
      </c>
      <c r="H162" s="22" t="s">
        <v>131</v>
      </c>
      <c r="I162" s="22" t="n">
        <v>0</v>
      </c>
      <c r="J162" s="22" t="n">
        <v>138</v>
      </c>
      <c r="K162" s="22" t="n">
        <v>197</v>
      </c>
      <c r="L162" s="22" t="n">
        <v>565</v>
      </c>
      <c r="M162" s="22" t="n">
        <v>596</v>
      </c>
      <c r="N162" s="22" t="n">
        <v>721</v>
      </c>
      <c r="O162" s="22" t="n">
        <v>397</v>
      </c>
      <c r="P162" s="22" t="n">
        <v>118</v>
      </c>
      <c r="Q162" s="22" t="n">
        <v>72</v>
      </c>
      <c r="R162" s="22" t="n">
        <v>236</v>
      </c>
      <c r="S162" s="22" t="n">
        <v>168</v>
      </c>
      <c r="T162" s="22" t="n">
        <v>216</v>
      </c>
      <c r="U162" s="22" t="n">
        <v>0</v>
      </c>
      <c r="V162" s="22" t="n">
        <v>695</v>
      </c>
      <c r="W162" s="22" t="n">
        <v>289</v>
      </c>
      <c r="X162" s="22" t="n">
        <v>140</v>
      </c>
      <c r="Y162" s="22" t="n">
        <v>85</v>
      </c>
      <c r="Z162" s="22" t="n">
        <v>311</v>
      </c>
      <c r="AA162" s="22" t="n">
        <v>168</v>
      </c>
      <c r="AB162" s="22" t="n">
        <v>73</v>
      </c>
      <c r="AC162" s="22" t="n">
        <v>197</v>
      </c>
      <c r="AD162" s="22"/>
      <c r="AE162" s="22"/>
      <c r="AF162" s="22"/>
    </row>
    <row r="163" customFormat="false" ht="15" hidden="false" customHeight="false" outlineLevel="0" collapsed="false">
      <c r="A163" s="22" t="s">
        <v>168</v>
      </c>
      <c r="B163" s="22" t="s">
        <v>3</v>
      </c>
      <c r="C163" s="22" t="s">
        <v>168</v>
      </c>
      <c r="D163" s="22" t="n">
        <v>324340</v>
      </c>
      <c r="E163" s="22" t="s">
        <v>136</v>
      </c>
      <c r="F163" s="22" t="s">
        <v>681</v>
      </c>
      <c r="G163" s="22" t="s">
        <v>131</v>
      </c>
      <c r="H163" s="22" t="s">
        <v>131</v>
      </c>
      <c r="I163" s="22" t="n">
        <v>1393</v>
      </c>
      <c r="J163" s="22" t="n">
        <v>455</v>
      </c>
      <c r="K163" s="22" t="n">
        <v>634</v>
      </c>
      <c r="L163" s="22" t="n">
        <v>900</v>
      </c>
      <c r="M163" s="22" t="n">
        <v>1496</v>
      </c>
      <c r="N163" s="22" t="n">
        <v>2079</v>
      </c>
      <c r="O163" s="22" t="n">
        <v>2279</v>
      </c>
      <c r="P163" s="22" t="n">
        <v>1832</v>
      </c>
      <c r="Q163" s="22" t="n">
        <v>1308</v>
      </c>
      <c r="R163" s="22" t="n">
        <v>823</v>
      </c>
      <c r="S163" s="22" t="n">
        <v>594</v>
      </c>
      <c r="T163" s="22" t="n">
        <v>692</v>
      </c>
      <c r="U163" s="22" t="n">
        <v>620</v>
      </c>
      <c r="V163" s="22" t="n">
        <v>1079</v>
      </c>
      <c r="W163" s="22" t="n">
        <v>1200</v>
      </c>
      <c r="X163" s="22" t="n">
        <v>1124</v>
      </c>
      <c r="Y163" s="22" t="n">
        <v>1209</v>
      </c>
      <c r="Z163" s="22" t="n">
        <v>825</v>
      </c>
      <c r="AA163" s="22" t="n">
        <v>704</v>
      </c>
      <c r="AB163" s="22" t="n">
        <v>637</v>
      </c>
      <c r="AC163" s="22" t="n">
        <v>749</v>
      </c>
      <c r="AD163" s="22"/>
      <c r="AE163" s="22"/>
      <c r="AF163" s="22"/>
    </row>
    <row r="164" customFormat="false" ht="15" hidden="false" customHeight="false" outlineLevel="0" collapsed="false">
      <c r="A164" s="22" t="s">
        <v>47</v>
      </c>
      <c r="B164" s="22" t="s">
        <v>3</v>
      </c>
      <c r="C164" s="22" t="s">
        <v>47</v>
      </c>
      <c r="D164" s="22" t="n">
        <v>324660</v>
      </c>
      <c r="E164" s="22" t="s">
        <v>132</v>
      </c>
      <c r="F164" s="22" t="s">
        <v>133</v>
      </c>
      <c r="G164" s="22" t="s">
        <v>131</v>
      </c>
      <c r="H164" s="22" t="s">
        <v>131</v>
      </c>
      <c r="I164" s="22" t="n">
        <v>108442</v>
      </c>
      <c r="J164" s="22" t="n">
        <v>108797</v>
      </c>
      <c r="K164" s="22" t="n">
        <v>109110</v>
      </c>
      <c r="L164" s="22" t="n">
        <v>109242</v>
      </c>
      <c r="M164" s="22" t="n">
        <v>109507</v>
      </c>
      <c r="N164" s="22" t="n">
        <v>109950</v>
      </c>
      <c r="O164" s="22" t="n">
        <v>110719</v>
      </c>
      <c r="P164" s="22" t="n">
        <v>111235</v>
      </c>
      <c r="Q164" s="22" t="n">
        <v>111592</v>
      </c>
      <c r="R164" s="22" t="n">
        <v>111839</v>
      </c>
      <c r="S164" s="22" t="n">
        <v>112017</v>
      </c>
      <c r="T164" s="22" t="n">
        <v>112371</v>
      </c>
      <c r="U164" s="22" t="n">
        <v>112678</v>
      </c>
      <c r="V164" s="22" t="n">
        <v>113389</v>
      </c>
      <c r="W164" s="22" t="n">
        <v>113746</v>
      </c>
      <c r="X164" s="22" t="n">
        <v>114178</v>
      </c>
      <c r="Y164" s="22" t="n">
        <v>114714</v>
      </c>
      <c r="Z164" s="22" t="n">
        <v>114966</v>
      </c>
      <c r="AA164" s="22" t="n">
        <v>115438</v>
      </c>
      <c r="AB164" s="22" t="n">
        <v>115791</v>
      </c>
      <c r="AC164" s="22" t="n">
        <v>116060</v>
      </c>
      <c r="AD164" s="22" t="n">
        <v>116443</v>
      </c>
      <c r="AE164" s="22" t="n">
        <v>116612</v>
      </c>
      <c r="AF164" s="22" t="n">
        <v>116811</v>
      </c>
    </row>
    <row r="165" customFormat="false" ht="15" hidden="false" customHeight="false" outlineLevel="0" collapsed="false">
      <c r="A165" s="22" t="s">
        <v>47</v>
      </c>
      <c r="B165" s="22" t="s">
        <v>3</v>
      </c>
      <c r="C165" s="22" t="s">
        <v>47</v>
      </c>
      <c r="D165" s="22" t="n">
        <v>324660</v>
      </c>
      <c r="E165" s="22" t="s">
        <v>136</v>
      </c>
      <c r="F165" s="22" t="s">
        <v>680</v>
      </c>
      <c r="G165" s="22" t="s">
        <v>131</v>
      </c>
      <c r="H165" s="22" t="s">
        <v>131</v>
      </c>
      <c r="I165" s="22" t="n">
        <v>0</v>
      </c>
      <c r="J165" s="22" t="n">
        <v>444</v>
      </c>
      <c r="K165" s="22" t="n">
        <v>410</v>
      </c>
      <c r="L165" s="22" t="n">
        <v>0</v>
      </c>
      <c r="M165" s="22" t="n">
        <v>173</v>
      </c>
      <c r="N165" s="22" t="n">
        <v>242</v>
      </c>
      <c r="O165" s="22" t="n">
        <v>519</v>
      </c>
      <c r="P165" s="22" t="n">
        <v>557</v>
      </c>
      <c r="Q165" s="22" t="n">
        <v>401</v>
      </c>
      <c r="R165" s="22" t="n">
        <v>805</v>
      </c>
      <c r="S165" s="22" t="n">
        <v>0</v>
      </c>
      <c r="T165" s="22" t="n">
        <v>238</v>
      </c>
      <c r="U165" s="22" t="n">
        <v>567</v>
      </c>
      <c r="V165" s="22" t="n">
        <v>130</v>
      </c>
      <c r="W165" s="22" t="n">
        <v>0</v>
      </c>
      <c r="X165" s="22" t="n">
        <v>674</v>
      </c>
      <c r="Y165" s="22" t="n">
        <v>473</v>
      </c>
      <c r="Z165" s="22" t="n">
        <v>698</v>
      </c>
      <c r="AA165" s="22" t="n">
        <v>200</v>
      </c>
      <c r="AB165" s="22" t="n">
        <v>370</v>
      </c>
      <c r="AC165" s="22" t="n">
        <v>575</v>
      </c>
      <c r="AD165" s="22"/>
      <c r="AE165" s="22"/>
      <c r="AF165" s="22"/>
    </row>
    <row r="166" customFormat="false" ht="15" hidden="false" customHeight="false" outlineLevel="0" collapsed="false">
      <c r="A166" s="22" t="s">
        <v>47</v>
      </c>
      <c r="B166" s="22" t="s">
        <v>3</v>
      </c>
      <c r="C166" s="22" t="s">
        <v>47</v>
      </c>
      <c r="D166" s="22" t="n">
        <v>324660</v>
      </c>
      <c r="E166" s="22" t="s">
        <v>136</v>
      </c>
      <c r="F166" s="22" t="s">
        <v>681</v>
      </c>
      <c r="G166" s="22" t="s">
        <v>131</v>
      </c>
      <c r="H166" s="22" t="s">
        <v>131</v>
      </c>
      <c r="I166" s="22" t="n">
        <v>2024</v>
      </c>
      <c r="J166" s="22" t="n">
        <v>2247</v>
      </c>
      <c r="K166" s="22" t="n">
        <v>2129</v>
      </c>
      <c r="L166" s="22" t="n">
        <v>854</v>
      </c>
      <c r="M166" s="22" t="n">
        <v>1027</v>
      </c>
      <c r="N166" s="22" t="n">
        <v>825</v>
      </c>
      <c r="O166" s="22" t="n">
        <v>934</v>
      </c>
      <c r="P166" s="22" t="n">
        <v>1491</v>
      </c>
      <c r="Q166" s="22" t="n">
        <v>1719</v>
      </c>
      <c r="R166" s="22" t="n">
        <v>2282</v>
      </c>
      <c r="S166" s="22" t="n">
        <v>1763</v>
      </c>
      <c r="T166" s="22" t="n">
        <v>1444</v>
      </c>
      <c r="U166" s="22" t="n">
        <v>1610</v>
      </c>
      <c r="V166" s="22" t="n">
        <v>935</v>
      </c>
      <c r="W166" s="22" t="n">
        <v>935</v>
      </c>
      <c r="X166" s="22" t="n">
        <v>1371</v>
      </c>
      <c r="Y166" s="22" t="n">
        <v>1277</v>
      </c>
      <c r="Z166" s="22" t="n">
        <v>1845</v>
      </c>
      <c r="AA166" s="22" t="n">
        <v>2045</v>
      </c>
      <c r="AB166" s="22" t="n">
        <v>1741</v>
      </c>
      <c r="AC166" s="22" t="n">
        <v>1843</v>
      </c>
      <c r="AD166" s="22"/>
      <c r="AE166" s="22"/>
      <c r="AF166" s="22"/>
    </row>
    <row r="167" customFormat="false" ht="15" hidden="false" customHeight="false" outlineLevel="0" collapsed="false">
      <c r="A167" s="22" t="s">
        <v>80</v>
      </c>
      <c r="B167" s="22" t="s">
        <v>3</v>
      </c>
      <c r="C167" s="22" t="s">
        <v>80</v>
      </c>
      <c r="D167" s="22" t="n">
        <v>224860</v>
      </c>
      <c r="E167" s="22" t="s">
        <v>132</v>
      </c>
      <c r="F167" s="22" t="s">
        <v>133</v>
      </c>
      <c r="G167" s="22" t="s">
        <v>131</v>
      </c>
      <c r="H167" s="22" t="s">
        <v>131</v>
      </c>
      <c r="I167" s="22" t="n">
        <v>69268</v>
      </c>
      <c r="J167" s="22" t="n">
        <v>70048</v>
      </c>
      <c r="K167" s="22" t="n">
        <v>71076</v>
      </c>
      <c r="L167" s="22" t="n">
        <v>71549</v>
      </c>
      <c r="M167" s="22" t="n">
        <v>71880</v>
      </c>
      <c r="N167" s="22" t="n">
        <v>72283</v>
      </c>
      <c r="O167" s="22" t="n">
        <v>72911</v>
      </c>
      <c r="P167" s="22" t="n">
        <v>73580</v>
      </c>
      <c r="Q167" s="22" t="n">
        <v>74692</v>
      </c>
      <c r="R167" s="22" t="n">
        <v>75362</v>
      </c>
      <c r="S167" s="22" t="n">
        <v>75819</v>
      </c>
      <c r="T167" s="22" t="n">
        <v>76179</v>
      </c>
      <c r="U167" s="22" t="n">
        <v>77294</v>
      </c>
      <c r="V167" s="22" t="n">
        <v>78010</v>
      </c>
      <c r="W167" s="22" t="n">
        <v>78951</v>
      </c>
      <c r="X167" s="22" t="n">
        <v>79413</v>
      </c>
      <c r="Y167" s="22" t="n">
        <v>79722</v>
      </c>
      <c r="Z167" s="22" t="n">
        <v>80111</v>
      </c>
      <c r="AA167" s="22" t="n">
        <v>79911</v>
      </c>
      <c r="AB167" s="22" t="n">
        <v>80198</v>
      </c>
      <c r="AC167" s="22" t="n">
        <v>80358</v>
      </c>
      <c r="AD167" s="22" t="n">
        <v>80587</v>
      </c>
      <c r="AE167" s="22" t="n">
        <v>80817</v>
      </c>
      <c r="AF167" s="22" t="n">
        <v>80946</v>
      </c>
    </row>
    <row r="168" customFormat="false" ht="15" hidden="false" customHeight="false" outlineLevel="0" collapsed="false">
      <c r="A168" s="22" t="s">
        <v>80</v>
      </c>
      <c r="B168" s="22" t="s">
        <v>3</v>
      </c>
      <c r="C168" s="22" t="s">
        <v>80</v>
      </c>
      <c r="D168" s="22" t="n">
        <v>224860</v>
      </c>
      <c r="E168" s="22" t="s">
        <v>136</v>
      </c>
      <c r="F168" s="22" t="s">
        <v>680</v>
      </c>
      <c r="G168" s="22" t="s">
        <v>131</v>
      </c>
      <c r="H168" s="22" t="s">
        <v>131</v>
      </c>
      <c r="I168" s="22" t="n">
        <v>1609</v>
      </c>
      <c r="J168" s="22" t="n">
        <v>857</v>
      </c>
      <c r="K168" s="22" t="n">
        <v>140</v>
      </c>
      <c r="L168" s="22" t="n">
        <v>1354</v>
      </c>
      <c r="M168" s="22" t="n">
        <v>1138</v>
      </c>
      <c r="N168" s="22" t="n">
        <v>80</v>
      </c>
      <c r="O168" s="22" t="n">
        <v>235</v>
      </c>
      <c r="P168" s="22" t="n">
        <v>481</v>
      </c>
      <c r="Q168" s="22" t="n">
        <v>511</v>
      </c>
      <c r="R168" s="22" t="n">
        <v>439</v>
      </c>
      <c r="S168" s="22" t="n">
        <v>262</v>
      </c>
      <c r="T168" s="22" t="n">
        <v>365</v>
      </c>
      <c r="U168" s="22" t="n">
        <v>0</v>
      </c>
      <c r="V168" s="22" t="n">
        <v>181</v>
      </c>
      <c r="W168" s="22" t="n">
        <v>0</v>
      </c>
      <c r="X168" s="22" t="n">
        <v>461</v>
      </c>
      <c r="Y168" s="22" t="n">
        <v>644</v>
      </c>
      <c r="Z168" s="22" t="n">
        <v>0</v>
      </c>
      <c r="AA168" s="22" t="n">
        <v>0</v>
      </c>
      <c r="AB168" s="22" t="n">
        <v>152</v>
      </c>
      <c r="AC168" s="22" t="n">
        <v>0</v>
      </c>
      <c r="AD168" s="22"/>
      <c r="AE168" s="22"/>
      <c r="AF168" s="22"/>
    </row>
    <row r="169" customFormat="false" ht="15" hidden="false" customHeight="false" outlineLevel="0" collapsed="false">
      <c r="A169" s="22" t="s">
        <v>80</v>
      </c>
      <c r="B169" s="22" t="s">
        <v>3</v>
      </c>
      <c r="C169" s="22" t="s">
        <v>80</v>
      </c>
      <c r="D169" s="22" t="n">
        <v>224860</v>
      </c>
      <c r="E169" s="22" t="s">
        <v>136</v>
      </c>
      <c r="F169" s="22" t="s">
        <v>681</v>
      </c>
      <c r="G169" s="22" t="s">
        <v>131</v>
      </c>
      <c r="H169" s="22" t="s">
        <v>131</v>
      </c>
      <c r="I169" s="22" t="n">
        <v>3983</v>
      </c>
      <c r="J169" s="22" t="n">
        <v>4250</v>
      </c>
      <c r="K169" s="22" t="n">
        <v>2606</v>
      </c>
      <c r="L169" s="22" t="n">
        <v>3960</v>
      </c>
      <c r="M169" s="22" t="n">
        <v>3489</v>
      </c>
      <c r="N169" s="22" t="n">
        <v>2712</v>
      </c>
      <c r="O169" s="22" t="n">
        <v>2807</v>
      </c>
      <c r="P169" s="22" t="n">
        <v>1934</v>
      </c>
      <c r="Q169" s="22" t="n">
        <v>1307</v>
      </c>
      <c r="R169" s="22" t="n">
        <v>1666</v>
      </c>
      <c r="S169" s="22" t="n">
        <v>1693</v>
      </c>
      <c r="T169" s="22" t="n">
        <v>1577</v>
      </c>
      <c r="U169" s="22" t="n">
        <v>1066</v>
      </c>
      <c r="V169" s="22" t="n">
        <v>808</v>
      </c>
      <c r="W169" s="22" t="n">
        <v>546</v>
      </c>
      <c r="X169" s="22" t="n">
        <v>642</v>
      </c>
      <c r="Y169" s="22" t="n">
        <v>1286</v>
      </c>
      <c r="Z169" s="22" t="n">
        <v>1105</v>
      </c>
      <c r="AA169" s="22" t="n">
        <v>1105</v>
      </c>
      <c r="AB169" s="22" t="n">
        <v>796</v>
      </c>
      <c r="AC169" s="22" t="n">
        <v>152</v>
      </c>
      <c r="AD169" s="22"/>
      <c r="AE169" s="22"/>
      <c r="AF169" s="22"/>
    </row>
    <row r="170" customFormat="false" ht="15" hidden="false" customHeight="false" outlineLevel="0" collapsed="false">
      <c r="A170" s="22" t="s">
        <v>169</v>
      </c>
      <c r="B170" s="22" t="s">
        <v>3</v>
      </c>
      <c r="C170" s="22" t="s">
        <v>169</v>
      </c>
      <c r="D170" s="22" t="n">
        <v>25420</v>
      </c>
      <c r="E170" s="22" t="s">
        <v>132</v>
      </c>
      <c r="F170" s="22" t="s">
        <v>133</v>
      </c>
      <c r="G170" s="22" t="s">
        <v>131</v>
      </c>
      <c r="H170" s="22" t="s">
        <v>131</v>
      </c>
      <c r="I170" s="22" t="n">
        <v>35217</v>
      </c>
      <c r="J170" s="22" t="n">
        <v>35217</v>
      </c>
      <c r="K170" s="22" t="n">
        <v>35217</v>
      </c>
      <c r="L170" s="22" t="n">
        <v>35241</v>
      </c>
      <c r="M170" s="22" t="n">
        <v>35297</v>
      </c>
      <c r="N170" s="22" t="n">
        <v>35356</v>
      </c>
      <c r="O170" s="22" t="n">
        <v>35578</v>
      </c>
      <c r="P170" s="22" t="n">
        <v>35769</v>
      </c>
      <c r="Q170" s="22" t="n">
        <v>35870</v>
      </c>
      <c r="R170" s="22" t="n">
        <v>35969</v>
      </c>
      <c r="S170" s="22" t="n">
        <v>36110</v>
      </c>
      <c r="T170" s="22" t="n">
        <v>36457</v>
      </c>
      <c r="U170" s="22" t="n">
        <v>36664</v>
      </c>
      <c r="V170" s="22" t="n">
        <v>37090</v>
      </c>
      <c r="W170" s="22" t="n">
        <v>37474</v>
      </c>
      <c r="X170" s="22" t="n">
        <v>37799</v>
      </c>
      <c r="Y170" s="22" t="n">
        <v>38050</v>
      </c>
      <c r="Z170" s="22" t="n">
        <v>38266</v>
      </c>
      <c r="AA170" s="22" t="n">
        <v>38268</v>
      </c>
      <c r="AB170" s="22" t="n">
        <v>38268</v>
      </c>
      <c r="AC170" s="22" t="n">
        <v>38268</v>
      </c>
      <c r="AD170" s="22" t="n">
        <v>38378</v>
      </c>
      <c r="AE170" s="22" t="n">
        <v>38544</v>
      </c>
      <c r="AF170" s="22" t="n">
        <v>38616</v>
      </c>
    </row>
    <row r="171" customFormat="false" ht="15" hidden="false" customHeight="false" outlineLevel="0" collapsed="false">
      <c r="A171" s="22" t="s">
        <v>169</v>
      </c>
      <c r="B171" s="22" t="s">
        <v>3</v>
      </c>
      <c r="C171" s="22" t="s">
        <v>169</v>
      </c>
      <c r="D171" s="22" t="n">
        <v>25420</v>
      </c>
      <c r="E171" s="22" t="s">
        <v>136</v>
      </c>
      <c r="F171" s="22" t="s">
        <v>680</v>
      </c>
      <c r="G171" s="22" t="s">
        <v>131</v>
      </c>
      <c r="H171" s="22" t="s">
        <v>131</v>
      </c>
      <c r="I171" s="22" t="n">
        <v>28</v>
      </c>
      <c r="J171" s="22" t="n">
        <v>286</v>
      </c>
      <c r="K171" s="22" t="n">
        <v>42</v>
      </c>
      <c r="L171" s="22" t="n">
        <v>601</v>
      </c>
      <c r="M171" s="22" t="n">
        <v>369</v>
      </c>
      <c r="N171" s="22" t="n">
        <v>0</v>
      </c>
      <c r="O171" s="22" t="n">
        <v>120</v>
      </c>
      <c r="P171" s="22" t="n">
        <v>0</v>
      </c>
      <c r="Q171" s="22" t="n">
        <v>626</v>
      </c>
      <c r="R171" s="22" t="n">
        <v>0</v>
      </c>
      <c r="S171" s="22" t="n">
        <v>371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156</v>
      </c>
      <c r="AA171" s="22" t="n">
        <v>216</v>
      </c>
      <c r="AB171" s="22" t="n">
        <v>235</v>
      </c>
      <c r="AC171" s="22" t="n">
        <v>0</v>
      </c>
      <c r="AD171" s="22"/>
      <c r="AE171" s="22"/>
      <c r="AF171" s="22"/>
    </row>
    <row r="172" customFormat="false" ht="15" hidden="false" customHeight="false" outlineLevel="0" collapsed="false">
      <c r="A172" s="22" t="s">
        <v>169</v>
      </c>
      <c r="B172" s="22" t="s">
        <v>3</v>
      </c>
      <c r="C172" s="22" t="s">
        <v>169</v>
      </c>
      <c r="D172" s="22" t="n">
        <v>25420</v>
      </c>
      <c r="E172" s="22" t="s">
        <v>136</v>
      </c>
      <c r="F172" s="22" t="s">
        <v>681</v>
      </c>
      <c r="G172" s="22" t="s">
        <v>131</v>
      </c>
      <c r="H172" s="22" t="s">
        <v>131</v>
      </c>
      <c r="I172" s="22" t="n">
        <v>550</v>
      </c>
      <c r="J172" s="22" t="n">
        <v>790</v>
      </c>
      <c r="K172" s="22" t="n">
        <v>832</v>
      </c>
      <c r="L172" s="22" t="n">
        <v>957</v>
      </c>
      <c r="M172" s="22" t="n">
        <v>1298</v>
      </c>
      <c r="N172" s="22" t="n">
        <v>1012</v>
      </c>
      <c r="O172" s="22" t="n">
        <v>1090</v>
      </c>
      <c r="P172" s="22" t="n">
        <v>489</v>
      </c>
      <c r="Q172" s="22" t="n">
        <v>746</v>
      </c>
      <c r="R172" s="22" t="n">
        <v>746</v>
      </c>
      <c r="S172" s="22" t="n">
        <v>997</v>
      </c>
      <c r="T172" s="22" t="n">
        <v>997</v>
      </c>
      <c r="U172" s="22" t="n">
        <v>371</v>
      </c>
      <c r="V172" s="22" t="n">
        <v>371</v>
      </c>
      <c r="W172" s="22" t="n">
        <v>0</v>
      </c>
      <c r="X172" s="22" t="n">
        <v>0</v>
      </c>
      <c r="Y172" s="22" t="n">
        <v>0</v>
      </c>
      <c r="Z172" s="22" t="n">
        <v>156</v>
      </c>
      <c r="AA172" s="22" t="n">
        <v>372</v>
      </c>
      <c r="AB172" s="22" t="n">
        <v>607</v>
      </c>
      <c r="AC172" s="22" t="n">
        <v>607</v>
      </c>
      <c r="AD172" s="22"/>
      <c r="AE172" s="22"/>
      <c r="AF172" s="22"/>
    </row>
    <row r="173" customFormat="false" ht="15" hidden="false" customHeight="false" outlineLevel="0" collapsed="false">
      <c r="A173" s="22" t="s">
        <v>170</v>
      </c>
      <c r="B173" s="22" t="s">
        <v>3</v>
      </c>
      <c r="C173" s="22" t="s">
        <v>170</v>
      </c>
      <c r="D173" s="22" t="n">
        <v>25540</v>
      </c>
      <c r="E173" s="22" t="s">
        <v>132</v>
      </c>
      <c r="F173" s="22" t="s">
        <v>133</v>
      </c>
      <c r="G173" s="22" t="s">
        <v>131</v>
      </c>
      <c r="H173" s="22" t="s">
        <v>131</v>
      </c>
      <c r="I173" s="22" t="n">
        <v>93584</v>
      </c>
      <c r="J173" s="22" t="n">
        <v>93669</v>
      </c>
      <c r="K173" s="22" t="n">
        <v>93754</v>
      </c>
      <c r="L173" s="22" t="n">
        <v>93828</v>
      </c>
      <c r="M173" s="22" t="n">
        <v>93909</v>
      </c>
      <c r="N173" s="22" t="n">
        <v>94038</v>
      </c>
      <c r="O173" s="22" t="n">
        <v>94366</v>
      </c>
      <c r="P173" s="22" t="n">
        <v>94627</v>
      </c>
      <c r="Q173" s="22" t="n">
        <v>94905</v>
      </c>
      <c r="R173" s="22" t="n">
        <v>95166</v>
      </c>
      <c r="S173" s="22" t="n">
        <v>95326</v>
      </c>
      <c r="T173" s="22" t="n">
        <v>95533</v>
      </c>
      <c r="U173" s="22" t="n">
        <v>95999</v>
      </c>
      <c r="V173" s="22" t="n">
        <v>96466</v>
      </c>
      <c r="W173" s="22" t="n">
        <v>97021</v>
      </c>
      <c r="X173" s="22" t="n">
        <v>97304</v>
      </c>
      <c r="Y173" s="22" t="n">
        <v>97542</v>
      </c>
      <c r="Z173" s="22" t="n">
        <v>98149</v>
      </c>
      <c r="AA173" s="22" t="n">
        <v>98233</v>
      </c>
      <c r="AB173" s="22" t="n">
        <v>98374</v>
      </c>
      <c r="AC173" s="22" t="n">
        <v>98866</v>
      </c>
      <c r="AD173" s="22" t="n">
        <v>99908</v>
      </c>
      <c r="AE173" s="22" t="n">
        <v>100633</v>
      </c>
      <c r="AF173" s="22" t="n">
        <v>100669</v>
      </c>
    </row>
    <row r="174" customFormat="false" ht="15" hidden="false" customHeight="false" outlineLevel="0" collapsed="false">
      <c r="A174" s="22" t="s">
        <v>170</v>
      </c>
      <c r="B174" s="22" t="s">
        <v>3</v>
      </c>
      <c r="C174" s="22" t="s">
        <v>170</v>
      </c>
      <c r="D174" s="22" t="n">
        <v>25540</v>
      </c>
      <c r="E174" s="22" t="s">
        <v>136</v>
      </c>
      <c r="F174" s="22" t="s">
        <v>680</v>
      </c>
      <c r="G174" s="22" t="s">
        <v>131</v>
      </c>
      <c r="H174" s="22" t="s">
        <v>131</v>
      </c>
      <c r="I174" s="22" t="n">
        <v>431</v>
      </c>
      <c r="J174" s="22" t="n">
        <v>137</v>
      </c>
      <c r="K174" s="22" t="n">
        <v>273</v>
      </c>
      <c r="L174" s="22" t="n">
        <v>25</v>
      </c>
      <c r="M174" s="22" t="n">
        <v>689</v>
      </c>
      <c r="N174" s="22" t="n">
        <v>717</v>
      </c>
      <c r="O174" s="22" t="n">
        <v>328</v>
      </c>
      <c r="P174" s="22" t="n">
        <v>350</v>
      </c>
      <c r="Q174" s="22" t="n">
        <v>732</v>
      </c>
      <c r="R174" s="22" t="n">
        <v>100</v>
      </c>
      <c r="S174" s="22" t="n">
        <v>886</v>
      </c>
      <c r="T174" s="22" t="n">
        <v>515</v>
      </c>
      <c r="U174" s="22" t="n">
        <v>151</v>
      </c>
      <c r="V174" s="22" t="n">
        <v>96</v>
      </c>
      <c r="W174" s="22" t="n">
        <v>220</v>
      </c>
      <c r="X174" s="22" t="n">
        <v>632</v>
      </c>
      <c r="Y174" s="22" t="n">
        <v>0</v>
      </c>
      <c r="Z174" s="22" t="n">
        <v>144</v>
      </c>
      <c r="AA174" s="22" t="n">
        <v>0</v>
      </c>
      <c r="AB174" s="22" t="n">
        <v>0</v>
      </c>
      <c r="AC174" s="22" t="n">
        <v>150</v>
      </c>
      <c r="AD174" s="22"/>
      <c r="AE174" s="22"/>
      <c r="AF174" s="22"/>
    </row>
    <row r="175" customFormat="false" ht="15" hidden="false" customHeight="false" outlineLevel="0" collapsed="false">
      <c r="A175" s="22" t="s">
        <v>170</v>
      </c>
      <c r="B175" s="22" t="s">
        <v>3</v>
      </c>
      <c r="C175" s="22" t="s">
        <v>170</v>
      </c>
      <c r="D175" s="22" t="n">
        <v>25540</v>
      </c>
      <c r="E175" s="22" t="s">
        <v>136</v>
      </c>
      <c r="F175" s="22" t="s">
        <v>681</v>
      </c>
      <c r="G175" s="22" t="s">
        <v>131</v>
      </c>
      <c r="H175" s="22" t="s">
        <v>131</v>
      </c>
      <c r="I175" s="22" t="n">
        <v>851</v>
      </c>
      <c r="J175" s="22" t="n">
        <v>862</v>
      </c>
      <c r="K175" s="22" t="n">
        <v>841</v>
      </c>
      <c r="L175" s="22" t="n">
        <v>866</v>
      </c>
      <c r="M175" s="22" t="n">
        <v>1124</v>
      </c>
      <c r="N175" s="22" t="n">
        <v>1704</v>
      </c>
      <c r="O175" s="22" t="n">
        <v>1759</v>
      </c>
      <c r="P175" s="22" t="n">
        <v>2084</v>
      </c>
      <c r="Q175" s="22" t="n">
        <v>2127</v>
      </c>
      <c r="R175" s="22" t="n">
        <v>1510</v>
      </c>
      <c r="S175" s="22" t="n">
        <v>2068</v>
      </c>
      <c r="T175" s="22" t="n">
        <v>2233</v>
      </c>
      <c r="U175" s="22" t="n">
        <v>1652</v>
      </c>
      <c r="V175" s="22" t="n">
        <v>1648</v>
      </c>
      <c r="W175" s="22" t="n">
        <v>982</v>
      </c>
      <c r="X175" s="22" t="n">
        <v>1099</v>
      </c>
      <c r="Y175" s="22" t="n">
        <v>948</v>
      </c>
      <c r="Z175" s="22" t="n">
        <v>996</v>
      </c>
      <c r="AA175" s="22" t="n">
        <v>776</v>
      </c>
      <c r="AB175" s="22" t="n">
        <v>144</v>
      </c>
      <c r="AC175" s="22" t="n">
        <v>294</v>
      </c>
      <c r="AD175" s="22"/>
      <c r="AE175" s="22"/>
      <c r="AF175" s="22"/>
    </row>
    <row r="176" customFormat="false" ht="15" hidden="false" customHeight="false" outlineLevel="0" collapsed="false">
      <c r="A176" s="22" t="s">
        <v>82</v>
      </c>
      <c r="B176" s="22" t="s">
        <v>3</v>
      </c>
      <c r="C176" s="22" t="s">
        <v>82</v>
      </c>
      <c r="D176" s="22" t="n">
        <v>26420</v>
      </c>
      <c r="E176" s="22" t="s">
        <v>132</v>
      </c>
      <c r="F176" s="22" t="s">
        <v>133</v>
      </c>
      <c r="G176" s="22" t="s">
        <v>131</v>
      </c>
      <c r="H176" s="22" t="s">
        <v>131</v>
      </c>
      <c r="I176" s="22" t="n">
        <v>720289</v>
      </c>
      <c r="J176" s="22" t="n">
        <v>723740</v>
      </c>
      <c r="K176" s="22" t="n">
        <v>726941</v>
      </c>
      <c r="L176" s="22" t="n">
        <v>731580</v>
      </c>
      <c r="M176" s="22" t="n">
        <v>734774</v>
      </c>
      <c r="N176" s="22" t="n">
        <v>737598</v>
      </c>
      <c r="O176" s="22" t="n">
        <v>740497</v>
      </c>
      <c r="P176" s="22" t="n">
        <v>742875</v>
      </c>
      <c r="Q176" s="22" t="n">
        <v>747531</v>
      </c>
      <c r="R176" s="22" t="n">
        <v>753829</v>
      </c>
      <c r="S176" s="22" t="n">
        <v>759726</v>
      </c>
      <c r="T176" s="22" t="n">
        <v>765672</v>
      </c>
      <c r="U176" s="22" t="n">
        <v>772420</v>
      </c>
      <c r="V176" s="22" t="n">
        <v>778370</v>
      </c>
      <c r="W176" s="22" t="n">
        <v>784295</v>
      </c>
      <c r="X176" s="22" t="n">
        <v>788646</v>
      </c>
      <c r="Y176" s="22" t="n">
        <v>791150</v>
      </c>
      <c r="Z176" s="22" t="n">
        <v>793993</v>
      </c>
      <c r="AA176" s="22" t="n">
        <v>796625</v>
      </c>
      <c r="AB176" s="22" t="n">
        <v>799021</v>
      </c>
      <c r="AC176" s="22" t="n">
        <v>802464</v>
      </c>
      <c r="AD176" s="22" t="n">
        <v>806287</v>
      </c>
      <c r="AE176" s="22" t="n">
        <v>809990</v>
      </c>
      <c r="AF176" s="22" t="n">
        <v>812249</v>
      </c>
    </row>
    <row r="177" customFormat="false" ht="15" hidden="false" customHeight="false" outlineLevel="0" collapsed="false">
      <c r="A177" s="22" t="s">
        <v>82</v>
      </c>
      <c r="B177" s="22" t="s">
        <v>3</v>
      </c>
      <c r="C177" s="22" t="s">
        <v>82</v>
      </c>
      <c r="D177" s="22" t="n">
        <v>26420</v>
      </c>
      <c r="E177" s="22" t="s">
        <v>136</v>
      </c>
      <c r="F177" s="22" t="s">
        <v>680</v>
      </c>
      <c r="G177" s="22" t="s">
        <v>131</v>
      </c>
      <c r="H177" s="22" t="s">
        <v>131</v>
      </c>
      <c r="I177" s="22" t="n">
        <v>2559</v>
      </c>
      <c r="J177" s="22" t="n">
        <v>4112</v>
      </c>
      <c r="K177" s="22" t="n">
        <v>4792</v>
      </c>
      <c r="L177" s="22" t="n">
        <v>6551</v>
      </c>
      <c r="M177" s="22" t="n">
        <v>4737</v>
      </c>
      <c r="N177" s="22" t="n">
        <v>7696</v>
      </c>
      <c r="O177" s="22" t="n">
        <v>6432</v>
      </c>
      <c r="P177" s="22" t="n">
        <v>5424</v>
      </c>
      <c r="Q177" s="22" t="n">
        <v>2423</v>
      </c>
      <c r="R177" s="22" t="n">
        <v>3169</v>
      </c>
      <c r="S177" s="22" t="n">
        <v>3483</v>
      </c>
      <c r="T177" s="22" t="n">
        <v>1756</v>
      </c>
      <c r="U177" s="22" t="n">
        <v>1724</v>
      </c>
      <c r="V177" s="22" t="n">
        <v>313</v>
      </c>
      <c r="W177" s="22" t="n">
        <v>5479</v>
      </c>
      <c r="X177" s="22" t="n">
        <v>4199</v>
      </c>
      <c r="Y177" s="22" t="n">
        <v>2970</v>
      </c>
      <c r="Z177" s="22" t="n">
        <v>3781</v>
      </c>
      <c r="AA177" s="22" t="n">
        <v>4840</v>
      </c>
      <c r="AB177" s="22" t="n">
        <v>4114</v>
      </c>
      <c r="AC177" s="22" t="n">
        <v>685</v>
      </c>
      <c r="AD177" s="22"/>
      <c r="AE177" s="22"/>
      <c r="AF177" s="22"/>
    </row>
    <row r="178" customFormat="false" ht="15" hidden="false" customHeight="false" outlineLevel="0" collapsed="false">
      <c r="A178" s="22" t="s">
        <v>82</v>
      </c>
      <c r="B178" s="22" t="s">
        <v>3</v>
      </c>
      <c r="C178" s="22" t="s">
        <v>82</v>
      </c>
      <c r="D178" s="22" t="n">
        <v>26420</v>
      </c>
      <c r="E178" s="22" t="s">
        <v>136</v>
      </c>
      <c r="F178" s="22" t="s">
        <v>681</v>
      </c>
      <c r="G178" s="22" t="s">
        <v>131</v>
      </c>
      <c r="H178" s="22" t="s">
        <v>131</v>
      </c>
      <c r="I178" s="22" t="n">
        <v>13533</v>
      </c>
      <c r="J178" s="22" t="n">
        <v>13562</v>
      </c>
      <c r="K178" s="22" t="n">
        <v>14265</v>
      </c>
      <c r="L178" s="22" t="n">
        <v>18014</v>
      </c>
      <c r="M178" s="22" t="n">
        <v>20192</v>
      </c>
      <c r="N178" s="22" t="n">
        <v>23776</v>
      </c>
      <c r="O178" s="22" t="n">
        <v>25416</v>
      </c>
      <c r="P178" s="22" t="n">
        <v>24289</v>
      </c>
      <c r="Q178" s="22" t="n">
        <v>21975</v>
      </c>
      <c r="R178" s="22" t="n">
        <v>17448</v>
      </c>
      <c r="S178" s="22" t="n">
        <v>14499</v>
      </c>
      <c r="T178" s="22" t="n">
        <v>10831</v>
      </c>
      <c r="U178" s="22" t="n">
        <v>10132</v>
      </c>
      <c r="V178" s="22" t="n">
        <v>7276</v>
      </c>
      <c r="W178" s="22" t="n">
        <v>9272</v>
      </c>
      <c r="X178" s="22" t="n">
        <v>11715</v>
      </c>
      <c r="Y178" s="22" t="n">
        <v>12961</v>
      </c>
      <c r="Z178" s="22" t="n">
        <v>16429</v>
      </c>
      <c r="AA178" s="22" t="n">
        <v>15790</v>
      </c>
      <c r="AB178" s="22" t="n">
        <v>15705</v>
      </c>
      <c r="AC178" s="22" t="n">
        <v>13420</v>
      </c>
      <c r="AD178" s="22"/>
      <c r="AE178" s="22"/>
      <c r="AF178" s="22"/>
    </row>
    <row r="179" customFormat="false" ht="15" hidden="false" customHeight="false" outlineLevel="0" collapsed="false">
      <c r="A179" s="22" t="s">
        <v>60</v>
      </c>
      <c r="B179" s="22" t="s">
        <v>3</v>
      </c>
      <c r="C179" s="22" t="s">
        <v>60</v>
      </c>
      <c r="D179" s="22" t="n">
        <v>26620</v>
      </c>
      <c r="E179" s="22" t="s">
        <v>132</v>
      </c>
      <c r="F179" s="22" t="s">
        <v>133</v>
      </c>
      <c r="G179" s="22" t="s">
        <v>131</v>
      </c>
      <c r="H179" s="22" t="s">
        <v>131</v>
      </c>
      <c r="I179" s="22" t="n">
        <v>32153</v>
      </c>
      <c r="J179" s="22" t="n">
        <v>32774</v>
      </c>
      <c r="K179" s="22" t="n">
        <v>33451</v>
      </c>
      <c r="L179" s="22" t="n">
        <v>33808</v>
      </c>
      <c r="M179" s="22" t="n">
        <v>34465</v>
      </c>
      <c r="N179" s="22" t="n">
        <v>35069</v>
      </c>
      <c r="O179" s="22" t="n">
        <v>35950</v>
      </c>
      <c r="P179" s="22" t="n">
        <v>37030</v>
      </c>
      <c r="Q179" s="22" t="n">
        <v>38543</v>
      </c>
      <c r="R179" s="22" t="n">
        <v>39734</v>
      </c>
      <c r="S179" s="22" t="n">
        <v>40704</v>
      </c>
      <c r="T179" s="22" t="n">
        <v>42178</v>
      </c>
      <c r="U179" s="22" t="n">
        <v>43853</v>
      </c>
      <c r="V179" s="22" t="n">
        <v>45893</v>
      </c>
      <c r="W179" s="22" t="n">
        <v>47245</v>
      </c>
      <c r="X179" s="22" t="n">
        <v>47957</v>
      </c>
      <c r="Y179" s="22" t="n">
        <v>49142</v>
      </c>
      <c r="Z179" s="22" t="n">
        <v>50905</v>
      </c>
      <c r="AA179" s="22" t="n">
        <v>51569</v>
      </c>
      <c r="AB179" s="22" t="n">
        <v>51876</v>
      </c>
      <c r="AC179" s="22" t="n">
        <v>52005</v>
      </c>
      <c r="AD179" s="22" t="n">
        <v>52193</v>
      </c>
      <c r="AE179" s="22" t="n">
        <v>52385</v>
      </c>
      <c r="AF179" s="22" t="n">
        <v>52619</v>
      </c>
    </row>
    <row r="180" customFormat="false" ht="15" hidden="false" customHeight="false" outlineLevel="0" collapsed="false">
      <c r="A180" s="22" t="s">
        <v>60</v>
      </c>
      <c r="B180" s="22" t="s">
        <v>3</v>
      </c>
      <c r="C180" s="22" t="s">
        <v>60</v>
      </c>
      <c r="D180" s="22" t="n">
        <v>26620</v>
      </c>
      <c r="E180" s="22" t="s">
        <v>136</v>
      </c>
      <c r="F180" s="22" t="s">
        <v>680</v>
      </c>
      <c r="G180" s="22" t="s">
        <v>131</v>
      </c>
      <c r="H180" s="22" t="s">
        <v>131</v>
      </c>
      <c r="I180" s="22" t="n">
        <v>2374</v>
      </c>
      <c r="J180" s="22" t="n">
        <v>379</v>
      </c>
      <c r="K180" s="22" t="n">
        <v>587</v>
      </c>
      <c r="L180" s="22" t="n">
        <v>693</v>
      </c>
      <c r="M180" s="22" t="n">
        <v>1511</v>
      </c>
      <c r="N180" s="22" t="n">
        <v>2923</v>
      </c>
      <c r="O180" s="22" t="n">
        <v>1171</v>
      </c>
      <c r="P180" s="22" t="n">
        <v>2165</v>
      </c>
      <c r="Q180" s="22" t="n">
        <v>161</v>
      </c>
      <c r="R180" s="22" t="n">
        <v>1346</v>
      </c>
      <c r="S180" s="22" t="n">
        <v>234</v>
      </c>
      <c r="T180" s="22" t="n">
        <v>0</v>
      </c>
      <c r="U180" s="22" t="n">
        <v>818</v>
      </c>
      <c r="V180" s="22" t="n">
        <v>0</v>
      </c>
      <c r="W180" s="22" t="n">
        <v>92</v>
      </c>
      <c r="X180" s="22" t="n">
        <v>172</v>
      </c>
      <c r="Y180" s="22" t="n">
        <v>0</v>
      </c>
      <c r="Z180" s="22" t="n">
        <v>0</v>
      </c>
      <c r="AA180" s="22" t="n">
        <v>1013</v>
      </c>
      <c r="AB180" s="22" t="n">
        <v>464</v>
      </c>
      <c r="AC180" s="22" t="n">
        <v>0</v>
      </c>
      <c r="AD180" s="22"/>
      <c r="AE180" s="22"/>
      <c r="AF180" s="22"/>
    </row>
    <row r="181" customFormat="false" ht="15" hidden="false" customHeight="false" outlineLevel="0" collapsed="false">
      <c r="A181" s="22" t="s">
        <v>60</v>
      </c>
      <c r="B181" s="22" t="s">
        <v>3</v>
      </c>
      <c r="C181" s="22" t="s">
        <v>60</v>
      </c>
      <c r="D181" s="22" t="n">
        <v>26620</v>
      </c>
      <c r="E181" s="22" t="s">
        <v>136</v>
      </c>
      <c r="F181" s="22" t="s">
        <v>681</v>
      </c>
      <c r="G181" s="22" t="s">
        <v>131</v>
      </c>
      <c r="H181" s="22" t="s">
        <v>131</v>
      </c>
      <c r="I181" s="22" t="n">
        <v>5951</v>
      </c>
      <c r="J181" s="22" t="n">
        <v>5826</v>
      </c>
      <c r="K181" s="22" t="n">
        <v>4976</v>
      </c>
      <c r="L181" s="22" t="n">
        <v>4033</v>
      </c>
      <c r="M181" s="22" t="n">
        <v>3170</v>
      </c>
      <c r="N181" s="22" t="n">
        <v>5714</v>
      </c>
      <c r="O181" s="22" t="n">
        <v>6298</v>
      </c>
      <c r="P181" s="22" t="n">
        <v>7770</v>
      </c>
      <c r="Q181" s="22" t="n">
        <v>6420</v>
      </c>
      <c r="R181" s="22" t="n">
        <v>4843</v>
      </c>
      <c r="S181" s="22" t="n">
        <v>3906</v>
      </c>
      <c r="T181" s="22" t="n">
        <v>1741</v>
      </c>
      <c r="U181" s="22" t="n">
        <v>2398</v>
      </c>
      <c r="V181" s="22" t="n">
        <v>1052</v>
      </c>
      <c r="W181" s="22" t="n">
        <v>910</v>
      </c>
      <c r="X181" s="22" t="n">
        <v>1082</v>
      </c>
      <c r="Y181" s="22" t="n">
        <v>264</v>
      </c>
      <c r="Z181" s="22" t="n">
        <v>264</v>
      </c>
      <c r="AA181" s="22" t="n">
        <v>1185</v>
      </c>
      <c r="AB181" s="22" t="n">
        <v>1477</v>
      </c>
      <c r="AC181" s="22" t="n">
        <v>1477</v>
      </c>
      <c r="AD181" s="22"/>
      <c r="AE181" s="22"/>
      <c r="AF181" s="22"/>
    </row>
    <row r="182" customFormat="false" ht="15" hidden="false" customHeight="false" outlineLevel="0" collapsed="false">
      <c r="A182" s="22" t="s">
        <v>57</v>
      </c>
      <c r="B182" s="22" t="s">
        <v>3</v>
      </c>
      <c r="C182" s="22" t="s">
        <v>57</v>
      </c>
      <c r="D182" s="22" t="n">
        <v>226900</v>
      </c>
      <c r="E182" s="22" t="s">
        <v>132</v>
      </c>
      <c r="F182" s="22" t="s">
        <v>133</v>
      </c>
      <c r="G182" s="22" t="s">
        <v>131</v>
      </c>
      <c r="H182" s="22" t="s">
        <v>131</v>
      </c>
      <c r="I182" s="22" t="n">
        <v>168561</v>
      </c>
      <c r="J182" s="22" t="n">
        <v>169186</v>
      </c>
      <c r="K182" s="22" t="n">
        <v>169685</v>
      </c>
      <c r="L182" s="22" t="n">
        <v>170812</v>
      </c>
      <c r="M182" s="22" t="n">
        <v>171122</v>
      </c>
      <c r="N182" s="22" t="n">
        <v>171430</v>
      </c>
      <c r="O182" s="22" t="n">
        <v>171972</v>
      </c>
      <c r="P182" s="22" t="n">
        <v>172749</v>
      </c>
      <c r="Q182" s="22" t="n">
        <v>174021</v>
      </c>
      <c r="R182" s="22" t="n">
        <v>175524</v>
      </c>
      <c r="S182" s="22" t="n">
        <v>176673</v>
      </c>
      <c r="T182" s="22" t="n">
        <v>177953</v>
      </c>
      <c r="U182" s="22" t="n">
        <v>179510</v>
      </c>
      <c r="V182" s="22" t="n">
        <v>181136</v>
      </c>
      <c r="W182" s="22" t="n">
        <v>183249</v>
      </c>
      <c r="X182" s="22" t="n">
        <v>184232</v>
      </c>
      <c r="Y182" s="22" t="n">
        <v>185299</v>
      </c>
      <c r="Z182" s="22" t="n">
        <v>186093</v>
      </c>
      <c r="AA182" s="22" t="n">
        <v>186837</v>
      </c>
      <c r="AB182" s="22" t="n">
        <v>187750</v>
      </c>
      <c r="AC182" s="22" t="n">
        <v>188775</v>
      </c>
      <c r="AD182" s="22" t="n">
        <v>189484</v>
      </c>
      <c r="AE182" s="22" t="n">
        <v>190660</v>
      </c>
      <c r="AF182" s="22" t="n">
        <v>191412</v>
      </c>
    </row>
    <row r="183" customFormat="false" ht="15" hidden="false" customHeight="false" outlineLevel="0" collapsed="false">
      <c r="A183" s="22" t="s">
        <v>57</v>
      </c>
      <c r="B183" s="22" t="s">
        <v>3</v>
      </c>
      <c r="C183" s="22" t="s">
        <v>57</v>
      </c>
      <c r="D183" s="22" t="n">
        <v>226900</v>
      </c>
      <c r="E183" s="22" t="s">
        <v>136</v>
      </c>
      <c r="F183" s="22" t="s">
        <v>680</v>
      </c>
      <c r="G183" s="22" t="s">
        <v>131</v>
      </c>
      <c r="H183" s="22" t="s">
        <v>131</v>
      </c>
      <c r="I183" s="22" t="n">
        <v>1119</v>
      </c>
      <c r="J183" s="22" t="n">
        <v>875</v>
      </c>
      <c r="K183" s="22" t="n">
        <v>1646</v>
      </c>
      <c r="L183" s="22" t="n">
        <v>1747</v>
      </c>
      <c r="M183" s="22" t="n">
        <v>1291</v>
      </c>
      <c r="N183" s="22" t="n">
        <v>1956</v>
      </c>
      <c r="O183" s="22" t="n">
        <v>223</v>
      </c>
      <c r="P183" s="22" t="n">
        <v>1257</v>
      </c>
      <c r="Q183" s="22" t="n">
        <v>2070</v>
      </c>
      <c r="R183" s="22" t="n">
        <v>1158</v>
      </c>
      <c r="S183" s="22" t="n">
        <v>575</v>
      </c>
      <c r="T183" s="22" t="n">
        <v>708</v>
      </c>
      <c r="U183" s="22" t="n">
        <v>333</v>
      </c>
      <c r="V183" s="22" t="n">
        <v>780</v>
      </c>
      <c r="W183" s="22" t="n">
        <v>1228</v>
      </c>
      <c r="X183" s="22" t="n">
        <v>1172</v>
      </c>
      <c r="Y183" s="22" t="n">
        <v>719</v>
      </c>
      <c r="Z183" s="22" t="n">
        <v>641</v>
      </c>
      <c r="AA183" s="22" t="n">
        <v>1433</v>
      </c>
      <c r="AB183" s="22" t="n">
        <v>922</v>
      </c>
      <c r="AC183" s="22" t="n">
        <v>150</v>
      </c>
      <c r="AD183" s="22"/>
      <c r="AE183" s="22"/>
      <c r="AF183" s="22"/>
    </row>
    <row r="184" customFormat="false" ht="15" hidden="false" customHeight="false" outlineLevel="0" collapsed="false">
      <c r="A184" s="22" t="s">
        <v>57</v>
      </c>
      <c r="B184" s="22" t="s">
        <v>3</v>
      </c>
      <c r="C184" s="22" t="s">
        <v>57</v>
      </c>
      <c r="D184" s="22" t="n">
        <v>226900</v>
      </c>
      <c r="E184" s="22" t="s">
        <v>136</v>
      </c>
      <c r="F184" s="22" t="s">
        <v>681</v>
      </c>
      <c r="G184" s="22" t="s">
        <v>131</v>
      </c>
      <c r="H184" s="22" t="s">
        <v>131</v>
      </c>
      <c r="I184" s="22" t="n">
        <v>1908</v>
      </c>
      <c r="J184" s="22" t="n">
        <v>2444</v>
      </c>
      <c r="K184" s="22" t="n">
        <v>3860</v>
      </c>
      <c r="L184" s="22" t="n">
        <v>5387</v>
      </c>
      <c r="M184" s="22" t="n">
        <v>5559</v>
      </c>
      <c r="N184" s="22" t="n">
        <v>6640</v>
      </c>
      <c r="O184" s="22" t="n">
        <v>5217</v>
      </c>
      <c r="P184" s="22" t="n">
        <v>4727</v>
      </c>
      <c r="Q184" s="22" t="n">
        <v>5506</v>
      </c>
      <c r="R184" s="22" t="n">
        <v>4708</v>
      </c>
      <c r="S184" s="22" t="n">
        <v>5060</v>
      </c>
      <c r="T184" s="22" t="n">
        <v>4511</v>
      </c>
      <c r="U184" s="22" t="n">
        <v>2774</v>
      </c>
      <c r="V184" s="22" t="n">
        <v>2396</v>
      </c>
      <c r="W184" s="22" t="n">
        <v>3049</v>
      </c>
      <c r="X184" s="22" t="n">
        <v>3513</v>
      </c>
      <c r="Y184" s="22" t="n">
        <v>3899</v>
      </c>
      <c r="Z184" s="22" t="n">
        <v>3760</v>
      </c>
      <c r="AA184" s="22" t="n">
        <v>3965</v>
      </c>
      <c r="AB184" s="22" t="n">
        <v>3715</v>
      </c>
      <c r="AC184" s="22" t="n">
        <v>3146</v>
      </c>
      <c r="AD184" s="22"/>
      <c r="AE184" s="22"/>
      <c r="AF184" s="22"/>
    </row>
    <row r="185" customFormat="false" ht="15" hidden="false" customHeight="false" outlineLevel="0" collapsed="false">
      <c r="A185" s="22" t="s">
        <v>171</v>
      </c>
      <c r="B185" s="22" t="s">
        <v>3</v>
      </c>
      <c r="C185" s="22" t="s">
        <v>171</v>
      </c>
      <c r="D185" s="22" t="n">
        <v>27140</v>
      </c>
      <c r="E185" s="22" t="s">
        <v>132</v>
      </c>
      <c r="F185" s="22" t="s">
        <v>133</v>
      </c>
      <c r="G185" s="22" t="s">
        <v>131</v>
      </c>
      <c r="H185" s="22" t="s">
        <v>131</v>
      </c>
      <c r="I185" s="22" t="n">
        <v>33290</v>
      </c>
      <c r="J185" s="22" t="n">
        <v>33369</v>
      </c>
      <c r="K185" s="22" t="n">
        <v>33419</v>
      </c>
      <c r="L185" s="22" t="n">
        <v>33419</v>
      </c>
      <c r="M185" s="22" t="n">
        <v>33419</v>
      </c>
      <c r="N185" s="22" t="n">
        <v>33419</v>
      </c>
      <c r="O185" s="22" t="n">
        <v>33419</v>
      </c>
      <c r="P185" s="22" t="n">
        <v>33419</v>
      </c>
      <c r="Q185" s="22" t="n">
        <v>33419</v>
      </c>
      <c r="R185" s="22" t="n">
        <v>33419</v>
      </c>
      <c r="S185" s="22" t="n">
        <v>33419</v>
      </c>
      <c r="T185" s="22" t="n">
        <v>33419</v>
      </c>
      <c r="U185" s="22" t="n">
        <v>33419</v>
      </c>
      <c r="V185" s="22" t="n">
        <v>33264</v>
      </c>
      <c r="W185" s="22" t="n">
        <v>33264</v>
      </c>
      <c r="X185" s="22" t="n">
        <v>33264</v>
      </c>
      <c r="Y185" s="22" t="n">
        <v>33264</v>
      </c>
      <c r="Z185" s="22" t="n">
        <v>33264</v>
      </c>
      <c r="AA185" s="22" t="n">
        <v>33264</v>
      </c>
      <c r="AB185" s="22" t="n">
        <v>33264</v>
      </c>
      <c r="AC185" s="22" t="n">
        <v>33419</v>
      </c>
      <c r="AD185" s="22" t="n">
        <v>33659</v>
      </c>
      <c r="AE185" s="22" t="n">
        <v>33659</v>
      </c>
      <c r="AF185" s="22" t="n">
        <v>33659</v>
      </c>
    </row>
    <row r="186" customFormat="false" ht="15" hidden="false" customHeight="false" outlineLevel="0" collapsed="false">
      <c r="A186" s="22" t="s">
        <v>171</v>
      </c>
      <c r="B186" s="22" t="s">
        <v>3</v>
      </c>
      <c r="C186" s="22" t="s">
        <v>171</v>
      </c>
      <c r="D186" s="22" t="n">
        <v>27140</v>
      </c>
      <c r="E186" s="22" t="s">
        <v>136</v>
      </c>
      <c r="F186" s="22" t="s">
        <v>680</v>
      </c>
      <c r="G186" s="22" t="s">
        <v>131</v>
      </c>
      <c r="H186" s="22" t="s">
        <v>131</v>
      </c>
      <c r="I186" s="22" t="n">
        <v>0</v>
      </c>
      <c r="J186" s="22" t="n">
        <v>0</v>
      </c>
      <c r="K186" s="22" t="n">
        <v>0</v>
      </c>
      <c r="L186" s="22" t="n">
        <v>0</v>
      </c>
      <c r="M186" s="22" t="n">
        <v>0</v>
      </c>
      <c r="N186" s="22" t="n">
        <v>0</v>
      </c>
      <c r="O186" s="22" t="n">
        <v>0</v>
      </c>
      <c r="P186" s="22" t="n">
        <v>0</v>
      </c>
      <c r="Q186" s="22" t="n">
        <v>0</v>
      </c>
      <c r="R186" s="22" t="n">
        <v>0</v>
      </c>
      <c r="S186" s="22" t="n">
        <v>0</v>
      </c>
      <c r="T186" s="22" t="n">
        <v>0</v>
      </c>
      <c r="U186" s="22" t="n">
        <v>0</v>
      </c>
      <c r="V186" s="22" t="n">
        <v>240</v>
      </c>
      <c r="W186" s="22" t="n">
        <v>0</v>
      </c>
      <c r="X186" s="22" t="n">
        <v>0</v>
      </c>
      <c r="Y186" s="22" t="n">
        <v>0</v>
      </c>
      <c r="Z186" s="22" t="n">
        <v>0</v>
      </c>
      <c r="AA186" s="22" t="n">
        <v>0</v>
      </c>
      <c r="AB186" s="22" t="n">
        <v>215</v>
      </c>
      <c r="AC186" s="22" t="n">
        <v>234</v>
      </c>
      <c r="AD186" s="22"/>
      <c r="AE186" s="22"/>
      <c r="AF186" s="22"/>
    </row>
    <row r="187" customFormat="false" ht="15" hidden="false" customHeight="false" outlineLevel="0" collapsed="false">
      <c r="A187" s="22" t="s">
        <v>171</v>
      </c>
      <c r="B187" s="22" t="s">
        <v>3</v>
      </c>
      <c r="C187" s="22" t="s">
        <v>171</v>
      </c>
      <c r="D187" s="22" t="n">
        <v>27140</v>
      </c>
      <c r="E187" s="22" t="s">
        <v>136</v>
      </c>
      <c r="F187" s="22" t="s">
        <v>681</v>
      </c>
      <c r="G187" s="22" t="s">
        <v>131</v>
      </c>
      <c r="H187" s="22" t="s">
        <v>131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240</v>
      </c>
      <c r="W187" s="22" t="n">
        <v>240</v>
      </c>
      <c r="X187" s="22" t="n">
        <v>240</v>
      </c>
      <c r="Y187" s="22" t="n">
        <v>240</v>
      </c>
      <c r="Z187" s="22" t="n">
        <v>0</v>
      </c>
      <c r="AA187" s="22" t="n">
        <v>0</v>
      </c>
      <c r="AB187" s="22" t="n">
        <v>215</v>
      </c>
      <c r="AC187" s="22" t="n">
        <v>449</v>
      </c>
      <c r="AD187" s="22"/>
      <c r="AE187" s="22"/>
      <c r="AF187" s="22"/>
    </row>
    <row r="188" customFormat="false" ht="15" hidden="false" customHeight="false" outlineLevel="0" collapsed="false">
      <c r="A188" s="22" t="s">
        <v>62</v>
      </c>
      <c r="B188" s="22" t="s">
        <v>3</v>
      </c>
      <c r="C188" s="22" t="s">
        <v>62</v>
      </c>
      <c r="D188" s="22" t="n">
        <v>27260</v>
      </c>
      <c r="E188" s="22" t="s">
        <v>132</v>
      </c>
      <c r="F188" s="22" t="s">
        <v>133</v>
      </c>
      <c r="G188" s="22" t="s">
        <v>131</v>
      </c>
      <c r="H188" s="22" t="s">
        <v>131</v>
      </c>
      <c r="I188" s="22" t="n">
        <v>124443</v>
      </c>
      <c r="J188" s="22" t="n">
        <v>125206</v>
      </c>
      <c r="K188" s="22" t="n">
        <v>125753</v>
      </c>
      <c r="L188" s="22" t="n">
        <v>126992</v>
      </c>
      <c r="M188" s="22" t="n">
        <v>128707</v>
      </c>
      <c r="N188" s="22" t="n">
        <v>129921</v>
      </c>
      <c r="O188" s="22" t="n">
        <v>131515</v>
      </c>
      <c r="P188" s="22" t="n">
        <v>133245</v>
      </c>
      <c r="Q188" s="22" t="n">
        <v>134963</v>
      </c>
      <c r="R188" s="22" t="n">
        <v>136687</v>
      </c>
      <c r="S188" s="22" t="n">
        <v>138712</v>
      </c>
      <c r="T188" s="22" t="n">
        <v>140600</v>
      </c>
      <c r="U188" s="22" t="n">
        <v>143366</v>
      </c>
      <c r="V188" s="22" t="n">
        <v>145741</v>
      </c>
      <c r="W188" s="22" t="n">
        <v>147929</v>
      </c>
      <c r="X188" s="22" t="n">
        <v>149702</v>
      </c>
      <c r="Y188" s="22" t="n">
        <v>150571</v>
      </c>
      <c r="Z188" s="22" t="n">
        <v>151369</v>
      </c>
      <c r="AA188" s="22" t="n">
        <v>152046</v>
      </c>
      <c r="AB188" s="22" t="n">
        <v>153122</v>
      </c>
      <c r="AC188" s="22" t="n">
        <v>153874</v>
      </c>
      <c r="AD188" s="22" t="n">
        <v>154588</v>
      </c>
      <c r="AE188" s="22" t="n">
        <v>155247</v>
      </c>
      <c r="AF188" s="22" t="n">
        <v>155810</v>
      </c>
    </row>
    <row r="189" customFormat="false" ht="15" hidden="false" customHeight="false" outlineLevel="0" collapsed="false">
      <c r="A189" s="22" t="s">
        <v>62</v>
      </c>
      <c r="B189" s="22" t="s">
        <v>3</v>
      </c>
      <c r="C189" s="22" t="s">
        <v>62</v>
      </c>
      <c r="D189" s="22" t="n">
        <v>27260</v>
      </c>
      <c r="E189" s="22" t="s">
        <v>136</v>
      </c>
      <c r="F189" s="22" t="s">
        <v>680</v>
      </c>
      <c r="G189" s="22" t="s">
        <v>131</v>
      </c>
      <c r="H189" s="22" t="s">
        <v>131</v>
      </c>
      <c r="I189" s="22" t="n">
        <v>1621</v>
      </c>
      <c r="J189" s="22" t="n">
        <v>1543</v>
      </c>
      <c r="K189" s="22" t="n">
        <v>2534</v>
      </c>
      <c r="L189" s="22" t="n">
        <v>1448</v>
      </c>
      <c r="M189" s="22" t="n">
        <v>1937</v>
      </c>
      <c r="N189" s="22" t="n">
        <v>3216</v>
      </c>
      <c r="O189" s="22" t="n">
        <v>2560</v>
      </c>
      <c r="P189" s="22" t="n">
        <v>2616</v>
      </c>
      <c r="Q189" s="22" t="n">
        <v>629</v>
      </c>
      <c r="R189" s="22" t="n">
        <v>1282</v>
      </c>
      <c r="S189" s="22" t="n">
        <v>1504</v>
      </c>
      <c r="T189" s="22" t="n">
        <v>489</v>
      </c>
      <c r="U189" s="22" t="n">
        <v>0</v>
      </c>
      <c r="V189" s="22" t="n">
        <v>768</v>
      </c>
      <c r="W189" s="22" t="n">
        <v>613</v>
      </c>
      <c r="X189" s="22" t="n">
        <v>1643</v>
      </c>
      <c r="Y189" s="22" t="n">
        <v>362</v>
      </c>
      <c r="Z189" s="22" t="n">
        <v>227</v>
      </c>
      <c r="AA189" s="22" t="n">
        <v>106</v>
      </c>
      <c r="AB189" s="22" t="n">
        <v>714</v>
      </c>
      <c r="AC189" s="22" t="n">
        <v>644</v>
      </c>
      <c r="AD189" s="22"/>
      <c r="AE189" s="22"/>
      <c r="AF189" s="22"/>
    </row>
    <row r="190" customFormat="false" ht="15" hidden="false" customHeight="false" outlineLevel="0" collapsed="false">
      <c r="A190" s="22" t="s">
        <v>62</v>
      </c>
      <c r="B190" s="22" t="s">
        <v>3</v>
      </c>
      <c r="C190" s="22" t="s">
        <v>62</v>
      </c>
      <c r="D190" s="22" t="n">
        <v>27260</v>
      </c>
      <c r="E190" s="22" t="s">
        <v>136</v>
      </c>
      <c r="F190" s="22" t="s">
        <v>681</v>
      </c>
      <c r="G190" s="22" t="s">
        <v>131</v>
      </c>
      <c r="H190" s="22" t="s">
        <v>131</v>
      </c>
      <c r="I190" s="22" t="n">
        <v>5163</v>
      </c>
      <c r="J190" s="22" t="n">
        <v>6415</v>
      </c>
      <c r="K190" s="22" t="n">
        <v>7430</v>
      </c>
      <c r="L190" s="22" t="n">
        <v>7146</v>
      </c>
      <c r="M190" s="22" t="n">
        <v>7462</v>
      </c>
      <c r="N190" s="22" t="n">
        <v>9135</v>
      </c>
      <c r="O190" s="22" t="n">
        <v>9161</v>
      </c>
      <c r="P190" s="22" t="n">
        <v>10329</v>
      </c>
      <c r="Q190" s="22" t="n">
        <v>9021</v>
      </c>
      <c r="R190" s="22" t="n">
        <v>7087</v>
      </c>
      <c r="S190" s="22" t="n">
        <v>6031</v>
      </c>
      <c r="T190" s="22" t="n">
        <v>3904</v>
      </c>
      <c r="U190" s="22" t="n">
        <v>3275</v>
      </c>
      <c r="V190" s="22" t="n">
        <v>2761</v>
      </c>
      <c r="W190" s="22" t="n">
        <v>1870</v>
      </c>
      <c r="X190" s="22" t="n">
        <v>3024</v>
      </c>
      <c r="Y190" s="22" t="n">
        <v>3386</v>
      </c>
      <c r="Z190" s="22" t="n">
        <v>2845</v>
      </c>
      <c r="AA190" s="22" t="n">
        <v>2338</v>
      </c>
      <c r="AB190" s="22" t="n">
        <v>1409</v>
      </c>
      <c r="AC190" s="22" t="n">
        <v>1691</v>
      </c>
      <c r="AD190" s="22"/>
      <c r="AE190" s="22"/>
      <c r="AF190" s="22"/>
    </row>
    <row r="191" customFormat="false" ht="15" hidden="false" customHeight="false" outlineLevel="0" collapsed="false">
      <c r="A191" s="22" t="s">
        <v>172</v>
      </c>
      <c r="B191" s="22" t="s">
        <v>3</v>
      </c>
      <c r="C191" s="22" t="s">
        <v>172</v>
      </c>
      <c r="D191" s="22" t="n">
        <v>228020</v>
      </c>
      <c r="E191" s="22" t="s">
        <v>132</v>
      </c>
      <c r="F191" s="22" t="s">
        <v>133</v>
      </c>
      <c r="G191" s="22" t="s">
        <v>131</v>
      </c>
      <c r="H191" s="22" t="s">
        <v>131</v>
      </c>
      <c r="I191" s="22" t="n">
        <v>31826</v>
      </c>
      <c r="J191" s="22" t="n">
        <v>31890</v>
      </c>
      <c r="K191" s="22" t="n">
        <v>31919</v>
      </c>
      <c r="L191" s="22" t="n">
        <v>31960</v>
      </c>
      <c r="M191" s="22" t="n">
        <v>32003</v>
      </c>
      <c r="N191" s="22" t="n">
        <v>32027</v>
      </c>
      <c r="O191" s="22" t="n">
        <v>31857</v>
      </c>
      <c r="P191" s="22" t="n">
        <v>32124</v>
      </c>
      <c r="Q191" s="22" t="n">
        <v>32185</v>
      </c>
      <c r="R191" s="22" t="n">
        <v>32118</v>
      </c>
      <c r="S191" s="22" t="n">
        <v>32280</v>
      </c>
      <c r="T191" s="22" t="n">
        <v>32560</v>
      </c>
      <c r="U191" s="22" t="n">
        <v>32683</v>
      </c>
      <c r="V191" s="22" t="n">
        <v>33011</v>
      </c>
      <c r="W191" s="22" t="n">
        <v>33071</v>
      </c>
      <c r="X191" s="22" t="n">
        <v>33071</v>
      </c>
      <c r="Y191" s="22" t="n">
        <v>33071</v>
      </c>
      <c r="Z191" s="22" t="n">
        <v>33071</v>
      </c>
      <c r="AA191" s="22" t="n">
        <v>33110</v>
      </c>
      <c r="AB191" s="22" t="n">
        <v>33201</v>
      </c>
      <c r="AC191" s="22" t="n">
        <v>33213</v>
      </c>
      <c r="AD191" s="22" t="n">
        <v>33213</v>
      </c>
      <c r="AE191" s="22" t="n">
        <v>33213</v>
      </c>
      <c r="AF191" s="22" t="n">
        <v>33213</v>
      </c>
    </row>
    <row r="192" customFormat="false" ht="15" hidden="false" customHeight="false" outlineLevel="0" collapsed="false">
      <c r="A192" s="22" t="s">
        <v>172</v>
      </c>
      <c r="B192" s="22" t="s">
        <v>3</v>
      </c>
      <c r="C192" s="22" t="s">
        <v>172</v>
      </c>
      <c r="D192" s="22" t="n">
        <v>228020</v>
      </c>
      <c r="E192" s="22" t="s">
        <v>136</v>
      </c>
      <c r="F192" s="22" t="s">
        <v>680</v>
      </c>
      <c r="G192" s="22" t="s">
        <v>131</v>
      </c>
      <c r="H192" s="22" t="s">
        <v>131</v>
      </c>
      <c r="I192" s="22" t="n">
        <v>122</v>
      </c>
      <c r="J192" s="22" t="n">
        <v>0</v>
      </c>
      <c r="K192" s="22" t="n">
        <v>0</v>
      </c>
      <c r="L192" s="22" t="n">
        <v>149</v>
      </c>
      <c r="M192" s="22" t="n">
        <v>0</v>
      </c>
      <c r="N192" s="22" t="n">
        <v>653</v>
      </c>
      <c r="O192" s="22" t="n">
        <v>0</v>
      </c>
      <c r="P192" s="22" t="n">
        <v>0</v>
      </c>
      <c r="Q192" s="22" t="n">
        <v>300</v>
      </c>
      <c r="R192" s="22" t="n">
        <v>0</v>
      </c>
      <c r="S192" s="22" t="n">
        <v>0</v>
      </c>
      <c r="T192" s="22" t="n">
        <v>0</v>
      </c>
      <c r="U192" s="22" t="n">
        <v>0</v>
      </c>
      <c r="V192" s="22" t="n">
        <v>82</v>
      </c>
      <c r="W192" s="22" t="n">
        <v>0</v>
      </c>
      <c r="X192" s="22" t="n">
        <v>0</v>
      </c>
      <c r="Y192" s="22" t="n">
        <v>0</v>
      </c>
      <c r="Z192" s="22" t="n">
        <v>0</v>
      </c>
      <c r="AA192" s="22" t="n">
        <v>0</v>
      </c>
      <c r="AB192" s="22" t="n">
        <v>0</v>
      </c>
      <c r="AC192" s="22" t="n">
        <v>0</v>
      </c>
      <c r="AD192" s="22"/>
      <c r="AE192" s="22"/>
      <c r="AF192" s="22"/>
    </row>
    <row r="193" customFormat="false" ht="15" hidden="false" customHeight="false" outlineLevel="0" collapsed="false">
      <c r="A193" s="22" t="s">
        <v>172</v>
      </c>
      <c r="B193" s="22" t="s">
        <v>3</v>
      </c>
      <c r="C193" s="22" t="s">
        <v>172</v>
      </c>
      <c r="D193" s="22" t="n">
        <v>228020</v>
      </c>
      <c r="E193" s="22" t="s">
        <v>136</v>
      </c>
      <c r="F193" s="22" t="s">
        <v>681</v>
      </c>
      <c r="G193" s="22" t="s">
        <v>131</v>
      </c>
      <c r="H193" s="22" t="s">
        <v>131</v>
      </c>
      <c r="I193" s="22" t="n">
        <v>122</v>
      </c>
      <c r="J193" s="22" t="n">
        <v>122</v>
      </c>
      <c r="K193" s="22" t="n">
        <v>122</v>
      </c>
      <c r="L193" s="22" t="n">
        <v>271</v>
      </c>
      <c r="M193" s="22" t="n">
        <v>149</v>
      </c>
      <c r="N193" s="22" t="n">
        <v>802</v>
      </c>
      <c r="O193" s="22" t="n">
        <v>802</v>
      </c>
      <c r="P193" s="22" t="n">
        <v>653</v>
      </c>
      <c r="Q193" s="22" t="n">
        <v>953</v>
      </c>
      <c r="R193" s="22" t="n">
        <v>300</v>
      </c>
      <c r="S193" s="22" t="n">
        <v>300</v>
      </c>
      <c r="T193" s="22" t="n">
        <v>300</v>
      </c>
      <c r="U193" s="22" t="n">
        <v>0</v>
      </c>
      <c r="V193" s="22" t="n">
        <v>82</v>
      </c>
      <c r="W193" s="22" t="n">
        <v>82</v>
      </c>
      <c r="X193" s="22" t="n">
        <v>82</v>
      </c>
      <c r="Y193" s="22" t="n">
        <v>82</v>
      </c>
      <c r="Z193" s="22" t="n">
        <v>0</v>
      </c>
      <c r="AA193" s="22" t="n">
        <v>0</v>
      </c>
      <c r="AB193" s="22" t="n">
        <v>0</v>
      </c>
      <c r="AC193" s="22" t="n">
        <v>0</v>
      </c>
      <c r="AD193" s="22"/>
      <c r="AE193" s="22"/>
      <c r="AF193" s="22"/>
    </row>
    <row r="194" customFormat="false" ht="15" hidden="false" customHeight="false" outlineLevel="0" collapsed="false">
      <c r="A194" s="22" t="s">
        <v>41</v>
      </c>
      <c r="B194" s="22" t="s">
        <v>3</v>
      </c>
      <c r="C194" s="22" t="s">
        <v>41</v>
      </c>
      <c r="D194" s="22" t="n">
        <v>28140</v>
      </c>
      <c r="E194" s="22" t="s">
        <v>132</v>
      </c>
      <c r="F194" s="22" t="s">
        <v>133</v>
      </c>
      <c r="G194" s="22" t="s">
        <v>131</v>
      </c>
      <c r="H194" s="22" t="s">
        <v>131</v>
      </c>
      <c r="I194" s="22" t="n">
        <v>172740</v>
      </c>
      <c r="J194" s="22" t="n">
        <v>173933</v>
      </c>
      <c r="K194" s="22" t="n">
        <v>175254</v>
      </c>
      <c r="L194" s="22" t="n">
        <v>176278</v>
      </c>
      <c r="M194" s="22" t="n">
        <v>177044</v>
      </c>
      <c r="N194" s="22" t="n">
        <v>177719</v>
      </c>
      <c r="O194" s="22" t="n">
        <v>178641</v>
      </c>
      <c r="P194" s="22" t="n">
        <v>179855</v>
      </c>
      <c r="Q194" s="22" t="n">
        <v>180986</v>
      </c>
      <c r="R194" s="22" t="n">
        <v>181906</v>
      </c>
      <c r="S194" s="22" t="n">
        <v>182606</v>
      </c>
      <c r="T194" s="22" t="n">
        <v>183826</v>
      </c>
      <c r="U194" s="22" t="n">
        <v>184497</v>
      </c>
      <c r="V194" s="22" t="n">
        <v>185167</v>
      </c>
      <c r="W194" s="22" t="n">
        <v>186270</v>
      </c>
      <c r="X194" s="22" t="n">
        <v>187342</v>
      </c>
      <c r="Y194" s="22" t="n">
        <v>188342</v>
      </c>
      <c r="Z194" s="22" t="n">
        <v>189390</v>
      </c>
      <c r="AA194" s="22" t="n">
        <v>190329</v>
      </c>
      <c r="AB194" s="22" t="n">
        <v>190834</v>
      </c>
      <c r="AC194" s="22" t="n">
        <v>191880</v>
      </c>
      <c r="AD194" s="22" t="n">
        <v>193030</v>
      </c>
      <c r="AE194" s="22" t="n">
        <v>194020</v>
      </c>
      <c r="AF194" s="22" t="n">
        <v>194831</v>
      </c>
    </row>
    <row r="195" customFormat="false" ht="15" hidden="false" customHeight="false" outlineLevel="0" collapsed="false">
      <c r="A195" s="22" t="s">
        <v>41</v>
      </c>
      <c r="B195" s="22" t="s">
        <v>3</v>
      </c>
      <c r="C195" s="22" t="s">
        <v>41</v>
      </c>
      <c r="D195" s="22" t="n">
        <v>28140</v>
      </c>
      <c r="E195" s="22" t="s">
        <v>136</v>
      </c>
      <c r="F195" s="22" t="s">
        <v>680</v>
      </c>
      <c r="G195" s="22" t="s">
        <v>131</v>
      </c>
      <c r="H195" s="22" t="s">
        <v>131</v>
      </c>
      <c r="I195" s="22" t="n">
        <v>1517</v>
      </c>
      <c r="J195" s="22" t="n">
        <v>687</v>
      </c>
      <c r="K195" s="22" t="n">
        <v>889</v>
      </c>
      <c r="L195" s="22" t="n">
        <v>1075</v>
      </c>
      <c r="M195" s="22" t="n">
        <v>1869</v>
      </c>
      <c r="N195" s="22" t="n">
        <v>1136</v>
      </c>
      <c r="O195" s="22" t="n">
        <v>605</v>
      </c>
      <c r="P195" s="22" t="n">
        <v>1131</v>
      </c>
      <c r="Q195" s="22" t="n">
        <v>564</v>
      </c>
      <c r="R195" s="22" t="n">
        <v>625</v>
      </c>
      <c r="S195" s="22" t="n">
        <v>1096</v>
      </c>
      <c r="T195" s="22" t="n">
        <v>150</v>
      </c>
      <c r="U195" s="22" t="n">
        <v>1239</v>
      </c>
      <c r="V195" s="22" t="n">
        <v>669</v>
      </c>
      <c r="W195" s="22" t="n">
        <v>360</v>
      </c>
      <c r="X195" s="22" t="n">
        <v>1267</v>
      </c>
      <c r="Y195" s="22" t="n">
        <v>659</v>
      </c>
      <c r="Z195" s="22" t="n">
        <v>1316</v>
      </c>
      <c r="AA195" s="22" t="n">
        <v>1934</v>
      </c>
      <c r="AB195" s="22" t="n">
        <v>945</v>
      </c>
      <c r="AC195" s="22" t="n">
        <v>694</v>
      </c>
      <c r="AD195" s="22"/>
      <c r="AE195" s="22"/>
      <c r="AF195" s="22"/>
    </row>
    <row r="196" customFormat="false" ht="15" hidden="false" customHeight="false" outlineLevel="0" collapsed="false">
      <c r="A196" s="22" t="s">
        <v>41</v>
      </c>
      <c r="B196" s="22" t="s">
        <v>3</v>
      </c>
      <c r="C196" s="22" t="s">
        <v>41</v>
      </c>
      <c r="D196" s="22" t="n">
        <v>28140</v>
      </c>
      <c r="E196" s="22" t="s">
        <v>136</v>
      </c>
      <c r="F196" s="22" t="s">
        <v>681</v>
      </c>
      <c r="G196" s="22" t="s">
        <v>131</v>
      </c>
      <c r="H196" s="22" t="s">
        <v>131</v>
      </c>
      <c r="I196" s="22" t="n">
        <v>4759</v>
      </c>
      <c r="J196" s="22" t="n">
        <v>3466</v>
      </c>
      <c r="K196" s="22" t="n">
        <v>3675</v>
      </c>
      <c r="L196" s="22" t="n">
        <v>4168</v>
      </c>
      <c r="M196" s="22" t="n">
        <v>4520</v>
      </c>
      <c r="N196" s="22" t="n">
        <v>4969</v>
      </c>
      <c r="O196" s="22" t="n">
        <v>4685</v>
      </c>
      <c r="P196" s="22" t="n">
        <v>4741</v>
      </c>
      <c r="Q196" s="22" t="n">
        <v>3436</v>
      </c>
      <c r="R196" s="22" t="n">
        <v>2925</v>
      </c>
      <c r="S196" s="22" t="n">
        <v>3416</v>
      </c>
      <c r="T196" s="22" t="n">
        <v>2435</v>
      </c>
      <c r="U196" s="22" t="n">
        <v>3110</v>
      </c>
      <c r="V196" s="22" t="n">
        <v>3154</v>
      </c>
      <c r="W196" s="22" t="n">
        <v>2418</v>
      </c>
      <c r="X196" s="22" t="n">
        <v>3535</v>
      </c>
      <c r="Y196" s="22" t="n">
        <v>2955</v>
      </c>
      <c r="Z196" s="22" t="n">
        <v>3602</v>
      </c>
      <c r="AA196" s="22" t="n">
        <v>5176</v>
      </c>
      <c r="AB196" s="22" t="n">
        <v>4854</v>
      </c>
      <c r="AC196" s="22" t="n">
        <v>4889</v>
      </c>
      <c r="AD196" s="22"/>
      <c r="AE196" s="22"/>
      <c r="AF196" s="22"/>
    </row>
    <row r="197" customFormat="false" ht="15" hidden="false" customHeight="false" outlineLevel="0" collapsed="false">
      <c r="A197" s="22" t="s">
        <v>66</v>
      </c>
      <c r="B197" s="22" t="s">
        <v>3</v>
      </c>
      <c r="C197" s="22" t="s">
        <v>66</v>
      </c>
      <c r="D197" s="22" t="n">
        <v>28940</v>
      </c>
      <c r="E197" s="22" t="s">
        <v>132</v>
      </c>
      <c r="F197" s="22" t="s">
        <v>133</v>
      </c>
      <c r="G197" s="22" t="s">
        <v>131</v>
      </c>
      <c r="H197" s="22" t="s">
        <v>131</v>
      </c>
      <c r="I197" s="22" t="n">
        <v>52052</v>
      </c>
      <c r="J197" s="22" t="n">
        <v>52292</v>
      </c>
      <c r="K197" s="22" t="n">
        <v>52686</v>
      </c>
      <c r="L197" s="22" t="n">
        <v>53007</v>
      </c>
      <c r="M197" s="22" t="n">
        <v>53303</v>
      </c>
      <c r="N197" s="22" t="n">
        <v>53375</v>
      </c>
      <c r="O197" s="22" t="n">
        <v>53375</v>
      </c>
      <c r="P197" s="22" t="n">
        <v>53393</v>
      </c>
      <c r="Q197" s="22" t="n">
        <v>53471</v>
      </c>
      <c r="R197" s="22" t="n">
        <v>53780</v>
      </c>
      <c r="S197" s="22" t="n">
        <v>54337</v>
      </c>
      <c r="T197" s="22" t="n">
        <v>54764</v>
      </c>
      <c r="U197" s="22" t="n">
        <v>55058</v>
      </c>
      <c r="V197" s="22" t="n">
        <v>55382</v>
      </c>
      <c r="W197" s="22" t="n">
        <v>55741</v>
      </c>
      <c r="X197" s="22" t="n">
        <v>55772</v>
      </c>
      <c r="Y197" s="22" t="n">
        <v>56353</v>
      </c>
      <c r="Z197" s="22" t="n">
        <v>56380</v>
      </c>
      <c r="AA197" s="22" t="n">
        <v>56596</v>
      </c>
      <c r="AB197" s="22" t="n">
        <v>56889</v>
      </c>
      <c r="AC197" s="22" t="n">
        <v>57421</v>
      </c>
      <c r="AD197" s="22" t="n">
        <v>57610</v>
      </c>
      <c r="AE197" s="22" t="n">
        <v>57610</v>
      </c>
      <c r="AF197" s="22" t="n">
        <v>57610</v>
      </c>
    </row>
    <row r="198" customFormat="false" ht="15" hidden="false" customHeight="false" outlineLevel="0" collapsed="false">
      <c r="A198" s="22" t="s">
        <v>66</v>
      </c>
      <c r="B198" s="22" t="s">
        <v>3</v>
      </c>
      <c r="C198" s="22" t="s">
        <v>66</v>
      </c>
      <c r="D198" s="22" t="n">
        <v>28940</v>
      </c>
      <c r="E198" s="22" t="s">
        <v>136</v>
      </c>
      <c r="F198" s="22" t="s">
        <v>680</v>
      </c>
      <c r="G198" s="22" t="s">
        <v>131</v>
      </c>
      <c r="H198" s="22" t="s">
        <v>131</v>
      </c>
      <c r="I198" s="22" t="n">
        <v>0</v>
      </c>
      <c r="J198" s="22" t="n">
        <v>230</v>
      </c>
      <c r="K198" s="22" t="n">
        <v>0</v>
      </c>
      <c r="L198" s="22" t="n">
        <v>772</v>
      </c>
      <c r="M198" s="22" t="n">
        <v>226</v>
      </c>
      <c r="N198" s="22" t="n">
        <v>502</v>
      </c>
      <c r="O198" s="22" t="n">
        <v>0</v>
      </c>
      <c r="P198" s="22" t="n">
        <v>124</v>
      </c>
      <c r="Q198" s="22" t="n">
        <v>956</v>
      </c>
      <c r="R198" s="22" t="n">
        <v>0</v>
      </c>
      <c r="S198" s="22" t="n">
        <v>318</v>
      </c>
      <c r="T198" s="22" t="n">
        <v>0</v>
      </c>
      <c r="U198" s="22" t="n">
        <v>288</v>
      </c>
      <c r="V198" s="22" t="n">
        <v>194</v>
      </c>
      <c r="W198" s="22" t="n">
        <v>276</v>
      </c>
      <c r="X198" s="22" t="n">
        <v>0</v>
      </c>
      <c r="Y198" s="22" t="n">
        <v>250</v>
      </c>
      <c r="Z198" s="22" t="n">
        <v>0</v>
      </c>
      <c r="AA198" s="22" t="n">
        <v>0</v>
      </c>
      <c r="AB198" s="22" t="n">
        <v>0</v>
      </c>
      <c r="AC198" s="22" t="n">
        <v>0</v>
      </c>
      <c r="AD198" s="22"/>
      <c r="AE198" s="22"/>
      <c r="AF198" s="22"/>
    </row>
    <row r="199" customFormat="false" ht="15" hidden="false" customHeight="false" outlineLevel="0" collapsed="false">
      <c r="A199" s="22" t="s">
        <v>66</v>
      </c>
      <c r="B199" s="22" t="s">
        <v>3</v>
      </c>
      <c r="C199" s="22" t="s">
        <v>66</v>
      </c>
      <c r="D199" s="22" t="n">
        <v>28940</v>
      </c>
      <c r="E199" s="22" t="s">
        <v>136</v>
      </c>
      <c r="F199" s="22" t="s">
        <v>681</v>
      </c>
      <c r="G199" s="22" t="s">
        <v>131</v>
      </c>
      <c r="H199" s="22" t="s">
        <v>131</v>
      </c>
      <c r="I199" s="22" t="n">
        <v>784</v>
      </c>
      <c r="J199" s="22" t="n">
        <v>764</v>
      </c>
      <c r="K199" s="22" t="n">
        <v>344</v>
      </c>
      <c r="L199" s="22" t="n">
        <v>1002</v>
      </c>
      <c r="M199" s="22" t="n">
        <v>1228</v>
      </c>
      <c r="N199" s="22" t="n">
        <v>1500</v>
      </c>
      <c r="O199" s="22" t="n">
        <v>1500</v>
      </c>
      <c r="P199" s="22" t="n">
        <v>852</v>
      </c>
      <c r="Q199" s="22" t="n">
        <v>1582</v>
      </c>
      <c r="R199" s="22" t="n">
        <v>1080</v>
      </c>
      <c r="S199" s="22" t="n">
        <v>1398</v>
      </c>
      <c r="T199" s="22" t="n">
        <v>1274</v>
      </c>
      <c r="U199" s="22" t="n">
        <v>606</v>
      </c>
      <c r="V199" s="22" t="n">
        <v>800</v>
      </c>
      <c r="W199" s="22" t="n">
        <v>758</v>
      </c>
      <c r="X199" s="22" t="n">
        <v>758</v>
      </c>
      <c r="Y199" s="22" t="n">
        <v>720</v>
      </c>
      <c r="Z199" s="22" t="n">
        <v>526</v>
      </c>
      <c r="AA199" s="22" t="n">
        <v>250</v>
      </c>
      <c r="AB199" s="22" t="n">
        <v>250</v>
      </c>
      <c r="AC199" s="22" t="n">
        <v>0</v>
      </c>
      <c r="AD199" s="22"/>
      <c r="AE199" s="22"/>
      <c r="AF199" s="22"/>
    </row>
    <row r="200" customFormat="false" ht="15" hidden="false" customHeight="false" outlineLevel="0" collapsed="false">
      <c r="A200" s="22" t="s">
        <v>45</v>
      </c>
      <c r="B200" s="22" t="s">
        <v>3</v>
      </c>
      <c r="C200" s="22" t="s">
        <v>45</v>
      </c>
      <c r="D200" s="22" t="n">
        <v>29460</v>
      </c>
      <c r="E200" s="22" t="s">
        <v>132</v>
      </c>
      <c r="F200" s="22" t="s">
        <v>133</v>
      </c>
      <c r="G200" s="22" t="s">
        <v>131</v>
      </c>
      <c r="H200" s="22" t="s">
        <v>131</v>
      </c>
      <c r="I200" s="22" t="n">
        <v>27844</v>
      </c>
      <c r="J200" s="22" t="n">
        <v>28105</v>
      </c>
      <c r="K200" s="22" t="n">
        <v>28384</v>
      </c>
      <c r="L200" s="22" t="n">
        <v>28583</v>
      </c>
      <c r="M200" s="22" t="n">
        <v>28954</v>
      </c>
      <c r="N200" s="22" t="n">
        <v>29312</v>
      </c>
      <c r="O200" s="22" t="n">
        <v>29630</v>
      </c>
      <c r="P200" s="22" t="n">
        <v>30162</v>
      </c>
      <c r="Q200" s="22" t="n">
        <v>30759</v>
      </c>
      <c r="R200" s="22" t="n">
        <v>31513</v>
      </c>
      <c r="S200" s="22" t="n">
        <v>32134</v>
      </c>
      <c r="T200" s="22" t="n">
        <v>32635</v>
      </c>
      <c r="U200" s="22" t="n">
        <v>33723</v>
      </c>
      <c r="V200" s="22" t="n">
        <v>35335</v>
      </c>
      <c r="W200" s="22" t="n">
        <v>36335</v>
      </c>
      <c r="X200" s="22" t="n">
        <v>37107</v>
      </c>
      <c r="Y200" s="22" t="n">
        <v>37301</v>
      </c>
      <c r="Z200" s="22" t="n">
        <v>37478</v>
      </c>
      <c r="AA200" s="22" t="n">
        <v>37732</v>
      </c>
      <c r="AB200" s="22" t="n">
        <v>38025</v>
      </c>
      <c r="AC200" s="22" t="n">
        <v>38427</v>
      </c>
      <c r="AD200" s="22" t="n">
        <v>38765</v>
      </c>
      <c r="AE200" s="22" t="n">
        <v>39351</v>
      </c>
      <c r="AF200" s="22" t="n">
        <v>39916</v>
      </c>
    </row>
    <row r="201" customFormat="false" ht="15" hidden="false" customHeight="false" outlineLevel="0" collapsed="false">
      <c r="A201" s="22" t="s">
        <v>45</v>
      </c>
      <c r="B201" s="22" t="s">
        <v>3</v>
      </c>
      <c r="C201" s="22" t="s">
        <v>45</v>
      </c>
      <c r="D201" s="22" t="n">
        <v>29460</v>
      </c>
      <c r="E201" s="22" t="s">
        <v>136</v>
      </c>
      <c r="F201" s="22" t="s">
        <v>680</v>
      </c>
      <c r="G201" s="22" t="s">
        <v>131</v>
      </c>
      <c r="H201" s="22" t="s">
        <v>131</v>
      </c>
      <c r="I201" s="22" t="n">
        <v>22</v>
      </c>
      <c r="J201" s="22" t="n">
        <v>775</v>
      </c>
      <c r="K201" s="22" t="n">
        <v>973</v>
      </c>
      <c r="L201" s="22" t="n">
        <v>330</v>
      </c>
      <c r="M201" s="22" t="n">
        <v>718</v>
      </c>
      <c r="N201" s="22" t="n">
        <v>1243</v>
      </c>
      <c r="O201" s="22" t="n">
        <v>106</v>
      </c>
      <c r="P201" s="22" t="n">
        <v>1671</v>
      </c>
      <c r="Q201" s="22" t="n">
        <v>1164</v>
      </c>
      <c r="R201" s="22" t="n">
        <v>769</v>
      </c>
      <c r="S201" s="22" t="n">
        <v>0</v>
      </c>
      <c r="T201" s="22" t="n">
        <v>0</v>
      </c>
      <c r="U201" s="22" t="n">
        <v>390</v>
      </c>
      <c r="V201" s="22" t="n">
        <v>817</v>
      </c>
      <c r="W201" s="22" t="n">
        <v>219</v>
      </c>
      <c r="X201" s="22" t="n">
        <v>676</v>
      </c>
      <c r="Y201" s="22" t="n">
        <v>0</v>
      </c>
      <c r="Z201" s="22" t="n">
        <v>0</v>
      </c>
      <c r="AA201" s="22" t="n">
        <v>0</v>
      </c>
      <c r="AB201" s="22" t="n">
        <v>168</v>
      </c>
      <c r="AC201" s="22" t="n">
        <v>0</v>
      </c>
      <c r="AD201" s="22"/>
      <c r="AE201" s="22"/>
      <c r="AF201" s="22"/>
    </row>
    <row r="202" customFormat="false" ht="15" hidden="false" customHeight="false" outlineLevel="0" collapsed="false">
      <c r="A202" s="22" t="s">
        <v>45</v>
      </c>
      <c r="B202" s="22" t="s">
        <v>3</v>
      </c>
      <c r="C202" s="22" t="s">
        <v>45</v>
      </c>
      <c r="D202" s="22" t="n">
        <v>29460</v>
      </c>
      <c r="E202" s="22" t="s">
        <v>136</v>
      </c>
      <c r="F202" s="22" t="s">
        <v>681</v>
      </c>
      <c r="G202" s="22" t="s">
        <v>131</v>
      </c>
      <c r="H202" s="22" t="s">
        <v>131</v>
      </c>
      <c r="I202" s="22" t="n">
        <v>1731</v>
      </c>
      <c r="J202" s="22" t="n">
        <v>2206</v>
      </c>
      <c r="K202" s="22" t="n">
        <v>3179</v>
      </c>
      <c r="L202" s="22" t="n">
        <v>2100</v>
      </c>
      <c r="M202" s="22" t="n">
        <v>2796</v>
      </c>
      <c r="N202" s="22" t="n">
        <v>3264</v>
      </c>
      <c r="O202" s="22" t="n">
        <v>2397</v>
      </c>
      <c r="P202" s="22" t="n">
        <v>3738</v>
      </c>
      <c r="Q202" s="22" t="n">
        <v>4184</v>
      </c>
      <c r="R202" s="22" t="n">
        <v>3710</v>
      </c>
      <c r="S202" s="22" t="n">
        <v>3604</v>
      </c>
      <c r="T202" s="22" t="n">
        <v>1933</v>
      </c>
      <c r="U202" s="22" t="n">
        <v>1159</v>
      </c>
      <c r="V202" s="22" t="n">
        <v>1207</v>
      </c>
      <c r="W202" s="22" t="n">
        <v>1426</v>
      </c>
      <c r="X202" s="22" t="n">
        <v>2102</v>
      </c>
      <c r="Y202" s="22" t="n">
        <v>1712</v>
      </c>
      <c r="Z202" s="22" t="n">
        <v>895</v>
      </c>
      <c r="AA202" s="22" t="n">
        <v>676</v>
      </c>
      <c r="AB202" s="22" t="n">
        <v>168</v>
      </c>
      <c r="AC202" s="22" t="n">
        <v>168</v>
      </c>
      <c r="AD202" s="22"/>
      <c r="AE202" s="22"/>
      <c r="AF202" s="22"/>
    </row>
    <row r="203" customFormat="false" ht="15" hidden="false" customHeight="false" outlineLevel="0" collapsed="false">
      <c r="A203" s="22" t="s">
        <v>173</v>
      </c>
      <c r="B203" s="22" t="s">
        <v>3</v>
      </c>
      <c r="C203" s="22" t="s">
        <v>173</v>
      </c>
      <c r="D203" s="22" t="n">
        <v>29620</v>
      </c>
      <c r="E203" s="22" t="s">
        <v>132</v>
      </c>
      <c r="F203" s="22" t="s">
        <v>133</v>
      </c>
      <c r="G203" s="22" t="s">
        <v>131</v>
      </c>
      <c r="H203" s="22" t="s">
        <v>131</v>
      </c>
      <c r="I203" s="22" t="n">
        <v>41162</v>
      </c>
      <c r="J203" s="22" t="n">
        <v>40948</v>
      </c>
      <c r="K203" s="22" t="n">
        <v>40948</v>
      </c>
      <c r="L203" s="22" t="n">
        <v>41129</v>
      </c>
      <c r="M203" s="22" t="n">
        <v>41129</v>
      </c>
      <c r="N203" s="22" t="n">
        <v>41129</v>
      </c>
      <c r="O203" s="22" t="n">
        <v>41129</v>
      </c>
      <c r="P203" s="22" t="n">
        <v>41215</v>
      </c>
      <c r="Q203" s="22" t="n">
        <v>41365</v>
      </c>
      <c r="R203" s="22" t="n">
        <v>41518</v>
      </c>
      <c r="S203" s="22" t="n">
        <v>41554</v>
      </c>
      <c r="T203" s="22" t="n">
        <v>41567</v>
      </c>
      <c r="U203" s="22" t="n">
        <v>41606</v>
      </c>
      <c r="V203" s="22" t="n">
        <v>41648</v>
      </c>
      <c r="W203" s="22" t="n">
        <v>41422</v>
      </c>
      <c r="X203" s="22" t="n">
        <v>41243</v>
      </c>
      <c r="Y203" s="22" t="n">
        <v>41105</v>
      </c>
      <c r="Z203" s="22" t="n">
        <v>41105</v>
      </c>
      <c r="AA203" s="22" t="n">
        <v>40605</v>
      </c>
      <c r="AB203" s="22" t="n">
        <v>40579</v>
      </c>
      <c r="AC203" s="22" t="n">
        <v>40588</v>
      </c>
      <c r="AD203" s="22" t="n">
        <v>40615</v>
      </c>
      <c r="AE203" s="22" t="n">
        <v>40702</v>
      </c>
      <c r="AF203" s="22" t="n">
        <v>40730</v>
      </c>
    </row>
    <row r="204" customFormat="false" ht="15" hidden="false" customHeight="false" outlineLevel="0" collapsed="false">
      <c r="A204" s="22" t="s">
        <v>173</v>
      </c>
      <c r="B204" s="22" t="s">
        <v>3</v>
      </c>
      <c r="C204" s="22" t="s">
        <v>173</v>
      </c>
      <c r="D204" s="22" t="n">
        <v>29620</v>
      </c>
      <c r="E204" s="22" t="s">
        <v>136</v>
      </c>
      <c r="F204" s="22" t="s">
        <v>680</v>
      </c>
      <c r="G204" s="22" t="s">
        <v>131</v>
      </c>
      <c r="H204" s="22" t="s">
        <v>131</v>
      </c>
      <c r="I204" s="22" t="n">
        <v>0</v>
      </c>
      <c r="J204" s="22" t="n">
        <v>172</v>
      </c>
      <c r="K204" s="22" t="n">
        <v>0</v>
      </c>
      <c r="L204" s="22" t="n">
        <v>0</v>
      </c>
      <c r="M204" s="22" t="n">
        <v>72</v>
      </c>
      <c r="N204" s="22" t="n">
        <v>0</v>
      </c>
      <c r="O204" s="22" t="n">
        <v>0</v>
      </c>
      <c r="P204" s="22" t="n">
        <v>108</v>
      </c>
      <c r="Q204" s="22" t="n">
        <v>0</v>
      </c>
      <c r="R204" s="22" t="n">
        <v>0</v>
      </c>
      <c r="S204" s="22" t="n">
        <v>0</v>
      </c>
      <c r="T204" s="22" t="n">
        <v>0</v>
      </c>
      <c r="U204" s="22" t="n">
        <v>0</v>
      </c>
      <c r="V204" s="22" t="n">
        <v>0</v>
      </c>
      <c r="W204" s="22" t="n">
        <v>0</v>
      </c>
      <c r="X204" s="22" t="n">
        <v>0</v>
      </c>
      <c r="Y204" s="22" t="n">
        <v>287</v>
      </c>
      <c r="Z204" s="22" t="n">
        <v>60</v>
      </c>
      <c r="AA204" s="22" t="n">
        <v>131</v>
      </c>
      <c r="AB204" s="22" t="n">
        <v>115</v>
      </c>
      <c r="AC204" s="22" t="n">
        <v>0</v>
      </c>
      <c r="AD204" s="22"/>
      <c r="AE204" s="22"/>
      <c r="AF204" s="22"/>
    </row>
    <row r="205" customFormat="false" ht="15" hidden="false" customHeight="false" outlineLevel="0" collapsed="false">
      <c r="A205" s="22" t="s">
        <v>173</v>
      </c>
      <c r="B205" s="22" t="s">
        <v>3</v>
      </c>
      <c r="C205" s="22" t="s">
        <v>173</v>
      </c>
      <c r="D205" s="22" t="n">
        <v>29620</v>
      </c>
      <c r="E205" s="22" t="s">
        <v>136</v>
      </c>
      <c r="F205" s="22" t="s">
        <v>681</v>
      </c>
      <c r="G205" s="22" t="s">
        <v>131</v>
      </c>
      <c r="H205" s="22" t="s">
        <v>131</v>
      </c>
      <c r="I205" s="22" t="n">
        <v>31</v>
      </c>
      <c r="J205" s="22" t="n">
        <v>203</v>
      </c>
      <c r="K205" s="22" t="n">
        <v>172</v>
      </c>
      <c r="L205" s="22" t="n">
        <v>172</v>
      </c>
      <c r="M205" s="22" t="n">
        <v>244</v>
      </c>
      <c r="N205" s="22" t="n">
        <v>72</v>
      </c>
      <c r="O205" s="22" t="n">
        <v>72</v>
      </c>
      <c r="P205" s="22" t="n">
        <v>180</v>
      </c>
      <c r="Q205" s="22" t="n">
        <v>108</v>
      </c>
      <c r="R205" s="22" t="n">
        <v>108</v>
      </c>
      <c r="S205" s="22" t="n">
        <v>108</v>
      </c>
      <c r="T205" s="22" t="n">
        <v>0</v>
      </c>
      <c r="U205" s="22" t="n">
        <v>0</v>
      </c>
      <c r="V205" s="22" t="n">
        <v>0</v>
      </c>
      <c r="W205" s="22" t="n">
        <v>0</v>
      </c>
      <c r="X205" s="22" t="n">
        <v>0</v>
      </c>
      <c r="Y205" s="22" t="n">
        <v>287</v>
      </c>
      <c r="Z205" s="22" t="n">
        <v>347</v>
      </c>
      <c r="AA205" s="22" t="n">
        <v>478</v>
      </c>
      <c r="AB205" s="22" t="n">
        <v>593</v>
      </c>
      <c r="AC205" s="22" t="n">
        <v>306</v>
      </c>
      <c r="AD205" s="22"/>
      <c r="AE205" s="22"/>
      <c r="AF205" s="22"/>
    </row>
    <row r="206" customFormat="false" ht="15" hidden="false" customHeight="false" outlineLevel="0" collapsed="false">
      <c r="A206" s="22" t="s">
        <v>63</v>
      </c>
      <c r="B206" s="22" t="s">
        <v>3</v>
      </c>
      <c r="C206" s="22" t="s">
        <v>63</v>
      </c>
      <c r="D206" s="22" t="n">
        <v>29820</v>
      </c>
      <c r="E206" s="22" t="s">
        <v>132</v>
      </c>
      <c r="F206" s="22" t="s">
        <v>133</v>
      </c>
      <c r="G206" s="22" t="s">
        <v>131</v>
      </c>
      <c r="H206" s="22" t="s">
        <v>131</v>
      </c>
      <c r="I206" s="22" t="n">
        <v>223053</v>
      </c>
      <c r="J206" s="22" t="n">
        <v>223912</v>
      </c>
      <c r="K206" s="22" t="n">
        <v>224303</v>
      </c>
      <c r="L206" s="22" t="n">
        <v>224617</v>
      </c>
      <c r="M206" s="22" t="n">
        <v>225320</v>
      </c>
      <c r="N206" s="22" t="n">
        <v>226274</v>
      </c>
      <c r="O206" s="22" t="n">
        <v>226866</v>
      </c>
      <c r="P206" s="22" t="n">
        <v>227530</v>
      </c>
      <c r="Q206" s="22" t="n">
        <v>228429</v>
      </c>
      <c r="R206" s="22" t="n">
        <v>229758</v>
      </c>
      <c r="S206" s="22" t="n">
        <v>230885</v>
      </c>
      <c r="T206" s="22" t="n">
        <v>232405</v>
      </c>
      <c r="U206" s="22" t="n">
        <v>233908</v>
      </c>
      <c r="V206" s="22" t="n">
        <v>235144</v>
      </c>
      <c r="W206" s="22" t="n">
        <v>236317</v>
      </c>
      <c r="X206" s="22" t="n">
        <v>237806</v>
      </c>
      <c r="Y206" s="22" t="n">
        <v>238939</v>
      </c>
      <c r="Z206" s="22" t="n">
        <v>239944</v>
      </c>
      <c r="AA206" s="22" t="n">
        <v>240617</v>
      </c>
      <c r="AB206" s="22" t="n">
        <v>241626</v>
      </c>
      <c r="AC206" s="22" t="n">
        <v>242995</v>
      </c>
      <c r="AD206" s="22" t="n">
        <v>244031</v>
      </c>
      <c r="AE206" s="22" t="n">
        <v>244775</v>
      </c>
      <c r="AF206" s="22" t="n">
        <v>245336</v>
      </c>
    </row>
    <row r="207" customFormat="false" ht="15" hidden="false" customHeight="false" outlineLevel="0" collapsed="false">
      <c r="A207" s="22" t="s">
        <v>63</v>
      </c>
      <c r="B207" s="22" t="s">
        <v>3</v>
      </c>
      <c r="C207" s="22" t="s">
        <v>63</v>
      </c>
      <c r="D207" s="22" t="n">
        <v>29820</v>
      </c>
      <c r="E207" s="22" t="s">
        <v>136</v>
      </c>
      <c r="F207" s="22" t="s">
        <v>680</v>
      </c>
      <c r="G207" s="22" t="s">
        <v>131</v>
      </c>
      <c r="H207" s="22" t="s">
        <v>131</v>
      </c>
      <c r="I207" s="22" t="n">
        <v>845</v>
      </c>
      <c r="J207" s="22" t="n">
        <v>1232</v>
      </c>
      <c r="K207" s="22" t="n">
        <v>782</v>
      </c>
      <c r="L207" s="22" t="n">
        <v>1816</v>
      </c>
      <c r="M207" s="22" t="n">
        <v>1409</v>
      </c>
      <c r="N207" s="22" t="n">
        <v>998</v>
      </c>
      <c r="O207" s="22" t="n">
        <v>1873</v>
      </c>
      <c r="P207" s="22" t="n">
        <v>1020</v>
      </c>
      <c r="Q207" s="22" t="n">
        <v>840</v>
      </c>
      <c r="R207" s="22" t="n">
        <v>795</v>
      </c>
      <c r="S207" s="22" t="n">
        <v>1479</v>
      </c>
      <c r="T207" s="22" t="n">
        <v>779</v>
      </c>
      <c r="U207" s="22" t="n">
        <v>549</v>
      </c>
      <c r="V207" s="22" t="n">
        <v>673</v>
      </c>
      <c r="W207" s="22" t="n">
        <v>1248</v>
      </c>
      <c r="X207" s="22" t="n">
        <v>326</v>
      </c>
      <c r="Y207" s="22" t="n">
        <v>669</v>
      </c>
      <c r="Z207" s="22" t="n">
        <v>597</v>
      </c>
      <c r="AA207" s="22" t="n">
        <v>393</v>
      </c>
      <c r="AB207" s="22" t="n">
        <v>560</v>
      </c>
      <c r="AC207" s="22" t="n">
        <v>0</v>
      </c>
      <c r="AD207" s="22"/>
      <c r="AE207" s="22"/>
      <c r="AF207" s="22"/>
    </row>
    <row r="208" customFormat="false" ht="15" hidden="false" customHeight="false" outlineLevel="0" collapsed="false">
      <c r="A208" s="22" t="s">
        <v>63</v>
      </c>
      <c r="B208" s="22" t="s">
        <v>3</v>
      </c>
      <c r="C208" s="22" t="s">
        <v>63</v>
      </c>
      <c r="D208" s="22" t="n">
        <v>29820</v>
      </c>
      <c r="E208" s="22" t="s">
        <v>136</v>
      </c>
      <c r="F208" s="22" t="s">
        <v>681</v>
      </c>
      <c r="G208" s="22" t="s">
        <v>131</v>
      </c>
      <c r="H208" s="22" t="s">
        <v>131</v>
      </c>
      <c r="I208" s="22" t="n">
        <v>3646</v>
      </c>
      <c r="J208" s="22" t="n">
        <v>3246</v>
      </c>
      <c r="K208" s="22" t="n">
        <v>4028</v>
      </c>
      <c r="L208" s="22" t="n">
        <v>4675</v>
      </c>
      <c r="M208" s="22" t="n">
        <v>5239</v>
      </c>
      <c r="N208" s="22" t="n">
        <v>5005</v>
      </c>
      <c r="O208" s="22" t="n">
        <v>6096</v>
      </c>
      <c r="P208" s="22" t="n">
        <v>5300</v>
      </c>
      <c r="Q208" s="22" t="n">
        <v>4731</v>
      </c>
      <c r="R208" s="22" t="n">
        <v>4528</v>
      </c>
      <c r="S208" s="22" t="n">
        <v>4134</v>
      </c>
      <c r="T208" s="22" t="n">
        <v>3893</v>
      </c>
      <c r="U208" s="22" t="n">
        <v>3602</v>
      </c>
      <c r="V208" s="22" t="n">
        <v>3480</v>
      </c>
      <c r="W208" s="22" t="n">
        <v>3249</v>
      </c>
      <c r="X208" s="22" t="n">
        <v>2796</v>
      </c>
      <c r="Y208" s="22" t="n">
        <v>2916</v>
      </c>
      <c r="Z208" s="22" t="n">
        <v>2840</v>
      </c>
      <c r="AA208" s="22" t="n">
        <v>1985</v>
      </c>
      <c r="AB208" s="22" t="n">
        <v>2219</v>
      </c>
      <c r="AC208" s="22" t="n">
        <v>1550</v>
      </c>
      <c r="AD208" s="22"/>
      <c r="AE208" s="22"/>
      <c r="AF208" s="22"/>
    </row>
    <row r="209" customFormat="false" ht="15" hidden="false" customHeight="false" outlineLevel="0" collapsed="false">
      <c r="A209" s="22" t="s">
        <v>174</v>
      </c>
      <c r="B209" s="22" t="s">
        <v>3</v>
      </c>
      <c r="C209" s="22" t="s">
        <v>174</v>
      </c>
      <c r="D209" s="22" t="n">
        <v>230460</v>
      </c>
      <c r="E209" s="22" t="s">
        <v>132</v>
      </c>
      <c r="F209" s="22" t="s">
        <v>133</v>
      </c>
      <c r="G209" s="22" t="s">
        <v>131</v>
      </c>
      <c r="H209" s="22" t="s">
        <v>131</v>
      </c>
      <c r="I209" s="22" t="n">
        <v>46146</v>
      </c>
      <c r="J209" s="22" t="n">
        <v>46421</v>
      </c>
      <c r="K209" s="22" t="n">
        <v>46757</v>
      </c>
      <c r="L209" s="22" t="n">
        <v>46880</v>
      </c>
      <c r="M209" s="22" t="n">
        <v>46972</v>
      </c>
      <c r="N209" s="22" t="n">
        <v>47076</v>
      </c>
      <c r="O209" s="22" t="n">
        <v>47172</v>
      </c>
      <c r="P209" s="22" t="n">
        <v>47340</v>
      </c>
      <c r="Q209" s="22" t="n">
        <v>47474</v>
      </c>
      <c r="R209" s="22" t="n">
        <v>47500</v>
      </c>
      <c r="S209" s="22" t="n">
        <v>47500</v>
      </c>
      <c r="T209" s="22" t="n">
        <v>47567</v>
      </c>
      <c r="U209" s="22" t="n">
        <v>47898</v>
      </c>
      <c r="V209" s="22" t="n">
        <v>48231</v>
      </c>
      <c r="W209" s="22" t="n">
        <v>48272</v>
      </c>
      <c r="X209" s="22" t="n">
        <v>48425</v>
      </c>
      <c r="Y209" s="22" t="n">
        <v>48578</v>
      </c>
      <c r="Z209" s="22" t="n">
        <v>48691</v>
      </c>
      <c r="AA209" s="22" t="n">
        <v>48800</v>
      </c>
      <c r="AB209" s="22" t="n">
        <v>48911</v>
      </c>
      <c r="AC209" s="22" t="n">
        <v>48959</v>
      </c>
      <c r="AD209" s="22" t="n">
        <v>49083</v>
      </c>
      <c r="AE209" s="22" t="n">
        <v>49221</v>
      </c>
      <c r="AF209" s="22" t="n">
        <v>49335</v>
      </c>
    </row>
    <row r="210" customFormat="false" ht="15" hidden="false" customHeight="false" outlineLevel="0" collapsed="false">
      <c r="A210" s="22" t="s">
        <v>174</v>
      </c>
      <c r="B210" s="22" t="s">
        <v>3</v>
      </c>
      <c r="C210" s="22" t="s">
        <v>174</v>
      </c>
      <c r="D210" s="22" t="n">
        <v>230460</v>
      </c>
      <c r="E210" s="22" t="s">
        <v>136</v>
      </c>
      <c r="F210" s="22" t="s">
        <v>680</v>
      </c>
      <c r="G210" s="22" t="s">
        <v>131</v>
      </c>
      <c r="H210" s="22" t="s">
        <v>131</v>
      </c>
      <c r="I210" s="22" t="n">
        <v>260</v>
      </c>
      <c r="J210" s="22" t="n">
        <v>0</v>
      </c>
      <c r="K210" s="22" t="n">
        <v>0</v>
      </c>
      <c r="L210" s="22" t="n">
        <v>357</v>
      </c>
      <c r="M210" s="22" t="n">
        <v>474</v>
      </c>
      <c r="N210" s="22" t="n">
        <v>0</v>
      </c>
      <c r="O210" s="22" t="n">
        <v>100</v>
      </c>
      <c r="P210" s="22" t="n">
        <v>340</v>
      </c>
      <c r="Q210" s="22" t="n">
        <v>0</v>
      </c>
      <c r="R210" s="22" t="n">
        <v>0</v>
      </c>
      <c r="S210" s="22" t="n">
        <v>120</v>
      </c>
      <c r="T210" s="22" t="n">
        <v>0</v>
      </c>
      <c r="U210" s="22" t="n">
        <v>0</v>
      </c>
      <c r="V210" s="22" t="n">
        <v>0</v>
      </c>
      <c r="W210" s="22" t="n">
        <v>0</v>
      </c>
      <c r="X210" s="22" t="n">
        <v>0</v>
      </c>
      <c r="Y210" s="22" t="n">
        <v>538</v>
      </c>
      <c r="Z210" s="22" t="n">
        <v>0</v>
      </c>
      <c r="AA210" s="22" t="n">
        <v>388</v>
      </c>
      <c r="AB210" s="22" t="n">
        <v>0</v>
      </c>
      <c r="AC210" s="22" t="n">
        <v>229</v>
      </c>
      <c r="AD210" s="22"/>
      <c r="AE210" s="22"/>
      <c r="AF210" s="22"/>
    </row>
    <row r="211" customFormat="false" ht="15" hidden="false" customHeight="false" outlineLevel="0" collapsed="false">
      <c r="A211" s="22" t="s">
        <v>174</v>
      </c>
      <c r="B211" s="22" t="s">
        <v>3</v>
      </c>
      <c r="C211" s="22" t="s">
        <v>174</v>
      </c>
      <c r="D211" s="22" t="n">
        <v>230460</v>
      </c>
      <c r="E211" s="22" t="s">
        <v>136</v>
      </c>
      <c r="F211" s="22" t="s">
        <v>681</v>
      </c>
      <c r="G211" s="22" t="s">
        <v>131</v>
      </c>
      <c r="H211" s="22" t="s">
        <v>131</v>
      </c>
      <c r="I211" s="22" t="n">
        <v>878</v>
      </c>
      <c r="J211" s="22" t="n">
        <v>506</v>
      </c>
      <c r="K211" s="22" t="n">
        <v>416</v>
      </c>
      <c r="L211" s="22" t="n">
        <v>617</v>
      </c>
      <c r="M211" s="22" t="n">
        <v>831</v>
      </c>
      <c r="N211" s="22" t="n">
        <v>831</v>
      </c>
      <c r="O211" s="22" t="n">
        <v>931</v>
      </c>
      <c r="P211" s="22" t="n">
        <v>914</v>
      </c>
      <c r="Q211" s="22" t="n">
        <v>440</v>
      </c>
      <c r="R211" s="22" t="n">
        <v>440</v>
      </c>
      <c r="S211" s="22" t="n">
        <v>460</v>
      </c>
      <c r="T211" s="22" t="n">
        <v>120</v>
      </c>
      <c r="U211" s="22" t="n">
        <v>120</v>
      </c>
      <c r="V211" s="22" t="n">
        <v>120</v>
      </c>
      <c r="W211" s="22" t="n">
        <v>0</v>
      </c>
      <c r="X211" s="22" t="n">
        <v>0</v>
      </c>
      <c r="Y211" s="22" t="n">
        <v>538</v>
      </c>
      <c r="Z211" s="22" t="n">
        <v>538</v>
      </c>
      <c r="AA211" s="22" t="n">
        <v>926</v>
      </c>
      <c r="AB211" s="22" t="n">
        <v>926</v>
      </c>
      <c r="AC211" s="22" t="n">
        <v>617</v>
      </c>
      <c r="AD211" s="22"/>
      <c r="AE211" s="22"/>
      <c r="AF211" s="22"/>
    </row>
    <row r="212" customFormat="false" ht="15" hidden="false" customHeight="false" outlineLevel="0" collapsed="false">
      <c r="A212" s="22" t="s">
        <v>175</v>
      </c>
      <c r="B212" s="22" t="s">
        <v>3</v>
      </c>
      <c r="C212" s="22" t="s">
        <v>175</v>
      </c>
      <c r="D212" s="22" t="n">
        <v>30700</v>
      </c>
      <c r="E212" s="22" t="s">
        <v>132</v>
      </c>
      <c r="F212" s="22" t="s">
        <v>133</v>
      </c>
      <c r="G212" s="22" t="s">
        <v>131</v>
      </c>
      <c r="H212" s="22" t="s">
        <v>131</v>
      </c>
      <c r="I212" s="22" t="n">
        <v>32901</v>
      </c>
      <c r="J212" s="22" t="n">
        <v>33089</v>
      </c>
      <c r="K212" s="22" t="n">
        <v>33193</v>
      </c>
      <c r="L212" s="22" t="n">
        <v>33223</v>
      </c>
      <c r="M212" s="22" t="n">
        <v>33332</v>
      </c>
      <c r="N212" s="22" t="n">
        <v>33516</v>
      </c>
      <c r="O212" s="22" t="n">
        <v>33677</v>
      </c>
      <c r="P212" s="22" t="n">
        <v>33848</v>
      </c>
      <c r="Q212" s="22" t="n">
        <v>34279</v>
      </c>
      <c r="R212" s="22" t="n">
        <v>34587</v>
      </c>
      <c r="S212" s="22" t="n">
        <v>34809</v>
      </c>
      <c r="T212" s="22" t="n">
        <v>34896</v>
      </c>
      <c r="U212" s="22" t="n">
        <v>34944</v>
      </c>
      <c r="V212" s="22" t="n">
        <v>35177</v>
      </c>
      <c r="W212" s="22" t="n">
        <v>35580</v>
      </c>
      <c r="X212" s="22" t="n">
        <v>35829</v>
      </c>
      <c r="Y212" s="22" t="n">
        <v>35985</v>
      </c>
      <c r="Z212" s="22" t="n">
        <v>36264</v>
      </c>
      <c r="AA212" s="22" t="n">
        <v>36489</v>
      </c>
      <c r="AB212" s="22" t="n">
        <v>36609</v>
      </c>
      <c r="AC212" s="22" t="n">
        <v>36804</v>
      </c>
      <c r="AD212" s="22" t="n">
        <v>37006</v>
      </c>
      <c r="AE212" s="22" t="n">
        <v>37139</v>
      </c>
      <c r="AF212" s="22" t="n">
        <v>37139</v>
      </c>
    </row>
    <row r="213" customFormat="false" ht="15" hidden="false" customHeight="false" outlineLevel="0" collapsed="false">
      <c r="A213" s="22" t="s">
        <v>175</v>
      </c>
      <c r="B213" s="22" t="s">
        <v>3</v>
      </c>
      <c r="C213" s="22" t="s">
        <v>175</v>
      </c>
      <c r="D213" s="22" t="n">
        <v>30700</v>
      </c>
      <c r="E213" s="22" t="s">
        <v>136</v>
      </c>
      <c r="F213" s="22" t="s">
        <v>680</v>
      </c>
      <c r="G213" s="22" t="s">
        <v>131</v>
      </c>
      <c r="H213" s="22" t="s">
        <v>131</v>
      </c>
      <c r="I213" s="22" t="n">
        <v>307</v>
      </c>
      <c r="J213" s="22" t="n">
        <v>170</v>
      </c>
      <c r="K213" s="22" t="n">
        <v>106</v>
      </c>
      <c r="L213" s="22" t="n">
        <v>351</v>
      </c>
      <c r="M213" s="22" t="n">
        <v>322</v>
      </c>
      <c r="N213" s="22" t="n">
        <v>226</v>
      </c>
      <c r="O213" s="22" t="n">
        <v>0</v>
      </c>
      <c r="P213" s="22" t="n">
        <v>103</v>
      </c>
      <c r="Q213" s="22" t="n">
        <v>0</v>
      </c>
      <c r="R213" s="22" t="n">
        <v>612</v>
      </c>
      <c r="S213" s="22" t="n">
        <v>216</v>
      </c>
      <c r="T213" s="22" t="n">
        <v>894</v>
      </c>
      <c r="U213" s="22" t="n">
        <v>0</v>
      </c>
      <c r="V213" s="22" t="n">
        <v>0</v>
      </c>
      <c r="W213" s="22" t="n">
        <v>0</v>
      </c>
      <c r="X213" s="22" t="n">
        <v>0</v>
      </c>
      <c r="Y213" s="22" t="n">
        <v>0</v>
      </c>
      <c r="Z213" s="22" t="n">
        <v>0</v>
      </c>
      <c r="AA213" s="22" t="n">
        <v>0</v>
      </c>
      <c r="AB213" s="22" t="n">
        <v>0</v>
      </c>
      <c r="AC213" s="22" t="n">
        <v>0</v>
      </c>
      <c r="AD213" s="22"/>
      <c r="AE213" s="22"/>
      <c r="AF213" s="22"/>
    </row>
    <row r="214" customFormat="false" ht="15" hidden="false" customHeight="false" outlineLevel="0" collapsed="false">
      <c r="A214" s="22" t="s">
        <v>175</v>
      </c>
      <c r="B214" s="22" t="s">
        <v>3</v>
      </c>
      <c r="C214" s="22" t="s">
        <v>175</v>
      </c>
      <c r="D214" s="22" t="n">
        <v>30700</v>
      </c>
      <c r="E214" s="22" t="s">
        <v>136</v>
      </c>
      <c r="F214" s="22" t="s">
        <v>681</v>
      </c>
      <c r="G214" s="22" t="s">
        <v>131</v>
      </c>
      <c r="H214" s="22" t="s">
        <v>131</v>
      </c>
      <c r="I214" s="22" t="n">
        <v>643</v>
      </c>
      <c r="J214" s="22" t="n">
        <v>720</v>
      </c>
      <c r="K214" s="22" t="n">
        <v>660</v>
      </c>
      <c r="L214" s="22" t="n">
        <v>934</v>
      </c>
      <c r="M214" s="22" t="n">
        <v>949</v>
      </c>
      <c r="N214" s="22" t="n">
        <v>1005</v>
      </c>
      <c r="O214" s="22" t="n">
        <v>899</v>
      </c>
      <c r="P214" s="22" t="n">
        <v>651</v>
      </c>
      <c r="Q214" s="22" t="n">
        <v>329</v>
      </c>
      <c r="R214" s="22" t="n">
        <v>715</v>
      </c>
      <c r="S214" s="22" t="n">
        <v>931</v>
      </c>
      <c r="T214" s="22" t="n">
        <v>1722</v>
      </c>
      <c r="U214" s="22" t="n">
        <v>1722</v>
      </c>
      <c r="V214" s="22" t="n">
        <v>1110</v>
      </c>
      <c r="W214" s="22" t="n">
        <v>894</v>
      </c>
      <c r="X214" s="22" t="n">
        <v>0</v>
      </c>
      <c r="Y214" s="22" t="n">
        <v>0</v>
      </c>
      <c r="Z214" s="22" t="n">
        <v>0</v>
      </c>
      <c r="AA214" s="22" t="n">
        <v>0</v>
      </c>
      <c r="AB214" s="22" t="n">
        <v>0</v>
      </c>
      <c r="AC214" s="22" t="n">
        <v>0</v>
      </c>
      <c r="AD214" s="22"/>
      <c r="AE214" s="22"/>
      <c r="AF214" s="22"/>
    </row>
    <row r="215" customFormat="false" ht="15" hidden="false" customHeight="false" outlineLevel="0" collapsed="false">
      <c r="A215" s="22" t="s">
        <v>176</v>
      </c>
      <c r="B215" s="22" t="s">
        <v>3</v>
      </c>
      <c r="C215" s="22" t="s">
        <v>176</v>
      </c>
      <c r="D215" s="22" t="n">
        <v>30780</v>
      </c>
      <c r="E215" s="22" t="s">
        <v>132</v>
      </c>
      <c r="F215" s="22" t="s">
        <v>133</v>
      </c>
      <c r="G215" s="22" t="s">
        <v>131</v>
      </c>
      <c r="H215" s="22" t="s">
        <v>131</v>
      </c>
      <c r="I215" s="22" t="n">
        <v>56002</v>
      </c>
      <c r="J215" s="22" t="n">
        <v>56228</v>
      </c>
      <c r="K215" s="22" t="n">
        <v>56302</v>
      </c>
      <c r="L215" s="22" t="n">
        <v>56636</v>
      </c>
      <c r="M215" s="22" t="n">
        <v>56690</v>
      </c>
      <c r="N215" s="22" t="n">
        <v>56791</v>
      </c>
      <c r="O215" s="22" t="n">
        <v>56911</v>
      </c>
      <c r="P215" s="22" t="n">
        <v>56923</v>
      </c>
      <c r="Q215" s="22" t="n">
        <v>56972</v>
      </c>
      <c r="R215" s="22" t="n">
        <v>57095</v>
      </c>
      <c r="S215" s="22" t="n">
        <v>57210</v>
      </c>
      <c r="T215" s="22" t="n">
        <v>57466</v>
      </c>
      <c r="U215" s="22" t="n">
        <v>57614</v>
      </c>
      <c r="V215" s="22" t="n">
        <v>57803</v>
      </c>
      <c r="W215" s="22" t="n">
        <v>58254</v>
      </c>
      <c r="X215" s="22" t="n">
        <v>58700</v>
      </c>
      <c r="Y215" s="22" t="n">
        <v>59506</v>
      </c>
      <c r="Z215" s="22" t="n">
        <v>59696</v>
      </c>
      <c r="AA215" s="22" t="n">
        <v>59787</v>
      </c>
      <c r="AB215" s="22" t="n">
        <v>59880</v>
      </c>
      <c r="AC215" s="22" t="n">
        <v>59974</v>
      </c>
      <c r="AD215" s="22" t="n">
        <v>59974</v>
      </c>
      <c r="AE215" s="22" t="n">
        <v>59974</v>
      </c>
      <c r="AF215" s="22" t="n">
        <v>60094</v>
      </c>
    </row>
    <row r="216" customFormat="false" ht="15" hidden="false" customHeight="false" outlineLevel="0" collapsed="false">
      <c r="A216" s="22" t="s">
        <v>176</v>
      </c>
      <c r="B216" s="22" t="s">
        <v>3</v>
      </c>
      <c r="C216" s="22" t="s">
        <v>176</v>
      </c>
      <c r="D216" s="22" t="n">
        <v>30780</v>
      </c>
      <c r="E216" s="22" t="s">
        <v>136</v>
      </c>
      <c r="F216" s="22" t="s">
        <v>680</v>
      </c>
      <c r="G216" s="22" t="s">
        <v>131</v>
      </c>
      <c r="H216" s="22" t="s">
        <v>131</v>
      </c>
      <c r="I216" s="22" t="n">
        <v>477</v>
      </c>
      <c r="J216" s="22" t="n">
        <v>0</v>
      </c>
      <c r="K216" s="22" t="n">
        <v>532</v>
      </c>
      <c r="L216" s="22" t="n">
        <v>144</v>
      </c>
      <c r="M216" s="22" t="n">
        <v>150</v>
      </c>
      <c r="N216" s="22" t="n">
        <v>360</v>
      </c>
      <c r="O216" s="22" t="n">
        <v>235</v>
      </c>
      <c r="P216" s="22" t="n">
        <v>278</v>
      </c>
      <c r="Q216" s="22" t="n">
        <v>0</v>
      </c>
      <c r="R216" s="22" t="n">
        <v>209</v>
      </c>
      <c r="S216" s="22" t="n">
        <v>463</v>
      </c>
      <c r="T216" s="22" t="n">
        <v>0</v>
      </c>
      <c r="U216" s="22" t="n">
        <v>0</v>
      </c>
      <c r="V216" s="22" t="n">
        <v>187</v>
      </c>
      <c r="W216" s="22" t="n">
        <v>0</v>
      </c>
      <c r="X216" s="22" t="n">
        <v>0</v>
      </c>
      <c r="Y216" s="22" t="n">
        <v>0</v>
      </c>
      <c r="Z216" s="22" t="n">
        <v>0</v>
      </c>
      <c r="AA216" s="22" t="n">
        <v>120</v>
      </c>
      <c r="AB216" s="22" t="n">
        <v>0</v>
      </c>
      <c r="AC216" s="22" t="n">
        <v>0</v>
      </c>
      <c r="AD216" s="22"/>
      <c r="AE216" s="22"/>
      <c r="AF216" s="22"/>
    </row>
    <row r="217" customFormat="false" ht="15" hidden="false" customHeight="false" outlineLevel="0" collapsed="false">
      <c r="A217" s="22" t="s">
        <v>176</v>
      </c>
      <c r="B217" s="22" t="s">
        <v>3</v>
      </c>
      <c r="C217" s="22" t="s">
        <v>176</v>
      </c>
      <c r="D217" s="22" t="n">
        <v>30780</v>
      </c>
      <c r="E217" s="22" t="s">
        <v>136</v>
      </c>
      <c r="F217" s="22" t="s">
        <v>681</v>
      </c>
      <c r="G217" s="22" t="s">
        <v>131</v>
      </c>
      <c r="H217" s="22" t="s">
        <v>131</v>
      </c>
      <c r="I217" s="22" t="n">
        <v>555</v>
      </c>
      <c r="J217" s="22" t="n">
        <v>501</v>
      </c>
      <c r="K217" s="22" t="n">
        <v>1033</v>
      </c>
      <c r="L217" s="22" t="n">
        <v>1153</v>
      </c>
      <c r="M217" s="22" t="n">
        <v>826</v>
      </c>
      <c r="N217" s="22" t="n">
        <v>1186</v>
      </c>
      <c r="O217" s="22" t="n">
        <v>889</v>
      </c>
      <c r="P217" s="22" t="n">
        <v>1023</v>
      </c>
      <c r="Q217" s="22" t="n">
        <v>873</v>
      </c>
      <c r="R217" s="22" t="n">
        <v>722</v>
      </c>
      <c r="S217" s="22" t="n">
        <v>950</v>
      </c>
      <c r="T217" s="22" t="n">
        <v>672</v>
      </c>
      <c r="U217" s="22" t="n">
        <v>672</v>
      </c>
      <c r="V217" s="22" t="n">
        <v>650</v>
      </c>
      <c r="W217" s="22" t="n">
        <v>187</v>
      </c>
      <c r="X217" s="22" t="n">
        <v>187</v>
      </c>
      <c r="Y217" s="22" t="n">
        <v>187</v>
      </c>
      <c r="Z217" s="22" t="n">
        <v>0</v>
      </c>
      <c r="AA217" s="22" t="n">
        <v>120</v>
      </c>
      <c r="AB217" s="22" t="n">
        <v>120</v>
      </c>
      <c r="AC217" s="22" t="n">
        <v>120</v>
      </c>
      <c r="AD217" s="22"/>
      <c r="AE217" s="22"/>
      <c r="AF217" s="22"/>
    </row>
    <row r="218" customFormat="false" ht="15" hidden="false" customHeight="false" outlineLevel="0" collapsed="false">
      <c r="A218" s="22" t="s">
        <v>177</v>
      </c>
      <c r="B218" s="22" t="s">
        <v>3</v>
      </c>
      <c r="C218" s="22" t="s">
        <v>177</v>
      </c>
      <c r="D218" s="22" t="n">
        <v>31084</v>
      </c>
      <c r="E218" s="22" t="s">
        <v>132</v>
      </c>
      <c r="F218" s="22" t="s">
        <v>133</v>
      </c>
      <c r="G218" s="22" t="s">
        <v>131</v>
      </c>
      <c r="H218" s="22" t="s">
        <v>131</v>
      </c>
      <c r="I218" s="22" t="n">
        <v>1126653</v>
      </c>
      <c r="J218" s="22" t="n">
        <v>1129690</v>
      </c>
      <c r="K218" s="22" t="n">
        <v>1132682</v>
      </c>
      <c r="L218" s="22" t="n">
        <v>1134391</v>
      </c>
      <c r="M218" s="22" t="n">
        <v>1136203</v>
      </c>
      <c r="N218" s="22" t="n">
        <v>1138502</v>
      </c>
      <c r="O218" s="22" t="n">
        <v>1140402</v>
      </c>
      <c r="P218" s="22" t="n">
        <v>1142419</v>
      </c>
      <c r="Q218" s="22" t="n">
        <v>1144818</v>
      </c>
      <c r="R218" s="22" t="n">
        <v>1147979</v>
      </c>
      <c r="S218" s="22" t="n">
        <v>1150278</v>
      </c>
      <c r="T218" s="22" t="n">
        <v>1151565</v>
      </c>
      <c r="U218" s="22" t="n">
        <v>1153036</v>
      </c>
      <c r="V218" s="22" t="n">
        <v>1155332</v>
      </c>
      <c r="W218" s="22" t="n">
        <v>1157264</v>
      </c>
      <c r="X218" s="22" t="n">
        <v>1159261</v>
      </c>
      <c r="Y218" s="22" t="n">
        <v>1160777</v>
      </c>
      <c r="Z218" s="22" t="n">
        <v>1163917</v>
      </c>
      <c r="AA218" s="22" t="n">
        <v>1166242</v>
      </c>
      <c r="AB218" s="22" t="n">
        <v>1168187</v>
      </c>
      <c r="AC218" s="22" t="n">
        <v>1169882</v>
      </c>
      <c r="AD218" s="22" t="n">
        <v>1172846</v>
      </c>
      <c r="AE218" s="22" t="n">
        <v>1175287</v>
      </c>
      <c r="AF218" s="22" t="n">
        <v>1178497</v>
      </c>
    </row>
    <row r="219" customFormat="false" ht="15" hidden="false" customHeight="false" outlineLevel="0" collapsed="false">
      <c r="A219" s="22" t="s">
        <v>177</v>
      </c>
      <c r="B219" s="22" t="s">
        <v>3</v>
      </c>
      <c r="C219" s="22" t="s">
        <v>177</v>
      </c>
      <c r="D219" s="22" t="n">
        <v>31084</v>
      </c>
      <c r="E219" s="22" t="s">
        <v>136</v>
      </c>
      <c r="F219" s="22" t="s">
        <v>680</v>
      </c>
      <c r="G219" s="22" t="s">
        <v>131</v>
      </c>
      <c r="H219" s="22" t="s">
        <v>131</v>
      </c>
      <c r="I219" s="22" t="n">
        <v>2166</v>
      </c>
      <c r="J219" s="22" t="n">
        <v>1851</v>
      </c>
      <c r="K219" s="22" t="n">
        <v>2105</v>
      </c>
      <c r="L219" s="22" t="n">
        <v>1097</v>
      </c>
      <c r="M219" s="22" t="n">
        <v>3405</v>
      </c>
      <c r="N219" s="22" t="n">
        <v>2707</v>
      </c>
      <c r="O219" s="22" t="n">
        <v>1846</v>
      </c>
      <c r="P219" s="22" t="n">
        <v>1558</v>
      </c>
      <c r="Q219" s="22" t="n">
        <v>1743</v>
      </c>
      <c r="R219" s="22" t="n">
        <v>1603</v>
      </c>
      <c r="S219" s="22" t="n">
        <v>782</v>
      </c>
      <c r="T219" s="22" t="n">
        <v>1212</v>
      </c>
      <c r="U219" s="22" t="n">
        <v>1468</v>
      </c>
      <c r="V219" s="22" t="n">
        <v>302</v>
      </c>
      <c r="W219" s="22" t="n">
        <v>484</v>
      </c>
      <c r="X219" s="22" t="n">
        <v>1398</v>
      </c>
      <c r="Y219" s="22" t="n">
        <v>1049</v>
      </c>
      <c r="Z219" s="22" t="n">
        <v>3292</v>
      </c>
      <c r="AA219" s="22" t="n">
        <v>1316</v>
      </c>
      <c r="AB219" s="22" t="n">
        <v>3362</v>
      </c>
      <c r="AC219" s="22" t="n">
        <v>435</v>
      </c>
      <c r="AD219" s="22"/>
      <c r="AE219" s="22"/>
      <c r="AF219" s="22"/>
    </row>
    <row r="220" customFormat="false" ht="15" hidden="false" customHeight="false" outlineLevel="0" collapsed="false">
      <c r="A220" s="22" t="s">
        <v>177</v>
      </c>
      <c r="B220" s="22" t="s">
        <v>3</v>
      </c>
      <c r="C220" s="22" t="s">
        <v>177</v>
      </c>
      <c r="D220" s="22" t="n">
        <v>31084</v>
      </c>
      <c r="E220" s="22" t="s">
        <v>136</v>
      </c>
      <c r="F220" s="22" t="s">
        <v>681</v>
      </c>
      <c r="G220" s="22" t="s">
        <v>131</v>
      </c>
      <c r="H220" s="22" t="s">
        <v>131</v>
      </c>
      <c r="I220" s="22" t="n">
        <v>7855</v>
      </c>
      <c r="J220" s="22" t="n">
        <v>8045</v>
      </c>
      <c r="K220" s="22" t="n">
        <v>8076</v>
      </c>
      <c r="L220" s="22" t="n">
        <v>7219</v>
      </c>
      <c r="M220" s="22" t="n">
        <v>8458</v>
      </c>
      <c r="N220" s="22" t="n">
        <v>9314</v>
      </c>
      <c r="O220" s="22" t="n">
        <v>9055</v>
      </c>
      <c r="P220" s="22" t="n">
        <v>9516</v>
      </c>
      <c r="Q220" s="22" t="n">
        <v>7854</v>
      </c>
      <c r="R220" s="22" t="n">
        <v>6750</v>
      </c>
      <c r="S220" s="22" t="n">
        <v>5686</v>
      </c>
      <c r="T220" s="22" t="n">
        <v>5340</v>
      </c>
      <c r="U220" s="22" t="n">
        <v>5065</v>
      </c>
      <c r="V220" s="22" t="n">
        <v>3764</v>
      </c>
      <c r="W220" s="22" t="n">
        <v>3466</v>
      </c>
      <c r="X220" s="22" t="n">
        <v>3652</v>
      </c>
      <c r="Y220" s="22" t="n">
        <v>3233</v>
      </c>
      <c r="Z220" s="22" t="n">
        <v>6223</v>
      </c>
      <c r="AA220" s="22" t="n">
        <v>7055</v>
      </c>
      <c r="AB220" s="22" t="n">
        <v>9019</v>
      </c>
      <c r="AC220" s="22" t="n">
        <v>8405</v>
      </c>
      <c r="AD220" s="22"/>
      <c r="AE220" s="22"/>
      <c r="AF220" s="22"/>
    </row>
    <row r="221" customFormat="false" ht="15" hidden="false" customHeight="false" outlineLevel="0" collapsed="false">
      <c r="A221" s="22" t="s">
        <v>50</v>
      </c>
      <c r="B221" s="22" t="s">
        <v>3</v>
      </c>
      <c r="C221" s="22" t="s">
        <v>50</v>
      </c>
      <c r="D221" s="22" t="n">
        <v>31140</v>
      </c>
      <c r="E221" s="22" t="s">
        <v>132</v>
      </c>
      <c r="F221" s="22" t="s">
        <v>133</v>
      </c>
      <c r="G221" s="22" t="s">
        <v>131</v>
      </c>
      <c r="H221" s="22" t="s">
        <v>131</v>
      </c>
      <c r="I221" s="22" t="n">
        <v>95075</v>
      </c>
      <c r="J221" s="22" t="n">
        <v>95575</v>
      </c>
      <c r="K221" s="22" t="n">
        <v>96140</v>
      </c>
      <c r="L221" s="22" t="n">
        <v>96519</v>
      </c>
      <c r="M221" s="22" t="n">
        <v>96756</v>
      </c>
      <c r="N221" s="22" t="n">
        <v>97298</v>
      </c>
      <c r="O221" s="22" t="n">
        <v>97811</v>
      </c>
      <c r="P221" s="22" t="n">
        <v>98221</v>
      </c>
      <c r="Q221" s="22" t="n">
        <v>98432</v>
      </c>
      <c r="R221" s="22" t="n">
        <v>98651</v>
      </c>
      <c r="S221" s="22" t="n">
        <v>99533</v>
      </c>
      <c r="T221" s="22" t="n">
        <v>99823</v>
      </c>
      <c r="U221" s="22" t="n">
        <v>100674</v>
      </c>
      <c r="V221" s="22" t="n">
        <v>101462</v>
      </c>
      <c r="W221" s="22" t="n">
        <v>102192</v>
      </c>
      <c r="X221" s="22" t="n">
        <v>103004</v>
      </c>
      <c r="Y221" s="22" t="n">
        <v>103362</v>
      </c>
      <c r="Z221" s="22" t="n">
        <v>103709</v>
      </c>
      <c r="AA221" s="22" t="n">
        <v>103828</v>
      </c>
      <c r="AB221" s="22" t="n">
        <v>104052</v>
      </c>
      <c r="AC221" s="22" t="n">
        <v>104420</v>
      </c>
      <c r="AD221" s="22" t="n">
        <v>105087</v>
      </c>
      <c r="AE221" s="22" t="n">
        <v>106056</v>
      </c>
      <c r="AF221" s="22" t="n">
        <v>106912</v>
      </c>
    </row>
    <row r="222" customFormat="false" ht="15" hidden="false" customHeight="false" outlineLevel="0" collapsed="false">
      <c r="A222" s="22" t="s">
        <v>50</v>
      </c>
      <c r="B222" s="22" t="s">
        <v>3</v>
      </c>
      <c r="C222" s="22" t="s">
        <v>50</v>
      </c>
      <c r="D222" s="22" t="n">
        <v>31140</v>
      </c>
      <c r="E222" s="22" t="s">
        <v>136</v>
      </c>
      <c r="F222" s="22" t="s">
        <v>680</v>
      </c>
      <c r="G222" s="22" t="s">
        <v>131</v>
      </c>
      <c r="H222" s="22" t="s">
        <v>131</v>
      </c>
      <c r="I222" s="22" t="n">
        <v>636</v>
      </c>
      <c r="J222" s="22" t="n">
        <v>329</v>
      </c>
      <c r="K222" s="22" t="n">
        <v>173</v>
      </c>
      <c r="L222" s="22" t="n">
        <v>800</v>
      </c>
      <c r="M222" s="22" t="n">
        <v>496</v>
      </c>
      <c r="N222" s="22" t="n">
        <v>362</v>
      </c>
      <c r="O222" s="22" t="n">
        <v>1028</v>
      </c>
      <c r="P222" s="22" t="n">
        <v>759</v>
      </c>
      <c r="Q222" s="22" t="n">
        <v>288</v>
      </c>
      <c r="R222" s="22" t="n">
        <v>1601</v>
      </c>
      <c r="S222" s="22" t="n">
        <v>0</v>
      </c>
      <c r="T222" s="22" t="n">
        <v>359</v>
      </c>
      <c r="U222" s="22" t="n">
        <v>0</v>
      </c>
      <c r="V222" s="22" t="n">
        <v>422</v>
      </c>
      <c r="W222" s="22" t="n">
        <v>657</v>
      </c>
      <c r="X222" s="22" t="n">
        <v>617</v>
      </c>
      <c r="Y222" s="22" t="n">
        <v>566</v>
      </c>
      <c r="Z222" s="22" t="n">
        <v>1316</v>
      </c>
      <c r="AA222" s="22" t="n">
        <v>236</v>
      </c>
      <c r="AB222" s="22" t="n">
        <v>555</v>
      </c>
      <c r="AC222" s="22" t="n">
        <v>94</v>
      </c>
      <c r="AD222" s="22"/>
      <c r="AE222" s="22"/>
      <c r="AF222" s="22"/>
    </row>
    <row r="223" customFormat="false" ht="15" hidden="false" customHeight="false" outlineLevel="0" collapsed="false">
      <c r="A223" s="22" t="s">
        <v>50</v>
      </c>
      <c r="B223" s="22" t="s">
        <v>3</v>
      </c>
      <c r="C223" s="22" t="s">
        <v>50</v>
      </c>
      <c r="D223" s="22" t="n">
        <v>31140</v>
      </c>
      <c r="E223" s="22" t="s">
        <v>136</v>
      </c>
      <c r="F223" s="22" t="s">
        <v>681</v>
      </c>
      <c r="G223" s="22" t="s">
        <v>131</v>
      </c>
      <c r="H223" s="22" t="s">
        <v>131</v>
      </c>
      <c r="I223" s="22" t="n">
        <v>1716</v>
      </c>
      <c r="J223" s="22" t="n">
        <v>1951</v>
      </c>
      <c r="K223" s="22" t="n">
        <v>1710</v>
      </c>
      <c r="L223" s="22" t="n">
        <v>1938</v>
      </c>
      <c r="M223" s="22" t="n">
        <v>1798</v>
      </c>
      <c r="N223" s="22" t="n">
        <v>1831</v>
      </c>
      <c r="O223" s="22" t="n">
        <v>2686</v>
      </c>
      <c r="P223" s="22" t="n">
        <v>2645</v>
      </c>
      <c r="Q223" s="22" t="n">
        <v>2437</v>
      </c>
      <c r="R223" s="22" t="n">
        <v>3676</v>
      </c>
      <c r="S223" s="22" t="n">
        <v>2648</v>
      </c>
      <c r="T223" s="22" t="n">
        <v>2248</v>
      </c>
      <c r="U223" s="22" t="n">
        <v>1960</v>
      </c>
      <c r="V223" s="22" t="n">
        <v>781</v>
      </c>
      <c r="W223" s="22" t="n">
        <v>1438</v>
      </c>
      <c r="X223" s="22" t="n">
        <v>1696</v>
      </c>
      <c r="Y223" s="22" t="n">
        <v>2262</v>
      </c>
      <c r="Z223" s="22" t="n">
        <v>3156</v>
      </c>
      <c r="AA223" s="22" t="n">
        <v>2735</v>
      </c>
      <c r="AB223" s="22" t="n">
        <v>2673</v>
      </c>
      <c r="AC223" s="22" t="n">
        <v>2201</v>
      </c>
      <c r="AD223" s="22"/>
      <c r="AE223" s="22"/>
      <c r="AF223" s="22"/>
    </row>
    <row r="224" customFormat="false" ht="15" hidden="false" customHeight="false" outlineLevel="0" collapsed="false">
      <c r="A224" s="22" t="s">
        <v>178</v>
      </c>
      <c r="B224" s="22" t="s">
        <v>3</v>
      </c>
      <c r="C224" s="22" t="s">
        <v>178</v>
      </c>
      <c r="D224" s="22" t="n">
        <v>31180</v>
      </c>
      <c r="E224" s="22" t="s">
        <v>132</v>
      </c>
      <c r="F224" s="22" t="s">
        <v>133</v>
      </c>
      <c r="G224" s="22" t="s">
        <v>131</v>
      </c>
      <c r="H224" s="22" t="s">
        <v>131</v>
      </c>
      <c r="I224" s="22" t="n">
        <v>25085</v>
      </c>
      <c r="J224" s="22" t="n">
        <v>25307</v>
      </c>
      <c r="K224" s="22" t="n">
        <v>25413</v>
      </c>
      <c r="L224" s="22" t="n">
        <v>25520</v>
      </c>
      <c r="M224" s="22" t="n">
        <v>25648</v>
      </c>
      <c r="N224" s="22" t="n">
        <v>25783</v>
      </c>
      <c r="O224" s="22" t="n">
        <v>25913</v>
      </c>
      <c r="P224" s="22" t="n">
        <v>26003</v>
      </c>
      <c r="Q224" s="22" t="n">
        <v>26039</v>
      </c>
      <c r="R224" s="22" t="n">
        <v>26113</v>
      </c>
      <c r="S224" s="22" t="n">
        <v>26199</v>
      </c>
      <c r="T224" s="22" t="n">
        <v>26286</v>
      </c>
      <c r="U224" s="22" t="n">
        <v>26419</v>
      </c>
      <c r="V224" s="22" t="n">
        <v>26705</v>
      </c>
      <c r="W224" s="22" t="n">
        <v>26769</v>
      </c>
      <c r="X224" s="22" t="n">
        <v>26769</v>
      </c>
      <c r="Y224" s="22" t="n">
        <v>26769</v>
      </c>
      <c r="Z224" s="22" t="n">
        <v>26769</v>
      </c>
      <c r="AA224" s="22" t="n">
        <v>26769</v>
      </c>
      <c r="AB224" s="22" t="n">
        <v>26769</v>
      </c>
      <c r="AC224" s="22" t="n">
        <v>26769</v>
      </c>
      <c r="AD224" s="22" t="n">
        <v>26769</v>
      </c>
      <c r="AE224" s="22" t="n">
        <v>26769</v>
      </c>
      <c r="AF224" s="22" t="n">
        <v>26769</v>
      </c>
    </row>
    <row r="225" customFormat="false" ht="15" hidden="false" customHeight="false" outlineLevel="0" collapsed="false">
      <c r="A225" s="22" t="s">
        <v>178</v>
      </c>
      <c r="B225" s="22" t="s">
        <v>3</v>
      </c>
      <c r="C225" s="22" t="s">
        <v>178</v>
      </c>
      <c r="D225" s="22" t="n">
        <v>31180</v>
      </c>
      <c r="E225" s="22" t="s">
        <v>136</v>
      </c>
      <c r="F225" s="22" t="s">
        <v>680</v>
      </c>
      <c r="G225" s="22" t="s">
        <v>131</v>
      </c>
      <c r="H225" s="22" t="s">
        <v>131</v>
      </c>
      <c r="I225" s="22" t="n">
        <v>0</v>
      </c>
      <c r="J225" s="22" t="n">
        <v>42</v>
      </c>
      <c r="K225" s="22" t="n">
        <v>0</v>
      </c>
      <c r="L225" s="22" t="n">
        <v>80</v>
      </c>
      <c r="M225" s="22" t="n">
        <v>0</v>
      </c>
      <c r="N225" s="22" t="n">
        <v>0</v>
      </c>
      <c r="O225" s="22" t="n">
        <v>188</v>
      </c>
      <c r="P225" s="22" t="n">
        <v>257</v>
      </c>
      <c r="Q225" s="22" t="n">
        <v>0</v>
      </c>
      <c r="R225" s="22" t="n">
        <v>0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0</v>
      </c>
      <c r="X225" s="22" t="n">
        <v>0</v>
      </c>
      <c r="Y225" s="22" t="n">
        <v>0</v>
      </c>
      <c r="Z225" s="22" t="n">
        <v>0</v>
      </c>
      <c r="AA225" s="22" t="n">
        <v>0</v>
      </c>
      <c r="AB225" s="22" t="n">
        <v>0</v>
      </c>
      <c r="AC225" s="22" t="n">
        <v>104</v>
      </c>
      <c r="AD225" s="22"/>
      <c r="AE225" s="22"/>
      <c r="AF225" s="22"/>
    </row>
    <row r="226" customFormat="false" ht="15" hidden="false" customHeight="false" outlineLevel="0" collapsed="false">
      <c r="A226" s="22" t="s">
        <v>178</v>
      </c>
      <c r="B226" s="22" t="s">
        <v>3</v>
      </c>
      <c r="C226" s="22" t="s">
        <v>178</v>
      </c>
      <c r="D226" s="22" t="n">
        <v>31180</v>
      </c>
      <c r="E226" s="22" t="s">
        <v>136</v>
      </c>
      <c r="F226" s="22" t="s">
        <v>681</v>
      </c>
      <c r="G226" s="22" t="s">
        <v>131</v>
      </c>
      <c r="H226" s="22" t="s">
        <v>131</v>
      </c>
      <c r="I226" s="22" t="n">
        <v>830</v>
      </c>
      <c r="J226" s="22" t="n">
        <v>631</v>
      </c>
      <c r="K226" s="22" t="n">
        <v>579</v>
      </c>
      <c r="L226" s="22" t="n">
        <v>122</v>
      </c>
      <c r="M226" s="22" t="n">
        <v>122</v>
      </c>
      <c r="N226" s="22" t="n">
        <v>80</v>
      </c>
      <c r="O226" s="22" t="n">
        <v>268</v>
      </c>
      <c r="P226" s="22" t="n">
        <v>445</v>
      </c>
      <c r="Q226" s="22" t="n">
        <v>445</v>
      </c>
      <c r="R226" s="22" t="n">
        <v>445</v>
      </c>
      <c r="S226" s="22" t="n">
        <v>257</v>
      </c>
      <c r="T226" s="22" t="n">
        <v>0</v>
      </c>
      <c r="U226" s="22" t="n">
        <v>0</v>
      </c>
      <c r="V226" s="22" t="n">
        <v>0</v>
      </c>
      <c r="W226" s="22" t="n">
        <v>0</v>
      </c>
      <c r="X226" s="22" t="n">
        <v>0</v>
      </c>
      <c r="Y226" s="22" t="n">
        <v>0</v>
      </c>
      <c r="Z226" s="22" t="n">
        <v>0</v>
      </c>
      <c r="AA226" s="22" t="n">
        <v>0</v>
      </c>
      <c r="AB226" s="22" t="n">
        <v>0</v>
      </c>
      <c r="AC226" s="22" t="n">
        <v>104</v>
      </c>
      <c r="AD226" s="22"/>
      <c r="AE226" s="22"/>
      <c r="AF226" s="22"/>
    </row>
    <row r="227" customFormat="false" ht="15" hidden="false" customHeight="false" outlineLevel="0" collapsed="false">
      <c r="A227" s="22" t="s">
        <v>179</v>
      </c>
      <c r="B227" s="22" t="s">
        <v>3</v>
      </c>
      <c r="C227" s="22" t="s">
        <v>179</v>
      </c>
      <c r="D227" s="22" t="n">
        <v>231420</v>
      </c>
      <c r="E227" s="22" t="s">
        <v>132</v>
      </c>
      <c r="F227" s="22" t="s">
        <v>133</v>
      </c>
      <c r="G227" s="22" t="s">
        <v>131</v>
      </c>
      <c r="H227" s="22" t="s">
        <v>131</v>
      </c>
      <c r="I227" s="22" t="n">
        <v>24320</v>
      </c>
      <c r="J227" s="22" t="n">
        <v>24320</v>
      </c>
      <c r="K227" s="22" t="n">
        <v>24270</v>
      </c>
      <c r="L227" s="22" t="n">
        <v>24270</v>
      </c>
      <c r="M227" s="22" t="n">
        <v>24270</v>
      </c>
      <c r="N227" s="22" t="n">
        <v>24270</v>
      </c>
      <c r="O227" s="22" t="n">
        <v>24270</v>
      </c>
      <c r="P227" s="22" t="n">
        <v>24353</v>
      </c>
      <c r="Q227" s="22" t="n">
        <v>24571</v>
      </c>
      <c r="R227" s="22" t="n">
        <v>25022</v>
      </c>
      <c r="S227" s="22" t="n">
        <v>25285</v>
      </c>
      <c r="T227" s="22" t="n">
        <v>25866</v>
      </c>
      <c r="U227" s="22" t="n">
        <v>26162</v>
      </c>
      <c r="V227" s="22" t="n">
        <v>26420</v>
      </c>
      <c r="W227" s="22" t="n">
        <v>26420</v>
      </c>
      <c r="X227" s="22" t="n">
        <v>26420</v>
      </c>
      <c r="Y227" s="22" t="n">
        <v>26420</v>
      </c>
      <c r="Z227" s="22" t="n">
        <v>26500</v>
      </c>
      <c r="AA227" s="22" t="n">
        <v>26500</v>
      </c>
      <c r="AB227" s="22" t="n">
        <v>26547</v>
      </c>
      <c r="AC227" s="22" t="n">
        <v>26595</v>
      </c>
      <c r="AD227" s="22" t="n">
        <v>26595</v>
      </c>
      <c r="AE227" s="22" t="n">
        <v>26595</v>
      </c>
      <c r="AF227" s="22" t="n">
        <v>26595</v>
      </c>
    </row>
    <row r="228" customFormat="false" ht="15" hidden="false" customHeight="false" outlineLevel="0" collapsed="false">
      <c r="A228" s="22" t="s">
        <v>179</v>
      </c>
      <c r="B228" s="22" t="s">
        <v>3</v>
      </c>
      <c r="C228" s="22" t="s">
        <v>179</v>
      </c>
      <c r="D228" s="22" t="n">
        <v>231420</v>
      </c>
      <c r="E228" s="22" t="s">
        <v>136</v>
      </c>
      <c r="F228" s="22" t="s">
        <v>680</v>
      </c>
      <c r="G228" s="22" t="s">
        <v>131</v>
      </c>
      <c r="H228" s="22" t="s">
        <v>131</v>
      </c>
      <c r="I228" s="22" t="n">
        <v>0</v>
      </c>
      <c r="J228" s="22" t="n">
        <v>0</v>
      </c>
      <c r="K228" s="22" t="n">
        <v>0</v>
      </c>
      <c r="L228" s="22" t="n">
        <v>251</v>
      </c>
      <c r="M228" s="22" t="n">
        <v>476</v>
      </c>
      <c r="N228" s="22" t="n">
        <v>550</v>
      </c>
      <c r="O228" s="22" t="n">
        <v>288</v>
      </c>
      <c r="P228" s="22" t="n">
        <v>0</v>
      </c>
      <c r="Q228" s="22" t="n">
        <v>80</v>
      </c>
      <c r="R228" s="22" t="n">
        <v>433</v>
      </c>
      <c r="S228" s="22" t="n">
        <v>0</v>
      </c>
      <c r="T228" s="22" t="n">
        <v>0</v>
      </c>
      <c r="U228" s="22" t="n">
        <v>95</v>
      </c>
      <c r="V228" s="22" t="n">
        <v>0</v>
      </c>
      <c r="W228" s="22" t="n">
        <v>0</v>
      </c>
      <c r="X228" s="22" t="n">
        <v>0</v>
      </c>
      <c r="Y228" s="22" t="n">
        <v>0</v>
      </c>
      <c r="Z228" s="22" t="n">
        <v>0</v>
      </c>
      <c r="AA228" s="22" t="n">
        <v>146</v>
      </c>
      <c r="AB228" s="22" t="n">
        <v>0</v>
      </c>
      <c r="AC228" s="22" t="n">
        <v>0</v>
      </c>
      <c r="AD228" s="22"/>
      <c r="AE228" s="22"/>
      <c r="AF228" s="22"/>
    </row>
    <row r="229" customFormat="false" ht="15" hidden="false" customHeight="false" outlineLevel="0" collapsed="false">
      <c r="A229" s="22" t="s">
        <v>179</v>
      </c>
      <c r="B229" s="22" t="s">
        <v>3</v>
      </c>
      <c r="C229" s="22" t="s">
        <v>179</v>
      </c>
      <c r="D229" s="22" t="n">
        <v>231420</v>
      </c>
      <c r="E229" s="22" t="s">
        <v>136</v>
      </c>
      <c r="F229" s="22" t="s">
        <v>681</v>
      </c>
      <c r="G229" s="22" t="s">
        <v>131</v>
      </c>
      <c r="H229" s="22" t="s">
        <v>131</v>
      </c>
      <c r="I229" s="22" t="n">
        <v>0</v>
      </c>
      <c r="J229" s="22" t="n">
        <v>0</v>
      </c>
      <c r="K229" s="22" t="n">
        <v>0</v>
      </c>
      <c r="L229" s="22" t="n">
        <v>251</v>
      </c>
      <c r="M229" s="22" t="n">
        <v>727</v>
      </c>
      <c r="N229" s="22" t="n">
        <v>1277</v>
      </c>
      <c r="O229" s="22" t="n">
        <v>1565</v>
      </c>
      <c r="P229" s="22" t="n">
        <v>1314</v>
      </c>
      <c r="Q229" s="22" t="n">
        <v>918</v>
      </c>
      <c r="R229" s="22" t="n">
        <v>801</v>
      </c>
      <c r="S229" s="22" t="n">
        <v>513</v>
      </c>
      <c r="T229" s="22" t="n">
        <v>513</v>
      </c>
      <c r="U229" s="22" t="n">
        <v>528</v>
      </c>
      <c r="V229" s="22" t="n">
        <v>95</v>
      </c>
      <c r="W229" s="22" t="n">
        <v>95</v>
      </c>
      <c r="X229" s="22" t="n">
        <v>95</v>
      </c>
      <c r="Y229" s="22" t="n">
        <v>0</v>
      </c>
      <c r="Z229" s="22" t="n">
        <v>0</v>
      </c>
      <c r="AA229" s="22" t="n">
        <v>146</v>
      </c>
      <c r="AB229" s="22" t="n">
        <v>146</v>
      </c>
      <c r="AC229" s="22" t="n">
        <v>146</v>
      </c>
      <c r="AD229" s="22"/>
      <c r="AE229" s="22"/>
      <c r="AF229" s="22"/>
    </row>
    <row r="230" customFormat="false" ht="15" hidden="false" customHeight="false" outlineLevel="0" collapsed="false">
      <c r="A230" s="22" t="s">
        <v>22</v>
      </c>
      <c r="B230" s="22" t="s">
        <v>3</v>
      </c>
      <c r="C230" s="22" t="s">
        <v>22</v>
      </c>
      <c r="D230" s="22" t="n">
        <v>31540</v>
      </c>
      <c r="E230" s="22" t="s">
        <v>132</v>
      </c>
      <c r="F230" s="22" t="s">
        <v>133</v>
      </c>
      <c r="G230" s="22" t="s">
        <v>131</v>
      </c>
      <c r="H230" s="22" t="s">
        <v>131</v>
      </c>
      <c r="I230" s="22" t="n">
        <v>72232</v>
      </c>
      <c r="J230" s="22" t="n">
        <v>73046</v>
      </c>
      <c r="K230" s="22" t="n">
        <v>73804</v>
      </c>
      <c r="L230" s="22" t="n">
        <v>74411</v>
      </c>
      <c r="M230" s="22" t="n">
        <v>75289</v>
      </c>
      <c r="N230" s="22" t="n">
        <v>75859</v>
      </c>
      <c r="O230" s="22" t="n">
        <v>76624</v>
      </c>
      <c r="P230" s="22" t="n">
        <v>77044</v>
      </c>
      <c r="Q230" s="22" t="n">
        <v>77952</v>
      </c>
      <c r="R230" s="22" t="n">
        <v>78853</v>
      </c>
      <c r="S230" s="22" t="n">
        <v>79568</v>
      </c>
      <c r="T230" s="22" t="n">
        <v>79013</v>
      </c>
      <c r="U230" s="22" t="n">
        <v>79406</v>
      </c>
      <c r="V230" s="22" t="n">
        <v>80479</v>
      </c>
      <c r="W230" s="22" t="n">
        <v>81313</v>
      </c>
      <c r="X230" s="22" t="n">
        <v>81662</v>
      </c>
      <c r="Y230" s="22" t="n">
        <v>82322</v>
      </c>
      <c r="Z230" s="22" t="n">
        <v>83130</v>
      </c>
      <c r="AA230" s="22" t="n">
        <v>83542</v>
      </c>
      <c r="AB230" s="22" t="n">
        <v>83778</v>
      </c>
      <c r="AC230" s="22" t="n">
        <v>84472</v>
      </c>
      <c r="AD230" s="22" t="n">
        <v>85313</v>
      </c>
      <c r="AE230" s="22" t="n">
        <v>85925</v>
      </c>
      <c r="AF230" s="22" t="n">
        <v>86454</v>
      </c>
    </row>
    <row r="231" customFormat="false" ht="15" hidden="false" customHeight="false" outlineLevel="0" collapsed="false">
      <c r="A231" s="22" t="s">
        <v>22</v>
      </c>
      <c r="B231" s="22" t="s">
        <v>3</v>
      </c>
      <c r="C231" s="22" t="s">
        <v>22</v>
      </c>
      <c r="D231" s="22" t="n">
        <v>31540</v>
      </c>
      <c r="E231" s="22" t="s">
        <v>136</v>
      </c>
      <c r="F231" s="22" t="s">
        <v>680</v>
      </c>
      <c r="G231" s="22" t="s">
        <v>131</v>
      </c>
      <c r="H231" s="22" t="s">
        <v>131</v>
      </c>
      <c r="I231" s="22" t="n">
        <v>795</v>
      </c>
      <c r="J231" s="22" t="n">
        <v>986</v>
      </c>
      <c r="K231" s="22" t="n">
        <v>552</v>
      </c>
      <c r="L231" s="22" t="n">
        <v>1055</v>
      </c>
      <c r="M231" s="22" t="n">
        <v>208</v>
      </c>
      <c r="N231" s="22" t="n">
        <v>365</v>
      </c>
      <c r="O231" s="22" t="n">
        <v>689</v>
      </c>
      <c r="P231" s="22" t="n">
        <v>1229</v>
      </c>
      <c r="Q231" s="22" t="n">
        <v>288</v>
      </c>
      <c r="R231" s="22" t="n">
        <v>797</v>
      </c>
      <c r="S231" s="22" t="n">
        <v>959</v>
      </c>
      <c r="T231" s="22" t="n">
        <v>551</v>
      </c>
      <c r="U231" s="22" t="n">
        <v>654</v>
      </c>
      <c r="V231" s="22" t="n">
        <v>494</v>
      </c>
      <c r="W231" s="22" t="n">
        <v>698</v>
      </c>
      <c r="X231" s="22" t="n">
        <v>574</v>
      </c>
      <c r="Y231" s="22" t="n">
        <v>903</v>
      </c>
      <c r="Z231" s="22" t="n">
        <v>1495</v>
      </c>
      <c r="AA231" s="22" t="n">
        <v>313</v>
      </c>
      <c r="AB231" s="22" t="n">
        <v>901</v>
      </c>
      <c r="AC231" s="22" t="n">
        <v>173</v>
      </c>
      <c r="AD231" s="22"/>
      <c r="AE231" s="22"/>
      <c r="AF231" s="22"/>
    </row>
    <row r="232" customFormat="false" ht="15" hidden="false" customHeight="false" outlineLevel="0" collapsed="false">
      <c r="A232" s="22" t="s">
        <v>22</v>
      </c>
      <c r="B232" s="22" t="s">
        <v>3</v>
      </c>
      <c r="C232" s="22" t="s">
        <v>22</v>
      </c>
      <c r="D232" s="22" t="n">
        <v>31540</v>
      </c>
      <c r="E232" s="22" t="s">
        <v>136</v>
      </c>
      <c r="F232" s="22" t="s">
        <v>681</v>
      </c>
      <c r="G232" s="22" t="s">
        <v>131</v>
      </c>
      <c r="H232" s="22" t="s">
        <v>131</v>
      </c>
      <c r="I232" s="22" t="n">
        <v>2932</v>
      </c>
      <c r="J232" s="22" t="n">
        <v>2640</v>
      </c>
      <c r="K232" s="22" t="n">
        <v>2630</v>
      </c>
      <c r="L232" s="22" t="n">
        <v>3388</v>
      </c>
      <c r="M232" s="22" t="n">
        <v>2801</v>
      </c>
      <c r="N232" s="22" t="n">
        <v>2180</v>
      </c>
      <c r="O232" s="22" t="n">
        <v>2317</v>
      </c>
      <c r="P232" s="22" t="n">
        <v>2491</v>
      </c>
      <c r="Q232" s="22" t="n">
        <v>2571</v>
      </c>
      <c r="R232" s="22" t="n">
        <v>3003</v>
      </c>
      <c r="S232" s="22" t="n">
        <v>3273</v>
      </c>
      <c r="T232" s="22" t="n">
        <v>2595</v>
      </c>
      <c r="U232" s="22" t="n">
        <v>2961</v>
      </c>
      <c r="V232" s="22" t="n">
        <v>2658</v>
      </c>
      <c r="W232" s="22" t="n">
        <v>2397</v>
      </c>
      <c r="X232" s="22" t="n">
        <v>2420</v>
      </c>
      <c r="Y232" s="22" t="n">
        <v>2669</v>
      </c>
      <c r="Z232" s="22" t="n">
        <v>3670</v>
      </c>
      <c r="AA232" s="22" t="n">
        <v>3285</v>
      </c>
      <c r="AB232" s="22" t="n">
        <v>3612</v>
      </c>
      <c r="AC232" s="22" t="n">
        <v>2882</v>
      </c>
      <c r="AD232" s="22"/>
      <c r="AE232" s="22"/>
      <c r="AF232" s="22"/>
    </row>
    <row r="233" customFormat="false" ht="15" hidden="false" customHeight="false" outlineLevel="0" collapsed="false">
      <c r="A233" s="22" t="s">
        <v>180</v>
      </c>
      <c r="B233" s="22" t="s">
        <v>3</v>
      </c>
      <c r="C233" s="22" t="s">
        <v>180</v>
      </c>
      <c r="D233" s="22" t="n">
        <v>231700</v>
      </c>
      <c r="E233" s="22" t="s">
        <v>132</v>
      </c>
      <c r="F233" s="22" t="s">
        <v>133</v>
      </c>
      <c r="G233" s="22" t="s">
        <v>131</v>
      </c>
      <c r="H233" s="22" t="s">
        <v>131</v>
      </c>
      <c r="I233" s="22" t="n">
        <v>37169</v>
      </c>
      <c r="J233" s="22" t="n">
        <v>37169</v>
      </c>
      <c r="K233" s="22" t="n">
        <v>37169</v>
      </c>
      <c r="L233" s="22" t="n">
        <v>37169</v>
      </c>
      <c r="M233" s="22" t="n">
        <v>37200</v>
      </c>
      <c r="N233" s="22" t="n">
        <v>37293</v>
      </c>
      <c r="O233" s="22" t="n">
        <v>37333</v>
      </c>
      <c r="P233" s="22" t="n">
        <v>37522</v>
      </c>
      <c r="Q233" s="22" t="n">
        <v>37656</v>
      </c>
      <c r="R233" s="22" t="n">
        <v>37721</v>
      </c>
      <c r="S233" s="22" t="n">
        <v>37959</v>
      </c>
      <c r="T233" s="22" t="n">
        <v>38161</v>
      </c>
      <c r="U233" s="22" t="n">
        <v>38314</v>
      </c>
      <c r="V233" s="22" t="n">
        <v>38626</v>
      </c>
      <c r="W233" s="22" t="n">
        <v>38742</v>
      </c>
      <c r="X233" s="22" t="n">
        <v>38919</v>
      </c>
      <c r="Y233" s="22" t="n">
        <v>38919</v>
      </c>
      <c r="Z233" s="22" t="n">
        <v>38919</v>
      </c>
      <c r="AA233" s="22" t="n">
        <v>38919</v>
      </c>
      <c r="AB233" s="22" t="n">
        <v>38919</v>
      </c>
      <c r="AC233" s="22" t="n">
        <v>38919</v>
      </c>
      <c r="AD233" s="22" t="n">
        <v>38996</v>
      </c>
      <c r="AE233" s="22" t="n">
        <v>38996</v>
      </c>
      <c r="AF233" s="22" t="n">
        <v>38996</v>
      </c>
    </row>
    <row r="234" customFormat="false" ht="15" hidden="false" customHeight="false" outlineLevel="0" collapsed="false">
      <c r="A234" s="22" t="s">
        <v>180</v>
      </c>
      <c r="B234" s="22" t="s">
        <v>3</v>
      </c>
      <c r="C234" s="22" t="s">
        <v>180</v>
      </c>
      <c r="D234" s="22" t="n">
        <v>231700</v>
      </c>
      <c r="E234" s="22" t="s">
        <v>136</v>
      </c>
      <c r="F234" s="22" t="s">
        <v>680</v>
      </c>
      <c r="G234" s="22" t="s">
        <v>131</v>
      </c>
      <c r="H234" s="22" t="s">
        <v>131</v>
      </c>
      <c r="I234" s="22" t="n">
        <v>464</v>
      </c>
      <c r="J234" s="22" t="n">
        <v>42</v>
      </c>
      <c r="K234" s="22" t="n">
        <v>40</v>
      </c>
      <c r="L234" s="22" t="n">
        <v>153</v>
      </c>
      <c r="M234" s="22" t="n">
        <v>156</v>
      </c>
      <c r="N234" s="22" t="n">
        <v>99</v>
      </c>
      <c r="O234" s="22" t="n">
        <v>198</v>
      </c>
      <c r="P234" s="22" t="n">
        <v>0</v>
      </c>
      <c r="Q234" s="22" t="n">
        <v>426</v>
      </c>
      <c r="R234" s="22" t="n">
        <v>0</v>
      </c>
      <c r="S234" s="22" t="n">
        <v>0</v>
      </c>
      <c r="T234" s="22" t="n">
        <v>0</v>
      </c>
      <c r="U234" s="22" t="n">
        <v>0</v>
      </c>
      <c r="V234" s="22" t="n">
        <v>0</v>
      </c>
      <c r="W234" s="22" t="n">
        <v>0</v>
      </c>
      <c r="X234" s="22" t="n">
        <v>0</v>
      </c>
      <c r="Y234" s="22" t="n">
        <v>0</v>
      </c>
      <c r="Z234" s="22" t="n">
        <v>0</v>
      </c>
      <c r="AA234" s="22" t="n">
        <v>0</v>
      </c>
      <c r="AB234" s="22" t="n">
        <v>0</v>
      </c>
      <c r="AC234" s="22" t="n">
        <v>0</v>
      </c>
      <c r="AD234" s="22"/>
      <c r="AE234" s="22"/>
      <c r="AF234" s="22"/>
    </row>
    <row r="235" customFormat="false" ht="15" hidden="false" customHeight="false" outlineLevel="0" collapsed="false">
      <c r="A235" s="22" t="s">
        <v>180</v>
      </c>
      <c r="B235" s="22" t="s">
        <v>3</v>
      </c>
      <c r="C235" s="22" t="s">
        <v>180</v>
      </c>
      <c r="D235" s="22" t="n">
        <v>231700</v>
      </c>
      <c r="E235" s="22" t="s">
        <v>136</v>
      </c>
      <c r="F235" s="22" t="s">
        <v>681</v>
      </c>
      <c r="G235" s="22" t="s">
        <v>131</v>
      </c>
      <c r="H235" s="22" t="s">
        <v>131</v>
      </c>
      <c r="I235" s="22" t="n">
        <v>713</v>
      </c>
      <c r="J235" s="22" t="n">
        <v>599</v>
      </c>
      <c r="K235" s="22" t="n">
        <v>639</v>
      </c>
      <c r="L235" s="22" t="n">
        <v>699</v>
      </c>
      <c r="M235" s="22" t="n">
        <v>391</v>
      </c>
      <c r="N235" s="22" t="n">
        <v>448</v>
      </c>
      <c r="O235" s="22" t="n">
        <v>606</v>
      </c>
      <c r="P235" s="22" t="n">
        <v>453</v>
      </c>
      <c r="Q235" s="22" t="n">
        <v>723</v>
      </c>
      <c r="R235" s="22" t="n">
        <v>624</v>
      </c>
      <c r="S235" s="22" t="n">
        <v>426</v>
      </c>
      <c r="T235" s="22" t="n">
        <v>426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/>
      <c r="AE235" s="22"/>
      <c r="AF235" s="22"/>
    </row>
    <row r="236" customFormat="false" ht="15" hidden="false" customHeight="false" outlineLevel="0" collapsed="false">
      <c r="A236" s="22" t="s">
        <v>181</v>
      </c>
      <c r="B236" s="22" t="s">
        <v>3</v>
      </c>
      <c r="C236" s="22" t="s">
        <v>181</v>
      </c>
      <c r="D236" s="22" t="n">
        <v>232580</v>
      </c>
      <c r="E236" s="22" t="s">
        <v>132</v>
      </c>
      <c r="F236" s="22" t="s">
        <v>133</v>
      </c>
      <c r="G236" s="22" t="s">
        <v>131</v>
      </c>
      <c r="H236" s="22" t="s">
        <v>131</v>
      </c>
      <c r="I236" s="22" t="n">
        <v>37597</v>
      </c>
      <c r="J236" s="22" t="n">
        <v>37597</v>
      </c>
      <c r="K236" s="22" t="n">
        <v>37597</v>
      </c>
      <c r="L236" s="22" t="n">
        <v>37597</v>
      </c>
      <c r="M236" s="22" t="n">
        <v>37597</v>
      </c>
      <c r="N236" s="22" t="n">
        <v>37672</v>
      </c>
      <c r="O236" s="22" t="n">
        <v>37815</v>
      </c>
      <c r="P236" s="22" t="n">
        <v>37975</v>
      </c>
      <c r="Q236" s="22" t="n">
        <v>38134</v>
      </c>
      <c r="R236" s="22" t="n">
        <v>38301</v>
      </c>
      <c r="S236" s="22" t="n">
        <v>38430</v>
      </c>
      <c r="T236" s="22" t="n">
        <v>38447</v>
      </c>
      <c r="U236" s="22" t="n">
        <v>38747</v>
      </c>
      <c r="V236" s="22" t="n">
        <v>38839</v>
      </c>
      <c r="W236" s="22" t="n">
        <v>38886</v>
      </c>
      <c r="X236" s="22" t="n">
        <v>38898</v>
      </c>
      <c r="Y236" s="22" t="n">
        <v>38934</v>
      </c>
      <c r="Z236" s="22" t="n">
        <v>38970</v>
      </c>
      <c r="AA236" s="22" t="n">
        <v>38996</v>
      </c>
      <c r="AB236" s="22" t="n">
        <v>38996</v>
      </c>
      <c r="AC236" s="22" t="n">
        <v>38996</v>
      </c>
      <c r="AD236" s="22" t="n">
        <v>38996</v>
      </c>
      <c r="AE236" s="22" t="n">
        <v>38996</v>
      </c>
      <c r="AF236" s="22" t="n">
        <v>38996</v>
      </c>
    </row>
    <row r="237" customFormat="false" ht="15" hidden="false" customHeight="false" outlineLevel="0" collapsed="false">
      <c r="A237" s="22" t="s">
        <v>181</v>
      </c>
      <c r="B237" s="22" t="s">
        <v>3</v>
      </c>
      <c r="C237" s="22" t="s">
        <v>181</v>
      </c>
      <c r="D237" s="22" t="n">
        <v>232580</v>
      </c>
      <c r="E237" s="22" t="s">
        <v>136</v>
      </c>
      <c r="F237" s="22" t="s">
        <v>680</v>
      </c>
      <c r="G237" s="22" t="s">
        <v>131</v>
      </c>
      <c r="H237" s="22" t="s">
        <v>131</v>
      </c>
      <c r="I237" s="22" t="n">
        <v>288</v>
      </c>
      <c r="J237" s="22" t="n">
        <v>128</v>
      </c>
      <c r="K237" s="22" t="n">
        <v>153</v>
      </c>
      <c r="L237" s="22" t="n">
        <v>144</v>
      </c>
      <c r="M237" s="22" t="n">
        <v>139</v>
      </c>
      <c r="N237" s="22" t="n">
        <v>0</v>
      </c>
      <c r="O237" s="22" t="n">
        <v>170</v>
      </c>
      <c r="P237" s="22" t="n">
        <v>82</v>
      </c>
      <c r="Q237" s="22" t="n">
        <v>0</v>
      </c>
      <c r="R237" s="22" t="n">
        <v>0</v>
      </c>
      <c r="S237" s="22" t="n">
        <v>110</v>
      </c>
      <c r="T237" s="22" t="n">
        <v>0</v>
      </c>
      <c r="U237" s="22" t="n">
        <v>0</v>
      </c>
      <c r="V237" s="22" t="n">
        <v>0</v>
      </c>
      <c r="W237" s="22" t="n">
        <v>0</v>
      </c>
      <c r="X237" s="22" t="n">
        <v>0</v>
      </c>
      <c r="Y237" s="22" t="n">
        <v>0</v>
      </c>
      <c r="Z237" s="22" t="n">
        <v>0</v>
      </c>
      <c r="AA237" s="22" t="n">
        <v>0</v>
      </c>
      <c r="AB237" s="22" t="n">
        <v>0</v>
      </c>
      <c r="AC237" s="22" t="n">
        <v>0</v>
      </c>
      <c r="AD237" s="22"/>
      <c r="AE237" s="22"/>
      <c r="AF237" s="22"/>
    </row>
    <row r="238" customFormat="false" ht="15" hidden="false" customHeight="false" outlineLevel="0" collapsed="false">
      <c r="A238" s="22" t="s">
        <v>181</v>
      </c>
      <c r="B238" s="22" t="s">
        <v>3</v>
      </c>
      <c r="C238" s="22" t="s">
        <v>181</v>
      </c>
      <c r="D238" s="22" t="n">
        <v>232580</v>
      </c>
      <c r="E238" s="22" t="s">
        <v>136</v>
      </c>
      <c r="F238" s="22" t="s">
        <v>681</v>
      </c>
      <c r="G238" s="22" t="s">
        <v>131</v>
      </c>
      <c r="H238" s="22" t="s">
        <v>131</v>
      </c>
      <c r="I238" s="22" t="n">
        <v>473</v>
      </c>
      <c r="J238" s="22" t="n">
        <v>568</v>
      </c>
      <c r="K238" s="22" t="n">
        <v>569</v>
      </c>
      <c r="L238" s="22" t="n">
        <v>713</v>
      </c>
      <c r="M238" s="22" t="n">
        <v>564</v>
      </c>
      <c r="N238" s="22" t="n">
        <v>436</v>
      </c>
      <c r="O238" s="22" t="n">
        <v>453</v>
      </c>
      <c r="P238" s="22" t="n">
        <v>391</v>
      </c>
      <c r="Q238" s="22" t="n">
        <v>252</v>
      </c>
      <c r="R238" s="22" t="n">
        <v>252</v>
      </c>
      <c r="S238" s="22" t="n">
        <v>192</v>
      </c>
      <c r="T238" s="22" t="n">
        <v>110</v>
      </c>
      <c r="U238" s="22" t="n">
        <v>110</v>
      </c>
      <c r="V238" s="22" t="n">
        <v>110</v>
      </c>
      <c r="W238" s="22" t="n">
        <v>0</v>
      </c>
      <c r="X238" s="22" t="n">
        <v>0</v>
      </c>
      <c r="Y238" s="22" t="n">
        <v>0</v>
      </c>
      <c r="Z238" s="22" t="n">
        <v>0</v>
      </c>
      <c r="AA238" s="22" t="n">
        <v>0</v>
      </c>
      <c r="AB238" s="22" t="n">
        <v>0</v>
      </c>
      <c r="AC238" s="22" t="n">
        <v>0</v>
      </c>
      <c r="AD238" s="22"/>
      <c r="AE238" s="22"/>
      <c r="AF238" s="22"/>
    </row>
    <row r="239" customFormat="false" ht="15" hidden="false" customHeight="false" outlineLevel="0" collapsed="false">
      <c r="A239" s="22" t="s">
        <v>182</v>
      </c>
      <c r="B239" s="22" t="s">
        <v>3</v>
      </c>
      <c r="C239" s="22" t="s">
        <v>182</v>
      </c>
      <c r="D239" s="22" t="n">
        <v>32820</v>
      </c>
      <c r="E239" s="22" t="s">
        <v>132</v>
      </c>
      <c r="F239" s="22" t="s">
        <v>133</v>
      </c>
      <c r="G239" s="22" t="s">
        <v>131</v>
      </c>
      <c r="H239" s="22" t="s">
        <v>131</v>
      </c>
      <c r="I239" s="22" t="n">
        <v>107733</v>
      </c>
      <c r="J239" s="22" t="n">
        <v>108173</v>
      </c>
      <c r="K239" s="22" t="n">
        <v>108531</v>
      </c>
      <c r="L239" s="22" t="n">
        <v>108623</v>
      </c>
      <c r="M239" s="22" t="n">
        <v>108869</v>
      </c>
      <c r="N239" s="22" t="n">
        <v>109199</v>
      </c>
      <c r="O239" s="22" t="n">
        <v>109606</v>
      </c>
      <c r="P239" s="22" t="n">
        <v>109912</v>
      </c>
      <c r="Q239" s="22" t="n">
        <v>110199</v>
      </c>
      <c r="R239" s="22" t="n">
        <v>110469</v>
      </c>
      <c r="S239" s="22" t="n">
        <v>110653</v>
      </c>
      <c r="T239" s="22" t="n">
        <v>110819</v>
      </c>
      <c r="U239" s="22" t="n">
        <v>111116</v>
      </c>
      <c r="V239" s="22" t="n">
        <v>111419</v>
      </c>
      <c r="W239" s="22" t="n">
        <v>111722</v>
      </c>
      <c r="X239" s="22" t="n">
        <v>112104</v>
      </c>
      <c r="Y239" s="22" t="n">
        <v>112559</v>
      </c>
      <c r="Z239" s="22" t="n">
        <v>112865</v>
      </c>
      <c r="AA239" s="22" t="n">
        <v>112891</v>
      </c>
      <c r="AB239" s="22" t="n">
        <v>112891</v>
      </c>
      <c r="AC239" s="22" t="n">
        <v>112891</v>
      </c>
      <c r="AD239" s="22" t="n">
        <v>112998</v>
      </c>
      <c r="AE239" s="22" t="n">
        <v>113022</v>
      </c>
      <c r="AF239" s="22" t="n">
        <v>113022</v>
      </c>
    </row>
    <row r="240" customFormat="false" ht="15" hidden="false" customHeight="false" outlineLevel="0" collapsed="false">
      <c r="A240" s="22" t="s">
        <v>182</v>
      </c>
      <c r="B240" s="22" t="s">
        <v>3</v>
      </c>
      <c r="C240" s="22" t="s">
        <v>182</v>
      </c>
      <c r="D240" s="22" t="n">
        <v>32820</v>
      </c>
      <c r="E240" s="22" t="s">
        <v>136</v>
      </c>
      <c r="F240" s="22" t="s">
        <v>680</v>
      </c>
      <c r="G240" s="22" t="s">
        <v>131</v>
      </c>
      <c r="H240" s="22" t="s">
        <v>131</v>
      </c>
      <c r="I240" s="22" t="n">
        <v>433</v>
      </c>
      <c r="J240" s="22" t="n">
        <v>582</v>
      </c>
      <c r="K240" s="22" t="n">
        <v>484</v>
      </c>
      <c r="L240" s="22" t="n">
        <v>0</v>
      </c>
      <c r="M240" s="22" t="n">
        <v>344</v>
      </c>
      <c r="N240" s="22" t="n">
        <v>269</v>
      </c>
      <c r="O240" s="22" t="n">
        <v>92</v>
      </c>
      <c r="P240" s="22" t="n">
        <v>292</v>
      </c>
      <c r="Q240" s="22" t="n">
        <v>259</v>
      </c>
      <c r="R240" s="22" t="n">
        <v>46</v>
      </c>
      <c r="S240" s="22" t="n">
        <v>114</v>
      </c>
      <c r="T240" s="22" t="n">
        <v>750</v>
      </c>
      <c r="U240" s="22" t="n">
        <v>0</v>
      </c>
      <c r="V240" s="22" t="n">
        <v>0</v>
      </c>
      <c r="W240" s="22" t="n">
        <v>0</v>
      </c>
      <c r="X240" s="22" t="n">
        <v>0</v>
      </c>
      <c r="Y240" s="22" t="n">
        <v>0</v>
      </c>
      <c r="Z240" s="22" t="n">
        <v>0</v>
      </c>
      <c r="AA240" s="22" t="n">
        <v>0</v>
      </c>
      <c r="AB240" s="22" t="n">
        <v>0</v>
      </c>
      <c r="AC240" s="22" t="n">
        <v>0</v>
      </c>
      <c r="AD240" s="22"/>
      <c r="AE240" s="22"/>
      <c r="AF240" s="22"/>
    </row>
    <row r="241" customFormat="false" ht="15" hidden="false" customHeight="false" outlineLevel="0" collapsed="false">
      <c r="A241" s="22" t="s">
        <v>182</v>
      </c>
      <c r="B241" s="22" t="s">
        <v>3</v>
      </c>
      <c r="C241" s="22" t="s">
        <v>182</v>
      </c>
      <c r="D241" s="22" t="n">
        <v>32820</v>
      </c>
      <c r="E241" s="22" t="s">
        <v>136</v>
      </c>
      <c r="F241" s="22" t="s">
        <v>681</v>
      </c>
      <c r="G241" s="22" t="s">
        <v>131</v>
      </c>
      <c r="H241" s="22" t="s">
        <v>131</v>
      </c>
      <c r="I241" s="22" t="n">
        <v>1183</v>
      </c>
      <c r="J241" s="22" t="n">
        <v>1627</v>
      </c>
      <c r="K241" s="22" t="n">
        <v>1741</v>
      </c>
      <c r="L241" s="22" t="n">
        <v>1499</v>
      </c>
      <c r="M241" s="22" t="n">
        <v>1410</v>
      </c>
      <c r="N241" s="22" t="n">
        <v>1097</v>
      </c>
      <c r="O241" s="22" t="n">
        <v>705</v>
      </c>
      <c r="P241" s="22" t="n">
        <v>997</v>
      </c>
      <c r="Q241" s="22" t="n">
        <v>912</v>
      </c>
      <c r="R241" s="22" t="n">
        <v>689</v>
      </c>
      <c r="S241" s="22" t="n">
        <v>711</v>
      </c>
      <c r="T241" s="22" t="n">
        <v>1169</v>
      </c>
      <c r="U241" s="22" t="n">
        <v>910</v>
      </c>
      <c r="V241" s="22" t="n">
        <v>864</v>
      </c>
      <c r="W241" s="22" t="n">
        <v>750</v>
      </c>
      <c r="X241" s="22" t="n">
        <v>0</v>
      </c>
      <c r="Y241" s="22" t="n">
        <v>0</v>
      </c>
      <c r="Z241" s="22" t="n">
        <v>0</v>
      </c>
      <c r="AA241" s="22" t="n">
        <v>0</v>
      </c>
      <c r="AB241" s="22" t="n">
        <v>0</v>
      </c>
      <c r="AC241" s="22" t="n">
        <v>0</v>
      </c>
      <c r="AD241" s="22"/>
      <c r="AE241" s="22"/>
      <c r="AF241" s="22"/>
    </row>
    <row r="242" customFormat="false" ht="15" hidden="false" customHeight="false" outlineLevel="0" collapsed="false">
      <c r="A242" s="22" t="s">
        <v>33</v>
      </c>
      <c r="B242" s="22" t="s">
        <v>3</v>
      </c>
      <c r="C242" s="22" t="s">
        <v>33</v>
      </c>
      <c r="D242" s="22" t="n">
        <v>33124</v>
      </c>
      <c r="E242" s="22" t="s">
        <v>132</v>
      </c>
      <c r="F242" s="22" t="s">
        <v>133</v>
      </c>
      <c r="G242" s="22" t="s">
        <v>131</v>
      </c>
      <c r="H242" s="22" t="s">
        <v>131</v>
      </c>
      <c r="I242" s="22" t="n">
        <v>311407</v>
      </c>
      <c r="J242" s="22" t="n">
        <v>313583</v>
      </c>
      <c r="K242" s="22" t="n">
        <v>314487</v>
      </c>
      <c r="L242" s="22" t="n">
        <v>315332</v>
      </c>
      <c r="M242" s="22" t="n">
        <v>316284</v>
      </c>
      <c r="N242" s="22" t="n">
        <v>317831</v>
      </c>
      <c r="O242" s="22" t="n">
        <v>319682</v>
      </c>
      <c r="P242" s="22" t="n">
        <v>321334</v>
      </c>
      <c r="Q242" s="22" t="n">
        <v>322625</v>
      </c>
      <c r="R242" s="22" t="n">
        <v>324278</v>
      </c>
      <c r="S242" s="22" t="n">
        <v>326268</v>
      </c>
      <c r="T242" s="22" t="n">
        <v>327412</v>
      </c>
      <c r="U242" s="22" t="n">
        <v>330837</v>
      </c>
      <c r="V242" s="22" t="n">
        <v>333326</v>
      </c>
      <c r="W242" s="22" t="n">
        <v>337001</v>
      </c>
      <c r="X242" s="22" t="n">
        <v>338780</v>
      </c>
      <c r="Y242" s="22" t="n">
        <v>340875</v>
      </c>
      <c r="Z242" s="22" t="n">
        <v>342288</v>
      </c>
      <c r="AA242" s="22" t="n">
        <v>344191</v>
      </c>
      <c r="AB242" s="22" t="n">
        <v>346220</v>
      </c>
      <c r="AC242" s="22" t="n">
        <v>347396</v>
      </c>
      <c r="AD242" s="22" t="n">
        <v>348580</v>
      </c>
      <c r="AE242" s="22" t="n">
        <v>352215</v>
      </c>
      <c r="AF242" s="22" t="n">
        <v>352891</v>
      </c>
    </row>
    <row r="243" customFormat="false" ht="15" hidden="false" customHeight="false" outlineLevel="0" collapsed="false">
      <c r="A243" s="22" t="s">
        <v>33</v>
      </c>
      <c r="B243" s="22" t="s">
        <v>3</v>
      </c>
      <c r="C243" s="22" t="s">
        <v>33</v>
      </c>
      <c r="D243" s="22" t="n">
        <v>33124</v>
      </c>
      <c r="E243" s="22" t="s">
        <v>136</v>
      </c>
      <c r="F243" s="22" t="s">
        <v>680</v>
      </c>
      <c r="G243" s="22" t="s">
        <v>131</v>
      </c>
      <c r="H243" s="22" t="s">
        <v>131</v>
      </c>
      <c r="I243" s="22" t="n">
        <v>1413</v>
      </c>
      <c r="J243" s="22" t="n">
        <v>2568</v>
      </c>
      <c r="K243" s="22" t="n">
        <v>2369</v>
      </c>
      <c r="L243" s="22" t="n">
        <v>1951</v>
      </c>
      <c r="M243" s="22" t="n">
        <v>3381</v>
      </c>
      <c r="N243" s="22" t="n">
        <v>2945</v>
      </c>
      <c r="O243" s="22" t="n">
        <v>2852</v>
      </c>
      <c r="P243" s="22" t="n">
        <v>1817</v>
      </c>
      <c r="Q243" s="22" t="n">
        <v>1750</v>
      </c>
      <c r="R243" s="22" t="n">
        <v>2352</v>
      </c>
      <c r="S243" s="22" t="n">
        <v>1285</v>
      </c>
      <c r="T243" s="22" t="n">
        <v>832</v>
      </c>
      <c r="U243" s="22" t="n">
        <v>696</v>
      </c>
      <c r="V243" s="22" t="n">
        <v>1721</v>
      </c>
      <c r="W243" s="22" t="n">
        <v>1651</v>
      </c>
      <c r="X243" s="22" t="n">
        <v>2039</v>
      </c>
      <c r="Y243" s="22" t="n">
        <v>1933</v>
      </c>
      <c r="Z243" s="22" t="n">
        <v>3542</v>
      </c>
      <c r="AA243" s="22" t="n">
        <v>2502</v>
      </c>
      <c r="AB243" s="22" t="n">
        <v>1660</v>
      </c>
      <c r="AC243" s="22" t="n">
        <v>634</v>
      </c>
      <c r="AD243" s="22"/>
      <c r="AE243" s="22"/>
      <c r="AF243" s="22"/>
    </row>
    <row r="244" customFormat="false" ht="15" hidden="false" customHeight="false" outlineLevel="0" collapsed="false">
      <c r="A244" s="22" t="s">
        <v>33</v>
      </c>
      <c r="B244" s="22" t="s">
        <v>3</v>
      </c>
      <c r="C244" s="22" t="s">
        <v>33</v>
      </c>
      <c r="D244" s="22" t="n">
        <v>33124</v>
      </c>
      <c r="E244" s="22" t="s">
        <v>136</v>
      </c>
      <c r="F244" s="22" t="s">
        <v>681</v>
      </c>
      <c r="G244" s="22" t="s">
        <v>131</v>
      </c>
      <c r="H244" s="22" t="s">
        <v>131</v>
      </c>
      <c r="I244" s="22" t="n">
        <v>7371</v>
      </c>
      <c r="J244" s="22" t="n">
        <v>8921</v>
      </c>
      <c r="K244" s="22" t="n">
        <v>9524</v>
      </c>
      <c r="L244" s="22" t="n">
        <v>8301</v>
      </c>
      <c r="M244" s="22" t="n">
        <v>10269</v>
      </c>
      <c r="N244" s="22" t="n">
        <v>10646</v>
      </c>
      <c r="O244" s="22" t="n">
        <v>11129</v>
      </c>
      <c r="P244" s="22" t="n">
        <v>10995</v>
      </c>
      <c r="Q244" s="22" t="n">
        <v>9364</v>
      </c>
      <c r="R244" s="22" t="n">
        <v>8771</v>
      </c>
      <c r="S244" s="22" t="n">
        <v>7204</v>
      </c>
      <c r="T244" s="22" t="n">
        <v>6219</v>
      </c>
      <c r="U244" s="22" t="n">
        <v>5165</v>
      </c>
      <c r="V244" s="22" t="n">
        <v>4534</v>
      </c>
      <c r="W244" s="22" t="n">
        <v>4900</v>
      </c>
      <c r="X244" s="22" t="n">
        <v>6107</v>
      </c>
      <c r="Y244" s="22" t="n">
        <v>7344</v>
      </c>
      <c r="Z244" s="22" t="n">
        <v>9165</v>
      </c>
      <c r="AA244" s="22" t="n">
        <v>10016</v>
      </c>
      <c r="AB244" s="22" t="n">
        <v>9637</v>
      </c>
      <c r="AC244" s="22" t="n">
        <v>8338</v>
      </c>
      <c r="AD244" s="22"/>
      <c r="AE244" s="22"/>
      <c r="AF244" s="22"/>
    </row>
    <row r="245" customFormat="false" ht="15" hidden="false" customHeight="false" outlineLevel="0" collapsed="false">
      <c r="A245" s="22" t="s">
        <v>183</v>
      </c>
      <c r="B245" s="22" t="s">
        <v>3</v>
      </c>
      <c r="C245" s="22" t="s">
        <v>183</v>
      </c>
      <c r="D245" s="22" t="n">
        <v>233260</v>
      </c>
      <c r="E245" s="22" t="s">
        <v>132</v>
      </c>
      <c r="F245" s="22" t="s">
        <v>133</v>
      </c>
      <c r="G245" s="22" t="s">
        <v>131</v>
      </c>
      <c r="H245" s="22" t="s">
        <v>131</v>
      </c>
      <c r="I245" s="22" t="n">
        <v>26023</v>
      </c>
      <c r="J245" s="22" t="n">
        <v>26414</v>
      </c>
      <c r="K245" s="22" t="n">
        <v>26524</v>
      </c>
      <c r="L245" s="22" t="n">
        <v>26656</v>
      </c>
      <c r="M245" s="22" t="n">
        <v>26789</v>
      </c>
      <c r="N245" s="22" t="n">
        <v>26879</v>
      </c>
      <c r="O245" s="22" t="n">
        <v>27075</v>
      </c>
      <c r="P245" s="22" t="n">
        <v>27204</v>
      </c>
      <c r="Q245" s="22" t="n">
        <v>27290</v>
      </c>
      <c r="R245" s="22" t="n">
        <v>27290</v>
      </c>
      <c r="S245" s="22" t="n">
        <v>27290</v>
      </c>
      <c r="T245" s="22" t="n">
        <v>27290</v>
      </c>
      <c r="U245" s="22" t="n">
        <v>27290</v>
      </c>
      <c r="V245" s="22" t="n">
        <v>27290</v>
      </c>
      <c r="W245" s="22" t="n">
        <v>27290</v>
      </c>
      <c r="X245" s="22" t="n">
        <v>27290</v>
      </c>
      <c r="Y245" s="22" t="n">
        <v>27290</v>
      </c>
      <c r="Z245" s="22" t="n">
        <v>27290</v>
      </c>
      <c r="AA245" s="22" t="n">
        <v>27290</v>
      </c>
      <c r="AB245" s="22" t="n">
        <v>27290</v>
      </c>
      <c r="AC245" s="22" t="n">
        <v>27290</v>
      </c>
      <c r="AD245" s="22" t="n">
        <v>27290</v>
      </c>
      <c r="AE245" s="22" t="n">
        <v>27290</v>
      </c>
      <c r="AF245" s="22" t="n">
        <v>27290</v>
      </c>
    </row>
    <row r="246" customFormat="false" ht="15" hidden="false" customHeight="false" outlineLevel="0" collapsed="false">
      <c r="A246" s="22" t="s">
        <v>183</v>
      </c>
      <c r="B246" s="22" t="s">
        <v>3</v>
      </c>
      <c r="C246" s="22" t="s">
        <v>183</v>
      </c>
      <c r="D246" s="22" t="n">
        <v>233260</v>
      </c>
      <c r="E246" s="22" t="s">
        <v>136</v>
      </c>
      <c r="F246" s="22" t="s">
        <v>680</v>
      </c>
      <c r="G246" s="22" t="s">
        <v>131</v>
      </c>
      <c r="H246" s="22" t="s">
        <v>131</v>
      </c>
      <c r="I246" s="22" t="n">
        <v>342</v>
      </c>
      <c r="J246" s="22" t="n">
        <v>0</v>
      </c>
      <c r="K246" s="22" t="n">
        <v>0</v>
      </c>
      <c r="L246" s="22" t="n">
        <v>0</v>
      </c>
      <c r="M246" s="22" t="n">
        <v>0</v>
      </c>
      <c r="N246" s="22" t="n">
        <v>0</v>
      </c>
      <c r="O246" s="22" t="n">
        <v>0</v>
      </c>
      <c r="P246" s="22" t="n">
        <v>0</v>
      </c>
      <c r="Q246" s="22" t="n">
        <v>0</v>
      </c>
      <c r="R246" s="22" t="n">
        <v>0</v>
      </c>
      <c r="S246" s="22" t="n">
        <v>0</v>
      </c>
      <c r="T246" s="22" t="n">
        <v>0</v>
      </c>
      <c r="U246" s="22" t="n">
        <v>0</v>
      </c>
      <c r="V246" s="22" t="n">
        <v>0</v>
      </c>
      <c r="W246" s="22" t="n">
        <v>0</v>
      </c>
      <c r="X246" s="22" t="n">
        <v>0</v>
      </c>
      <c r="Y246" s="22" t="n">
        <v>0</v>
      </c>
      <c r="Z246" s="22" t="n">
        <v>0</v>
      </c>
      <c r="AA246" s="22" t="n">
        <v>0</v>
      </c>
      <c r="AB246" s="22" t="n">
        <v>0</v>
      </c>
      <c r="AC246" s="22" t="n">
        <v>0</v>
      </c>
      <c r="AD246" s="22"/>
      <c r="AE246" s="22"/>
      <c r="AF246" s="22"/>
    </row>
    <row r="247" customFormat="false" ht="15" hidden="false" customHeight="false" outlineLevel="0" collapsed="false">
      <c r="A247" s="22" t="s">
        <v>183</v>
      </c>
      <c r="B247" s="22" t="s">
        <v>3</v>
      </c>
      <c r="C247" s="22" t="s">
        <v>183</v>
      </c>
      <c r="D247" s="22" t="n">
        <v>233260</v>
      </c>
      <c r="E247" s="22" t="s">
        <v>136</v>
      </c>
      <c r="F247" s="22" t="s">
        <v>681</v>
      </c>
      <c r="G247" s="22" t="s">
        <v>131</v>
      </c>
      <c r="H247" s="22" t="s">
        <v>131</v>
      </c>
      <c r="I247" s="22" t="n">
        <v>920</v>
      </c>
      <c r="J247" s="22" t="n">
        <v>342</v>
      </c>
      <c r="K247" s="22" t="n">
        <v>342</v>
      </c>
      <c r="L247" s="22" t="n">
        <v>342</v>
      </c>
      <c r="M247" s="22" t="n">
        <v>0</v>
      </c>
      <c r="N247" s="22" t="n">
        <v>0</v>
      </c>
      <c r="O247" s="22" t="n">
        <v>0</v>
      </c>
      <c r="P247" s="22" t="n">
        <v>0</v>
      </c>
      <c r="Q247" s="22" t="n">
        <v>0</v>
      </c>
      <c r="R247" s="22" t="n">
        <v>0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0</v>
      </c>
      <c r="X247" s="22" t="n">
        <v>0</v>
      </c>
      <c r="Y247" s="22" t="n">
        <v>0</v>
      </c>
      <c r="Z247" s="22" t="n">
        <v>0</v>
      </c>
      <c r="AA247" s="22" t="n">
        <v>0</v>
      </c>
      <c r="AB247" s="22" t="n">
        <v>0</v>
      </c>
      <c r="AC247" s="22" t="n">
        <v>0</v>
      </c>
      <c r="AD247" s="22"/>
      <c r="AE247" s="22"/>
      <c r="AF247" s="22"/>
    </row>
    <row r="248" customFormat="false" ht="15" hidden="false" customHeight="false" outlineLevel="0" collapsed="false">
      <c r="A248" s="22" t="s">
        <v>24</v>
      </c>
      <c r="B248" s="22" t="s">
        <v>3</v>
      </c>
      <c r="C248" s="22" t="s">
        <v>24</v>
      </c>
      <c r="D248" s="22" t="n">
        <v>233340</v>
      </c>
      <c r="E248" s="22" t="s">
        <v>132</v>
      </c>
      <c r="F248" s="22" t="s">
        <v>133</v>
      </c>
      <c r="G248" s="22" t="s">
        <v>131</v>
      </c>
      <c r="H248" s="22" t="s">
        <v>131</v>
      </c>
      <c r="I248" s="22" t="n">
        <v>156019</v>
      </c>
      <c r="J248" s="22" t="n">
        <v>156267</v>
      </c>
      <c r="K248" s="22" t="n">
        <v>156573</v>
      </c>
      <c r="L248" s="22" t="n">
        <v>156879</v>
      </c>
      <c r="M248" s="22" t="n">
        <v>157386</v>
      </c>
      <c r="N248" s="22" t="n">
        <v>158252</v>
      </c>
      <c r="O248" s="22" t="n">
        <v>158829</v>
      </c>
      <c r="P248" s="22" t="n">
        <v>159540</v>
      </c>
      <c r="Q248" s="22" t="n">
        <v>160204</v>
      </c>
      <c r="R248" s="22" t="n">
        <v>160768</v>
      </c>
      <c r="S248" s="22" t="n">
        <v>161593</v>
      </c>
      <c r="T248" s="22" t="n">
        <v>162020</v>
      </c>
      <c r="U248" s="22" t="n">
        <v>162545</v>
      </c>
      <c r="V248" s="22" t="n">
        <v>163355</v>
      </c>
      <c r="W248" s="22" t="n">
        <v>163908</v>
      </c>
      <c r="X248" s="22" t="n">
        <v>164958</v>
      </c>
      <c r="Y248" s="22" t="n">
        <v>166071</v>
      </c>
      <c r="Z248" s="22" t="n">
        <v>166876</v>
      </c>
      <c r="AA248" s="22" t="n">
        <v>167187</v>
      </c>
      <c r="AB248" s="22" t="n">
        <v>167459</v>
      </c>
      <c r="AC248" s="22" t="n">
        <v>167743</v>
      </c>
      <c r="AD248" s="22" t="n">
        <v>168144</v>
      </c>
      <c r="AE248" s="22" t="n">
        <v>168576</v>
      </c>
      <c r="AF248" s="22" t="n">
        <v>169221</v>
      </c>
    </row>
    <row r="249" customFormat="false" ht="15" hidden="false" customHeight="false" outlineLevel="0" collapsed="false">
      <c r="A249" s="22" t="s">
        <v>24</v>
      </c>
      <c r="B249" s="22" t="s">
        <v>3</v>
      </c>
      <c r="C249" s="22" t="s">
        <v>24</v>
      </c>
      <c r="D249" s="22" t="n">
        <v>233340</v>
      </c>
      <c r="E249" s="22" t="s">
        <v>136</v>
      </c>
      <c r="F249" s="22" t="s">
        <v>680</v>
      </c>
      <c r="G249" s="22" t="s">
        <v>131</v>
      </c>
      <c r="H249" s="22" t="s">
        <v>131</v>
      </c>
      <c r="I249" s="22" t="n">
        <v>800</v>
      </c>
      <c r="J249" s="22" t="n">
        <v>977</v>
      </c>
      <c r="K249" s="22" t="n">
        <v>1084</v>
      </c>
      <c r="L249" s="22" t="n">
        <v>388</v>
      </c>
      <c r="M249" s="22" t="n">
        <v>590</v>
      </c>
      <c r="N249" s="22" t="n">
        <v>1772</v>
      </c>
      <c r="O249" s="22" t="n">
        <v>255</v>
      </c>
      <c r="P249" s="22" t="n">
        <v>202</v>
      </c>
      <c r="Q249" s="22" t="n">
        <v>410</v>
      </c>
      <c r="R249" s="22" t="n">
        <v>610</v>
      </c>
      <c r="S249" s="22" t="n">
        <v>657</v>
      </c>
      <c r="T249" s="22" t="n">
        <v>669</v>
      </c>
      <c r="U249" s="22" t="n">
        <v>280</v>
      </c>
      <c r="V249" s="22" t="n">
        <v>501</v>
      </c>
      <c r="W249" s="22" t="n">
        <v>236</v>
      </c>
      <c r="X249" s="22" t="n">
        <v>585</v>
      </c>
      <c r="Y249" s="22" t="n">
        <v>753</v>
      </c>
      <c r="Z249" s="22" t="n">
        <v>558</v>
      </c>
      <c r="AA249" s="22" t="n">
        <v>624</v>
      </c>
      <c r="AB249" s="22" t="n">
        <v>341</v>
      </c>
      <c r="AC249" s="22" t="n">
        <v>345</v>
      </c>
      <c r="AD249" s="22"/>
      <c r="AE249" s="22"/>
      <c r="AF249" s="22"/>
    </row>
    <row r="250" customFormat="false" ht="15" hidden="false" customHeight="false" outlineLevel="0" collapsed="false">
      <c r="A250" s="22" t="s">
        <v>24</v>
      </c>
      <c r="B250" s="22" t="s">
        <v>3</v>
      </c>
      <c r="C250" s="22" t="s">
        <v>24</v>
      </c>
      <c r="D250" s="22" t="n">
        <v>233340</v>
      </c>
      <c r="E250" s="22" t="s">
        <v>136</v>
      </c>
      <c r="F250" s="22" t="s">
        <v>681</v>
      </c>
      <c r="G250" s="22" t="s">
        <v>131</v>
      </c>
      <c r="H250" s="22" t="s">
        <v>131</v>
      </c>
      <c r="I250" s="22" t="n">
        <v>2154</v>
      </c>
      <c r="J250" s="22" t="n">
        <v>2832</v>
      </c>
      <c r="K250" s="22" t="n">
        <v>3581</v>
      </c>
      <c r="L250" s="22" t="n">
        <v>3249</v>
      </c>
      <c r="M250" s="22" t="n">
        <v>3039</v>
      </c>
      <c r="N250" s="22" t="n">
        <v>3834</v>
      </c>
      <c r="O250" s="22" t="n">
        <v>3005</v>
      </c>
      <c r="P250" s="22" t="n">
        <v>2819</v>
      </c>
      <c r="Q250" s="22" t="n">
        <v>2639</v>
      </c>
      <c r="R250" s="22" t="n">
        <v>1477</v>
      </c>
      <c r="S250" s="22" t="n">
        <v>1879</v>
      </c>
      <c r="T250" s="22" t="n">
        <v>2346</v>
      </c>
      <c r="U250" s="22" t="n">
        <v>2216</v>
      </c>
      <c r="V250" s="22" t="n">
        <v>2107</v>
      </c>
      <c r="W250" s="22" t="n">
        <v>1686</v>
      </c>
      <c r="X250" s="22" t="n">
        <v>1602</v>
      </c>
      <c r="Y250" s="22" t="n">
        <v>2075</v>
      </c>
      <c r="Z250" s="22" t="n">
        <v>2132</v>
      </c>
      <c r="AA250" s="22" t="n">
        <v>2520</v>
      </c>
      <c r="AB250" s="22" t="n">
        <v>2276</v>
      </c>
      <c r="AC250" s="22" t="n">
        <v>1868</v>
      </c>
      <c r="AD250" s="22"/>
      <c r="AE250" s="22"/>
      <c r="AF250" s="22"/>
    </row>
    <row r="251" customFormat="false" ht="15" hidden="false" customHeight="false" outlineLevel="0" collapsed="false">
      <c r="A251" s="22" t="s">
        <v>42</v>
      </c>
      <c r="B251" s="22" t="s">
        <v>3</v>
      </c>
      <c r="C251" s="22" t="s">
        <v>42</v>
      </c>
      <c r="D251" s="22" t="n">
        <v>33460</v>
      </c>
      <c r="E251" s="22" t="s">
        <v>132</v>
      </c>
      <c r="F251" s="22" t="s">
        <v>133</v>
      </c>
      <c r="G251" s="22" t="s">
        <v>131</v>
      </c>
      <c r="H251" s="22" t="s">
        <v>131</v>
      </c>
      <c r="I251" s="22" t="n">
        <v>302864</v>
      </c>
      <c r="J251" s="22" t="n">
        <v>305265</v>
      </c>
      <c r="K251" s="22" t="n">
        <v>308449</v>
      </c>
      <c r="L251" s="22" t="n">
        <v>310163</v>
      </c>
      <c r="M251" s="22" t="n">
        <v>312490</v>
      </c>
      <c r="N251" s="22" t="n">
        <v>315372</v>
      </c>
      <c r="O251" s="22" t="n">
        <v>317110</v>
      </c>
      <c r="P251" s="22" t="n">
        <v>318755</v>
      </c>
      <c r="Q251" s="22" t="n">
        <v>320325</v>
      </c>
      <c r="R251" s="22" t="n">
        <v>322628</v>
      </c>
      <c r="S251" s="22" t="n">
        <v>326690</v>
      </c>
      <c r="T251" s="22" t="n">
        <v>329659</v>
      </c>
      <c r="U251" s="22" t="n">
        <v>331388</v>
      </c>
      <c r="V251" s="22" t="n">
        <v>333524</v>
      </c>
      <c r="W251" s="22" t="n">
        <v>335919</v>
      </c>
      <c r="X251" s="22" t="n">
        <v>337359</v>
      </c>
      <c r="Y251" s="22" t="n">
        <v>338252</v>
      </c>
      <c r="Z251" s="22" t="n">
        <v>338800</v>
      </c>
      <c r="AA251" s="22" t="n">
        <v>339071</v>
      </c>
      <c r="AB251" s="22" t="n">
        <v>339568</v>
      </c>
      <c r="AC251" s="22" t="n">
        <v>340335</v>
      </c>
      <c r="AD251" s="22" t="n">
        <v>340907</v>
      </c>
      <c r="AE251" s="22" t="n">
        <v>341350</v>
      </c>
      <c r="AF251" s="22" t="n">
        <v>342047</v>
      </c>
    </row>
    <row r="252" customFormat="false" ht="15" hidden="false" customHeight="false" outlineLevel="0" collapsed="false">
      <c r="A252" s="22" t="s">
        <v>42</v>
      </c>
      <c r="B252" s="22" t="s">
        <v>3</v>
      </c>
      <c r="C252" s="22" t="s">
        <v>42</v>
      </c>
      <c r="D252" s="22" t="n">
        <v>33460</v>
      </c>
      <c r="E252" s="22" t="s">
        <v>136</v>
      </c>
      <c r="F252" s="22" t="s">
        <v>680</v>
      </c>
      <c r="G252" s="22" t="s">
        <v>131</v>
      </c>
      <c r="H252" s="22" t="s">
        <v>131</v>
      </c>
      <c r="I252" s="22" t="n">
        <v>3059</v>
      </c>
      <c r="J252" s="22" t="n">
        <v>1418</v>
      </c>
      <c r="K252" s="22" t="n">
        <v>3063</v>
      </c>
      <c r="L252" s="22" t="n">
        <v>3649</v>
      </c>
      <c r="M252" s="22" t="n">
        <v>2570</v>
      </c>
      <c r="N252" s="22" t="n">
        <v>2693</v>
      </c>
      <c r="O252" s="22" t="n">
        <v>2022</v>
      </c>
      <c r="P252" s="22" t="n">
        <v>1154</v>
      </c>
      <c r="Q252" s="22" t="n">
        <v>1684</v>
      </c>
      <c r="R252" s="22" t="n">
        <v>1361</v>
      </c>
      <c r="S252" s="22" t="n">
        <v>1255</v>
      </c>
      <c r="T252" s="22" t="n">
        <v>155</v>
      </c>
      <c r="U252" s="22" t="n">
        <v>401</v>
      </c>
      <c r="V252" s="22" t="n">
        <v>671</v>
      </c>
      <c r="W252" s="22" t="n">
        <v>418</v>
      </c>
      <c r="X252" s="22" t="n">
        <v>1217</v>
      </c>
      <c r="Y252" s="22" t="n">
        <v>557</v>
      </c>
      <c r="Z252" s="22" t="n">
        <v>1473</v>
      </c>
      <c r="AA252" s="22" t="n">
        <v>1056</v>
      </c>
      <c r="AB252" s="22" t="n">
        <v>154</v>
      </c>
      <c r="AC252" s="22" t="n">
        <v>515</v>
      </c>
      <c r="AD252" s="22"/>
      <c r="AE252" s="22"/>
      <c r="AF252" s="22"/>
    </row>
    <row r="253" customFormat="false" ht="15" hidden="false" customHeight="false" outlineLevel="0" collapsed="false">
      <c r="A253" s="22" t="s">
        <v>42</v>
      </c>
      <c r="B253" s="22" t="s">
        <v>3</v>
      </c>
      <c r="C253" s="22" t="s">
        <v>42</v>
      </c>
      <c r="D253" s="22" t="n">
        <v>33460</v>
      </c>
      <c r="E253" s="22" t="s">
        <v>136</v>
      </c>
      <c r="F253" s="22" t="s">
        <v>681</v>
      </c>
      <c r="G253" s="22" t="s">
        <v>131</v>
      </c>
      <c r="H253" s="22" t="s">
        <v>131</v>
      </c>
      <c r="I253" s="22" t="n">
        <v>9765</v>
      </c>
      <c r="J253" s="22" t="n">
        <v>8336</v>
      </c>
      <c r="K253" s="22" t="n">
        <v>9047</v>
      </c>
      <c r="L253" s="22" t="n">
        <v>11189</v>
      </c>
      <c r="M253" s="22" t="n">
        <v>10700</v>
      </c>
      <c r="N253" s="22" t="n">
        <v>11975</v>
      </c>
      <c r="O253" s="22" t="n">
        <v>10934</v>
      </c>
      <c r="P253" s="22" t="n">
        <v>8439</v>
      </c>
      <c r="Q253" s="22" t="n">
        <v>7553</v>
      </c>
      <c r="R253" s="22" t="n">
        <v>6221</v>
      </c>
      <c r="S253" s="22" t="n">
        <v>5454</v>
      </c>
      <c r="T253" s="22" t="n">
        <v>4455</v>
      </c>
      <c r="U253" s="22" t="n">
        <v>3172</v>
      </c>
      <c r="V253" s="22" t="n">
        <v>2482</v>
      </c>
      <c r="W253" s="22" t="n">
        <v>1645</v>
      </c>
      <c r="X253" s="22" t="n">
        <v>2707</v>
      </c>
      <c r="Y253" s="22" t="n">
        <v>2863</v>
      </c>
      <c r="Z253" s="22" t="n">
        <v>3665</v>
      </c>
      <c r="AA253" s="22" t="n">
        <v>4303</v>
      </c>
      <c r="AB253" s="22" t="n">
        <v>3240</v>
      </c>
      <c r="AC253" s="22" t="n">
        <v>3198</v>
      </c>
      <c r="AD253" s="22"/>
      <c r="AE253" s="22"/>
      <c r="AF253" s="22"/>
    </row>
    <row r="254" customFormat="false" ht="15" hidden="false" customHeight="false" outlineLevel="0" collapsed="false">
      <c r="A254" s="22" t="s">
        <v>184</v>
      </c>
      <c r="B254" s="22" t="s">
        <v>3</v>
      </c>
      <c r="C254" s="22" t="s">
        <v>184</v>
      </c>
      <c r="D254" s="22" t="n">
        <v>233660</v>
      </c>
      <c r="E254" s="22" t="s">
        <v>132</v>
      </c>
      <c r="F254" s="22" t="s">
        <v>133</v>
      </c>
      <c r="G254" s="22" t="s">
        <v>131</v>
      </c>
      <c r="H254" s="22" t="s">
        <v>131</v>
      </c>
      <c r="I254" s="22" t="n">
        <v>41944</v>
      </c>
      <c r="J254" s="22" t="n">
        <v>42035</v>
      </c>
      <c r="K254" s="22" t="n">
        <v>42316</v>
      </c>
      <c r="L254" s="22" t="n">
        <v>42326</v>
      </c>
      <c r="M254" s="22" t="n">
        <v>42326</v>
      </c>
      <c r="N254" s="22" t="n">
        <v>42465</v>
      </c>
      <c r="O254" s="22" t="n">
        <v>42604</v>
      </c>
      <c r="P254" s="22" t="n">
        <v>42720</v>
      </c>
      <c r="Q254" s="22" t="n">
        <v>42836</v>
      </c>
      <c r="R254" s="22" t="n">
        <v>43235</v>
      </c>
      <c r="S254" s="22" t="n">
        <v>43305</v>
      </c>
      <c r="T254" s="22" t="n">
        <v>43643</v>
      </c>
      <c r="U254" s="22" t="n">
        <v>44060</v>
      </c>
      <c r="V254" s="22" t="n">
        <v>44393</v>
      </c>
      <c r="W254" s="22" t="n">
        <v>44591</v>
      </c>
      <c r="X254" s="22" t="n">
        <v>44600</v>
      </c>
      <c r="Y254" s="22" t="n">
        <v>44663</v>
      </c>
      <c r="Z254" s="22" t="n">
        <v>44798</v>
      </c>
      <c r="AA254" s="22" t="n">
        <v>44935</v>
      </c>
      <c r="AB254" s="22" t="n">
        <v>44935</v>
      </c>
      <c r="AC254" s="22" t="n">
        <v>44935</v>
      </c>
      <c r="AD254" s="22" t="n">
        <v>44935</v>
      </c>
      <c r="AE254" s="22" t="n">
        <v>44935</v>
      </c>
      <c r="AF254" s="22" t="n">
        <v>44935</v>
      </c>
    </row>
    <row r="255" customFormat="false" ht="15" hidden="false" customHeight="false" outlineLevel="0" collapsed="false">
      <c r="A255" s="22" t="s">
        <v>184</v>
      </c>
      <c r="B255" s="22" t="s">
        <v>3</v>
      </c>
      <c r="C255" s="22" t="s">
        <v>184</v>
      </c>
      <c r="D255" s="22" t="n">
        <v>233660</v>
      </c>
      <c r="E255" s="22" t="s">
        <v>136</v>
      </c>
      <c r="F255" s="22" t="s">
        <v>680</v>
      </c>
      <c r="G255" s="22" t="s">
        <v>131</v>
      </c>
      <c r="H255" s="22" t="s">
        <v>131</v>
      </c>
      <c r="I255" s="22" t="n">
        <v>0</v>
      </c>
      <c r="J255" s="22" t="n">
        <v>270</v>
      </c>
      <c r="K255" s="22" t="n">
        <v>118</v>
      </c>
      <c r="L255" s="22" t="n">
        <v>0</v>
      </c>
      <c r="M255" s="22" t="n">
        <v>0</v>
      </c>
      <c r="N255" s="22" t="n">
        <v>247</v>
      </c>
      <c r="O255" s="22" t="n">
        <v>39</v>
      </c>
      <c r="P255" s="22" t="n">
        <v>749</v>
      </c>
      <c r="Q255" s="22" t="n">
        <v>321</v>
      </c>
      <c r="R255" s="22" t="n">
        <v>0</v>
      </c>
      <c r="S255" s="22" t="n">
        <v>0</v>
      </c>
      <c r="T255" s="22" t="n">
        <v>252</v>
      </c>
      <c r="U255" s="22" t="n">
        <v>92</v>
      </c>
      <c r="V255" s="22" t="n">
        <v>0</v>
      </c>
      <c r="W255" s="22" t="n">
        <v>0</v>
      </c>
      <c r="X255" s="22" t="n">
        <v>0</v>
      </c>
      <c r="Y255" s="22" t="n">
        <v>0</v>
      </c>
      <c r="Z255" s="22" t="n">
        <v>0</v>
      </c>
      <c r="AA255" s="22" t="n">
        <v>0</v>
      </c>
      <c r="AB255" s="22" t="n">
        <v>0</v>
      </c>
      <c r="AC255" s="22" t="n">
        <v>0</v>
      </c>
      <c r="AD255" s="22"/>
      <c r="AE255" s="22"/>
      <c r="AF255" s="22"/>
    </row>
    <row r="256" customFormat="false" ht="15" hidden="false" customHeight="false" outlineLevel="0" collapsed="false">
      <c r="A256" s="22" t="s">
        <v>184</v>
      </c>
      <c r="B256" s="22" t="s">
        <v>3</v>
      </c>
      <c r="C256" s="22" t="s">
        <v>184</v>
      </c>
      <c r="D256" s="22" t="n">
        <v>233660</v>
      </c>
      <c r="E256" s="22" t="s">
        <v>136</v>
      </c>
      <c r="F256" s="22" t="s">
        <v>681</v>
      </c>
      <c r="G256" s="22" t="s">
        <v>131</v>
      </c>
      <c r="H256" s="22" t="s">
        <v>131</v>
      </c>
      <c r="I256" s="22" t="n">
        <v>16</v>
      </c>
      <c r="J256" s="22" t="n">
        <v>286</v>
      </c>
      <c r="K256" s="22" t="n">
        <v>388</v>
      </c>
      <c r="L256" s="22" t="n">
        <v>388</v>
      </c>
      <c r="M256" s="22" t="n">
        <v>388</v>
      </c>
      <c r="N256" s="22" t="n">
        <v>365</v>
      </c>
      <c r="O256" s="22" t="n">
        <v>286</v>
      </c>
      <c r="P256" s="22" t="n">
        <v>1035</v>
      </c>
      <c r="Q256" s="22" t="n">
        <v>1356</v>
      </c>
      <c r="R256" s="22" t="n">
        <v>1109</v>
      </c>
      <c r="S256" s="22" t="n">
        <v>1070</v>
      </c>
      <c r="T256" s="22" t="n">
        <v>573</v>
      </c>
      <c r="U256" s="22" t="n">
        <v>344</v>
      </c>
      <c r="V256" s="22" t="n">
        <v>344</v>
      </c>
      <c r="W256" s="22" t="n">
        <v>344</v>
      </c>
      <c r="X256" s="22" t="n">
        <v>92</v>
      </c>
      <c r="Y256" s="22" t="n">
        <v>0</v>
      </c>
      <c r="Z256" s="22" t="n">
        <v>0</v>
      </c>
      <c r="AA256" s="22" t="n">
        <v>0</v>
      </c>
      <c r="AB256" s="22" t="n">
        <v>0</v>
      </c>
      <c r="AC256" s="22" t="n">
        <v>0</v>
      </c>
      <c r="AD256" s="22"/>
      <c r="AE256" s="22"/>
      <c r="AF256" s="22"/>
    </row>
    <row r="257" customFormat="false" ht="15" hidden="false" customHeight="false" outlineLevel="0" collapsed="false">
      <c r="A257" s="22" t="s">
        <v>44</v>
      </c>
      <c r="B257" s="22" t="s">
        <v>3</v>
      </c>
      <c r="C257" s="22" t="s">
        <v>44</v>
      </c>
      <c r="D257" s="22" t="n">
        <v>34820</v>
      </c>
      <c r="E257" s="22" t="s">
        <v>132</v>
      </c>
      <c r="F257" s="22" t="s">
        <v>133</v>
      </c>
      <c r="G257" s="22" t="s">
        <v>131</v>
      </c>
      <c r="H257" s="22" t="s">
        <v>131</v>
      </c>
      <c r="I257" s="22" t="n">
        <v>38377</v>
      </c>
      <c r="J257" s="22" t="n">
        <v>38466</v>
      </c>
      <c r="K257" s="22" t="n">
        <v>38608</v>
      </c>
      <c r="L257" s="22" t="n">
        <v>38899</v>
      </c>
      <c r="M257" s="22" t="n">
        <v>39374</v>
      </c>
      <c r="N257" s="22" t="n">
        <v>39791</v>
      </c>
      <c r="O257" s="22" t="n">
        <v>40067</v>
      </c>
      <c r="P257" s="22" t="n">
        <v>40214</v>
      </c>
      <c r="Q257" s="22" t="n">
        <v>40662</v>
      </c>
      <c r="R257" s="22" t="n">
        <v>41490</v>
      </c>
      <c r="S257" s="22" t="n">
        <v>42308</v>
      </c>
      <c r="T257" s="22" t="n">
        <v>43255</v>
      </c>
      <c r="U257" s="22" t="n">
        <v>43720</v>
      </c>
      <c r="V257" s="22" t="n">
        <v>44206</v>
      </c>
      <c r="W257" s="22" t="n">
        <v>44762</v>
      </c>
      <c r="X257" s="22" t="n">
        <v>45162</v>
      </c>
      <c r="Y257" s="22" t="n">
        <v>45758</v>
      </c>
      <c r="Z257" s="22" t="n">
        <v>46170</v>
      </c>
      <c r="AA257" s="22" t="n">
        <v>46577</v>
      </c>
      <c r="AB257" s="22" t="n">
        <v>46869</v>
      </c>
      <c r="AC257" s="22" t="n">
        <v>46983</v>
      </c>
      <c r="AD257" s="22" t="n">
        <v>46997</v>
      </c>
      <c r="AE257" s="22" t="n">
        <v>46997</v>
      </c>
      <c r="AF257" s="22" t="n">
        <v>47045</v>
      </c>
    </row>
    <row r="258" customFormat="false" ht="15" hidden="false" customHeight="false" outlineLevel="0" collapsed="false">
      <c r="A258" s="22" t="s">
        <v>44</v>
      </c>
      <c r="B258" s="22" t="s">
        <v>3</v>
      </c>
      <c r="C258" s="22" t="s">
        <v>44</v>
      </c>
      <c r="D258" s="22" t="n">
        <v>34820</v>
      </c>
      <c r="E258" s="22" t="s">
        <v>136</v>
      </c>
      <c r="F258" s="22" t="s">
        <v>680</v>
      </c>
      <c r="G258" s="22" t="s">
        <v>131</v>
      </c>
      <c r="H258" s="22" t="s">
        <v>131</v>
      </c>
      <c r="I258" s="22" t="n">
        <v>39</v>
      </c>
      <c r="J258" s="22" t="n">
        <v>270</v>
      </c>
      <c r="K258" s="22" t="n">
        <v>722</v>
      </c>
      <c r="L258" s="22" t="n">
        <v>858</v>
      </c>
      <c r="M258" s="22" t="n">
        <v>511</v>
      </c>
      <c r="N258" s="22" t="n">
        <v>538</v>
      </c>
      <c r="O258" s="22" t="n">
        <v>740</v>
      </c>
      <c r="P258" s="22" t="n">
        <v>483</v>
      </c>
      <c r="Q258" s="22" t="n">
        <v>191</v>
      </c>
      <c r="R258" s="22" t="n">
        <v>793</v>
      </c>
      <c r="S258" s="22" t="n">
        <v>422</v>
      </c>
      <c r="T258" s="22" t="n">
        <v>37</v>
      </c>
      <c r="U258" s="22" t="n">
        <v>202</v>
      </c>
      <c r="V258" s="22" t="n">
        <v>372</v>
      </c>
      <c r="W258" s="22" t="n">
        <v>26</v>
      </c>
      <c r="X258" s="22" t="n">
        <v>196</v>
      </c>
      <c r="Y258" s="22" t="n">
        <v>0</v>
      </c>
      <c r="Z258" s="22" t="n">
        <v>0</v>
      </c>
      <c r="AA258" s="22" t="n">
        <v>305</v>
      </c>
      <c r="AB258" s="22" t="n">
        <v>194</v>
      </c>
      <c r="AC258" s="22" t="n">
        <v>0</v>
      </c>
      <c r="AD258" s="22"/>
      <c r="AE258" s="22"/>
      <c r="AF258" s="22"/>
    </row>
    <row r="259" customFormat="false" ht="15" hidden="false" customHeight="false" outlineLevel="0" collapsed="false">
      <c r="A259" s="22" t="s">
        <v>44</v>
      </c>
      <c r="B259" s="22" t="s">
        <v>3</v>
      </c>
      <c r="C259" s="22" t="s">
        <v>44</v>
      </c>
      <c r="D259" s="22" t="n">
        <v>34820</v>
      </c>
      <c r="E259" s="22" t="s">
        <v>136</v>
      </c>
      <c r="F259" s="22" t="s">
        <v>681</v>
      </c>
      <c r="G259" s="22" t="s">
        <v>131</v>
      </c>
      <c r="H259" s="22" t="s">
        <v>131</v>
      </c>
      <c r="I259" s="22" t="n">
        <v>1728</v>
      </c>
      <c r="J259" s="22" t="n">
        <v>1676</v>
      </c>
      <c r="K259" s="22" t="n">
        <v>1652</v>
      </c>
      <c r="L259" s="22" t="n">
        <v>1889</v>
      </c>
      <c r="M259" s="22" t="n">
        <v>2361</v>
      </c>
      <c r="N259" s="22" t="n">
        <v>2629</v>
      </c>
      <c r="O259" s="22" t="n">
        <v>2647</v>
      </c>
      <c r="P259" s="22" t="n">
        <v>2272</v>
      </c>
      <c r="Q259" s="22" t="n">
        <v>1952</v>
      </c>
      <c r="R259" s="22" t="n">
        <v>2207</v>
      </c>
      <c r="S259" s="22" t="n">
        <v>1889</v>
      </c>
      <c r="T259" s="22" t="n">
        <v>1443</v>
      </c>
      <c r="U259" s="22" t="n">
        <v>1454</v>
      </c>
      <c r="V259" s="22" t="n">
        <v>1033</v>
      </c>
      <c r="W259" s="22" t="n">
        <v>637</v>
      </c>
      <c r="X259" s="22" t="n">
        <v>796</v>
      </c>
      <c r="Y259" s="22" t="n">
        <v>594</v>
      </c>
      <c r="Z259" s="22" t="n">
        <v>222</v>
      </c>
      <c r="AA259" s="22" t="n">
        <v>501</v>
      </c>
      <c r="AB259" s="22" t="n">
        <v>499</v>
      </c>
      <c r="AC259" s="22" t="n">
        <v>499</v>
      </c>
      <c r="AD259" s="22"/>
      <c r="AE259" s="22"/>
      <c r="AF259" s="22"/>
    </row>
    <row r="260" customFormat="false" ht="15" hidden="false" customHeight="false" outlineLevel="0" collapsed="false">
      <c r="A260" s="22" t="s">
        <v>59</v>
      </c>
      <c r="B260" s="22" t="s">
        <v>3</v>
      </c>
      <c r="C260" s="22" t="s">
        <v>59</v>
      </c>
      <c r="D260" s="22" t="n">
        <v>34940</v>
      </c>
      <c r="E260" s="22" t="s">
        <v>132</v>
      </c>
      <c r="F260" s="22" t="s">
        <v>133</v>
      </c>
      <c r="G260" s="22" t="s">
        <v>131</v>
      </c>
      <c r="H260" s="22" t="s">
        <v>131</v>
      </c>
      <c r="I260" s="22" t="n">
        <v>30094</v>
      </c>
      <c r="J260" s="22" t="n">
        <v>30309</v>
      </c>
      <c r="K260" s="22" t="n">
        <v>30518</v>
      </c>
      <c r="L260" s="22" t="n">
        <v>30598</v>
      </c>
      <c r="M260" s="22" t="n">
        <v>30832</v>
      </c>
      <c r="N260" s="22" t="n">
        <v>31141</v>
      </c>
      <c r="O260" s="22" t="n">
        <v>31417</v>
      </c>
      <c r="P260" s="22" t="n">
        <v>31550</v>
      </c>
      <c r="Q260" s="22" t="n">
        <v>31802</v>
      </c>
      <c r="R260" s="22" t="n">
        <v>31963</v>
      </c>
      <c r="S260" s="22" t="n">
        <v>32049</v>
      </c>
      <c r="T260" s="22" t="n">
        <v>32418</v>
      </c>
      <c r="U260" s="22" t="n">
        <v>32747</v>
      </c>
      <c r="V260" s="22" t="n">
        <v>32963</v>
      </c>
      <c r="W260" s="22" t="n">
        <v>33137</v>
      </c>
      <c r="X260" s="22" t="n">
        <v>33469</v>
      </c>
      <c r="Y260" s="22" t="n">
        <v>33756</v>
      </c>
      <c r="Z260" s="22" t="n">
        <v>33951</v>
      </c>
      <c r="AA260" s="22" t="n">
        <v>34251</v>
      </c>
      <c r="AB260" s="22" t="n">
        <v>34352</v>
      </c>
      <c r="AC260" s="22" t="n">
        <v>34352</v>
      </c>
      <c r="AD260" s="22" t="n">
        <v>34688</v>
      </c>
      <c r="AE260" s="22" t="n">
        <v>35068</v>
      </c>
      <c r="AF260" s="22" t="n">
        <v>35437</v>
      </c>
    </row>
    <row r="261" customFormat="false" ht="15" hidden="false" customHeight="false" outlineLevel="0" collapsed="false">
      <c r="A261" s="22" t="s">
        <v>59</v>
      </c>
      <c r="B261" s="22" t="s">
        <v>3</v>
      </c>
      <c r="C261" s="22" t="s">
        <v>59</v>
      </c>
      <c r="D261" s="22" t="n">
        <v>34940</v>
      </c>
      <c r="E261" s="22" t="s">
        <v>136</v>
      </c>
      <c r="F261" s="22" t="s">
        <v>680</v>
      </c>
      <c r="G261" s="22" t="s">
        <v>131</v>
      </c>
      <c r="H261" s="22" t="s">
        <v>131</v>
      </c>
      <c r="I261" s="22" t="n">
        <v>586</v>
      </c>
      <c r="J261" s="22" t="n">
        <v>0</v>
      </c>
      <c r="K261" s="22" t="n">
        <v>270</v>
      </c>
      <c r="L261" s="22" t="n">
        <v>987</v>
      </c>
      <c r="M261" s="22" t="n">
        <v>0</v>
      </c>
      <c r="N261" s="22" t="n">
        <v>0</v>
      </c>
      <c r="O261" s="22" t="n">
        <v>303</v>
      </c>
      <c r="P261" s="22" t="n">
        <v>264</v>
      </c>
      <c r="Q261" s="22" t="n">
        <v>216</v>
      </c>
      <c r="R261" s="22" t="n">
        <v>74</v>
      </c>
      <c r="S261" s="22" t="n">
        <v>627</v>
      </c>
      <c r="T261" s="22" t="n">
        <v>0</v>
      </c>
      <c r="U261" s="22" t="n">
        <v>0</v>
      </c>
      <c r="V261" s="22" t="n">
        <v>0</v>
      </c>
      <c r="W261" s="22" t="n">
        <v>96</v>
      </c>
      <c r="X261" s="22" t="n">
        <v>784</v>
      </c>
      <c r="Y261" s="22" t="n">
        <v>336</v>
      </c>
      <c r="Z261" s="22" t="n">
        <v>0</v>
      </c>
      <c r="AA261" s="22" t="n">
        <v>334</v>
      </c>
      <c r="AB261" s="22" t="n">
        <v>0</v>
      </c>
      <c r="AC261" s="22" t="n">
        <v>208</v>
      </c>
      <c r="AD261" s="22"/>
      <c r="AE261" s="22"/>
      <c r="AF261" s="22"/>
    </row>
    <row r="262" customFormat="false" ht="15" hidden="false" customHeight="false" outlineLevel="0" collapsed="false">
      <c r="A262" s="22" t="s">
        <v>59</v>
      </c>
      <c r="B262" s="22" t="s">
        <v>3</v>
      </c>
      <c r="C262" s="22" t="s">
        <v>59</v>
      </c>
      <c r="D262" s="22" t="n">
        <v>34940</v>
      </c>
      <c r="E262" s="22" t="s">
        <v>136</v>
      </c>
      <c r="F262" s="22" t="s">
        <v>681</v>
      </c>
      <c r="G262" s="22" t="s">
        <v>131</v>
      </c>
      <c r="H262" s="22" t="s">
        <v>131</v>
      </c>
      <c r="I262" s="22" t="n">
        <v>1391</v>
      </c>
      <c r="J262" s="22" t="n">
        <v>1391</v>
      </c>
      <c r="K262" s="22" t="n">
        <v>1160</v>
      </c>
      <c r="L262" s="22" t="n">
        <v>1843</v>
      </c>
      <c r="M262" s="22" t="n">
        <v>1257</v>
      </c>
      <c r="N262" s="22" t="n">
        <v>1257</v>
      </c>
      <c r="O262" s="22" t="n">
        <v>1290</v>
      </c>
      <c r="P262" s="22" t="n">
        <v>567</v>
      </c>
      <c r="Q262" s="22" t="n">
        <v>783</v>
      </c>
      <c r="R262" s="22" t="n">
        <v>857</v>
      </c>
      <c r="S262" s="22" t="n">
        <v>1181</v>
      </c>
      <c r="T262" s="22" t="n">
        <v>917</v>
      </c>
      <c r="U262" s="22" t="n">
        <v>701</v>
      </c>
      <c r="V262" s="22" t="n">
        <v>627</v>
      </c>
      <c r="W262" s="22" t="n">
        <v>96</v>
      </c>
      <c r="X262" s="22" t="n">
        <v>880</v>
      </c>
      <c r="Y262" s="22" t="n">
        <v>1216</v>
      </c>
      <c r="Z262" s="22" t="n">
        <v>1216</v>
      </c>
      <c r="AA262" s="22" t="n">
        <v>1454</v>
      </c>
      <c r="AB262" s="22" t="n">
        <v>670</v>
      </c>
      <c r="AC262" s="22" t="n">
        <v>542</v>
      </c>
      <c r="AD262" s="22"/>
      <c r="AE262" s="22"/>
      <c r="AF262" s="22"/>
    </row>
    <row r="263" customFormat="false" ht="15" hidden="false" customHeight="false" outlineLevel="0" collapsed="false">
      <c r="A263" s="22" t="s">
        <v>52</v>
      </c>
      <c r="B263" s="22" t="s">
        <v>3</v>
      </c>
      <c r="C263" s="22" t="s">
        <v>52</v>
      </c>
      <c r="D263" s="22" t="n">
        <v>34980</v>
      </c>
      <c r="E263" s="22" t="s">
        <v>132</v>
      </c>
      <c r="F263" s="22" t="s">
        <v>133</v>
      </c>
      <c r="G263" s="22" t="s">
        <v>131</v>
      </c>
      <c r="H263" s="22" t="s">
        <v>131</v>
      </c>
      <c r="I263" s="22" t="n">
        <v>162278</v>
      </c>
      <c r="J263" s="22" t="n">
        <v>164137</v>
      </c>
      <c r="K263" s="22" t="n">
        <v>165693</v>
      </c>
      <c r="L263" s="22" t="n">
        <v>167290</v>
      </c>
      <c r="M263" s="22" t="n">
        <v>169368</v>
      </c>
      <c r="N263" s="22" t="n">
        <v>172165</v>
      </c>
      <c r="O263" s="22" t="n">
        <v>173592</v>
      </c>
      <c r="P263" s="22" t="n">
        <v>176288</v>
      </c>
      <c r="Q263" s="22" t="n">
        <v>178939</v>
      </c>
      <c r="R263" s="22" t="n">
        <v>182622</v>
      </c>
      <c r="S263" s="22" t="n">
        <v>185490</v>
      </c>
      <c r="T263" s="22" t="n">
        <v>187865</v>
      </c>
      <c r="U263" s="22" t="n">
        <v>191827</v>
      </c>
      <c r="V263" s="22" t="n">
        <v>195246</v>
      </c>
      <c r="W263" s="22" t="n">
        <v>197802</v>
      </c>
      <c r="X263" s="22" t="n">
        <v>200301</v>
      </c>
      <c r="Y263" s="22" t="n">
        <v>201448</v>
      </c>
      <c r="Z263" s="22" t="n">
        <v>204360</v>
      </c>
      <c r="AA263" s="22" t="n">
        <v>205854</v>
      </c>
      <c r="AB263" s="22" t="n">
        <v>207247</v>
      </c>
      <c r="AC263" s="22" t="n">
        <v>208436</v>
      </c>
      <c r="AD263" s="22" t="n">
        <v>210458</v>
      </c>
      <c r="AE263" s="22" t="n">
        <v>211056</v>
      </c>
      <c r="AF263" s="22" t="n">
        <v>211654</v>
      </c>
    </row>
    <row r="264" customFormat="false" ht="15" hidden="false" customHeight="false" outlineLevel="0" collapsed="false">
      <c r="A264" s="22" t="s">
        <v>52</v>
      </c>
      <c r="B264" s="22" t="s">
        <v>3</v>
      </c>
      <c r="C264" s="22" t="s">
        <v>52</v>
      </c>
      <c r="D264" s="22" t="n">
        <v>34980</v>
      </c>
      <c r="E264" s="22" t="s">
        <v>136</v>
      </c>
      <c r="F264" s="22" t="s">
        <v>680</v>
      </c>
      <c r="G264" s="22" t="s">
        <v>131</v>
      </c>
      <c r="H264" s="22" t="s">
        <v>131</v>
      </c>
      <c r="I264" s="22" t="n">
        <v>3360</v>
      </c>
      <c r="J264" s="22" t="n">
        <v>3027</v>
      </c>
      <c r="K264" s="22" t="n">
        <v>2695</v>
      </c>
      <c r="L264" s="22" t="n">
        <v>4945</v>
      </c>
      <c r="M264" s="22" t="n">
        <v>1544</v>
      </c>
      <c r="N264" s="22" t="n">
        <v>4941</v>
      </c>
      <c r="O264" s="22" t="n">
        <v>1340</v>
      </c>
      <c r="P264" s="22" t="n">
        <v>2351</v>
      </c>
      <c r="Q264" s="22" t="n">
        <v>1355</v>
      </c>
      <c r="R264" s="22" t="n">
        <v>519</v>
      </c>
      <c r="S264" s="22" t="n">
        <v>625</v>
      </c>
      <c r="T264" s="22" t="n">
        <v>1472</v>
      </c>
      <c r="U264" s="22" t="n">
        <v>1526</v>
      </c>
      <c r="V264" s="22" t="n">
        <v>535</v>
      </c>
      <c r="W264" s="22" t="n">
        <v>639</v>
      </c>
      <c r="X264" s="22" t="n">
        <v>2709</v>
      </c>
      <c r="Y264" s="22" t="n">
        <v>1055</v>
      </c>
      <c r="Z264" s="22" t="n">
        <v>1680</v>
      </c>
      <c r="AA264" s="22" t="n">
        <v>1926</v>
      </c>
      <c r="AB264" s="22" t="n">
        <v>1242</v>
      </c>
      <c r="AC264" s="22" t="n">
        <v>991</v>
      </c>
      <c r="AD264" s="22"/>
      <c r="AE264" s="22"/>
      <c r="AF264" s="22"/>
    </row>
    <row r="265" customFormat="false" ht="15" hidden="false" customHeight="false" outlineLevel="0" collapsed="false">
      <c r="A265" s="22" t="s">
        <v>52</v>
      </c>
      <c r="B265" s="22" t="s">
        <v>3</v>
      </c>
      <c r="C265" s="22" t="s">
        <v>52</v>
      </c>
      <c r="D265" s="22" t="n">
        <v>34980</v>
      </c>
      <c r="E265" s="22" t="s">
        <v>136</v>
      </c>
      <c r="F265" s="22" t="s">
        <v>681</v>
      </c>
      <c r="G265" s="22" t="s">
        <v>131</v>
      </c>
      <c r="H265" s="22" t="s">
        <v>131</v>
      </c>
      <c r="I265" s="22" t="n">
        <v>11957</v>
      </c>
      <c r="J265" s="22" t="n">
        <v>13290</v>
      </c>
      <c r="K265" s="22" t="n">
        <v>13498</v>
      </c>
      <c r="L265" s="22" t="n">
        <v>14027</v>
      </c>
      <c r="M265" s="22" t="n">
        <v>12211</v>
      </c>
      <c r="N265" s="22" t="n">
        <v>14125</v>
      </c>
      <c r="O265" s="22" t="n">
        <v>12770</v>
      </c>
      <c r="P265" s="22" t="n">
        <v>10176</v>
      </c>
      <c r="Q265" s="22" t="n">
        <v>9987</v>
      </c>
      <c r="R265" s="22" t="n">
        <v>5565</v>
      </c>
      <c r="S265" s="22" t="n">
        <v>4850</v>
      </c>
      <c r="T265" s="22" t="n">
        <v>3971</v>
      </c>
      <c r="U265" s="22" t="n">
        <v>4142</v>
      </c>
      <c r="V265" s="22" t="n">
        <v>4158</v>
      </c>
      <c r="W265" s="22" t="n">
        <v>4172</v>
      </c>
      <c r="X265" s="22" t="n">
        <v>5409</v>
      </c>
      <c r="Y265" s="22" t="n">
        <v>4938</v>
      </c>
      <c r="Z265" s="22" t="n">
        <v>6083</v>
      </c>
      <c r="AA265" s="22" t="n">
        <v>7370</v>
      </c>
      <c r="AB265" s="22" t="n">
        <v>5903</v>
      </c>
      <c r="AC265" s="22" t="n">
        <v>5839</v>
      </c>
      <c r="AD265" s="22"/>
      <c r="AE265" s="22"/>
      <c r="AF265" s="22"/>
    </row>
    <row r="266" customFormat="false" ht="15" hidden="false" customHeight="false" outlineLevel="0" collapsed="false">
      <c r="A266" s="22" t="s">
        <v>185</v>
      </c>
      <c r="B266" s="22" t="s">
        <v>3</v>
      </c>
      <c r="C266" s="22" t="s">
        <v>185</v>
      </c>
      <c r="D266" s="22" t="n">
        <v>35004</v>
      </c>
      <c r="E266" s="22" t="s">
        <v>132</v>
      </c>
      <c r="F266" s="22" t="s">
        <v>133</v>
      </c>
      <c r="G266" s="22" t="s">
        <v>131</v>
      </c>
      <c r="H266" s="22" t="s">
        <v>131</v>
      </c>
      <c r="I266" s="22" t="n">
        <v>79524</v>
      </c>
      <c r="J266" s="22" t="n">
        <v>79872</v>
      </c>
      <c r="K266" s="22" t="n">
        <v>80023</v>
      </c>
      <c r="L266" s="22" t="n">
        <v>79849</v>
      </c>
      <c r="M266" s="22" t="n">
        <v>80003</v>
      </c>
      <c r="N266" s="22" t="n">
        <v>80713</v>
      </c>
      <c r="O266" s="22" t="n">
        <v>80713</v>
      </c>
      <c r="P266" s="22" t="n">
        <v>80713</v>
      </c>
      <c r="Q266" s="22" t="n">
        <v>80761</v>
      </c>
      <c r="R266" s="22" t="n">
        <v>81105</v>
      </c>
      <c r="S266" s="22" t="n">
        <v>81795</v>
      </c>
      <c r="T266" s="22" t="n">
        <v>82328</v>
      </c>
      <c r="U266" s="22" t="n">
        <v>82768</v>
      </c>
      <c r="V266" s="22" t="n">
        <v>82906</v>
      </c>
      <c r="W266" s="22" t="n">
        <v>83125</v>
      </c>
      <c r="X266" s="22" t="n">
        <v>83143</v>
      </c>
      <c r="Y266" s="22" t="n">
        <v>83298</v>
      </c>
      <c r="Z266" s="22" t="n">
        <v>83505</v>
      </c>
      <c r="AA266" s="22" t="n">
        <v>83534</v>
      </c>
      <c r="AB266" s="22" t="n">
        <v>83534</v>
      </c>
      <c r="AC266" s="22" t="n">
        <v>83800</v>
      </c>
      <c r="AD266" s="22" t="n">
        <v>83851</v>
      </c>
      <c r="AE266" s="22" t="n">
        <v>84179</v>
      </c>
      <c r="AF266" s="22" t="n">
        <v>84302</v>
      </c>
    </row>
    <row r="267" customFormat="false" ht="15" hidden="false" customHeight="false" outlineLevel="0" collapsed="false">
      <c r="A267" s="22" t="s">
        <v>185</v>
      </c>
      <c r="B267" s="22" t="s">
        <v>3</v>
      </c>
      <c r="C267" s="22" t="s">
        <v>185</v>
      </c>
      <c r="D267" s="22" t="n">
        <v>35004</v>
      </c>
      <c r="E267" s="22" t="s">
        <v>136</v>
      </c>
      <c r="F267" s="22" t="s">
        <v>680</v>
      </c>
      <c r="G267" s="22" t="s">
        <v>131</v>
      </c>
      <c r="H267" s="22" t="s">
        <v>131</v>
      </c>
      <c r="I267" s="22" t="n">
        <v>0</v>
      </c>
      <c r="J267" s="22" t="n">
        <v>964</v>
      </c>
      <c r="K267" s="22" t="n">
        <v>0</v>
      </c>
      <c r="L267" s="22" t="n">
        <v>782</v>
      </c>
      <c r="M267" s="22" t="n">
        <v>364</v>
      </c>
      <c r="N267" s="22" t="n">
        <v>54</v>
      </c>
      <c r="O267" s="22" t="n">
        <v>83</v>
      </c>
      <c r="P267" s="22" t="n">
        <v>0</v>
      </c>
      <c r="Q267" s="22" t="n">
        <v>291</v>
      </c>
      <c r="R267" s="22" t="n">
        <v>100</v>
      </c>
      <c r="S267" s="22" t="n">
        <v>189</v>
      </c>
      <c r="T267" s="22" t="n">
        <v>151</v>
      </c>
      <c r="U267" s="22" t="n">
        <v>0</v>
      </c>
      <c r="V267" s="22" t="n">
        <v>0</v>
      </c>
      <c r="W267" s="22" t="n">
        <v>175</v>
      </c>
      <c r="X267" s="22" t="n">
        <v>0</v>
      </c>
      <c r="Y267" s="22" t="n">
        <v>63</v>
      </c>
      <c r="Z267" s="22" t="n">
        <v>104</v>
      </c>
      <c r="AA267" s="22" t="n">
        <v>262</v>
      </c>
      <c r="AB267" s="22" t="n">
        <v>121</v>
      </c>
      <c r="AC267" s="22" t="n">
        <v>64</v>
      </c>
      <c r="AD267" s="22"/>
      <c r="AE267" s="22"/>
      <c r="AF267" s="22"/>
    </row>
    <row r="268" customFormat="false" ht="15" hidden="false" customHeight="false" outlineLevel="0" collapsed="false">
      <c r="A268" s="22" t="s">
        <v>185</v>
      </c>
      <c r="B268" s="22" t="s">
        <v>3</v>
      </c>
      <c r="C268" s="22" t="s">
        <v>185</v>
      </c>
      <c r="D268" s="22" t="n">
        <v>35004</v>
      </c>
      <c r="E268" s="22" t="s">
        <v>136</v>
      </c>
      <c r="F268" s="22" t="s">
        <v>681</v>
      </c>
      <c r="G268" s="22" t="s">
        <v>131</v>
      </c>
      <c r="H268" s="22" t="s">
        <v>131</v>
      </c>
      <c r="I268" s="22" t="n">
        <v>429</v>
      </c>
      <c r="J268" s="22" t="n">
        <v>1322</v>
      </c>
      <c r="K268" s="22" t="n">
        <v>1150</v>
      </c>
      <c r="L268" s="22" t="n">
        <v>1746</v>
      </c>
      <c r="M268" s="22" t="n">
        <v>2110</v>
      </c>
      <c r="N268" s="22" t="n">
        <v>1200</v>
      </c>
      <c r="O268" s="22" t="n">
        <v>1283</v>
      </c>
      <c r="P268" s="22" t="n">
        <v>501</v>
      </c>
      <c r="Q268" s="22" t="n">
        <v>428</v>
      </c>
      <c r="R268" s="22" t="n">
        <v>474</v>
      </c>
      <c r="S268" s="22" t="n">
        <v>580</v>
      </c>
      <c r="T268" s="22" t="n">
        <v>731</v>
      </c>
      <c r="U268" s="22" t="n">
        <v>440</v>
      </c>
      <c r="V268" s="22" t="n">
        <v>340</v>
      </c>
      <c r="W268" s="22" t="n">
        <v>326</v>
      </c>
      <c r="X268" s="22" t="n">
        <v>175</v>
      </c>
      <c r="Y268" s="22" t="n">
        <v>238</v>
      </c>
      <c r="Z268" s="22" t="n">
        <v>342</v>
      </c>
      <c r="AA268" s="22" t="n">
        <v>429</v>
      </c>
      <c r="AB268" s="22" t="n">
        <v>550</v>
      </c>
      <c r="AC268" s="22" t="n">
        <v>551</v>
      </c>
      <c r="AD268" s="22"/>
      <c r="AE268" s="22"/>
      <c r="AF268" s="22"/>
    </row>
    <row r="269" customFormat="false" ht="15" hidden="false" customHeight="false" outlineLevel="0" collapsed="false">
      <c r="A269" s="22" t="s">
        <v>186</v>
      </c>
      <c r="B269" s="22" t="s">
        <v>3</v>
      </c>
      <c r="C269" s="22" t="s">
        <v>186</v>
      </c>
      <c r="D269" s="22" t="n">
        <v>235084</v>
      </c>
      <c r="E269" s="22" t="s">
        <v>132</v>
      </c>
      <c r="F269" s="22" t="s">
        <v>133</v>
      </c>
      <c r="G269" s="22" t="s">
        <v>131</v>
      </c>
      <c r="H269" s="22" t="s">
        <v>131</v>
      </c>
      <c r="I269" s="22" t="n">
        <v>527874</v>
      </c>
      <c r="J269" s="22" t="n">
        <v>531035</v>
      </c>
      <c r="K269" s="22" t="n">
        <v>534576</v>
      </c>
      <c r="L269" s="22" t="n">
        <v>537886</v>
      </c>
      <c r="M269" s="22" t="n">
        <v>540973</v>
      </c>
      <c r="N269" s="22" t="n">
        <v>543571</v>
      </c>
      <c r="O269" s="22" t="n">
        <v>545951</v>
      </c>
      <c r="P269" s="22" t="n">
        <v>547923</v>
      </c>
      <c r="Q269" s="22" t="n">
        <v>550960</v>
      </c>
      <c r="R269" s="22" t="n">
        <v>553445</v>
      </c>
      <c r="S269" s="22" t="n">
        <v>557823</v>
      </c>
      <c r="T269" s="22" t="n">
        <v>560050</v>
      </c>
      <c r="U269" s="22" t="n">
        <v>562963</v>
      </c>
      <c r="V269" s="22" t="n">
        <v>567800</v>
      </c>
      <c r="W269" s="22" t="n">
        <v>572530</v>
      </c>
      <c r="X269" s="22" t="n">
        <v>575707</v>
      </c>
      <c r="Y269" s="22" t="n">
        <v>580055</v>
      </c>
      <c r="Z269" s="22" t="n">
        <v>584461</v>
      </c>
      <c r="AA269" s="22" t="n">
        <v>588822</v>
      </c>
      <c r="AB269" s="22" t="n">
        <v>592955</v>
      </c>
      <c r="AC269" s="22" t="n">
        <v>596462</v>
      </c>
      <c r="AD269" s="22" t="n">
        <v>601440</v>
      </c>
      <c r="AE269" s="22" t="n">
        <v>605519</v>
      </c>
      <c r="AF269" s="22" t="n">
        <v>608481</v>
      </c>
    </row>
    <row r="270" customFormat="false" ht="15" hidden="false" customHeight="false" outlineLevel="0" collapsed="false">
      <c r="A270" s="22" t="s">
        <v>186</v>
      </c>
      <c r="B270" s="22" t="s">
        <v>3</v>
      </c>
      <c r="C270" s="22" t="s">
        <v>186</v>
      </c>
      <c r="D270" s="22" t="n">
        <v>235084</v>
      </c>
      <c r="E270" s="22" t="s">
        <v>136</v>
      </c>
      <c r="F270" s="22" t="s">
        <v>680</v>
      </c>
      <c r="G270" s="22" t="s">
        <v>131</v>
      </c>
      <c r="H270" s="22" t="s">
        <v>131</v>
      </c>
      <c r="I270" s="22" t="n">
        <v>2981</v>
      </c>
      <c r="J270" s="22" t="n">
        <v>4488</v>
      </c>
      <c r="K270" s="22" t="n">
        <v>4410</v>
      </c>
      <c r="L270" s="22" t="n">
        <v>4669</v>
      </c>
      <c r="M270" s="22" t="n">
        <v>6031</v>
      </c>
      <c r="N270" s="22" t="n">
        <v>4446</v>
      </c>
      <c r="O270" s="22" t="n">
        <v>1838</v>
      </c>
      <c r="P270" s="22" t="n">
        <v>3157</v>
      </c>
      <c r="Q270" s="22" t="n">
        <v>3753</v>
      </c>
      <c r="R270" s="22" t="n">
        <v>2465</v>
      </c>
      <c r="S270" s="22" t="n">
        <v>3580</v>
      </c>
      <c r="T270" s="22" t="n">
        <v>3879</v>
      </c>
      <c r="U270" s="22" t="n">
        <v>2966</v>
      </c>
      <c r="V270" s="22" t="n">
        <v>2772</v>
      </c>
      <c r="W270" s="22" t="n">
        <v>2348</v>
      </c>
      <c r="X270" s="22" t="n">
        <v>3111</v>
      </c>
      <c r="Y270" s="22" t="n">
        <v>4254</v>
      </c>
      <c r="Z270" s="22" t="n">
        <v>7794</v>
      </c>
      <c r="AA270" s="22" t="n">
        <v>3794</v>
      </c>
      <c r="AB270" s="22" t="n">
        <v>2416</v>
      </c>
      <c r="AC270" s="22" t="n">
        <v>2884</v>
      </c>
      <c r="AD270" s="22"/>
      <c r="AE270" s="22"/>
      <c r="AF270" s="22"/>
    </row>
    <row r="271" customFormat="false" ht="15" hidden="false" customHeight="false" outlineLevel="0" collapsed="false">
      <c r="A271" s="22" t="s">
        <v>186</v>
      </c>
      <c r="B271" s="22" t="s">
        <v>3</v>
      </c>
      <c r="C271" s="22" t="s">
        <v>186</v>
      </c>
      <c r="D271" s="22" t="n">
        <v>235084</v>
      </c>
      <c r="E271" s="22" t="s">
        <v>136</v>
      </c>
      <c r="F271" s="22" t="s">
        <v>681</v>
      </c>
      <c r="G271" s="22" t="s">
        <v>131</v>
      </c>
      <c r="H271" s="22" t="s">
        <v>131</v>
      </c>
      <c r="I271" s="22" t="n">
        <v>12810</v>
      </c>
      <c r="J271" s="22" t="n">
        <v>13966</v>
      </c>
      <c r="K271" s="22" t="n">
        <v>15771</v>
      </c>
      <c r="L271" s="22" t="n">
        <v>16548</v>
      </c>
      <c r="M271" s="22" t="n">
        <v>19598</v>
      </c>
      <c r="N271" s="22" t="n">
        <v>19556</v>
      </c>
      <c r="O271" s="22" t="n">
        <v>16984</v>
      </c>
      <c r="P271" s="22" t="n">
        <v>15472</v>
      </c>
      <c r="Q271" s="22" t="n">
        <v>13194</v>
      </c>
      <c r="R271" s="22" t="n">
        <v>11213</v>
      </c>
      <c r="S271" s="22" t="n">
        <v>12955</v>
      </c>
      <c r="T271" s="22" t="n">
        <v>13677</v>
      </c>
      <c r="U271" s="22" t="n">
        <v>12890</v>
      </c>
      <c r="V271" s="22" t="n">
        <v>13197</v>
      </c>
      <c r="W271" s="22" t="n">
        <v>11965</v>
      </c>
      <c r="X271" s="22" t="n">
        <v>11197</v>
      </c>
      <c r="Y271" s="22" t="n">
        <v>12485</v>
      </c>
      <c r="Z271" s="22" t="n">
        <v>17507</v>
      </c>
      <c r="AA271" s="22" t="n">
        <v>18953</v>
      </c>
      <c r="AB271" s="22" t="n">
        <v>18258</v>
      </c>
      <c r="AC271" s="22" t="n">
        <v>16888</v>
      </c>
      <c r="AD271" s="22"/>
      <c r="AE271" s="22"/>
      <c r="AF271" s="22"/>
    </row>
    <row r="272" customFormat="false" ht="15" hidden="false" customHeight="false" outlineLevel="0" collapsed="false">
      <c r="A272" s="22" t="s">
        <v>187</v>
      </c>
      <c r="B272" s="22" t="s">
        <v>3</v>
      </c>
      <c r="C272" s="22" t="s">
        <v>187</v>
      </c>
      <c r="D272" s="22" t="n">
        <v>235300</v>
      </c>
      <c r="E272" s="22" t="s">
        <v>132</v>
      </c>
      <c r="F272" s="22" t="s">
        <v>133</v>
      </c>
      <c r="G272" s="22" t="s">
        <v>131</v>
      </c>
      <c r="H272" s="22" t="s">
        <v>131</v>
      </c>
      <c r="I272" s="22" t="n">
        <v>60157</v>
      </c>
      <c r="J272" s="22" t="n">
        <v>60206</v>
      </c>
      <c r="K272" s="22" t="n">
        <v>60278</v>
      </c>
      <c r="L272" s="22" t="n">
        <v>60266</v>
      </c>
      <c r="M272" s="22" t="n">
        <v>60931</v>
      </c>
      <c r="N272" s="22" t="n">
        <v>61310</v>
      </c>
      <c r="O272" s="22" t="n">
        <v>61466</v>
      </c>
      <c r="P272" s="22" t="n">
        <v>61571</v>
      </c>
      <c r="Q272" s="22" t="n">
        <v>61689</v>
      </c>
      <c r="R272" s="22" t="n">
        <v>61902</v>
      </c>
      <c r="S272" s="22" t="n">
        <v>61961</v>
      </c>
      <c r="T272" s="22" t="n">
        <v>62079</v>
      </c>
      <c r="U272" s="22" t="n">
        <v>62210</v>
      </c>
      <c r="V272" s="22" t="n">
        <v>62504</v>
      </c>
      <c r="W272" s="22" t="n">
        <v>62819</v>
      </c>
      <c r="X272" s="22" t="n">
        <v>63234</v>
      </c>
      <c r="Y272" s="22" t="n">
        <v>63427</v>
      </c>
      <c r="Z272" s="22" t="n">
        <v>63479</v>
      </c>
      <c r="AA272" s="22" t="n">
        <v>63371</v>
      </c>
      <c r="AB272" s="22" t="n">
        <v>63602</v>
      </c>
      <c r="AC272" s="22" t="n">
        <v>63804</v>
      </c>
      <c r="AD272" s="22" t="n">
        <v>64094</v>
      </c>
      <c r="AE272" s="22" t="n">
        <v>64161</v>
      </c>
      <c r="AF272" s="22" t="n">
        <v>64266</v>
      </c>
    </row>
    <row r="273" customFormat="false" ht="15" hidden="false" customHeight="false" outlineLevel="0" collapsed="false">
      <c r="A273" s="22" t="s">
        <v>187</v>
      </c>
      <c r="B273" s="22" t="s">
        <v>3</v>
      </c>
      <c r="C273" s="22" t="s">
        <v>187</v>
      </c>
      <c r="D273" s="22" t="n">
        <v>235300</v>
      </c>
      <c r="E273" s="22" t="s">
        <v>136</v>
      </c>
      <c r="F273" s="22" t="s">
        <v>680</v>
      </c>
      <c r="G273" s="22" t="s">
        <v>131</v>
      </c>
      <c r="H273" s="22" t="s">
        <v>131</v>
      </c>
      <c r="I273" s="22" t="n">
        <v>31</v>
      </c>
      <c r="J273" s="22" t="n">
        <v>183</v>
      </c>
      <c r="K273" s="22" t="n">
        <v>354</v>
      </c>
      <c r="L273" s="22" t="n">
        <v>147</v>
      </c>
      <c r="M273" s="22" t="n">
        <v>524</v>
      </c>
      <c r="N273" s="22" t="n">
        <v>105</v>
      </c>
      <c r="O273" s="22" t="n">
        <v>200</v>
      </c>
      <c r="P273" s="22" t="n">
        <v>92</v>
      </c>
      <c r="Q273" s="22" t="n">
        <v>342</v>
      </c>
      <c r="R273" s="22" t="n">
        <v>104</v>
      </c>
      <c r="S273" s="22" t="n">
        <v>110</v>
      </c>
      <c r="T273" s="22" t="n">
        <v>283</v>
      </c>
      <c r="U273" s="22" t="n">
        <v>0</v>
      </c>
      <c r="V273" s="22" t="n">
        <v>96</v>
      </c>
      <c r="W273" s="22" t="n">
        <v>0</v>
      </c>
      <c r="X273" s="22" t="n">
        <v>22</v>
      </c>
      <c r="Y273" s="22" t="n">
        <v>252</v>
      </c>
      <c r="Z273" s="22" t="n">
        <v>168</v>
      </c>
      <c r="AA273" s="22" t="n">
        <v>44</v>
      </c>
      <c r="AB273" s="22" t="n">
        <v>0</v>
      </c>
      <c r="AC273" s="22" t="n">
        <v>162</v>
      </c>
      <c r="AD273" s="22"/>
      <c r="AE273" s="22"/>
      <c r="AF273" s="22"/>
    </row>
    <row r="274" customFormat="false" ht="15" hidden="false" customHeight="false" outlineLevel="0" collapsed="false">
      <c r="A274" s="22" t="s">
        <v>187</v>
      </c>
      <c r="B274" s="22" t="s">
        <v>3</v>
      </c>
      <c r="C274" s="22" t="s">
        <v>187</v>
      </c>
      <c r="D274" s="22" t="n">
        <v>235300</v>
      </c>
      <c r="E274" s="22" t="s">
        <v>136</v>
      </c>
      <c r="F274" s="22" t="s">
        <v>681</v>
      </c>
      <c r="G274" s="22" t="s">
        <v>131</v>
      </c>
      <c r="H274" s="22" t="s">
        <v>131</v>
      </c>
      <c r="I274" s="22" t="n">
        <v>891</v>
      </c>
      <c r="J274" s="22" t="n">
        <v>1042</v>
      </c>
      <c r="K274" s="22" t="n">
        <v>1166</v>
      </c>
      <c r="L274" s="22" t="n">
        <v>715</v>
      </c>
      <c r="M274" s="22" t="n">
        <v>1208</v>
      </c>
      <c r="N274" s="22" t="n">
        <v>1130</v>
      </c>
      <c r="O274" s="22" t="n">
        <v>976</v>
      </c>
      <c r="P274" s="22" t="n">
        <v>921</v>
      </c>
      <c r="Q274" s="22" t="n">
        <v>739</v>
      </c>
      <c r="R274" s="22" t="n">
        <v>738</v>
      </c>
      <c r="S274" s="22" t="n">
        <v>648</v>
      </c>
      <c r="T274" s="22" t="n">
        <v>839</v>
      </c>
      <c r="U274" s="22" t="n">
        <v>497</v>
      </c>
      <c r="V274" s="22" t="n">
        <v>489</v>
      </c>
      <c r="W274" s="22" t="n">
        <v>379</v>
      </c>
      <c r="X274" s="22" t="n">
        <v>118</v>
      </c>
      <c r="Y274" s="22" t="n">
        <v>370</v>
      </c>
      <c r="Z274" s="22" t="n">
        <v>442</v>
      </c>
      <c r="AA274" s="22" t="n">
        <v>486</v>
      </c>
      <c r="AB274" s="22" t="n">
        <v>464</v>
      </c>
      <c r="AC274" s="22" t="n">
        <v>374</v>
      </c>
      <c r="AD274" s="22"/>
      <c r="AE274" s="22"/>
      <c r="AF274" s="22"/>
    </row>
    <row r="275" customFormat="false" ht="15" hidden="false" customHeight="false" outlineLevel="0" collapsed="false">
      <c r="A275" s="22" t="s">
        <v>83</v>
      </c>
      <c r="B275" s="22" t="s">
        <v>3</v>
      </c>
      <c r="C275" s="22" t="s">
        <v>83</v>
      </c>
      <c r="D275" s="22" t="n">
        <v>235380</v>
      </c>
      <c r="E275" s="22" t="s">
        <v>132</v>
      </c>
      <c r="F275" s="22" t="s">
        <v>133</v>
      </c>
      <c r="G275" s="22" t="s">
        <v>131</v>
      </c>
      <c r="H275" s="22" t="s">
        <v>131</v>
      </c>
      <c r="I275" s="22" t="n">
        <v>82186</v>
      </c>
      <c r="J275" s="22" t="n">
        <v>82293</v>
      </c>
      <c r="K275" s="22" t="n">
        <v>82293</v>
      </c>
      <c r="L275" s="22" t="n">
        <v>82293</v>
      </c>
      <c r="M275" s="22" t="n">
        <v>82364</v>
      </c>
      <c r="N275" s="22" t="n">
        <v>82580</v>
      </c>
      <c r="O275" s="22" t="n">
        <v>82760</v>
      </c>
      <c r="P275" s="22" t="n">
        <v>82787</v>
      </c>
      <c r="Q275" s="22" t="n">
        <v>82871</v>
      </c>
      <c r="R275" s="22" t="n">
        <v>82906</v>
      </c>
      <c r="S275" s="22" t="n">
        <v>82906</v>
      </c>
      <c r="T275" s="22" t="n">
        <v>82942</v>
      </c>
      <c r="U275" s="22" t="n">
        <v>82979</v>
      </c>
      <c r="V275" s="22" t="n">
        <v>82979</v>
      </c>
      <c r="W275" s="22" t="n">
        <v>83278</v>
      </c>
      <c r="X275" s="22" t="n">
        <v>83368</v>
      </c>
      <c r="Y275" s="22" t="n">
        <v>83428</v>
      </c>
      <c r="Z275" s="22" t="n">
        <v>83488</v>
      </c>
      <c r="AA275" s="22" t="n">
        <v>83548</v>
      </c>
      <c r="AB275" s="22" t="n">
        <v>83568</v>
      </c>
      <c r="AC275" s="22" t="n">
        <v>83568</v>
      </c>
      <c r="AD275" s="22" t="n">
        <v>83568</v>
      </c>
      <c r="AE275" s="22" t="n">
        <v>83568</v>
      </c>
      <c r="AF275" s="22" t="n">
        <v>83628</v>
      </c>
    </row>
    <row r="276" customFormat="false" ht="15" hidden="false" customHeight="false" outlineLevel="0" collapsed="false">
      <c r="A276" s="22" t="s">
        <v>83</v>
      </c>
      <c r="B276" s="22" t="s">
        <v>3</v>
      </c>
      <c r="C276" s="22" t="s">
        <v>83</v>
      </c>
      <c r="D276" s="22" t="n">
        <v>235380</v>
      </c>
      <c r="E276" s="22" t="s">
        <v>136</v>
      </c>
      <c r="F276" s="22" t="s">
        <v>680</v>
      </c>
      <c r="G276" s="22" t="s">
        <v>131</v>
      </c>
      <c r="H276" s="22" t="s">
        <v>131</v>
      </c>
      <c r="I276" s="22" t="n">
        <v>360</v>
      </c>
      <c r="J276" s="22" t="n">
        <v>0</v>
      </c>
      <c r="K276" s="22" t="n">
        <v>270</v>
      </c>
      <c r="L276" s="22" t="n">
        <v>0</v>
      </c>
      <c r="M276" s="22" t="n">
        <v>86</v>
      </c>
      <c r="N276" s="22" t="n">
        <v>0</v>
      </c>
      <c r="O276" s="22" t="n">
        <v>0</v>
      </c>
      <c r="P276" s="22" t="n">
        <v>59</v>
      </c>
      <c r="Q276" s="22" t="n">
        <v>0</v>
      </c>
      <c r="R276" s="22" t="n">
        <v>260</v>
      </c>
      <c r="S276" s="22" t="n">
        <v>0</v>
      </c>
      <c r="T276" s="22" t="n">
        <v>0</v>
      </c>
      <c r="U276" s="22" t="n">
        <v>0</v>
      </c>
      <c r="V276" s="22" t="n">
        <v>0</v>
      </c>
      <c r="W276" s="22" t="n">
        <v>0</v>
      </c>
      <c r="X276" s="22" t="n">
        <v>0</v>
      </c>
      <c r="Y276" s="22" t="n">
        <v>0</v>
      </c>
      <c r="Z276" s="22" t="n">
        <v>60</v>
      </c>
      <c r="AA276" s="22" t="n">
        <v>0</v>
      </c>
      <c r="AB276" s="22" t="n">
        <v>0</v>
      </c>
      <c r="AC276" s="22" t="n">
        <v>251</v>
      </c>
      <c r="AD276" s="22"/>
      <c r="AE276" s="22"/>
      <c r="AF276" s="22"/>
    </row>
    <row r="277" customFormat="false" ht="15" hidden="false" customHeight="false" outlineLevel="0" collapsed="false">
      <c r="A277" s="22" t="s">
        <v>83</v>
      </c>
      <c r="B277" s="22" t="s">
        <v>3</v>
      </c>
      <c r="C277" s="22" t="s">
        <v>83</v>
      </c>
      <c r="D277" s="22" t="n">
        <v>235380</v>
      </c>
      <c r="E277" s="22" t="s">
        <v>136</v>
      </c>
      <c r="F277" s="22" t="s">
        <v>681</v>
      </c>
      <c r="G277" s="22" t="s">
        <v>131</v>
      </c>
      <c r="H277" s="22" t="s">
        <v>131</v>
      </c>
      <c r="I277" s="22" t="n">
        <v>672</v>
      </c>
      <c r="J277" s="22" t="n">
        <v>529</v>
      </c>
      <c r="K277" s="22" t="n">
        <v>799</v>
      </c>
      <c r="L277" s="22" t="n">
        <v>630</v>
      </c>
      <c r="M277" s="22" t="n">
        <v>356</v>
      </c>
      <c r="N277" s="22" t="n">
        <v>356</v>
      </c>
      <c r="O277" s="22" t="n">
        <v>86</v>
      </c>
      <c r="P277" s="22" t="n">
        <v>145</v>
      </c>
      <c r="Q277" s="22" t="n">
        <v>59</v>
      </c>
      <c r="R277" s="22" t="n">
        <v>319</v>
      </c>
      <c r="S277" s="22" t="n">
        <v>319</v>
      </c>
      <c r="T277" s="22" t="n">
        <v>260</v>
      </c>
      <c r="U277" s="22" t="n">
        <v>260</v>
      </c>
      <c r="V277" s="22" t="n">
        <v>0</v>
      </c>
      <c r="W277" s="22" t="n">
        <v>0</v>
      </c>
      <c r="X277" s="22" t="n">
        <v>0</v>
      </c>
      <c r="Y277" s="22" t="n">
        <v>0</v>
      </c>
      <c r="Z277" s="22" t="n">
        <v>60</v>
      </c>
      <c r="AA277" s="22" t="n">
        <v>60</v>
      </c>
      <c r="AB277" s="22" t="n">
        <v>60</v>
      </c>
      <c r="AC277" s="22" t="n">
        <v>311</v>
      </c>
      <c r="AD277" s="22"/>
      <c r="AE277" s="22"/>
      <c r="AF277" s="22"/>
    </row>
    <row r="278" customFormat="false" ht="15" hidden="false" customHeight="false" outlineLevel="0" collapsed="false">
      <c r="A278" s="22" t="s">
        <v>188</v>
      </c>
      <c r="B278" s="22" t="s">
        <v>3</v>
      </c>
      <c r="C278" s="22" t="s">
        <v>188</v>
      </c>
      <c r="D278" s="22" t="n">
        <v>235614</v>
      </c>
      <c r="E278" s="22" t="s">
        <v>132</v>
      </c>
      <c r="F278" s="22" t="s">
        <v>133</v>
      </c>
      <c r="G278" s="22" t="s">
        <v>131</v>
      </c>
      <c r="H278" s="22" t="s">
        <v>131</v>
      </c>
      <c r="I278" s="22" t="n">
        <v>1907759</v>
      </c>
      <c r="J278" s="22" t="n">
        <v>1910099</v>
      </c>
      <c r="K278" s="22" t="n">
        <v>1909954</v>
      </c>
      <c r="L278" s="22" t="n">
        <v>1912225</v>
      </c>
      <c r="M278" s="22" t="n">
        <v>1914490</v>
      </c>
      <c r="N278" s="22" t="n">
        <v>1917652</v>
      </c>
      <c r="O278" s="22" t="n">
        <v>1921699</v>
      </c>
      <c r="P278" s="22" t="n">
        <v>1922770</v>
      </c>
      <c r="Q278" s="22" t="n">
        <v>1926185</v>
      </c>
      <c r="R278" s="22" t="n">
        <v>1929204</v>
      </c>
      <c r="S278" s="22" t="n">
        <v>1931714</v>
      </c>
      <c r="T278" s="22" t="n">
        <v>1934257</v>
      </c>
      <c r="U278" s="22" t="n">
        <v>1938411</v>
      </c>
      <c r="V278" s="22" t="n">
        <v>1944489</v>
      </c>
      <c r="W278" s="22" t="n">
        <v>1949973</v>
      </c>
      <c r="X278" s="22" t="n">
        <v>1954580</v>
      </c>
      <c r="Y278" s="22" t="n">
        <v>1961266</v>
      </c>
      <c r="Z278" s="22" t="n">
        <v>1968633</v>
      </c>
      <c r="AA278" s="22" t="n">
        <v>1974840</v>
      </c>
      <c r="AB278" s="22" t="n">
        <v>1978088</v>
      </c>
      <c r="AC278" s="22" t="n">
        <v>1979840</v>
      </c>
      <c r="AD278" s="22" t="n">
        <v>1983656</v>
      </c>
      <c r="AE278" s="22" t="n">
        <v>1989970</v>
      </c>
      <c r="AF278" s="22" t="n">
        <v>1992699</v>
      </c>
    </row>
    <row r="279" customFormat="false" ht="15" hidden="false" customHeight="false" outlineLevel="0" collapsed="false">
      <c r="A279" s="22" t="s">
        <v>188</v>
      </c>
      <c r="B279" s="22" t="s">
        <v>3</v>
      </c>
      <c r="C279" s="22" t="s">
        <v>188</v>
      </c>
      <c r="D279" s="22" t="n">
        <v>235614</v>
      </c>
      <c r="E279" s="22" t="s">
        <v>136</v>
      </c>
      <c r="F279" s="22" t="s">
        <v>680</v>
      </c>
      <c r="G279" s="22" t="s">
        <v>131</v>
      </c>
      <c r="H279" s="22" t="s">
        <v>131</v>
      </c>
      <c r="I279" s="22" t="n">
        <v>3646</v>
      </c>
      <c r="J279" s="22" t="n">
        <v>2619</v>
      </c>
      <c r="K279" s="22" t="n">
        <v>3465</v>
      </c>
      <c r="L279" s="22" t="n">
        <v>3803</v>
      </c>
      <c r="M279" s="22" t="n">
        <v>4930</v>
      </c>
      <c r="N279" s="22" t="n">
        <v>8755</v>
      </c>
      <c r="O279" s="22" t="n">
        <v>3981</v>
      </c>
      <c r="P279" s="22" t="n">
        <v>3452</v>
      </c>
      <c r="Q279" s="22" t="n">
        <v>5504</v>
      </c>
      <c r="R279" s="22" t="n">
        <v>4376</v>
      </c>
      <c r="S279" s="22" t="n">
        <v>3508</v>
      </c>
      <c r="T279" s="22" t="n">
        <v>4923</v>
      </c>
      <c r="U279" s="22" t="n">
        <v>3544</v>
      </c>
      <c r="V279" s="22" t="n">
        <v>2873</v>
      </c>
      <c r="W279" s="22" t="n">
        <v>2777</v>
      </c>
      <c r="X279" s="22" t="n">
        <v>3681</v>
      </c>
      <c r="Y279" s="22" t="n">
        <v>1627</v>
      </c>
      <c r="Z279" s="22" t="n">
        <v>6507</v>
      </c>
      <c r="AA279" s="22" t="n">
        <v>3792</v>
      </c>
      <c r="AB279" s="22" t="n">
        <v>1979</v>
      </c>
      <c r="AC279" s="22" t="n">
        <v>1427</v>
      </c>
      <c r="AD279" s="22"/>
      <c r="AE279" s="22"/>
      <c r="AF279" s="22"/>
    </row>
    <row r="280" customFormat="false" ht="15" hidden="false" customHeight="false" outlineLevel="0" collapsed="false">
      <c r="A280" s="22" t="s">
        <v>188</v>
      </c>
      <c r="B280" s="22" t="s">
        <v>3</v>
      </c>
      <c r="C280" s="22" t="s">
        <v>188</v>
      </c>
      <c r="D280" s="22" t="n">
        <v>235614</v>
      </c>
      <c r="E280" s="22" t="s">
        <v>136</v>
      </c>
      <c r="F280" s="22" t="s">
        <v>681</v>
      </c>
      <c r="G280" s="22" t="s">
        <v>131</v>
      </c>
      <c r="H280" s="22" t="s">
        <v>131</v>
      </c>
      <c r="I280" s="22" t="n">
        <v>10572</v>
      </c>
      <c r="J280" s="22" t="n">
        <v>11370</v>
      </c>
      <c r="K280" s="22" t="n">
        <v>12193</v>
      </c>
      <c r="L280" s="22" t="n">
        <v>13533</v>
      </c>
      <c r="M280" s="22" t="n">
        <v>14817</v>
      </c>
      <c r="N280" s="22" t="n">
        <v>20953</v>
      </c>
      <c r="O280" s="22" t="n">
        <v>21469</v>
      </c>
      <c r="P280" s="22" t="n">
        <v>21118</v>
      </c>
      <c r="Q280" s="22" t="n">
        <v>21692</v>
      </c>
      <c r="R280" s="22" t="n">
        <v>17313</v>
      </c>
      <c r="S280" s="22" t="n">
        <v>16840</v>
      </c>
      <c r="T280" s="22" t="n">
        <v>18311</v>
      </c>
      <c r="U280" s="22" t="n">
        <v>16351</v>
      </c>
      <c r="V280" s="22" t="n">
        <v>14848</v>
      </c>
      <c r="W280" s="22" t="n">
        <v>14117</v>
      </c>
      <c r="X280" s="22" t="n">
        <v>12875</v>
      </c>
      <c r="Y280" s="22" t="n">
        <v>10958</v>
      </c>
      <c r="Z280" s="22" t="n">
        <v>14592</v>
      </c>
      <c r="AA280" s="22" t="n">
        <v>15607</v>
      </c>
      <c r="AB280" s="22" t="n">
        <v>13905</v>
      </c>
      <c r="AC280" s="22" t="n">
        <v>13705</v>
      </c>
      <c r="AD280" s="22"/>
      <c r="AE280" s="22"/>
      <c r="AF280" s="22"/>
    </row>
    <row r="281" customFormat="false" ht="15" hidden="false" customHeight="false" outlineLevel="0" collapsed="false">
      <c r="A281" s="22" t="s">
        <v>189</v>
      </c>
      <c r="B281" s="22" t="s">
        <v>3</v>
      </c>
      <c r="C281" s="22" t="s">
        <v>189</v>
      </c>
      <c r="D281" s="22" t="n">
        <v>235840</v>
      </c>
      <c r="E281" s="22" t="s">
        <v>132</v>
      </c>
      <c r="F281" s="22" t="s">
        <v>133</v>
      </c>
      <c r="G281" s="22" t="s">
        <v>131</v>
      </c>
      <c r="H281" s="22" t="s">
        <v>131</v>
      </c>
      <c r="I281" s="22" t="n">
        <v>61781</v>
      </c>
      <c r="J281" s="22" t="n">
        <v>62400</v>
      </c>
      <c r="K281" s="22" t="n">
        <v>62694</v>
      </c>
      <c r="L281" s="22" t="n">
        <v>62929</v>
      </c>
      <c r="M281" s="22" t="n">
        <v>63213</v>
      </c>
      <c r="N281" s="22" t="n">
        <v>63359</v>
      </c>
      <c r="O281" s="22" t="n">
        <v>63840</v>
      </c>
      <c r="P281" s="22" t="n">
        <v>64312</v>
      </c>
      <c r="Q281" s="22" t="n">
        <v>65324</v>
      </c>
      <c r="R281" s="22" t="n">
        <v>66292</v>
      </c>
      <c r="S281" s="22" t="n">
        <v>66942</v>
      </c>
      <c r="T281" s="22" t="n">
        <v>67871</v>
      </c>
      <c r="U281" s="22" t="n">
        <v>69805</v>
      </c>
      <c r="V281" s="22" t="n">
        <v>70970</v>
      </c>
      <c r="W281" s="22" t="n">
        <v>72327</v>
      </c>
      <c r="X281" s="22" t="n">
        <v>73411</v>
      </c>
      <c r="Y281" s="22" t="n">
        <v>74484</v>
      </c>
      <c r="Z281" s="22" t="n">
        <v>75864</v>
      </c>
      <c r="AA281" s="22" t="n">
        <v>77169</v>
      </c>
      <c r="AB281" s="22" t="n">
        <v>77951</v>
      </c>
      <c r="AC281" s="22" t="n">
        <v>78523</v>
      </c>
      <c r="AD281" s="22" t="n">
        <v>79541</v>
      </c>
      <c r="AE281" s="22" t="n">
        <v>80603</v>
      </c>
      <c r="AF281" s="22" t="n">
        <v>81548</v>
      </c>
    </row>
    <row r="282" customFormat="false" ht="15" hidden="false" customHeight="false" outlineLevel="0" collapsed="false">
      <c r="A282" s="22" t="s">
        <v>189</v>
      </c>
      <c r="B282" s="22" t="s">
        <v>3</v>
      </c>
      <c r="C282" s="22" t="s">
        <v>189</v>
      </c>
      <c r="D282" s="22" t="n">
        <v>235840</v>
      </c>
      <c r="E282" s="22" t="s">
        <v>136</v>
      </c>
      <c r="F282" s="22" t="s">
        <v>680</v>
      </c>
      <c r="G282" s="22" t="s">
        <v>131</v>
      </c>
      <c r="H282" s="22" t="s">
        <v>131</v>
      </c>
      <c r="I282" s="22" t="n">
        <v>507</v>
      </c>
      <c r="J282" s="22" t="n">
        <v>962</v>
      </c>
      <c r="K282" s="22" t="n">
        <v>1362</v>
      </c>
      <c r="L282" s="22" t="n">
        <v>3448</v>
      </c>
      <c r="M282" s="22" t="n">
        <v>419</v>
      </c>
      <c r="N282" s="22" t="n">
        <v>862</v>
      </c>
      <c r="O282" s="22" t="n">
        <v>879</v>
      </c>
      <c r="P282" s="22" t="n">
        <v>1476</v>
      </c>
      <c r="Q282" s="22" t="n">
        <v>312</v>
      </c>
      <c r="R282" s="22" t="n">
        <v>641</v>
      </c>
      <c r="S282" s="22" t="n">
        <v>1231</v>
      </c>
      <c r="T282" s="22" t="n">
        <v>947</v>
      </c>
      <c r="U282" s="22" t="n">
        <v>913</v>
      </c>
      <c r="V282" s="22" t="n">
        <v>1059</v>
      </c>
      <c r="W282" s="22" t="n">
        <v>340</v>
      </c>
      <c r="X282" s="22" t="n">
        <v>1352</v>
      </c>
      <c r="Y282" s="22" t="n">
        <v>971</v>
      </c>
      <c r="Z282" s="22" t="n">
        <v>1503</v>
      </c>
      <c r="AA282" s="22" t="n">
        <v>1205</v>
      </c>
      <c r="AB282" s="22" t="n">
        <v>200</v>
      </c>
      <c r="AC282" s="22" t="n">
        <v>96</v>
      </c>
      <c r="AD282" s="22"/>
      <c r="AE282" s="22"/>
      <c r="AF282" s="22"/>
    </row>
    <row r="283" customFormat="false" ht="15" hidden="false" customHeight="false" outlineLevel="0" collapsed="false">
      <c r="A283" s="22" t="s">
        <v>189</v>
      </c>
      <c r="B283" s="22" t="s">
        <v>3</v>
      </c>
      <c r="C283" s="22" t="s">
        <v>189</v>
      </c>
      <c r="D283" s="22" t="n">
        <v>235840</v>
      </c>
      <c r="E283" s="22" t="s">
        <v>136</v>
      </c>
      <c r="F283" s="22" t="s">
        <v>681</v>
      </c>
      <c r="G283" s="22" t="s">
        <v>131</v>
      </c>
      <c r="H283" s="22" t="s">
        <v>131</v>
      </c>
      <c r="I283" s="22" t="n">
        <v>1769</v>
      </c>
      <c r="J283" s="22" t="n">
        <v>2093</v>
      </c>
      <c r="K283" s="22" t="n">
        <v>3335</v>
      </c>
      <c r="L283" s="22" t="n">
        <v>6279</v>
      </c>
      <c r="M283" s="22" t="n">
        <v>6191</v>
      </c>
      <c r="N283" s="22" t="n">
        <v>6091</v>
      </c>
      <c r="O283" s="22" t="n">
        <v>5608</v>
      </c>
      <c r="P283" s="22" t="n">
        <v>3636</v>
      </c>
      <c r="Q283" s="22" t="n">
        <v>3529</v>
      </c>
      <c r="R283" s="22" t="n">
        <v>3308</v>
      </c>
      <c r="S283" s="22" t="n">
        <v>3660</v>
      </c>
      <c r="T283" s="22" t="n">
        <v>3131</v>
      </c>
      <c r="U283" s="22" t="n">
        <v>3732</v>
      </c>
      <c r="V283" s="22" t="n">
        <v>4150</v>
      </c>
      <c r="W283" s="22" t="n">
        <v>3259</v>
      </c>
      <c r="X283" s="22" t="n">
        <v>3664</v>
      </c>
      <c r="Y283" s="22" t="n">
        <v>3722</v>
      </c>
      <c r="Z283" s="22" t="n">
        <v>4166</v>
      </c>
      <c r="AA283" s="22" t="n">
        <v>5031</v>
      </c>
      <c r="AB283" s="22" t="n">
        <v>3879</v>
      </c>
      <c r="AC283" s="22" t="n">
        <v>3004</v>
      </c>
      <c r="AD283" s="22"/>
      <c r="AE283" s="22"/>
      <c r="AF283" s="22"/>
    </row>
    <row r="284" customFormat="false" ht="15" hidden="false" customHeight="false" outlineLevel="0" collapsed="false">
      <c r="A284" s="22" t="s">
        <v>190</v>
      </c>
      <c r="B284" s="22" t="s">
        <v>3</v>
      </c>
      <c r="C284" s="22" t="s">
        <v>190</v>
      </c>
      <c r="D284" s="22" t="n">
        <v>36084</v>
      </c>
      <c r="E284" s="22" t="s">
        <v>132</v>
      </c>
      <c r="F284" s="22" t="s">
        <v>133</v>
      </c>
      <c r="G284" s="22" t="s">
        <v>131</v>
      </c>
      <c r="H284" s="22" t="s">
        <v>131</v>
      </c>
      <c r="I284" s="22" t="n">
        <v>214349</v>
      </c>
      <c r="J284" s="22" t="n">
        <v>214829</v>
      </c>
      <c r="K284" s="22" t="n">
        <v>214953</v>
      </c>
      <c r="L284" s="22" t="n">
        <v>215546</v>
      </c>
      <c r="M284" s="22" t="n">
        <v>216178</v>
      </c>
      <c r="N284" s="22" t="n">
        <v>217961</v>
      </c>
      <c r="O284" s="22" t="n">
        <v>218913</v>
      </c>
      <c r="P284" s="22" t="n">
        <v>219323</v>
      </c>
      <c r="Q284" s="22" t="n">
        <v>220032</v>
      </c>
      <c r="R284" s="22" t="n">
        <v>221030</v>
      </c>
      <c r="S284" s="22" t="n">
        <v>221584</v>
      </c>
      <c r="T284" s="22" t="n">
        <v>221648</v>
      </c>
      <c r="U284" s="22" t="n">
        <v>222471</v>
      </c>
      <c r="V284" s="22" t="n">
        <v>223118</v>
      </c>
      <c r="W284" s="22" t="n">
        <v>223403</v>
      </c>
      <c r="X284" s="22" t="n">
        <v>223804</v>
      </c>
      <c r="Y284" s="22" t="n">
        <v>224241</v>
      </c>
      <c r="Z284" s="22" t="n">
        <v>224333</v>
      </c>
      <c r="AA284" s="22" t="n">
        <v>224552</v>
      </c>
      <c r="AB284" s="22" t="n">
        <v>224685</v>
      </c>
      <c r="AC284" s="22" t="n">
        <v>224611</v>
      </c>
      <c r="AD284" s="22" t="n">
        <v>224795</v>
      </c>
      <c r="AE284" s="22" t="n">
        <v>224806</v>
      </c>
      <c r="AF284" s="22" t="n">
        <v>224806</v>
      </c>
    </row>
    <row r="285" customFormat="false" ht="15" hidden="false" customHeight="false" outlineLevel="0" collapsed="false">
      <c r="A285" s="22" t="s">
        <v>190</v>
      </c>
      <c r="B285" s="22" t="s">
        <v>3</v>
      </c>
      <c r="C285" s="22" t="s">
        <v>190</v>
      </c>
      <c r="D285" s="22" t="n">
        <v>36084</v>
      </c>
      <c r="E285" s="22" t="s">
        <v>136</v>
      </c>
      <c r="F285" s="22" t="s">
        <v>680</v>
      </c>
      <c r="G285" s="22" t="s">
        <v>131</v>
      </c>
      <c r="H285" s="22" t="s">
        <v>131</v>
      </c>
      <c r="I285" s="22" t="n">
        <v>474</v>
      </c>
      <c r="J285" s="22" t="n">
        <v>708</v>
      </c>
      <c r="K285" s="22" t="n">
        <v>859</v>
      </c>
      <c r="L285" s="22" t="n">
        <v>61</v>
      </c>
      <c r="M285" s="22" t="n">
        <v>370</v>
      </c>
      <c r="N285" s="22" t="n">
        <v>950</v>
      </c>
      <c r="O285" s="22" t="n">
        <v>140</v>
      </c>
      <c r="P285" s="22" t="n">
        <v>0</v>
      </c>
      <c r="Q285" s="22" t="n">
        <v>117</v>
      </c>
      <c r="R285" s="22" t="n">
        <v>166</v>
      </c>
      <c r="S285" s="22" t="n">
        <v>107</v>
      </c>
      <c r="T285" s="22" t="n">
        <v>0</v>
      </c>
      <c r="U285" s="22" t="n">
        <v>512</v>
      </c>
      <c r="V285" s="22" t="n">
        <v>0</v>
      </c>
      <c r="W285" s="22" t="n">
        <v>22</v>
      </c>
      <c r="X285" s="22" t="n">
        <v>0</v>
      </c>
      <c r="Y285" s="22" t="n">
        <v>324</v>
      </c>
      <c r="Z285" s="22" t="n">
        <v>57</v>
      </c>
      <c r="AA285" s="22" t="n">
        <v>539</v>
      </c>
      <c r="AB285" s="22" t="n">
        <v>0</v>
      </c>
      <c r="AC285" s="22" t="n">
        <v>0</v>
      </c>
      <c r="AD285" s="22"/>
      <c r="AE285" s="22"/>
      <c r="AF285" s="22"/>
    </row>
    <row r="286" customFormat="false" ht="15" hidden="false" customHeight="false" outlineLevel="0" collapsed="false">
      <c r="A286" s="22" t="s">
        <v>190</v>
      </c>
      <c r="B286" s="22" t="s">
        <v>3</v>
      </c>
      <c r="C286" s="22" t="s">
        <v>190</v>
      </c>
      <c r="D286" s="22" t="n">
        <v>36084</v>
      </c>
      <c r="E286" s="22" t="s">
        <v>136</v>
      </c>
      <c r="F286" s="22" t="s">
        <v>681</v>
      </c>
      <c r="G286" s="22" t="s">
        <v>131</v>
      </c>
      <c r="H286" s="22" t="s">
        <v>131</v>
      </c>
      <c r="I286" s="22" t="n">
        <v>1441</v>
      </c>
      <c r="J286" s="22" t="n">
        <v>1864</v>
      </c>
      <c r="K286" s="22" t="n">
        <v>2635</v>
      </c>
      <c r="L286" s="22" t="n">
        <v>2102</v>
      </c>
      <c r="M286" s="22" t="n">
        <v>1998</v>
      </c>
      <c r="N286" s="22" t="n">
        <v>2240</v>
      </c>
      <c r="O286" s="22" t="n">
        <v>1521</v>
      </c>
      <c r="P286" s="22" t="n">
        <v>1460</v>
      </c>
      <c r="Q286" s="22" t="n">
        <v>1207</v>
      </c>
      <c r="R286" s="22" t="n">
        <v>423</v>
      </c>
      <c r="S286" s="22" t="n">
        <v>390</v>
      </c>
      <c r="T286" s="22" t="n">
        <v>390</v>
      </c>
      <c r="U286" s="22" t="n">
        <v>785</v>
      </c>
      <c r="V286" s="22" t="n">
        <v>619</v>
      </c>
      <c r="W286" s="22" t="n">
        <v>534</v>
      </c>
      <c r="X286" s="22" t="n">
        <v>534</v>
      </c>
      <c r="Y286" s="22" t="n">
        <v>346</v>
      </c>
      <c r="Z286" s="22" t="n">
        <v>403</v>
      </c>
      <c r="AA286" s="22" t="n">
        <v>920</v>
      </c>
      <c r="AB286" s="22" t="n">
        <v>920</v>
      </c>
      <c r="AC286" s="22" t="n">
        <v>596</v>
      </c>
      <c r="AD286" s="22"/>
      <c r="AE286" s="22"/>
      <c r="AF286" s="22"/>
    </row>
    <row r="287" customFormat="false" ht="15" hidden="false" customHeight="false" outlineLevel="0" collapsed="false">
      <c r="A287" s="22" t="s">
        <v>58</v>
      </c>
      <c r="B287" s="22" t="s">
        <v>3</v>
      </c>
      <c r="C287" s="22" t="s">
        <v>58</v>
      </c>
      <c r="D287" s="22" t="n">
        <v>36420</v>
      </c>
      <c r="E287" s="22" t="s">
        <v>132</v>
      </c>
      <c r="F287" s="22" t="s">
        <v>133</v>
      </c>
      <c r="G287" s="22" t="s">
        <v>131</v>
      </c>
      <c r="H287" s="22" t="s">
        <v>131</v>
      </c>
      <c r="I287" s="22" t="n">
        <v>99019</v>
      </c>
      <c r="J287" s="22" t="n">
        <v>99503</v>
      </c>
      <c r="K287" s="22" t="n">
        <v>99630</v>
      </c>
      <c r="L287" s="22" t="n">
        <v>99847</v>
      </c>
      <c r="M287" s="22" t="n">
        <v>99857</v>
      </c>
      <c r="N287" s="22" t="n">
        <v>100236</v>
      </c>
      <c r="O287" s="22" t="n">
        <v>100418</v>
      </c>
      <c r="P287" s="22" t="n">
        <v>100598</v>
      </c>
      <c r="Q287" s="22" t="n">
        <v>100768</v>
      </c>
      <c r="R287" s="22" t="n">
        <v>100965</v>
      </c>
      <c r="S287" s="22" t="n">
        <v>101282</v>
      </c>
      <c r="T287" s="22" t="n">
        <v>101832</v>
      </c>
      <c r="U287" s="22" t="n">
        <v>102376</v>
      </c>
      <c r="V287" s="22" t="n">
        <v>102907</v>
      </c>
      <c r="W287" s="22" t="n">
        <v>103507</v>
      </c>
      <c r="X287" s="22" t="n">
        <v>103996</v>
      </c>
      <c r="Y287" s="22" t="n">
        <v>104043</v>
      </c>
      <c r="Z287" s="22" t="n">
        <v>104230</v>
      </c>
      <c r="AA287" s="22" t="n">
        <v>104435</v>
      </c>
      <c r="AB287" s="22" t="n">
        <v>104619</v>
      </c>
      <c r="AC287" s="22" t="n">
        <v>104807</v>
      </c>
      <c r="AD287" s="22" t="n">
        <v>104857</v>
      </c>
      <c r="AE287" s="22" t="n">
        <v>104857</v>
      </c>
      <c r="AF287" s="22" t="n">
        <v>104906</v>
      </c>
    </row>
    <row r="288" customFormat="false" ht="15" hidden="false" customHeight="false" outlineLevel="0" collapsed="false">
      <c r="A288" s="22" t="s">
        <v>58</v>
      </c>
      <c r="B288" s="22" t="s">
        <v>3</v>
      </c>
      <c r="C288" s="22" t="s">
        <v>58</v>
      </c>
      <c r="D288" s="22" t="n">
        <v>36420</v>
      </c>
      <c r="E288" s="22" t="s">
        <v>136</v>
      </c>
      <c r="F288" s="22" t="s">
        <v>680</v>
      </c>
      <c r="G288" s="22" t="s">
        <v>131</v>
      </c>
      <c r="H288" s="22" t="s">
        <v>131</v>
      </c>
      <c r="I288" s="22" t="n">
        <v>0</v>
      </c>
      <c r="J288" s="22" t="n">
        <v>605</v>
      </c>
      <c r="K288" s="22" t="n">
        <v>0</v>
      </c>
      <c r="L288" s="22" t="n">
        <v>336</v>
      </c>
      <c r="M288" s="22" t="n">
        <v>325</v>
      </c>
      <c r="N288" s="22" t="n">
        <v>874</v>
      </c>
      <c r="O288" s="22" t="n">
        <v>1056</v>
      </c>
      <c r="P288" s="22" t="n">
        <v>150</v>
      </c>
      <c r="Q288" s="22" t="n">
        <v>0</v>
      </c>
      <c r="R288" s="22" t="n">
        <v>265</v>
      </c>
      <c r="S288" s="22" t="n">
        <v>0</v>
      </c>
      <c r="T288" s="22" t="n">
        <v>0</v>
      </c>
      <c r="U288" s="22" t="n">
        <v>102</v>
      </c>
      <c r="V288" s="22" t="n">
        <v>256</v>
      </c>
      <c r="W288" s="22" t="n">
        <v>199</v>
      </c>
      <c r="X288" s="22" t="n">
        <v>0</v>
      </c>
      <c r="Y288" s="22" t="n">
        <v>296</v>
      </c>
      <c r="Z288" s="22" t="n">
        <v>0</v>
      </c>
      <c r="AA288" s="22" t="n">
        <v>0</v>
      </c>
      <c r="AB288" s="22" t="n">
        <v>0</v>
      </c>
      <c r="AC288" s="22" t="n">
        <v>0</v>
      </c>
      <c r="AD288" s="22"/>
      <c r="AE288" s="22"/>
      <c r="AF288" s="22"/>
    </row>
    <row r="289" customFormat="false" ht="15" hidden="false" customHeight="false" outlineLevel="0" collapsed="false">
      <c r="A289" s="22" t="s">
        <v>58</v>
      </c>
      <c r="B289" s="22" t="s">
        <v>3</v>
      </c>
      <c r="C289" s="22" t="s">
        <v>58</v>
      </c>
      <c r="D289" s="22" t="n">
        <v>36420</v>
      </c>
      <c r="E289" s="22" t="s">
        <v>136</v>
      </c>
      <c r="F289" s="22" t="s">
        <v>681</v>
      </c>
      <c r="G289" s="22" t="s">
        <v>131</v>
      </c>
      <c r="H289" s="22" t="s">
        <v>131</v>
      </c>
      <c r="I289" s="22" t="n">
        <v>546</v>
      </c>
      <c r="J289" s="22" t="n">
        <v>904</v>
      </c>
      <c r="K289" s="22" t="n">
        <v>904</v>
      </c>
      <c r="L289" s="22" t="n">
        <v>941</v>
      </c>
      <c r="M289" s="22" t="n">
        <v>1266</v>
      </c>
      <c r="N289" s="22" t="n">
        <v>1535</v>
      </c>
      <c r="O289" s="22" t="n">
        <v>2591</v>
      </c>
      <c r="P289" s="22" t="n">
        <v>2405</v>
      </c>
      <c r="Q289" s="22" t="n">
        <v>2080</v>
      </c>
      <c r="R289" s="22" t="n">
        <v>1471</v>
      </c>
      <c r="S289" s="22" t="n">
        <v>415</v>
      </c>
      <c r="T289" s="22" t="n">
        <v>265</v>
      </c>
      <c r="U289" s="22" t="n">
        <v>367</v>
      </c>
      <c r="V289" s="22" t="n">
        <v>358</v>
      </c>
      <c r="W289" s="22" t="n">
        <v>557</v>
      </c>
      <c r="X289" s="22" t="n">
        <v>557</v>
      </c>
      <c r="Y289" s="22" t="n">
        <v>751</v>
      </c>
      <c r="Z289" s="22" t="n">
        <v>495</v>
      </c>
      <c r="AA289" s="22" t="n">
        <v>296</v>
      </c>
      <c r="AB289" s="22" t="n">
        <v>296</v>
      </c>
      <c r="AC289" s="22" t="n">
        <v>0</v>
      </c>
      <c r="AD289" s="22"/>
      <c r="AE289" s="22"/>
      <c r="AF289" s="22"/>
    </row>
    <row r="290" customFormat="false" ht="15" hidden="false" customHeight="false" outlineLevel="0" collapsed="false">
      <c r="A290" s="22" t="s">
        <v>34</v>
      </c>
      <c r="B290" s="22" t="s">
        <v>3</v>
      </c>
      <c r="C290" s="22" t="s">
        <v>34</v>
      </c>
      <c r="D290" s="22" t="n">
        <v>36540</v>
      </c>
      <c r="E290" s="22" t="s">
        <v>132</v>
      </c>
      <c r="F290" s="22" t="s">
        <v>133</v>
      </c>
      <c r="G290" s="22" t="s">
        <v>131</v>
      </c>
      <c r="H290" s="22" t="s">
        <v>131</v>
      </c>
      <c r="I290" s="22" t="n">
        <v>84500</v>
      </c>
      <c r="J290" s="22" t="n">
        <v>84148</v>
      </c>
      <c r="K290" s="22" t="n">
        <v>84439</v>
      </c>
      <c r="L290" s="22" t="n">
        <v>84675</v>
      </c>
      <c r="M290" s="22" t="n">
        <v>85189</v>
      </c>
      <c r="N290" s="22" t="n">
        <v>85865</v>
      </c>
      <c r="O290" s="22" t="n">
        <v>86249</v>
      </c>
      <c r="P290" s="22" t="n">
        <v>86224</v>
      </c>
      <c r="Q290" s="22" t="n">
        <v>86894</v>
      </c>
      <c r="R290" s="22" t="n">
        <v>87584</v>
      </c>
      <c r="S290" s="22" t="n">
        <v>88249</v>
      </c>
      <c r="T290" s="22" t="n">
        <v>88751</v>
      </c>
      <c r="U290" s="22" t="n">
        <v>89341</v>
      </c>
      <c r="V290" s="22" t="n">
        <v>90136</v>
      </c>
      <c r="W290" s="22" t="n">
        <v>90649</v>
      </c>
      <c r="X290" s="22" t="n">
        <v>91013</v>
      </c>
      <c r="Y290" s="22" t="n">
        <v>91591</v>
      </c>
      <c r="Z290" s="22" t="n">
        <v>92190</v>
      </c>
      <c r="AA290" s="22" t="n">
        <v>93098</v>
      </c>
      <c r="AB290" s="22" t="n">
        <v>93414</v>
      </c>
      <c r="AC290" s="22" t="n">
        <v>94200</v>
      </c>
      <c r="AD290" s="22" t="n">
        <v>95139</v>
      </c>
      <c r="AE290" s="22" t="n">
        <v>96051</v>
      </c>
      <c r="AF290" s="22" t="n">
        <v>96641</v>
      </c>
    </row>
    <row r="291" customFormat="false" ht="15" hidden="false" customHeight="false" outlineLevel="0" collapsed="false">
      <c r="A291" s="22" t="s">
        <v>34</v>
      </c>
      <c r="B291" s="22" t="s">
        <v>3</v>
      </c>
      <c r="C291" s="22" t="s">
        <v>34</v>
      </c>
      <c r="D291" s="22" t="n">
        <v>36540</v>
      </c>
      <c r="E291" s="22" t="s">
        <v>136</v>
      </c>
      <c r="F291" s="22" t="s">
        <v>680</v>
      </c>
      <c r="G291" s="22" t="s">
        <v>131</v>
      </c>
      <c r="H291" s="22" t="s">
        <v>131</v>
      </c>
      <c r="I291" s="22" t="n">
        <v>553</v>
      </c>
      <c r="J291" s="22" t="n">
        <v>237</v>
      </c>
      <c r="K291" s="22" t="n">
        <v>107</v>
      </c>
      <c r="L291" s="22" t="n">
        <v>550</v>
      </c>
      <c r="M291" s="22" t="n">
        <v>1053</v>
      </c>
      <c r="N291" s="22" t="n">
        <v>614</v>
      </c>
      <c r="O291" s="22" t="n">
        <v>451</v>
      </c>
      <c r="P291" s="22" t="n">
        <v>799</v>
      </c>
      <c r="Q291" s="22" t="n">
        <v>426</v>
      </c>
      <c r="R291" s="22" t="n">
        <v>632</v>
      </c>
      <c r="S291" s="22" t="n">
        <v>723</v>
      </c>
      <c r="T291" s="22" t="n">
        <v>272</v>
      </c>
      <c r="U291" s="22" t="n">
        <v>741</v>
      </c>
      <c r="V291" s="22" t="n">
        <v>745</v>
      </c>
      <c r="W291" s="22" t="n">
        <v>564</v>
      </c>
      <c r="X291" s="22" t="n">
        <v>803</v>
      </c>
      <c r="Y291" s="22" t="n">
        <v>454</v>
      </c>
      <c r="Z291" s="22" t="n">
        <v>2104</v>
      </c>
      <c r="AA291" s="22" t="n">
        <v>485</v>
      </c>
      <c r="AB291" s="22" t="n">
        <v>188</v>
      </c>
      <c r="AC291" s="22" t="n">
        <v>154</v>
      </c>
      <c r="AD291" s="22"/>
      <c r="AE291" s="22"/>
      <c r="AF291" s="22"/>
    </row>
    <row r="292" customFormat="false" ht="15" hidden="false" customHeight="false" outlineLevel="0" collapsed="false">
      <c r="A292" s="22" t="s">
        <v>34</v>
      </c>
      <c r="B292" s="22" t="s">
        <v>3</v>
      </c>
      <c r="C292" s="22" t="s">
        <v>34</v>
      </c>
      <c r="D292" s="22" t="n">
        <v>36540</v>
      </c>
      <c r="E292" s="22" t="s">
        <v>136</v>
      </c>
      <c r="F292" s="22" t="s">
        <v>681</v>
      </c>
      <c r="G292" s="22" t="s">
        <v>131</v>
      </c>
      <c r="H292" s="22" t="s">
        <v>131</v>
      </c>
      <c r="I292" s="22" t="n">
        <v>2328</v>
      </c>
      <c r="J292" s="22" t="n">
        <v>1713</v>
      </c>
      <c r="K292" s="22" t="n">
        <v>1322</v>
      </c>
      <c r="L292" s="22" t="n">
        <v>1447</v>
      </c>
      <c r="M292" s="22" t="n">
        <v>1947</v>
      </c>
      <c r="N292" s="22" t="n">
        <v>2324</v>
      </c>
      <c r="O292" s="22" t="n">
        <v>2668</v>
      </c>
      <c r="P292" s="22" t="n">
        <v>2917</v>
      </c>
      <c r="Q292" s="22" t="n">
        <v>2290</v>
      </c>
      <c r="R292" s="22" t="n">
        <v>2308</v>
      </c>
      <c r="S292" s="22" t="n">
        <v>2580</v>
      </c>
      <c r="T292" s="22" t="n">
        <v>2053</v>
      </c>
      <c r="U292" s="22" t="n">
        <v>2368</v>
      </c>
      <c r="V292" s="22" t="n">
        <v>2481</v>
      </c>
      <c r="W292" s="22" t="n">
        <v>2322</v>
      </c>
      <c r="X292" s="22" t="n">
        <v>2853</v>
      </c>
      <c r="Y292" s="22" t="n">
        <v>2566</v>
      </c>
      <c r="Z292" s="22" t="n">
        <v>3925</v>
      </c>
      <c r="AA292" s="22" t="n">
        <v>3846</v>
      </c>
      <c r="AB292" s="22" t="n">
        <v>3231</v>
      </c>
      <c r="AC292" s="22" t="n">
        <v>2931</v>
      </c>
      <c r="AD292" s="22"/>
      <c r="AE292" s="22"/>
      <c r="AF292" s="22"/>
    </row>
    <row r="293" customFormat="false" ht="15" hidden="false" customHeight="false" outlineLevel="0" collapsed="false">
      <c r="A293" s="22" t="s">
        <v>65</v>
      </c>
      <c r="B293" s="22" t="s">
        <v>3</v>
      </c>
      <c r="C293" s="22" t="s">
        <v>65</v>
      </c>
      <c r="D293" s="22" t="n">
        <v>36740</v>
      </c>
      <c r="E293" s="22" t="s">
        <v>132</v>
      </c>
      <c r="F293" s="22" t="s">
        <v>133</v>
      </c>
      <c r="G293" s="22" t="s">
        <v>131</v>
      </c>
      <c r="H293" s="22" t="s">
        <v>131</v>
      </c>
      <c r="I293" s="22" t="n">
        <v>246722</v>
      </c>
      <c r="J293" s="22" t="n">
        <v>248655</v>
      </c>
      <c r="K293" s="22" t="n">
        <v>251383</v>
      </c>
      <c r="L293" s="22" t="n">
        <v>253381</v>
      </c>
      <c r="M293" s="22" t="n">
        <v>254639</v>
      </c>
      <c r="N293" s="22" t="n">
        <v>256679</v>
      </c>
      <c r="O293" s="22" t="n">
        <v>258728</v>
      </c>
      <c r="P293" s="22" t="n">
        <v>260606</v>
      </c>
      <c r="Q293" s="22" t="n">
        <v>263228</v>
      </c>
      <c r="R293" s="22" t="n">
        <v>266102</v>
      </c>
      <c r="S293" s="22" t="n">
        <v>269699</v>
      </c>
      <c r="T293" s="22" t="n">
        <v>273028</v>
      </c>
      <c r="U293" s="22" t="n">
        <v>276464</v>
      </c>
      <c r="V293" s="22" t="n">
        <v>280518</v>
      </c>
      <c r="W293" s="22" t="n">
        <v>284469</v>
      </c>
      <c r="X293" s="22" t="n">
        <v>286409</v>
      </c>
      <c r="Y293" s="22" t="n">
        <v>288426</v>
      </c>
      <c r="Z293" s="22" t="n">
        <v>291110</v>
      </c>
      <c r="AA293" s="22" t="n">
        <v>294137</v>
      </c>
      <c r="AB293" s="22" t="n">
        <v>295478</v>
      </c>
      <c r="AC293" s="22" t="n">
        <v>297139</v>
      </c>
      <c r="AD293" s="22" t="n">
        <v>298525</v>
      </c>
      <c r="AE293" s="22" t="n">
        <v>300345</v>
      </c>
      <c r="AF293" s="22" t="n">
        <v>302502</v>
      </c>
    </row>
    <row r="294" customFormat="false" ht="15" hidden="false" customHeight="false" outlineLevel="0" collapsed="false">
      <c r="A294" s="22" t="s">
        <v>65</v>
      </c>
      <c r="B294" s="22" t="s">
        <v>3</v>
      </c>
      <c r="C294" s="22" t="s">
        <v>65</v>
      </c>
      <c r="D294" s="22" t="n">
        <v>36740</v>
      </c>
      <c r="E294" s="22" t="s">
        <v>136</v>
      </c>
      <c r="F294" s="22" t="s">
        <v>680</v>
      </c>
      <c r="G294" s="22" t="s">
        <v>131</v>
      </c>
      <c r="H294" s="22" t="s">
        <v>131</v>
      </c>
      <c r="I294" s="22" t="n">
        <v>3329</v>
      </c>
      <c r="J294" s="22" t="n">
        <v>2894</v>
      </c>
      <c r="K294" s="22" t="n">
        <v>2827</v>
      </c>
      <c r="L294" s="22" t="n">
        <v>5218</v>
      </c>
      <c r="M294" s="22" t="n">
        <v>2875</v>
      </c>
      <c r="N294" s="22" t="n">
        <v>3608</v>
      </c>
      <c r="O294" s="22" t="n">
        <v>3145</v>
      </c>
      <c r="P294" s="22" t="n">
        <v>2770</v>
      </c>
      <c r="Q294" s="22" t="n">
        <v>1358</v>
      </c>
      <c r="R294" s="22" t="n">
        <v>2436</v>
      </c>
      <c r="S294" s="22" t="n">
        <v>1833</v>
      </c>
      <c r="T294" s="22" t="n">
        <v>955</v>
      </c>
      <c r="U294" s="22" t="n">
        <v>1505</v>
      </c>
      <c r="V294" s="22" t="n">
        <v>2023</v>
      </c>
      <c r="W294" s="22" t="n">
        <v>1189</v>
      </c>
      <c r="X294" s="22" t="n">
        <v>2930</v>
      </c>
      <c r="Y294" s="22" t="n">
        <v>2304</v>
      </c>
      <c r="Z294" s="22" t="n">
        <v>2044</v>
      </c>
      <c r="AA294" s="22" t="n">
        <v>1976</v>
      </c>
      <c r="AB294" s="22" t="n">
        <v>1460</v>
      </c>
      <c r="AC294" s="22" t="n">
        <v>336</v>
      </c>
      <c r="AD294" s="22"/>
      <c r="AE294" s="22"/>
      <c r="AF294" s="22"/>
    </row>
    <row r="295" customFormat="false" ht="15" hidden="false" customHeight="false" outlineLevel="0" collapsed="false">
      <c r="A295" s="22" t="s">
        <v>65</v>
      </c>
      <c r="B295" s="22" t="s">
        <v>3</v>
      </c>
      <c r="C295" s="22" t="s">
        <v>65</v>
      </c>
      <c r="D295" s="22" t="n">
        <v>36740</v>
      </c>
      <c r="E295" s="22" t="s">
        <v>136</v>
      </c>
      <c r="F295" s="22" t="s">
        <v>681</v>
      </c>
      <c r="G295" s="22" t="s">
        <v>131</v>
      </c>
      <c r="H295" s="22" t="s">
        <v>131</v>
      </c>
      <c r="I295" s="22" t="n">
        <v>9589</v>
      </c>
      <c r="J295" s="22" t="n">
        <v>11148</v>
      </c>
      <c r="K295" s="22" t="n">
        <v>11662</v>
      </c>
      <c r="L295" s="22" t="n">
        <v>14268</v>
      </c>
      <c r="M295" s="22" t="n">
        <v>13814</v>
      </c>
      <c r="N295" s="22" t="n">
        <v>14528</v>
      </c>
      <c r="O295" s="22" t="n">
        <v>14846</v>
      </c>
      <c r="P295" s="22" t="n">
        <v>12398</v>
      </c>
      <c r="Q295" s="22" t="n">
        <v>10881</v>
      </c>
      <c r="R295" s="22" t="n">
        <v>9709</v>
      </c>
      <c r="S295" s="22" t="n">
        <v>8397</v>
      </c>
      <c r="T295" s="22" t="n">
        <v>6582</v>
      </c>
      <c r="U295" s="22" t="n">
        <v>6729</v>
      </c>
      <c r="V295" s="22" t="n">
        <v>6316</v>
      </c>
      <c r="W295" s="22" t="n">
        <v>5672</v>
      </c>
      <c r="X295" s="22" t="n">
        <v>7647</v>
      </c>
      <c r="Y295" s="22" t="n">
        <v>8446</v>
      </c>
      <c r="Z295" s="22" t="n">
        <v>8467</v>
      </c>
      <c r="AA295" s="22" t="n">
        <v>9254</v>
      </c>
      <c r="AB295" s="22" t="n">
        <v>7784</v>
      </c>
      <c r="AC295" s="22" t="n">
        <v>5816</v>
      </c>
      <c r="AD295" s="22"/>
      <c r="AE295" s="22"/>
      <c r="AF295" s="22"/>
    </row>
    <row r="296" customFormat="false" ht="15" hidden="false" customHeight="false" outlineLevel="0" collapsed="false">
      <c r="A296" s="22" t="s">
        <v>191</v>
      </c>
      <c r="B296" s="22" t="s">
        <v>3</v>
      </c>
      <c r="C296" s="22" t="s">
        <v>191</v>
      </c>
      <c r="D296" s="22" t="n">
        <v>37100</v>
      </c>
      <c r="E296" s="22" t="s">
        <v>132</v>
      </c>
      <c r="F296" s="22" t="s">
        <v>133</v>
      </c>
      <c r="G296" s="22" t="s">
        <v>131</v>
      </c>
      <c r="H296" s="22" t="s">
        <v>131</v>
      </c>
      <c r="I296" s="22" t="n">
        <v>42701</v>
      </c>
      <c r="J296" s="22" t="n">
        <v>42737</v>
      </c>
      <c r="K296" s="22" t="n">
        <v>42773</v>
      </c>
      <c r="L296" s="22" t="n">
        <v>42785</v>
      </c>
      <c r="M296" s="22" t="n">
        <v>42881</v>
      </c>
      <c r="N296" s="22" t="n">
        <v>43271</v>
      </c>
      <c r="O296" s="22" t="n">
        <v>43576</v>
      </c>
      <c r="P296" s="22" t="n">
        <v>43793</v>
      </c>
      <c r="Q296" s="22" t="n">
        <v>43850</v>
      </c>
      <c r="R296" s="22" t="n">
        <v>43870</v>
      </c>
      <c r="S296" s="22" t="n">
        <v>43880</v>
      </c>
      <c r="T296" s="22" t="n">
        <v>43984</v>
      </c>
      <c r="U296" s="22" t="n">
        <v>44137</v>
      </c>
      <c r="V296" s="22" t="n">
        <v>44295</v>
      </c>
      <c r="W296" s="22" t="n">
        <v>44441</v>
      </c>
      <c r="X296" s="22" t="n">
        <v>44559</v>
      </c>
      <c r="Y296" s="22" t="n">
        <v>44830</v>
      </c>
      <c r="Z296" s="22" t="n">
        <v>45108</v>
      </c>
      <c r="AA296" s="22" t="n">
        <v>45369</v>
      </c>
      <c r="AB296" s="22" t="n">
        <v>45530</v>
      </c>
      <c r="AC296" s="22" t="n">
        <v>45674</v>
      </c>
      <c r="AD296" s="22" t="n">
        <v>45753</v>
      </c>
      <c r="AE296" s="22" t="n">
        <v>45865</v>
      </c>
      <c r="AF296" s="22" t="n">
        <v>45947</v>
      </c>
    </row>
    <row r="297" customFormat="false" ht="15" hidden="false" customHeight="false" outlineLevel="0" collapsed="false">
      <c r="A297" s="22" t="s">
        <v>191</v>
      </c>
      <c r="B297" s="22" t="s">
        <v>3</v>
      </c>
      <c r="C297" s="22" t="s">
        <v>191</v>
      </c>
      <c r="D297" s="22" t="n">
        <v>37100</v>
      </c>
      <c r="E297" s="22" t="s">
        <v>136</v>
      </c>
      <c r="F297" s="22" t="s">
        <v>680</v>
      </c>
      <c r="G297" s="22" t="s">
        <v>131</v>
      </c>
      <c r="H297" s="22" t="s">
        <v>131</v>
      </c>
      <c r="I297" s="22" t="n">
        <v>448</v>
      </c>
      <c r="J297" s="22" t="n">
        <v>314</v>
      </c>
      <c r="K297" s="22" t="n">
        <v>96</v>
      </c>
      <c r="L297" s="22" t="n">
        <v>30</v>
      </c>
      <c r="M297" s="22" t="n">
        <v>310</v>
      </c>
      <c r="N297" s="22" t="n">
        <v>0</v>
      </c>
      <c r="O297" s="22" t="n">
        <v>0</v>
      </c>
      <c r="P297" s="22" t="n">
        <v>0</v>
      </c>
      <c r="Q297" s="22" t="n">
        <v>0</v>
      </c>
      <c r="R297" s="22" t="n">
        <v>0</v>
      </c>
      <c r="S297" s="22" t="n">
        <v>821</v>
      </c>
      <c r="T297" s="22" t="n">
        <v>0</v>
      </c>
      <c r="U297" s="22" t="n">
        <v>0</v>
      </c>
      <c r="V297" s="22" t="n">
        <v>0</v>
      </c>
      <c r="W297" s="22" t="n">
        <v>302</v>
      </c>
      <c r="X297" s="22" t="n">
        <v>66</v>
      </c>
      <c r="Y297" s="22" t="n">
        <v>0</v>
      </c>
      <c r="Z297" s="22" t="n">
        <v>753</v>
      </c>
      <c r="AA297" s="22" t="n">
        <v>0</v>
      </c>
      <c r="AB297" s="22" t="n">
        <v>0</v>
      </c>
      <c r="AC297" s="22" t="n">
        <v>0</v>
      </c>
      <c r="AD297" s="22"/>
      <c r="AE297" s="22"/>
      <c r="AF297" s="22"/>
    </row>
    <row r="298" customFormat="false" ht="15" hidden="false" customHeight="false" outlineLevel="0" collapsed="false">
      <c r="A298" s="22" t="s">
        <v>191</v>
      </c>
      <c r="B298" s="22" t="s">
        <v>3</v>
      </c>
      <c r="C298" s="22" t="s">
        <v>191</v>
      </c>
      <c r="D298" s="22" t="n">
        <v>37100</v>
      </c>
      <c r="E298" s="22" t="s">
        <v>136</v>
      </c>
      <c r="F298" s="22" t="s">
        <v>681</v>
      </c>
      <c r="G298" s="22" t="s">
        <v>131</v>
      </c>
      <c r="H298" s="22" t="s">
        <v>131</v>
      </c>
      <c r="I298" s="22" t="n">
        <v>845</v>
      </c>
      <c r="J298" s="22" t="n">
        <v>974</v>
      </c>
      <c r="K298" s="22" t="n">
        <v>1070</v>
      </c>
      <c r="L298" s="22" t="n">
        <v>888</v>
      </c>
      <c r="M298" s="22" t="n">
        <v>750</v>
      </c>
      <c r="N298" s="22" t="n">
        <v>436</v>
      </c>
      <c r="O298" s="22" t="n">
        <v>340</v>
      </c>
      <c r="P298" s="22" t="n">
        <v>310</v>
      </c>
      <c r="Q298" s="22" t="n">
        <v>0</v>
      </c>
      <c r="R298" s="22" t="n">
        <v>0</v>
      </c>
      <c r="S298" s="22" t="n">
        <v>821</v>
      </c>
      <c r="T298" s="22" t="n">
        <v>821</v>
      </c>
      <c r="U298" s="22" t="n">
        <v>821</v>
      </c>
      <c r="V298" s="22" t="n">
        <v>821</v>
      </c>
      <c r="W298" s="22" t="n">
        <v>302</v>
      </c>
      <c r="X298" s="22" t="n">
        <v>368</v>
      </c>
      <c r="Y298" s="22" t="n">
        <v>368</v>
      </c>
      <c r="Z298" s="22" t="n">
        <v>1121</v>
      </c>
      <c r="AA298" s="22" t="n">
        <v>819</v>
      </c>
      <c r="AB298" s="22" t="n">
        <v>753</v>
      </c>
      <c r="AC298" s="22" t="n">
        <v>753</v>
      </c>
      <c r="AD298" s="22"/>
      <c r="AE298" s="22"/>
      <c r="AF298" s="22"/>
    </row>
    <row r="299" customFormat="false" ht="15" hidden="false" customHeight="false" outlineLevel="0" collapsed="false">
      <c r="A299" s="22" t="s">
        <v>69</v>
      </c>
      <c r="B299" s="22" t="s">
        <v>3</v>
      </c>
      <c r="C299" s="22" t="s">
        <v>69</v>
      </c>
      <c r="D299" s="22" t="n">
        <v>37340</v>
      </c>
      <c r="E299" s="22" t="s">
        <v>132</v>
      </c>
      <c r="F299" s="22" t="s">
        <v>133</v>
      </c>
      <c r="G299" s="22" t="s">
        <v>131</v>
      </c>
      <c r="H299" s="22" t="s">
        <v>131</v>
      </c>
      <c r="I299" s="22" t="n">
        <v>37182</v>
      </c>
      <c r="J299" s="22" t="n">
        <v>37537</v>
      </c>
      <c r="K299" s="22" t="n">
        <v>37845</v>
      </c>
      <c r="L299" s="22" t="n">
        <v>37932</v>
      </c>
      <c r="M299" s="22" t="n">
        <v>38160</v>
      </c>
      <c r="N299" s="22" t="n">
        <v>38472</v>
      </c>
      <c r="O299" s="22" t="n">
        <v>38686</v>
      </c>
      <c r="P299" s="22" t="n">
        <v>39228</v>
      </c>
      <c r="Q299" s="22" t="n">
        <v>39788</v>
      </c>
      <c r="R299" s="22" t="n">
        <v>40186</v>
      </c>
      <c r="S299" s="22" t="n">
        <v>40370</v>
      </c>
      <c r="T299" s="22" t="n">
        <v>40690</v>
      </c>
      <c r="U299" s="22" t="n">
        <v>41231</v>
      </c>
      <c r="V299" s="22" t="n">
        <v>42214</v>
      </c>
      <c r="W299" s="22" t="n">
        <v>43124</v>
      </c>
      <c r="X299" s="22" t="n">
        <v>43247</v>
      </c>
      <c r="Y299" s="22" t="n">
        <v>43465</v>
      </c>
      <c r="Z299" s="22" t="n">
        <v>43929</v>
      </c>
      <c r="AA299" s="22" t="n">
        <v>44359</v>
      </c>
      <c r="AB299" s="22" t="n">
        <v>44625</v>
      </c>
      <c r="AC299" s="22" t="n">
        <v>45134</v>
      </c>
      <c r="AD299" s="22" t="n">
        <v>45649</v>
      </c>
      <c r="AE299" s="22" t="n">
        <v>46121</v>
      </c>
      <c r="AF299" s="22" t="n">
        <v>46662</v>
      </c>
    </row>
    <row r="300" customFormat="false" ht="15" hidden="false" customHeight="false" outlineLevel="0" collapsed="false">
      <c r="A300" s="22" t="s">
        <v>69</v>
      </c>
      <c r="B300" s="22" t="s">
        <v>3</v>
      </c>
      <c r="C300" s="22" t="s">
        <v>69</v>
      </c>
      <c r="D300" s="22" t="n">
        <v>37340</v>
      </c>
      <c r="E300" s="22" t="s">
        <v>136</v>
      </c>
      <c r="F300" s="22" t="s">
        <v>680</v>
      </c>
      <c r="G300" s="22" t="s">
        <v>131</v>
      </c>
      <c r="H300" s="22" t="s">
        <v>131</v>
      </c>
      <c r="I300" s="22" t="n">
        <v>601</v>
      </c>
      <c r="J300" s="22" t="n">
        <v>927</v>
      </c>
      <c r="K300" s="22" t="n">
        <v>367</v>
      </c>
      <c r="L300" s="22" t="n">
        <v>523</v>
      </c>
      <c r="M300" s="22" t="n">
        <v>484</v>
      </c>
      <c r="N300" s="22" t="n">
        <v>291</v>
      </c>
      <c r="O300" s="22" t="n">
        <v>48</v>
      </c>
      <c r="P300" s="22" t="n">
        <v>1076</v>
      </c>
      <c r="Q300" s="22" t="n">
        <v>319</v>
      </c>
      <c r="R300" s="22" t="n">
        <v>171</v>
      </c>
      <c r="S300" s="22" t="n">
        <v>380</v>
      </c>
      <c r="T300" s="22" t="n">
        <v>0</v>
      </c>
      <c r="U300" s="22" t="n">
        <v>272</v>
      </c>
      <c r="V300" s="22" t="n">
        <v>976</v>
      </c>
      <c r="W300" s="22" t="n">
        <v>510</v>
      </c>
      <c r="X300" s="22" t="n">
        <v>731</v>
      </c>
      <c r="Y300" s="22" t="n">
        <v>296</v>
      </c>
      <c r="Z300" s="22" t="n">
        <v>0</v>
      </c>
      <c r="AA300" s="22" t="n">
        <v>0</v>
      </c>
      <c r="AB300" s="22" t="n">
        <v>0</v>
      </c>
      <c r="AC300" s="22" t="n">
        <v>0</v>
      </c>
      <c r="AD300" s="22"/>
      <c r="AE300" s="22"/>
      <c r="AF300" s="22"/>
    </row>
    <row r="301" customFormat="false" ht="15" hidden="false" customHeight="false" outlineLevel="0" collapsed="false">
      <c r="A301" s="22" t="s">
        <v>69</v>
      </c>
      <c r="B301" s="22" t="s">
        <v>3</v>
      </c>
      <c r="C301" s="22" t="s">
        <v>69</v>
      </c>
      <c r="D301" s="22" t="n">
        <v>37340</v>
      </c>
      <c r="E301" s="22" t="s">
        <v>136</v>
      </c>
      <c r="F301" s="22" t="s">
        <v>681</v>
      </c>
      <c r="G301" s="22" t="s">
        <v>131</v>
      </c>
      <c r="H301" s="22" t="s">
        <v>131</v>
      </c>
      <c r="I301" s="22" t="n">
        <v>1504</v>
      </c>
      <c r="J301" s="22" t="n">
        <v>1776</v>
      </c>
      <c r="K301" s="22" t="n">
        <v>2143</v>
      </c>
      <c r="L301" s="22" t="n">
        <v>2418</v>
      </c>
      <c r="M301" s="22" t="n">
        <v>2301</v>
      </c>
      <c r="N301" s="22" t="n">
        <v>1665</v>
      </c>
      <c r="O301" s="22" t="n">
        <v>1346</v>
      </c>
      <c r="P301" s="22" t="n">
        <v>1899</v>
      </c>
      <c r="Q301" s="22" t="n">
        <v>1734</v>
      </c>
      <c r="R301" s="22" t="n">
        <v>1614</v>
      </c>
      <c r="S301" s="22" t="n">
        <v>1946</v>
      </c>
      <c r="T301" s="22" t="n">
        <v>870</v>
      </c>
      <c r="U301" s="22" t="n">
        <v>823</v>
      </c>
      <c r="V301" s="22" t="n">
        <v>1628</v>
      </c>
      <c r="W301" s="22" t="n">
        <v>1758</v>
      </c>
      <c r="X301" s="22" t="n">
        <v>2489</v>
      </c>
      <c r="Y301" s="22" t="n">
        <v>2513</v>
      </c>
      <c r="Z301" s="22" t="n">
        <v>1537</v>
      </c>
      <c r="AA301" s="22" t="n">
        <v>1027</v>
      </c>
      <c r="AB301" s="22" t="n">
        <v>296</v>
      </c>
      <c r="AC301" s="22" t="n">
        <v>0</v>
      </c>
      <c r="AD301" s="22"/>
      <c r="AE301" s="22"/>
      <c r="AF301" s="22"/>
    </row>
    <row r="302" customFormat="false" ht="15" hidden="false" customHeight="false" outlineLevel="0" collapsed="false">
      <c r="A302" s="22" t="s">
        <v>192</v>
      </c>
      <c r="B302" s="22" t="s">
        <v>3</v>
      </c>
      <c r="C302" s="22" t="s">
        <v>192</v>
      </c>
      <c r="D302" s="22" t="n">
        <v>37860</v>
      </c>
      <c r="E302" s="22" t="s">
        <v>132</v>
      </c>
      <c r="F302" s="22" t="s">
        <v>133</v>
      </c>
      <c r="G302" s="22" t="s">
        <v>131</v>
      </c>
      <c r="H302" s="22" t="s">
        <v>131</v>
      </c>
      <c r="I302" s="22" t="n">
        <v>23893</v>
      </c>
      <c r="J302" s="22" t="n">
        <v>24136</v>
      </c>
      <c r="K302" s="22" t="n">
        <v>24317</v>
      </c>
      <c r="L302" s="22" t="n">
        <v>24562</v>
      </c>
      <c r="M302" s="22" t="n">
        <v>24806</v>
      </c>
      <c r="N302" s="22" t="n">
        <v>25165</v>
      </c>
      <c r="O302" s="22" t="n">
        <v>25518</v>
      </c>
      <c r="P302" s="22" t="n">
        <v>26030</v>
      </c>
      <c r="Q302" s="22" t="n">
        <v>26572</v>
      </c>
      <c r="R302" s="22" t="n">
        <v>26889</v>
      </c>
      <c r="S302" s="22" t="n">
        <v>27143</v>
      </c>
      <c r="T302" s="22" t="n">
        <v>27348</v>
      </c>
      <c r="U302" s="22" t="n">
        <v>27642</v>
      </c>
      <c r="V302" s="22" t="n">
        <v>27914</v>
      </c>
      <c r="W302" s="22" t="n">
        <v>28215</v>
      </c>
      <c r="X302" s="22" t="n">
        <v>28650</v>
      </c>
      <c r="Y302" s="22" t="n">
        <v>28923</v>
      </c>
      <c r="Z302" s="22" t="n">
        <v>28974</v>
      </c>
      <c r="AA302" s="22" t="n">
        <v>29069</v>
      </c>
      <c r="AB302" s="22" t="n">
        <v>29159</v>
      </c>
      <c r="AC302" s="22" t="n">
        <v>29249</v>
      </c>
      <c r="AD302" s="22" t="n">
        <v>29599</v>
      </c>
      <c r="AE302" s="22" t="n">
        <v>29885</v>
      </c>
      <c r="AF302" s="22" t="n">
        <v>29953</v>
      </c>
    </row>
    <row r="303" customFormat="false" ht="15" hidden="false" customHeight="false" outlineLevel="0" collapsed="false">
      <c r="A303" s="22" t="s">
        <v>192</v>
      </c>
      <c r="B303" s="22" t="s">
        <v>3</v>
      </c>
      <c r="C303" s="22" t="s">
        <v>192</v>
      </c>
      <c r="D303" s="22" t="n">
        <v>37860</v>
      </c>
      <c r="E303" s="22" t="s">
        <v>136</v>
      </c>
      <c r="F303" s="22" t="s">
        <v>680</v>
      </c>
      <c r="G303" s="22" t="s">
        <v>131</v>
      </c>
      <c r="H303" s="22" t="s">
        <v>131</v>
      </c>
      <c r="I303" s="22" t="n">
        <v>222</v>
      </c>
      <c r="J303" s="22" t="n">
        <v>325</v>
      </c>
      <c r="K303" s="22" t="n">
        <v>677</v>
      </c>
      <c r="L303" s="22" t="n">
        <v>578</v>
      </c>
      <c r="M303" s="22" t="n">
        <v>130</v>
      </c>
      <c r="N303" s="22" t="n">
        <v>272</v>
      </c>
      <c r="O303" s="22" t="n">
        <v>137</v>
      </c>
      <c r="P303" s="22" t="n">
        <v>392</v>
      </c>
      <c r="Q303" s="22" t="n">
        <v>654</v>
      </c>
      <c r="R303" s="22" t="n">
        <v>0</v>
      </c>
      <c r="S303" s="22" t="n">
        <v>324</v>
      </c>
      <c r="T303" s="22" t="n">
        <v>300</v>
      </c>
      <c r="U303" s="22" t="n">
        <v>86</v>
      </c>
      <c r="V303" s="22" t="n">
        <v>0</v>
      </c>
      <c r="W303" s="22" t="n">
        <v>0</v>
      </c>
      <c r="X303" s="22" t="n">
        <v>576</v>
      </c>
      <c r="Y303" s="22" t="n">
        <v>0</v>
      </c>
      <c r="Z303" s="22" t="n">
        <v>0</v>
      </c>
      <c r="AA303" s="22" t="n">
        <v>138</v>
      </c>
      <c r="AB303" s="22" t="n">
        <v>0</v>
      </c>
      <c r="AC303" s="22" t="n">
        <v>0</v>
      </c>
      <c r="AD303" s="22"/>
      <c r="AE303" s="22"/>
      <c r="AF303" s="22"/>
    </row>
    <row r="304" customFormat="false" ht="15" hidden="false" customHeight="false" outlineLevel="0" collapsed="false">
      <c r="A304" s="22" t="s">
        <v>192</v>
      </c>
      <c r="B304" s="22" t="s">
        <v>3</v>
      </c>
      <c r="C304" s="22" t="s">
        <v>192</v>
      </c>
      <c r="D304" s="22" t="n">
        <v>37860</v>
      </c>
      <c r="E304" s="22" t="s">
        <v>136</v>
      </c>
      <c r="F304" s="22" t="s">
        <v>681</v>
      </c>
      <c r="G304" s="22" t="s">
        <v>131</v>
      </c>
      <c r="H304" s="22" t="s">
        <v>131</v>
      </c>
      <c r="I304" s="22" t="n">
        <v>1176</v>
      </c>
      <c r="J304" s="22" t="n">
        <v>1147</v>
      </c>
      <c r="K304" s="22" t="n">
        <v>1488</v>
      </c>
      <c r="L304" s="22" t="n">
        <v>1802</v>
      </c>
      <c r="M304" s="22" t="n">
        <v>1710</v>
      </c>
      <c r="N304" s="22" t="n">
        <v>1657</v>
      </c>
      <c r="O304" s="22" t="n">
        <v>1117</v>
      </c>
      <c r="P304" s="22" t="n">
        <v>931</v>
      </c>
      <c r="Q304" s="22" t="n">
        <v>1455</v>
      </c>
      <c r="R304" s="22" t="n">
        <v>1183</v>
      </c>
      <c r="S304" s="22" t="n">
        <v>1370</v>
      </c>
      <c r="T304" s="22" t="n">
        <v>1278</v>
      </c>
      <c r="U304" s="22" t="n">
        <v>710</v>
      </c>
      <c r="V304" s="22" t="n">
        <v>710</v>
      </c>
      <c r="W304" s="22" t="n">
        <v>386</v>
      </c>
      <c r="X304" s="22" t="n">
        <v>662</v>
      </c>
      <c r="Y304" s="22" t="n">
        <v>576</v>
      </c>
      <c r="Z304" s="22" t="n">
        <v>576</v>
      </c>
      <c r="AA304" s="22" t="n">
        <v>714</v>
      </c>
      <c r="AB304" s="22" t="n">
        <v>138</v>
      </c>
      <c r="AC304" s="22" t="n">
        <v>138</v>
      </c>
      <c r="AD304" s="22"/>
      <c r="AE304" s="22"/>
      <c r="AF304" s="22"/>
    </row>
    <row r="305" customFormat="false" ht="15" hidden="false" customHeight="false" outlineLevel="0" collapsed="false">
      <c r="A305" s="22" t="s">
        <v>193</v>
      </c>
      <c r="B305" s="22" t="s">
        <v>3</v>
      </c>
      <c r="C305" s="22" t="s">
        <v>193</v>
      </c>
      <c r="D305" s="22" t="n">
        <v>37980</v>
      </c>
      <c r="E305" s="22" t="s">
        <v>132</v>
      </c>
      <c r="F305" s="22" t="s">
        <v>133</v>
      </c>
      <c r="G305" s="22" t="s">
        <v>131</v>
      </c>
      <c r="H305" s="22" t="s">
        <v>131</v>
      </c>
      <c r="I305" s="22" t="n">
        <v>392406</v>
      </c>
      <c r="J305" s="22" t="n">
        <v>394152</v>
      </c>
      <c r="K305" s="22" t="n">
        <v>395334</v>
      </c>
      <c r="L305" s="22" t="n">
        <v>396086</v>
      </c>
      <c r="M305" s="22" t="n">
        <v>397090</v>
      </c>
      <c r="N305" s="22" t="n">
        <v>398864</v>
      </c>
      <c r="O305" s="22" t="n">
        <v>400403</v>
      </c>
      <c r="P305" s="22" t="n">
        <v>401891</v>
      </c>
      <c r="Q305" s="22" t="n">
        <v>403472</v>
      </c>
      <c r="R305" s="22" t="n">
        <v>406745</v>
      </c>
      <c r="S305" s="22" t="n">
        <v>409024</v>
      </c>
      <c r="T305" s="22" t="n">
        <v>410795</v>
      </c>
      <c r="U305" s="22" t="n">
        <v>413016</v>
      </c>
      <c r="V305" s="22" t="n">
        <v>415768</v>
      </c>
      <c r="W305" s="22" t="n">
        <v>419582</v>
      </c>
      <c r="X305" s="22" t="n">
        <v>421597</v>
      </c>
      <c r="Y305" s="22" t="n">
        <v>423716</v>
      </c>
      <c r="Z305" s="22" t="n">
        <v>426071</v>
      </c>
      <c r="AA305" s="22" t="n">
        <v>427668</v>
      </c>
      <c r="AB305" s="22" t="n">
        <v>429181</v>
      </c>
      <c r="AC305" s="22" t="n">
        <v>430604</v>
      </c>
      <c r="AD305" s="22" t="n">
        <v>431817</v>
      </c>
      <c r="AE305" s="22" t="n">
        <v>432657</v>
      </c>
      <c r="AF305" s="22" t="n">
        <v>433612</v>
      </c>
    </row>
    <row r="306" customFormat="false" ht="15" hidden="false" customHeight="false" outlineLevel="0" collapsed="false">
      <c r="A306" s="22" t="s">
        <v>193</v>
      </c>
      <c r="B306" s="22" t="s">
        <v>3</v>
      </c>
      <c r="C306" s="22" t="s">
        <v>193</v>
      </c>
      <c r="D306" s="22" t="n">
        <v>37980</v>
      </c>
      <c r="E306" s="22" t="s">
        <v>136</v>
      </c>
      <c r="F306" s="22" t="s">
        <v>680</v>
      </c>
      <c r="G306" s="22" t="s">
        <v>131</v>
      </c>
      <c r="H306" s="22" t="s">
        <v>131</v>
      </c>
      <c r="I306" s="22" t="n">
        <v>1069</v>
      </c>
      <c r="J306" s="22" t="n">
        <v>3149</v>
      </c>
      <c r="K306" s="22" t="n">
        <v>3279</v>
      </c>
      <c r="L306" s="22" t="n">
        <v>1775</v>
      </c>
      <c r="M306" s="22" t="n">
        <v>4384</v>
      </c>
      <c r="N306" s="22" t="n">
        <v>3215</v>
      </c>
      <c r="O306" s="22" t="n">
        <v>1890</v>
      </c>
      <c r="P306" s="22" t="n">
        <v>2181</v>
      </c>
      <c r="Q306" s="22" t="n">
        <v>864</v>
      </c>
      <c r="R306" s="22" t="n">
        <v>1035</v>
      </c>
      <c r="S306" s="22" t="n">
        <v>1650</v>
      </c>
      <c r="T306" s="22" t="n">
        <v>1335</v>
      </c>
      <c r="U306" s="22" t="n">
        <v>769</v>
      </c>
      <c r="V306" s="22" t="n">
        <v>946</v>
      </c>
      <c r="W306" s="22" t="n">
        <v>378</v>
      </c>
      <c r="X306" s="22" t="n">
        <v>1627</v>
      </c>
      <c r="Y306" s="22" t="n">
        <v>1332</v>
      </c>
      <c r="Z306" s="22" t="n">
        <v>1996</v>
      </c>
      <c r="AA306" s="22" t="n">
        <v>920</v>
      </c>
      <c r="AB306" s="22" t="n">
        <v>1855</v>
      </c>
      <c r="AC306" s="22" t="n">
        <v>1329</v>
      </c>
      <c r="AD306" s="22"/>
      <c r="AE306" s="22"/>
      <c r="AF306" s="22"/>
    </row>
    <row r="307" customFormat="false" ht="15" hidden="false" customHeight="false" outlineLevel="0" collapsed="false">
      <c r="A307" s="22" t="s">
        <v>193</v>
      </c>
      <c r="B307" s="22" t="s">
        <v>3</v>
      </c>
      <c r="C307" s="22" t="s">
        <v>193</v>
      </c>
      <c r="D307" s="22" t="n">
        <v>37980</v>
      </c>
      <c r="E307" s="22" t="s">
        <v>136</v>
      </c>
      <c r="F307" s="22" t="s">
        <v>681</v>
      </c>
      <c r="G307" s="22" t="s">
        <v>131</v>
      </c>
      <c r="H307" s="22" t="s">
        <v>131</v>
      </c>
      <c r="I307" s="22" t="n">
        <v>7393</v>
      </c>
      <c r="J307" s="22" t="n">
        <v>8340</v>
      </c>
      <c r="K307" s="22" t="n">
        <v>10195</v>
      </c>
      <c r="L307" s="22" t="n">
        <v>9272</v>
      </c>
      <c r="M307" s="22" t="n">
        <v>12587</v>
      </c>
      <c r="N307" s="22" t="n">
        <v>12653</v>
      </c>
      <c r="O307" s="22" t="n">
        <v>11264</v>
      </c>
      <c r="P307" s="22" t="n">
        <v>11670</v>
      </c>
      <c r="Q307" s="22" t="n">
        <v>8150</v>
      </c>
      <c r="R307" s="22" t="n">
        <v>5970</v>
      </c>
      <c r="S307" s="22" t="n">
        <v>5730</v>
      </c>
      <c r="T307" s="22" t="n">
        <v>4884</v>
      </c>
      <c r="U307" s="22" t="n">
        <v>4789</v>
      </c>
      <c r="V307" s="22" t="n">
        <v>4700</v>
      </c>
      <c r="W307" s="22" t="n">
        <v>3428</v>
      </c>
      <c r="X307" s="22" t="n">
        <v>3720</v>
      </c>
      <c r="Y307" s="22" t="n">
        <v>4283</v>
      </c>
      <c r="Z307" s="22" t="n">
        <v>5333</v>
      </c>
      <c r="AA307" s="22" t="n">
        <v>5875</v>
      </c>
      <c r="AB307" s="22" t="n">
        <v>6103</v>
      </c>
      <c r="AC307" s="22" t="n">
        <v>6100</v>
      </c>
      <c r="AD307" s="22"/>
      <c r="AE307" s="22"/>
      <c r="AF307" s="22"/>
    </row>
    <row r="308" customFormat="false" ht="15" hidden="false" customHeight="false" outlineLevel="0" collapsed="false">
      <c r="A308" s="22" t="s">
        <v>75</v>
      </c>
      <c r="B308" s="22" t="s">
        <v>3</v>
      </c>
      <c r="C308" s="22" t="s">
        <v>75</v>
      </c>
      <c r="D308" s="22" t="n">
        <v>38060</v>
      </c>
      <c r="E308" s="22" t="s">
        <v>132</v>
      </c>
      <c r="F308" s="22" t="s">
        <v>133</v>
      </c>
      <c r="G308" s="22" t="s">
        <v>131</v>
      </c>
      <c r="H308" s="22" t="s">
        <v>131</v>
      </c>
      <c r="I308" s="22" t="n">
        <v>375297</v>
      </c>
      <c r="J308" s="22" t="n">
        <v>377670</v>
      </c>
      <c r="K308" s="22" t="n">
        <v>380673</v>
      </c>
      <c r="L308" s="22" t="n">
        <v>383687</v>
      </c>
      <c r="M308" s="22" t="n">
        <v>387199</v>
      </c>
      <c r="N308" s="22" t="n">
        <v>391032</v>
      </c>
      <c r="O308" s="22" t="n">
        <v>394623</v>
      </c>
      <c r="P308" s="22" t="n">
        <v>398431</v>
      </c>
      <c r="Q308" s="22" t="n">
        <v>402637</v>
      </c>
      <c r="R308" s="22" t="n">
        <v>406277</v>
      </c>
      <c r="S308" s="22" t="n">
        <v>410018</v>
      </c>
      <c r="T308" s="22" t="n">
        <v>414304</v>
      </c>
      <c r="U308" s="22" t="n">
        <v>420917</v>
      </c>
      <c r="V308" s="22" t="n">
        <v>427735</v>
      </c>
      <c r="W308" s="22" t="n">
        <v>434774</v>
      </c>
      <c r="X308" s="22" t="n">
        <v>440890</v>
      </c>
      <c r="Y308" s="22" t="n">
        <v>446003</v>
      </c>
      <c r="Z308" s="22" t="n">
        <v>451768</v>
      </c>
      <c r="AA308" s="22" t="n">
        <v>456277</v>
      </c>
      <c r="AB308" s="22" t="n">
        <v>461107</v>
      </c>
      <c r="AC308" s="22" t="n">
        <v>465235</v>
      </c>
      <c r="AD308" s="22" t="n">
        <v>469340</v>
      </c>
      <c r="AE308" s="22" t="n">
        <v>473413</v>
      </c>
      <c r="AF308" s="22" t="n">
        <v>476642</v>
      </c>
    </row>
    <row r="309" customFormat="false" ht="15" hidden="false" customHeight="false" outlineLevel="0" collapsed="false">
      <c r="A309" s="22" t="s">
        <v>75</v>
      </c>
      <c r="B309" s="22" t="s">
        <v>3</v>
      </c>
      <c r="C309" s="22" t="s">
        <v>75</v>
      </c>
      <c r="D309" s="22" t="n">
        <v>38060</v>
      </c>
      <c r="E309" s="22" t="s">
        <v>136</v>
      </c>
      <c r="F309" s="22" t="s">
        <v>680</v>
      </c>
      <c r="G309" s="22" t="s">
        <v>131</v>
      </c>
      <c r="H309" s="22" t="s">
        <v>131</v>
      </c>
      <c r="I309" s="22" t="n">
        <v>3896</v>
      </c>
      <c r="J309" s="22" t="n">
        <v>4169</v>
      </c>
      <c r="K309" s="22" t="n">
        <v>7146</v>
      </c>
      <c r="L309" s="22" t="n">
        <v>7124</v>
      </c>
      <c r="M309" s="22" t="n">
        <v>3425</v>
      </c>
      <c r="N309" s="22" t="n">
        <v>5684</v>
      </c>
      <c r="O309" s="22" t="n">
        <v>9341</v>
      </c>
      <c r="P309" s="22" t="n">
        <v>7469</v>
      </c>
      <c r="Q309" s="22" t="n">
        <v>3998</v>
      </c>
      <c r="R309" s="22" t="n">
        <v>3977</v>
      </c>
      <c r="S309" s="22" t="n">
        <v>5252</v>
      </c>
      <c r="T309" s="22" t="n">
        <v>3022</v>
      </c>
      <c r="U309" s="22" t="n">
        <v>2180</v>
      </c>
      <c r="V309" s="22" t="n">
        <v>2934</v>
      </c>
      <c r="W309" s="22" t="n">
        <v>2397</v>
      </c>
      <c r="X309" s="22" t="n">
        <v>1645</v>
      </c>
      <c r="Y309" s="22" t="n">
        <v>2767</v>
      </c>
      <c r="Z309" s="22" t="n">
        <v>2446</v>
      </c>
      <c r="AA309" s="22" t="n">
        <v>4579</v>
      </c>
      <c r="AB309" s="22" t="n">
        <v>4515</v>
      </c>
      <c r="AC309" s="22" t="n">
        <v>2150</v>
      </c>
      <c r="AD309" s="22"/>
      <c r="AE309" s="22"/>
      <c r="AF309" s="22"/>
    </row>
    <row r="310" customFormat="false" ht="15" hidden="false" customHeight="false" outlineLevel="0" collapsed="false">
      <c r="A310" s="22" t="s">
        <v>75</v>
      </c>
      <c r="B310" s="22" t="s">
        <v>3</v>
      </c>
      <c r="C310" s="22" t="s">
        <v>75</v>
      </c>
      <c r="D310" s="22" t="n">
        <v>38060</v>
      </c>
      <c r="E310" s="22" t="s">
        <v>136</v>
      </c>
      <c r="F310" s="22" t="s">
        <v>681</v>
      </c>
      <c r="G310" s="22" t="s">
        <v>131</v>
      </c>
      <c r="H310" s="22" t="s">
        <v>131</v>
      </c>
      <c r="I310" s="22" t="n">
        <v>19014</v>
      </c>
      <c r="J310" s="22" t="n">
        <v>19255</v>
      </c>
      <c r="K310" s="22" t="n">
        <v>20940</v>
      </c>
      <c r="L310" s="22" t="n">
        <v>22335</v>
      </c>
      <c r="M310" s="22" t="n">
        <v>21864</v>
      </c>
      <c r="N310" s="22" t="n">
        <v>23379</v>
      </c>
      <c r="O310" s="22" t="n">
        <v>25574</v>
      </c>
      <c r="P310" s="22" t="n">
        <v>25919</v>
      </c>
      <c r="Q310" s="22" t="n">
        <v>26492</v>
      </c>
      <c r="R310" s="22" t="n">
        <v>24785</v>
      </c>
      <c r="S310" s="22" t="n">
        <v>20696</v>
      </c>
      <c r="T310" s="22" t="n">
        <v>16249</v>
      </c>
      <c r="U310" s="22" t="n">
        <v>14431</v>
      </c>
      <c r="V310" s="22" t="n">
        <v>13388</v>
      </c>
      <c r="W310" s="22" t="n">
        <v>10533</v>
      </c>
      <c r="X310" s="22" t="n">
        <v>9156</v>
      </c>
      <c r="Y310" s="22" t="n">
        <v>9743</v>
      </c>
      <c r="Z310" s="22" t="n">
        <v>9255</v>
      </c>
      <c r="AA310" s="22" t="n">
        <v>11437</v>
      </c>
      <c r="AB310" s="22" t="n">
        <v>14307</v>
      </c>
      <c r="AC310" s="22" t="n">
        <v>13690</v>
      </c>
      <c r="AD310" s="22"/>
      <c r="AE310" s="22"/>
      <c r="AF310" s="22"/>
    </row>
    <row r="311" customFormat="false" ht="15" hidden="false" customHeight="false" outlineLevel="0" collapsed="false">
      <c r="A311" s="22" t="s">
        <v>194</v>
      </c>
      <c r="B311" s="22" t="s">
        <v>3</v>
      </c>
      <c r="C311" s="22" t="s">
        <v>194</v>
      </c>
      <c r="D311" s="22" t="n">
        <v>38300</v>
      </c>
      <c r="E311" s="22" t="s">
        <v>132</v>
      </c>
      <c r="F311" s="22" t="s">
        <v>133</v>
      </c>
      <c r="G311" s="22" t="s">
        <v>131</v>
      </c>
      <c r="H311" s="22" t="s">
        <v>131</v>
      </c>
      <c r="I311" s="22" t="n">
        <v>148248</v>
      </c>
      <c r="J311" s="22" t="n">
        <v>148488</v>
      </c>
      <c r="K311" s="22" t="n">
        <v>148868</v>
      </c>
      <c r="L311" s="22" t="n">
        <v>149074</v>
      </c>
      <c r="M311" s="22" t="n">
        <v>149312</v>
      </c>
      <c r="N311" s="22" t="n">
        <v>149697</v>
      </c>
      <c r="O311" s="22" t="n">
        <v>149955</v>
      </c>
      <c r="P311" s="22" t="n">
        <v>149973</v>
      </c>
      <c r="Q311" s="22" t="n">
        <v>150364</v>
      </c>
      <c r="R311" s="22" t="n">
        <v>150786</v>
      </c>
      <c r="S311" s="22" t="n">
        <v>151062</v>
      </c>
      <c r="T311" s="22" t="n">
        <v>151433</v>
      </c>
      <c r="U311" s="22" t="n">
        <v>151633</v>
      </c>
      <c r="V311" s="22" t="n">
        <v>151939</v>
      </c>
      <c r="W311" s="22" t="n">
        <v>152270</v>
      </c>
      <c r="X311" s="22" t="n">
        <v>152490</v>
      </c>
      <c r="Y311" s="22" t="n">
        <v>152564</v>
      </c>
      <c r="Z311" s="22" t="n">
        <v>152697</v>
      </c>
      <c r="AA311" s="22" t="n">
        <v>152863</v>
      </c>
      <c r="AB311" s="22" t="n">
        <v>153616</v>
      </c>
      <c r="AC311" s="22" t="n">
        <v>153446</v>
      </c>
      <c r="AD311" s="22" t="n">
        <v>153677</v>
      </c>
      <c r="AE311" s="22" t="n">
        <v>153951</v>
      </c>
      <c r="AF311" s="22" t="n">
        <v>153951</v>
      </c>
    </row>
    <row r="312" customFormat="false" ht="15" hidden="false" customHeight="false" outlineLevel="0" collapsed="false">
      <c r="A312" s="22" t="s">
        <v>194</v>
      </c>
      <c r="B312" s="22" t="s">
        <v>3</v>
      </c>
      <c r="C312" s="22" t="s">
        <v>194</v>
      </c>
      <c r="D312" s="22" t="n">
        <v>38300</v>
      </c>
      <c r="E312" s="22" t="s">
        <v>136</v>
      </c>
      <c r="F312" s="22" t="s">
        <v>680</v>
      </c>
      <c r="G312" s="22" t="s">
        <v>131</v>
      </c>
      <c r="H312" s="22" t="s">
        <v>131</v>
      </c>
      <c r="I312" s="22" t="n">
        <v>0</v>
      </c>
      <c r="J312" s="22" t="n">
        <v>186</v>
      </c>
      <c r="K312" s="22" t="n">
        <v>264</v>
      </c>
      <c r="L312" s="22" t="n">
        <v>336</v>
      </c>
      <c r="M312" s="22" t="n">
        <v>726</v>
      </c>
      <c r="N312" s="22" t="n">
        <v>397</v>
      </c>
      <c r="O312" s="22" t="n">
        <v>0</v>
      </c>
      <c r="P312" s="22" t="n">
        <v>36</v>
      </c>
      <c r="Q312" s="22" t="n">
        <v>0</v>
      </c>
      <c r="R312" s="22" t="n">
        <v>995</v>
      </c>
      <c r="S312" s="22" t="n">
        <v>0</v>
      </c>
      <c r="T312" s="22" t="n">
        <v>465</v>
      </c>
      <c r="U312" s="22" t="n">
        <v>272</v>
      </c>
      <c r="V312" s="22" t="n">
        <v>0</v>
      </c>
      <c r="W312" s="22" t="n">
        <v>199</v>
      </c>
      <c r="X312" s="22" t="n">
        <v>0</v>
      </c>
      <c r="Y312" s="22" t="n">
        <v>166</v>
      </c>
      <c r="Z312" s="22" t="n">
        <v>859</v>
      </c>
      <c r="AA312" s="22" t="n">
        <v>38</v>
      </c>
      <c r="AB312" s="22" t="n">
        <v>260</v>
      </c>
      <c r="AC312" s="22" t="n">
        <v>0</v>
      </c>
      <c r="AD312" s="22"/>
      <c r="AE312" s="22"/>
      <c r="AF312" s="22"/>
    </row>
    <row r="313" customFormat="false" ht="15" hidden="false" customHeight="false" outlineLevel="0" collapsed="false">
      <c r="A313" s="22" t="s">
        <v>194</v>
      </c>
      <c r="B313" s="22" t="s">
        <v>3</v>
      </c>
      <c r="C313" s="22" t="s">
        <v>194</v>
      </c>
      <c r="D313" s="22" t="n">
        <v>38300</v>
      </c>
      <c r="E313" s="22" t="s">
        <v>136</v>
      </c>
      <c r="F313" s="22" t="s">
        <v>681</v>
      </c>
      <c r="G313" s="22" t="s">
        <v>131</v>
      </c>
      <c r="H313" s="22" t="s">
        <v>131</v>
      </c>
      <c r="I313" s="22" t="n">
        <v>921</v>
      </c>
      <c r="J313" s="22" t="n">
        <v>724</v>
      </c>
      <c r="K313" s="22" t="n">
        <v>827</v>
      </c>
      <c r="L313" s="22" t="n">
        <v>786</v>
      </c>
      <c r="M313" s="22" t="n">
        <v>1512</v>
      </c>
      <c r="N313" s="22" t="n">
        <v>1723</v>
      </c>
      <c r="O313" s="22" t="n">
        <v>1459</v>
      </c>
      <c r="P313" s="22" t="n">
        <v>1159</v>
      </c>
      <c r="Q313" s="22" t="n">
        <v>433</v>
      </c>
      <c r="R313" s="22" t="n">
        <v>1031</v>
      </c>
      <c r="S313" s="22" t="n">
        <v>1031</v>
      </c>
      <c r="T313" s="22" t="n">
        <v>1460</v>
      </c>
      <c r="U313" s="22" t="n">
        <v>1732</v>
      </c>
      <c r="V313" s="22" t="n">
        <v>737</v>
      </c>
      <c r="W313" s="22" t="n">
        <v>936</v>
      </c>
      <c r="X313" s="22" t="n">
        <v>471</v>
      </c>
      <c r="Y313" s="22" t="n">
        <v>365</v>
      </c>
      <c r="Z313" s="22" t="n">
        <v>1224</v>
      </c>
      <c r="AA313" s="22" t="n">
        <v>1063</v>
      </c>
      <c r="AB313" s="22" t="n">
        <v>1323</v>
      </c>
      <c r="AC313" s="22" t="n">
        <v>1157</v>
      </c>
      <c r="AD313" s="22"/>
      <c r="AE313" s="22"/>
      <c r="AF313" s="22"/>
    </row>
    <row r="314" customFormat="false" ht="15" hidden="false" customHeight="false" outlineLevel="0" collapsed="false">
      <c r="A314" s="22" t="s">
        <v>195</v>
      </c>
      <c r="B314" s="22" t="s">
        <v>3</v>
      </c>
      <c r="C314" s="22" t="s">
        <v>195</v>
      </c>
      <c r="D314" s="22" t="n">
        <v>38860</v>
      </c>
      <c r="E314" s="22" t="s">
        <v>132</v>
      </c>
      <c r="F314" s="22" t="s">
        <v>133</v>
      </c>
      <c r="G314" s="22" t="s">
        <v>131</v>
      </c>
      <c r="H314" s="22" t="s">
        <v>131</v>
      </c>
      <c r="I314" s="22" t="n">
        <v>27468</v>
      </c>
      <c r="J314" s="22" t="n">
        <v>27587</v>
      </c>
      <c r="K314" s="22" t="n">
        <v>27652</v>
      </c>
      <c r="L314" s="22" t="n">
        <v>27824</v>
      </c>
      <c r="M314" s="22" t="n">
        <v>27928</v>
      </c>
      <c r="N314" s="22" t="n">
        <v>28018</v>
      </c>
      <c r="O314" s="22" t="n">
        <v>28143</v>
      </c>
      <c r="P314" s="22" t="n">
        <v>28299</v>
      </c>
      <c r="Q314" s="22" t="n">
        <v>28405</v>
      </c>
      <c r="R314" s="22" t="n">
        <v>28547</v>
      </c>
      <c r="S314" s="22" t="n">
        <v>29219</v>
      </c>
      <c r="T314" s="22" t="n">
        <v>29412</v>
      </c>
      <c r="U314" s="22" t="n">
        <v>29538</v>
      </c>
      <c r="V314" s="22" t="n">
        <v>29634</v>
      </c>
      <c r="W314" s="22" t="n">
        <v>29778</v>
      </c>
      <c r="X314" s="22" t="n">
        <v>29904</v>
      </c>
      <c r="Y314" s="22" t="n">
        <v>30210</v>
      </c>
      <c r="Z314" s="22" t="n">
        <v>30290</v>
      </c>
      <c r="AA314" s="22" t="n">
        <v>30496</v>
      </c>
      <c r="AB314" s="22" t="n">
        <v>30676</v>
      </c>
      <c r="AC314" s="22" t="n">
        <v>30743</v>
      </c>
      <c r="AD314" s="22" t="n">
        <v>30875</v>
      </c>
      <c r="AE314" s="22" t="n">
        <v>31230</v>
      </c>
      <c r="AF314" s="22" t="n">
        <v>31369</v>
      </c>
    </row>
    <row r="315" customFormat="false" ht="15" hidden="false" customHeight="false" outlineLevel="0" collapsed="false">
      <c r="A315" s="22" t="s">
        <v>195</v>
      </c>
      <c r="B315" s="22" t="s">
        <v>3</v>
      </c>
      <c r="C315" s="22" t="s">
        <v>195</v>
      </c>
      <c r="D315" s="22" t="n">
        <v>38860</v>
      </c>
      <c r="E315" s="22" t="s">
        <v>136</v>
      </c>
      <c r="F315" s="22" t="s">
        <v>680</v>
      </c>
      <c r="G315" s="22" t="s">
        <v>131</v>
      </c>
      <c r="H315" s="22" t="s">
        <v>131</v>
      </c>
      <c r="I315" s="22" t="n">
        <v>0</v>
      </c>
      <c r="J315" s="22" t="n">
        <v>434</v>
      </c>
      <c r="K315" s="22" t="n">
        <v>0</v>
      </c>
      <c r="L315" s="22" t="n">
        <v>282</v>
      </c>
      <c r="M315" s="22" t="n">
        <v>0</v>
      </c>
      <c r="N315" s="22" t="n">
        <v>96</v>
      </c>
      <c r="O315" s="22" t="n">
        <v>30</v>
      </c>
      <c r="P315" s="22" t="n">
        <v>0</v>
      </c>
      <c r="Q315" s="22" t="n">
        <v>0</v>
      </c>
      <c r="R315" s="22" t="n">
        <v>196</v>
      </c>
      <c r="S315" s="22" t="n">
        <v>454</v>
      </c>
      <c r="T315" s="22" t="n">
        <v>76</v>
      </c>
      <c r="U315" s="22" t="n">
        <v>0</v>
      </c>
      <c r="V315" s="22" t="n">
        <v>38</v>
      </c>
      <c r="W315" s="22" t="n">
        <v>24</v>
      </c>
      <c r="X315" s="22" t="n">
        <v>0</v>
      </c>
      <c r="Y315" s="22" t="n">
        <v>202</v>
      </c>
      <c r="Z315" s="22" t="n">
        <v>76</v>
      </c>
      <c r="AA315" s="22" t="n">
        <v>0</v>
      </c>
      <c r="AB315" s="22" t="n">
        <v>0</v>
      </c>
      <c r="AC315" s="22" t="n">
        <v>0</v>
      </c>
      <c r="AD315" s="22"/>
      <c r="AE315" s="22"/>
      <c r="AF315" s="22"/>
    </row>
    <row r="316" customFormat="false" ht="15" hidden="false" customHeight="false" outlineLevel="0" collapsed="false">
      <c r="A316" s="22" t="s">
        <v>195</v>
      </c>
      <c r="B316" s="22" t="s">
        <v>3</v>
      </c>
      <c r="C316" s="22" t="s">
        <v>195</v>
      </c>
      <c r="D316" s="22" t="n">
        <v>38860</v>
      </c>
      <c r="E316" s="22" t="s">
        <v>136</v>
      </c>
      <c r="F316" s="22" t="s">
        <v>681</v>
      </c>
      <c r="G316" s="22" t="s">
        <v>131</v>
      </c>
      <c r="H316" s="22" t="s">
        <v>131</v>
      </c>
      <c r="I316" s="22" t="n">
        <v>58</v>
      </c>
      <c r="J316" s="22" t="n">
        <v>492</v>
      </c>
      <c r="K316" s="22" t="n">
        <v>434</v>
      </c>
      <c r="L316" s="22" t="n">
        <v>716</v>
      </c>
      <c r="M316" s="22" t="n">
        <v>716</v>
      </c>
      <c r="N316" s="22" t="n">
        <v>378</v>
      </c>
      <c r="O316" s="22" t="n">
        <v>408</v>
      </c>
      <c r="P316" s="22" t="n">
        <v>126</v>
      </c>
      <c r="Q316" s="22" t="n">
        <v>126</v>
      </c>
      <c r="R316" s="22" t="n">
        <v>226</v>
      </c>
      <c r="S316" s="22" t="n">
        <v>650</v>
      </c>
      <c r="T316" s="22" t="n">
        <v>726</v>
      </c>
      <c r="U316" s="22" t="n">
        <v>726</v>
      </c>
      <c r="V316" s="22" t="n">
        <v>568</v>
      </c>
      <c r="W316" s="22" t="n">
        <v>138</v>
      </c>
      <c r="X316" s="22" t="n">
        <v>62</v>
      </c>
      <c r="Y316" s="22" t="n">
        <v>264</v>
      </c>
      <c r="Z316" s="22" t="n">
        <v>302</v>
      </c>
      <c r="AA316" s="22" t="n">
        <v>278</v>
      </c>
      <c r="AB316" s="22" t="n">
        <v>278</v>
      </c>
      <c r="AC316" s="22" t="n">
        <v>76</v>
      </c>
      <c r="AD316" s="22"/>
      <c r="AE316" s="22"/>
      <c r="AF316" s="22"/>
    </row>
    <row r="317" customFormat="false" ht="15" hidden="false" customHeight="false" outlineLevel="0" collapsed="false">
      <c r="A317" s="22" t="s">
        <v>196</v>
      </c>
      <c r="B317" s="22" t="s">
        <v>3</v>
      </c>
      <c r="C317" s="22" t="s">
        <v>196</v>
      </c>
      <c r="D317" s="22" t="n">
        <v>38900</v>
      </c>
      <c r="E317" s="22" t="s">
        <v>132</v>
      </c>
      <c r="F317" s="22" t="s">
        <v>133</v>
      </c>
      <c r="G317" s="22" t="s">
        <v>131</v>
      </c>
      <c r="H317" s="22" t="s">
        <v>131</v>
      </c>
      <c r="I317" s="22" t="n">
        <v>228489</v>
      </c>
      <c r="J317" s="22" t="n">
        <v>230074</v>
      </c>
      <c r="K317" s="22" t="n">
        <v>231657</v>
      </c>
      <c r="L317" s="22" t="n">
        <v>232963</v>
      </c>
      <c r="M317" s="22" t="n">
        <v>233358</v>
      </c>
      <c r="N317" s="22" t="n">
        <v>234173</v>
      </c>
      <c r="O317" s="22" t="n">
        <v>234676</v>
      </c>
      <c r="P317" s="22" t="n">
        <v>235626</v>
      </c>
      <c r="Q317" s="22" t="n">
        <v>237025</v>
      </c>
      <c r="R317" s="22" t="n">
        <v>238487</v>
      </c>
      <c r="S317" s="22" t="n">
        <v>239150</v>
      </c>
      <c r="T317" s="22" t="n">
        <v>240681</v>
      </c>
      <c r="U317" s="22" t="n">
        <v>242236</v>
      </c>
      <c r="V317" s="22" t="n">
        <v>243806</v>
      </c>
      <c r="W317" s="22" t="n">
        <v>245977</v>
      </c>
      <c r="X317" s="22" t="n">
        <v>247066</v>
      </c>
      <c r="Y317" s="22" t="n">
        <v>247886</v>
      </c>
      <c r="Z317" s="22" t="n">
        <v>248276</v>
      </c>
      <c r="AA317" s="22" t="n">
        <v>249288</v>
      </c>
      <c r="AB317" s="22" t="n">
        <v>249559</v>
      </c>
      <c r="AC317" s="22" t="n">
        <v>250287</v>
      </c>
      <c r="AD317" s="22" t="n">
        <v>250737</v>
      </c>
      <c r="AE317" s="22" t="n">
        <v>251590</v>
      </c>
      <c r="AF317" s="22" t="n">
        <v>251764</v>
      </c>
    </row>
    <row r="318" customFormat="false" ht="15" hidden="false" customHeight="false" outlineLevel="0" collapsed="false">
      <c r="A318" s="22" t="s">
        <v>196</v>
      </c>
      <c r="B318" s="22" t="s">
        <v>3</v>
      </c>
      <c r="C318" s="22" t="s">
        <v>196</v>
      </c>
      <c r="D318" s="22" t="n">
        <v>38900</v>
      </c>
      <c r="E318" s="22" t="s">
        <v>136</v>
      </c>
      <c r="F318" s="22" t="s">
        <v>680</v>
      </c>
      <c r="G318" s="22" t="s">
        <v>131</v>
      </c>
      <c r="H318" s="22" t="s">
        <v>131</v>
      </c>
      <c r="I318" s="22" t="n">
        <v>1132</v>
      </c>
      <c r="J318" s="22" t="n">
        <v>1580</v>
      </c>
      <c r="K318" s="22" t="n">
        <v>1081</v>
      </c>
      <c r="L318" s="22" t="n">
        <v>1534</v>
      </c>
      <c r="M318" s="22" t="n">
        <v>1287</v>
      </c>
      <c r="N318" s="22" t="n">
        <v>2417</v>
      </c>
      <c r="O318" s="22" t="n">
        <v>1044</v>
      </c>
      <c r="P318" s="22" t="n">
        <v>2067</v>
      </c>
      <c r="Q318" s="22" t="n">
        <v>445</v>
      </c>
      <c r="R318" s="22" t="n">
        <v>722</v>
      </c>
      <c r="S318" s="22" t="n">
        <v>469</v>
      </c>
      <c r="T318" s="22" t="n">
        <v>255</v>
      </c>
      <c r="U318" s="22" t="n">
        <v>406</v>
      </c>
      <c r="V318" s="22" t="n">
        <v>873</v>
      </c>
      <c r="W318" s="22" t="n">
        <v>21</v>
      </c>
      <c r="X318" s="22" t="n">
        <v>287</v>
      </c>
      <c r="Y318" s="22" t="n">
        <v>464</v>
      </c>
      <c r="Z318" s="22" t="n">
        <v>40</v>
      </c>
      <c r="AA318" s="22" t="n">
        <v>777</v>
      </c>
      <c r="AB318" s="22" t="n">
        <v>458</v>
      </c>
      <c r="AC318" s="22" t="n">
        <v>843</v>
      </c>
      <c r="AD318" s="22"/>
      <c r="AE318" s="22"/>
      <c r="AF318" s="22"/>
    </row>
    <row r="319" customFormat="false" ht="15" hidden="false" customHeight="false" outlineLevel="0" collapsed="false">
      <c r="A319" s="22" t="s">
        <v>196</v>
      </c>
      <c r="B319" s="22" t="s">
        <v>3</v>
      </c>
      <c r="C319" s="22" t="s">
        <v>196</v>
      </c>
      <c r="D319" s="22" t="n">
        <v>38900</v>
      </c>
      <c r="E319" s="22" t="s">
        <v>136</v>
      </c>
      <c r="F319" s="22" t="s">
        <v>681</v>
      </c>
      <c r="G319" s="22" t="s">
        <v>131</v>
      </c>
      <c r="H319" s="22" t="s">
        <v>131</v>
      </c>
      <c r="I319" s="22" t="n">
        <v>2948</v>
      </c>
      <c r="J319" s="22" t="n">
        <v>3943</v>
      </c>
      <c r="K319" s="22" t="n">
        <v>4420</v>
      </c>
      <c r="L319" s="22" t="n">
        <v>5327</v>
      </c>
      <c r="M319" s="22" t="n">
        <v>5482</v>
      </c>
      <c r="N319" s="22" t="n">
        <v>6319</v>
      </c>
      <c r="O319" s="22" t="n">
        <v>6282</v>
      </c>
      <c r="P319" s="22" t="n">
        <v>6815</v>
      </c>
      <c r="Q319" s="22" t="n">
        <v>5973</v>
      </c>
      <c r="R319" s="22" t="n">
        <v>4278</v>
      </c>
      <c r="S319" s="22" t="n">
        <v>3703</v>
      </c>
      <c r="T319" s="22" t="n">
        <v>1891</v>
      </c>
      <c r="U319" s="22" t="n">
        <v>1852</v>
      </c>
      <c r="V319" s="22" t="n">
        <v>2003</v>
      </c>
      <c r="W319" s="22" t="n">
        <v>1555</v>
      </c>
      <c r="X319" s="22" t="n">
        <v>1587</v>
      </c>
      <c r="Y319" s="22" t="n">
        <v>1645</v>
      </c>
      <c r="Z319" s="22" t="n">
        <v>812</v>
      </c>
      <c r="AA319" s="22" t="n">
        <v>1568</v>
      </c>
      <c r="AB319" s="22" t="n">
        <v>1739</v>
      </c>
      <c r="AC319" s="22" t="n">
        <v>2118</v>
      </c>
      <c r="AD319" s="22"/>
      <c r="AE319" s="22"/>
      <c r="AF319" s="22"/>
    </row>
    <row r="320" customFormat="false" ht="15" hidden="false" customHeight="false" outlineLevel="0" collapsed="false">
      <c r="A320" s="22" t="s">
        <v>28</v>
      </c>
      <c r="B320" s="22" t="s">
        <v>3</v>
      </c>
      <c r="C320" s="22" t="s">
        <v>28</v>
      </c>
      <c r="D320" s="22" t="n">
        <v>238940</v>
      </c>
      <c r="E320" s="22" t="s">
        <v>132</v>
      </c>
      <c r="F320" s="22" t="s">
        <v>133</v>
      </c>
      <c r="G320" s="22" t="s">
        <v>131</v>
      </c>
      <c r="H320" s="22" t="s">
        <v>131</v>
      </c>
      <c r="I320" s="22" t="n">
        <v>26789</v>
      </c>
      <c r="J320" s="22" t="n">
        <v>26763</v>
      </c>
      <c r="K320" s="22" t="n">
        <v>26763</v>
      </c>
      <c r="L320" s="22" t="n">
        <v>27215</v>
      </c>
      <c r="M320" s="22" t="n">
        <v>27336</v>
      </c>
      <c r="N320" s="22" t="n">
        <v>27459</v>
      </c>
      <c r="O320" s="22" t="n">
        <v>27543</v>
      </c>
      <c r="P320" s="22" t="n">
        <v>27711</v>
      </c>
      <c r="Q320" s="22" t="n">
        <v>28200</v>
      </c>
      <c r="R320" s="22" t="n">
        <v>29000</v>
      </c>
      <c r="S320" s="22" t="n">
        <v>29904</v>
      </c>
      <c r="T320" s="22" t="n">
        <v>30760</v>
      </c>
      <c r="U320" s="22" t="n">
        <v>31303</v>
      </c>
      <c r="V320" s="22" t="n">
        <v>31686</v>
      </c>
      <c r="W320" s="22" t="n">
        <v>31923</v>
      </c>
      <c r="X320" s="22" t="n">
        <v>32088</v>
      </c>
      <c r="Y320" s="22" t="n">
        <v>32198</v>
      </c>
      <c r="Z320" s="22" t="n">
        <v>32438</v>
      </c>
      <c r="AA320" s="22" t="n">
        <v>32663</v>
      </c>
      <c r="AB320" s="22" t="n">
        <v>32726</v>
      </c>
      <c r="AC320" s="22" t="n">
        <v>32961</v>
      </c>
      <c r="AD320" s="22" t="n">
        <v>33033</v>
      </c>
      <c r="AE320" s="22" t="n">
        <v>33105</v>
      </c>
      <c r="AF320" s="22" t="n">
        <v>33160</v>
      </c>
    </row>
    <row r="321" customFormat="false" ht="15" hidden="false" customHeight="false" outlineLevel="0" collapsed="false">
      <c r="A321" s="22" t="s">
        <v>28</v>
      </c>
      <c r="B321" s="22" t="s">
        <v>3</v>
      </c>
      <c r="C321" s="22" t="s">
        <v>28</v>
      </c>
      <c r="D321" s="22" t="n">
        <v>238940</v>
      </c>
      <c r="E321" s="22" t="s">
        <v>136</v>
      </c>
      <c r="F321" s="22" t="s">
        <v>680</v>
      </c>
      <c r="G321" s="22" t="s">
        <v>131</v>
      </c>
      <c r="H321" s="22" t="s">
        <v>131</v>
      </c>
      <c r="I321" s="22" t="n">
        <v>466</v>
      </c>
      <c r="J321" s="22" t="n">
        <v>0</v>
      </c>
      <c r="K321" s="22" t="n">
        <v>1092</v>
      </c>
      <c r="L321" s="22" t="n">
        <v>1059</v>
      </c>
      <c r="M321" s="22" t="n">
        <v>1259</v>
      </c>
      <c r="N321" s="22" t="n">
        <v>320</v>
      </c>
      <c r="O321" s="22" t="n">
        <v>0</v>
      </c>
      <c r="P321" s="22" t="n">
        <v>126</v>
      </c>
      <c r="Q321" s="22" t="n">
        <v>220</v>
      </c>
      <c r="R321" s="22" t="n">
        <v>189</v>
      </c>
      <c r="S321" s="22" t="n">
        <v>466</v>
      </c>
      <c r="T321" s="22" t="n">
        <v>0</v>
      </c>
      <c r="U321" s="22" t="n">
        <v>276</v>
      </c>
      <c r="V321" s="22" t="n">
        <v>0</v>
      </c>
      <c r="W321" s="22" t="n">
        <v>0</v>
      </c>
      <c r="X321" s="22" t="n">
        <v>0</v>
      </c>
      <c r="Y321" s="22" t="n">
        <v>312</v>
      </c>
      <c r="Z321" s="22" t="n">
        <v>0</v>
      </c>
      <c r="AA321" s="22" t="n">
        <v>0</v>
      </c>
      <c r="AB321" s="22" t="n">
        <v>302</v>
      </c>
      <c r="AC321" s="22" t="n">
        <v>0</v>
      </c>
      <c r="AD321" s="22"/>
      <c r="AE321" s="22"/>
      <c r="AF321" s="22"/>
    </row>
    <row r="322" customFormat="false" ht="15" hidden="false" customHeight="false" outlineLevel="0" collapsed="false">
      <c r="A322" s="22" t="s">
        <v>28</v>
      </c>
      <c r="B322" s="22" t="s">
        <v>3</v>
      </c>
      <c r="C322" s="22" t="s">
        <v>28</v>
      </c>
      <c r="D322" s="22" t="n">
        <v>238940</v>
      </c>
      <c r="E322" s="22" t="s">
        <v>136</v>
      </c>
      <c r="F322" s="22" t="s">
        <v>681</v>
      </c>
      <c r="G322" s="22" t="s">
        <v>131</v>
      </c>
      <c r="H322" s="22" t="s">
        <v>131</v>
      </c>
      <c r="I322" s="22" t="n">
        <v>987</v>
      </c>
      <c r="J322" s="22" t="n">
        <v>987</v>
      </c>
      <c r="K322" s="22" t="n">
        <v>1755</v>
      </c>
      <c r="L322" s="22" t="n">
        <v>2617</v>
      </c>
      <c r="M322" s="22" t="n">
        <v>3410</v>
      </c>
      <c r="N322" s="22" t="n">
        <v>3730</v>
      </c>
      <c r="O322" s="22" t="n">
        <v>2638</v>
      </c>
      <c r="P322" s="22" t="n">
        <v>1705</v>
      </c>
      <c r="Q322" s="22" t="n">
        <v>666</v>
      </c>
      <c r="R322" s="22" t="n">
        <v>535</v>
      </c>
      <c r="S322" s="22" t="n">
        <v>1001</v>
      </c>
      <c r="T322" s="22" t="n">
        <v>875</v>
      </c>
      <c r="U322" s="22" t="n">
        <v>931</v>
      </c>
      <c r="V322" s="22" t="n">
        <v>742</v>
      </c>
      <c r="W322" s="22" t="n">
        <v>276</v>
      </c>
      <c r="X322" s="22" t="n">
        <v>276</v>
      </c>
      <c r="Y322" s="22" t="n">
        <v>312</v>
      </c>
      <c r="Z322" s="22" t="n">
        <v>312</v>
      </c>
      <c r="AA322" s="22" t="n">
        <v>312</v>
      </c>
      <c r="AB322" s="22" t="n">
        <v>614</v>
      </c>
      <c r="AC322" s="22" t="n">
        <v>302</v>
      </c>
      <c r="AD322" s="22"/>
      <c r="AE322" s="22"/>
      <c r="AF322" s="22"/>
    </row>
    <row r="323" customFormat="false" ht="15" hidden="false" customHeight="false" outlineLevel="0" collapsed="false">
      <c r="A323" s="22" t="s">
        <v>197</v>
      </c>
      <c r="B323" s="22" t="s">
        <v>3</v>
      </c>
      <c r="C323" s="22" t="s">
        <v>197</v>
      </c>
      <c r="D323" s="22" t="n">
        <v>39300</v>
      </c>
      <c r="E323" s="22" t="s">
        <v>132</v>
      </c>
      <c r="F323" s="22" t="s">
        <v>133</v>
      </c>
      <c r="G323" s="22" t="s">
        <v>131</v>
      </c>
      <c r="H323" s="22" t="s">
        <v>131</v>
      </c>
      <c r="I323" s="22" t="n">
        <v>107645</v>
      </c>
      <c r="J323" s="22" t="n">
        <v>107799</v>
      </c>
      <c r="K323" s="22" t="n">
        <v>107922</v>
      </c>
      <c r="L323" s="22" t="n">
        <v>107797</v>
      </c>
      <c r="M323" s="22" t="n">
        <v>107808</v>
      </c>
      <c r="N323" s="22" t="n">
        <v>108116</v>
      </c>
      <c r="O323" s="22" t="n">
        <v>108122</v>
      </c>
      <c r="P323" s="22" t="n">
        <v>108144</v>
      </c>
      <c r="Q323" s="22" t="n">
        <v>108201</v>
      </c>
      <c r="R323" s="22" t="n">
        <v>108315</v>
      </c>
      <c r="S323" s="22" t="n">
        <v>108460</v>
      </c>
      <c r="T323" s="22" t="n">
        <v>108564</v>
      </c>
      <c r="U323" s="22" t="n">
        <v>108767</v>
      </c>
      <c r="V323" s="22" t="n">
        <v>108920</v>
      </c>
      <c r="W323" s="22" t="n">
        <v>109062</v>
      </c>
      <c r="X323" s="22" t="n">
        <v>109241</v>
      </c>
      <c r="Y323" s="22" t="n">
        <v>109301</v>
      </c>
      <c r="Z323" s="22" t="n">
        <v>109508</v>
      </c>
      <c r="AA323" s="22" t="n">
        <v>109710</v>
      </c>
      <c r="AB323" s="22" t="n">
        <v>109733</v>
      </c>
      <c r="AC323" s="22" t="n">
        <v>109818</v>
      </c>
      <c r="AD323" s="22" t="n">
        <v>110010</v>
      </c>
      <c r="AE323" s="22" t="n">
        <v>110328</v>
      </c>
      <c r="AF323" s="22" t="n">
        <v>110521</v>
      </c>
    </row>
    <row r="324" customFormat="false" ht="15" hidden="false" customHeight="false" outlineLevel="0" collapsed="false">
      <c r="A324" s="22" t="s">
        <v>197</v>
      </c>
      <c r="B324" s="22" t="s">
        <v>3</v>
      </c>
      <c r="C324" s="22" t="s">
        <v>197</v>
      </c>
      <c r="D324" s="22" t="n">
        <v>39300</v>
      </c>
      <c r="E324" s="22" t="s">
        <v>136</v>
      </c>
      <c r="F324" s="22" t="s">
        <v>680</v>
      </c>
      <c r="G324" s="22" t="s">
        <v>131</v>
      </c>
      <c r="H324" s="22" t="s">
        <v>131</v>
      </c>
      <c r="I324" s="22" t="n">
        <v>0</v>
      </c>
      <c r="J324" s="22" t="n">
        <v>445</v>
      </c>
      <c r="K324" s="22" t="n">
        <v>71</v>
      </c>
      <c r="L324" s="22" t="n">
        <v>0</v>
      </c>
      <c r="M324" s="22" t="n">
        <v>321</v>
      </c>
      <c r="N324" s="22" t="n">
        <v>0</v>
      </c>
      <c r="O324" s="22" t="n">
        <v>48</v>
      </c>
      <c r="P324" s="22" t="n">
        <v>86</v>
      </c>
      <c r="Q324" s="22" t="n">
        <v>0</v>
      </c>
      <c r="R324" s="22" t="n">
        <v>162</v>
      </c>
      <c r="S324" s="22" t="n">
        <v>133</v>
      </c>
      <c r="T324" s="22" t="n">
        <v>0</v>
      </c>
      <c r="U324" s="22" t="n">
        <v>376</v>
      </c>
      <c r="V324" s="22" t="n">
        <v>36</v>
      </c>
      <c r="W324" s="22" t="n">
        <v>101</v>
      </c>
      <c r="X324" s="22" t="n">
        <v>24</v>
      </c>
      <c r="Y324" s="22" t="n">
        <v>496</v>
      </c>
      <c r="Z324" s="22" t="n">
        <v>275</v>
      </c>
      <c r="AA324" s="22" t="n">
        <v>23</v>
      </c>
      <c r="AB324" s="22" t="n">
        <v>0</v>
      </c>
      <c r="AC324" s="22" t="n">
        <v>687</v>
      </c>
      <c r="AD324" s="22"/>
      <c r="AE324" s="22"/>
      <c r="AF324" s="22"/>
    </row>
    <row r="325" customFormat="false" ht="15" hidden="false" customHeight="false" outlineLevel="0" collapsed="false">
      <c r="A325" s="22" t="s">
        <v>197</v>
      </c>
      <c r="B325" s="22" t="s">
        <v>3</v>
      </c>
      <c r="C325" s="22" t="s">
        <v>197</v>
      </c>
      <c r="D325" s="22" t="n">
        <v>39300</v>
      </c>
      <c r="E325" s="22" t="s">
        <v>136</v>
      </c>
      <c r="F325" s="22" t="s">
        <v>681</v>
      </c>
      <c r="G325" s="22" t="s">
        <v>131</v>
      </c>
      <c r="H325" s="22" t="s">
        <v>131</v>
      </c>
      <c r="I325" s="22" t="n">
        <v>379</v>
      </c>
      <c r="J325" s="22" t="n">
        <v>768</v>
      </c>
      <c r="K325" s="22" t="n">
        <v>590</v>
      </c>
      <c r="L325" s="22" t="n">
        <v>516</v>
      </c>
      <c r="M325" s="22" t="n">
        <v>837</v>
      </c>
      <c r="N325" s="22" t="n">
        <v>392</v>
      </c>
      <c r="O325" s="22" t="n">
        <v>369</v>
      </c>
      <c r="P325" s="22" t="n">
        <v>455</v>
      </c>
      <c r="Q325" s="22" t="n">
        <v>134</v>
      </c>
      <c r="R325" s="22" t="n">
        <v>296</v>
      </c>
      <c r="S325" s="22" t="n">
        <v>381</v>
      </c>
      <c r="T325" s="22" t="n">
        <v>295</v>
      </c>
      <c r="U325" s="22" t="n">
        <v>671</v>
      </c>
      <c r="V325" s="22" t="n">
        <v>545</v>
      </c>
      <c r="W325" s="22" t="n">
        <v>513</v>
      </c>
      <c r="X325" s="22" t="n">
        <v>537</v>
      </c>
      <c r="Y325" s="22" t="n">
        <v>657</v>
      </c>
      <c r="Z325" s="22" t="n">
        <v>896</v>
      </c>
      <c r="AA325" s="22" t="n">
        <v>818</v>
      </c>
      <c r="AB325" s="22" t="n">
        <v>794</v>
      </c>
      <c r="AC325" s="22" t="n">
        <v>985</v>
      </c>
      <c r="AD325" s="22"/>
      <c r="AE325" s="22"/>
      <c r="AF325" s="22"/>
    </row>
    <row r="326" customFormat="false" ht="15" hidden="false" customHeight="false" outlineLevel="0" collapsed="false">
      <c r="A326" s="22" t="s">
        <v>198</v>
      </c>
      <c r="B326" s="22" t="s">
        <v>3</v>
      </c>
      <c r="C326" s="22" t="s">
        <v>198</v>
      </c>
      <c r="D326" s="22" t="n">
        <v>39340</v>
      </c>
      <c r="E326" s="22" t="s">
        <v>132</v>
      </c>
      <c r="F326" s="22" t="s">
        <v>133</v>
      </c>
      <c r="G326" s="22" t="s">
        <v>131</v>
      </c>
      <c r="H326" s="22" t="s">
        <v>131</v>
      </c>
      <c r="I326" s="22" t="n">
        <v>24005</v>
      </c>
      <c r="J326" s="22" t="n">
        <v>24231</v>
      </c>
      <c r="K326" s="22" t="n">
        <v>24343</v>
      </c>
      <c r="L326" s="22" t="n">
        <v>24556</v>
      </c>
      <c r="M326" s="22" t="n">
        <v>24829</v>
      </c>
      <c r="N326" s="22" t="n">
        <v>25280</v>
      </c>
      <c r="O326" s="22" t="n">
        <v>25894</v>
      </c>
      <c r="P326" s="22" t="n">
        <v>26297</v>
      </c>
      <c r="Q326" s="22" t="n">
        <v>26752</v>
      </c>
      <c r="R326" s="22" t="n">
        <v>27101</v>
      </c>
      <c r="S326" s="22" t="n">
        <v>27567</v>
      </c>
      <c r="T326" s="22" t="n">
        <v>27977</v>
      </c>
      <c r="U326" s="22" t="n">
        <v>28460</v>
      </c>
      <c r="V326" s="22" t="n">
        <v>28925</v>
      </c>
      <c r="W326" s="22" t="n">
        <v>29279</v>
      </c>
      <c r="X326" s="22" t="n">
        <v>29410</v>
      </c>
      <c r="Y326" s="22" t="n">
        <v>29449</v>
      </c>
      <c r="Z326" s="22" t="n">
        <v>29630</v>
      </c>
      <c r="AA326" s="22" t="n">
        <v>29933</v>
      </c>
      <c r="AB326" s="22" t="n">
        <v>30370</v>
      </c>
      <c r="AC326" s="22" t="n">
        <v>30637</v>
      </c>
      <c r="AD326" s="22" t="n">
        <v>30767</v>
      </c>
      <c r="AE326" s="22" t="n">
        <v>30910</v>
      </c>
      <c r="AF326" s="22" t="n">
        <v>31171</v>
      </c>
    </row>
    <row r="327" customFormat="false" ht="15" hidden="false" customHeight="false" outlineLevel="0" collapsed="false">
      <c r="A327" s="22" t="s">
        <v>198</v>
      </c>
      <c r="B327" s="22" t="s">
        <v>3</v>
      </c>
      <c r="C327" s="22" t="s">
        <v>198</v>
      </c>
      <c r="D327" s="22" t="n">
        <v>39340</v>
      </c>
      <c r="E327" s="22" t="s">
        <v>136</v>
      </c>
      <c r="F327" s="22" t="s">
        <v>680</v>
      </c>
      <c r="G327" s="22" t="s">
        <v>131</v>
      </c>
      <c r="H327" s="22" t="s">
        <v>131</v>
      </c>
      <c r="I327" s="22" t="n">
        <v>650</v>
      </c>
      <c r="J327" s="22" t="n">
        <v>1008</v>
      </c>
      <c r="K327" s="22" t="n">
        <v>986</v>
      </c>
      <c r="L327" s="22" t="n">
        <v>332</v>
      </c>
      <c r="M327" s="22" t="n">
        <v>558</v>
      </c>
      <c r="N327" s="22" t="n">
        <v>0</v>
      </c>
      <c r="O327" s="22" t="n">
        <v>871</v>
      </c>
      <c r="P327" s="22" t="n">
        <v>0</v>
      </c>
      <c r="Q327" s="22" t="n">
        <v>450</v>
      </c>
      <c r="R327" s="22" t="n">
        <v>0</v>
      </c>
      <c r="S327" s="22" t="n">
        <v>218</v>
      </c>
      <c r="T327" s="22" t="n">
        <v>0</v>
      </c>
      <c r="U327" s="22" t="n">
        <v>0</v>
      </c>
      <c r="V327" s="22" t="n">
        <v>204</v>
      </c>
      <c r="W327" s="22" t="n">
        <v>219</v>
      </c>
      <c r="X327" s="22" t="n">
        <v>304</v>
      </c>
      <c r="Y327" s="22" t="n">
        <v>0</v>
      </c>
      <c r="Z327" s="22" t="n">
        <v>0</v>
      </c>
      <c r="AA327" s="22" t="n">
        <v>0</v>
      </c>
      <c r="AB327" s="22" t="n">
        <v>0</v>
      </c>
      <c r="AC327" s="22" t="n">
        <v>0</v>
      </c>
      <c r="AD327" s="22"/>
      <c r="AE327" s="22"/>
      <c r="AF327" s="22"/>
    </row>
    <row r="328" customFormat="false" ht="15" hidden="false" customHeight="false" outlineLevel="0" collapsed="false">
      <c r="A328" s="22" t="s">
        <v>198</v>
      </c>
      <c r="B328" s="22" t="s">
        <v>3</v>
      </c>
      <c r="C328" s="22" t="s">
        <v>198</v>
      </c>
      <c r="D328" s="22" t="n">
        <v>39340</v>
      </c>
      <c r="E328" s="22" t="s">
        <v>136</v>
      </c>
      <c r="F328" s="22" t="s">
        <v>681</v>
      </c>
      <c r="G328" s="22" t="s">
        <v>131</v>
      </c>
      <c r="H328" s="22" t="s">
        <v>131</v>
      </c>
      <c r="I328" s="22" t="n">
        <v>1894</v>
      </c>
      <c r="J328" s="22" t="n">
        <v>2902</v>
      </c>
      <c r="K328" s="22" t="n">
        <v>3614</v>
      </c>
      <c r="L328" s="22" t="n">
        <v>2976</v>
      </c>
      <c r="M328" s="22" t="n">
        <v>2884</v>
      </c>
      <c r="N328" s="22" t="n">
        <v>1876</v>
      </c>
      <c r="O328" s="22" t="n">
        <v>1761</v>
      </c>
      <c r="P328" s="22" t="n">
        <v>1429</v>
      </c>
      <c r="Q328" s="22" t="n">
        <v>1321</v>
      </c>
      <c r="R328" s="22" t="n">
        <v>1321</v>
      </c>
      <c r="S328" s="22" t="n">
        <v>668</v>
      </c>
      <c r="T328" s="22" t="n">
        <v>668</v>
      </c>
      <c r="U328" s="22" t="n">
        <v>218</v>
      </c>
      <c r="V328" s="22" t="n">
        <v>422</v>
      </c>
      <c r="W328" s="22" t="n">
        <v>423</v>
      </c>
      <c r="X328" s="22" t="n">
        <v>727</v>
      </c>
      <c r="Y328" s="22" t="n">
        <v>727</v>
      </c>
      <c r="Z328" s="22" t="n">
        <v>523</v>
      </c>
      <c r="AA328" s="22" t="n">
        <v>304</v>
      </c>
      <c r="AB328" s="22" t="n">
        <v>0</v>
      </c>
      <c r="AC328" s="22" t="n">
        <v>0</v>
      </c>
      <c r="AD328" s="22"/>
      <c r="AE328" s="22"/>
      <c r="AF328" s="22"/>
    </row>
    <row r="329" customFormat="false" ht="15" hidden="false" customHeight="false" outlineLevel="0" collapsed="false">
      <c r="A329" s="22" t="s">
        <v>73</v>
      </c>
      <c r="B329" s="22" t="s">
        <v>3</v>
      </c>
      <c r="C329" s="22" t="s">
        <v>73</v>
      </c>
      <c r="D329" s="22" t="n">
        <v>239580</v>
      </c>
      <c r="E329" s="22" t="s">
        <v>132</v>
      </c>
      <c r="F329" s="22" t="s">
        <v>133</v>
      </c>
      <c r="G329" s="22" t="s">
        <v>131</v>
      </c>
      <c r="H329" s="22" t="s">
        <v>131</v>
      </c>
      <c r="I329" s="22" t="n">
        <v>172503</v>
      </c>
      <c r="J329" s="22" t="n">
        <v>173423</v>
      </c>
      <c r="K329" s="22" t="n">
        <v>174484</v>
      </c>
      <c r="L329" s="22" t="n">
        <v>175763</v>
      </c>
      <c r="M329" s="22" t="n">
        <v>177280</v>
      </c>
      <c r="N329" s="22" t="n">
        <v>178759</v>
      </c>
      <c r="O329" s="22" t="n">
        <v>180749</v>
      </c>
      <c r="P329" s="22" t="n">
        <v>182325</v>
      </c>
      <c r="Q329" s="22" t="n">
        <v>184830</v>
      </c>
      <c r="R329" s="22" t="n">
        <v>187813</v>
      </c>
      <c r="S329" s="22" t="n">
        <v>190917</v>
      </c>
      <c r="T329" s="22" t="n">
        <v>193998</v>
      </c>
      <c r="U329" s="22" t="n">
        <v>197529</v>
      </c>
      <c r="V329" s="22" t="n">
        <v>201984</v>
      </c>
      <c r="W329" s="22" t="n">
        <v>205825</v>
      </c>
      <c r="X329" s="22" t="n">
        <v>208115</v>
      </c>
      <c r="Y329" s="22" t="n">
        <v>210265</v>
      </c>
      <c r="Z329" s="22" t="n">
        <v>212094</v>
      </c>
      <c r="AA329" s="22" t="n">
        <v>213624</v>
      </c>
      <c r="AB329" s="22" t="n">
        <v>215110</v>
      </c>
      <c r="AC329" s="22" t="n">
        <v>216538</v>
      </c>
      <c r="AD329" s="22" t="n">
        <v>217825</v>
      </c>
      <c r="AE329" s="22" t="n">
        <v>218921</v>
      </c>
      <c r="AF329" s="22" t="n">
        <v>219724</v>
      </c>
    </row>
    <row r="330" customFormat="false" ht="15" hidden="false" customHeight="false" outlineLevel="0" collapsed="false">
      <c r="A330" s="22" t="s">
        <v>73</v>
      </c>
      <c r="B330" s="22" t="s">
        <v>3</v>
      </c>
      <c r="C330" s="22" t="s">
        <v>73</v>
      </c>
      <c r="D330" s="22" t="n">
        <v>239580</v>
      </c>
      <c r="E330" s="22" t="s">
        <v>136</v>
      </c>
      <c r="F330" s="22" t="s">
        <v>680</v>
      </c>
      <c r="G330" s="22" t="s">
        <v>131</v>
      </c>
      <c r="H330" s="22" t="s">
        <v>131</v>
      </c>
      <c r="I330" s="22" t="n">
        <v>2056</v>
      </c>
      <c r="J330" s="22" t="n">
        <v>2239</v>
      </c>
      <c r="K330" s="22" t="n">
        <v>3326</v>
      </c>
      <c r="L330" s="22" t="n">
        <v>3977</v>
      </c>
      <c r="M330" s="22" t="n">
        <v>4447</v>
      </c>
      <c r="N330" s="22" t="n">
        <v>3071</v>
      </c>
      <c r="O330" s="22" t="n">
        <v>3654</v>
      </c>
      <c r="P330" s="22" t="n">
        <v>2807</v>
      </c>
      <c r="Q330" s="22" t="n">
        <v>1775</v>
      </c>
      <c r="R330" s="22" t="n">
        <v>1862</v>
      </c>
      <c r="S330" s="22" t="n">
        <v>1180</v>
      </c>
      <c r="T330" s="22" t="n">
        <v>445</v>
      </c>
      <c r="U330" s="22" t="n">
        <v>718</v>
      </c>
      <c r="V330" s="22" t="n">
        <v>1670</v>
      </c>
      <c r="W330" s="22" t="n">
        <v>1699</v>
      </c>
      <c r="X330" s="22" t="n">
        <v>932</v>
      </c>
      <c r="Y330" s="22" t="n">
        <v>2472</v>
      </c>
      <c r="Z330" s="22" t="n">
        <v>2298</v>
      </c>
      <c r="AA330" s="22" t="n">
        <v>5103</v>
      </c>
      <c r="AB330" s="22" t="n">
        <v>1901</v>
      </c>
      <c r="AC330" s="22" t="n">
        <v>873</v>
      </c>
      <c r="AD330" s="22"/>
      <c r="AE330" s="22"/>
      <c r="AF330" s="22"/>
    </row>
    <row r="331" customFormat="false" ht="15" hidden="false" customHeight="false" outlineLevel="0" collapsed="false">
      <c r="A331" s="22" t="s">
        <v>73</v>
      </c>
      <c r="B331" s="22" t="s">
        <v>3</v>
      </c>
      <c r="C331" s="22" t="s">
        <v>73</v>
      </c>
      <c r="D331" s="22" t="n">
        <v>239580</v>
      </c>
      <c r="E331" s="22" t="s">
        <v>136</v>
      </c>
      <c r="F331" s="22" t="s">
        <v>681</v>
      </c>
      <c r="G331" s="22" t="s">
        <v>131</v>
      </c>
      <c r="H331" s="22" t="s">
        <v>131</v>
      </c>
      <c r="I331" s="22" t="n">
        <v>9718</v>
      </c>
      <c r="J331" s="22" t="n">
        <v>10724</v>
      </c>
      <c r="K331" s="22" t="n">
        <v>11601</v>
      </c>
      <c r="L331" s="22" t="n">
        <v>11598</v>
      </c>
      <c r="M331" s="22" t="n">
        <v>13989</v>
      </c>
      <c r="N331" s="22" t="n">
        <v>14821</v>
      </c>
      <c r="O331" s="22" t="n">
        <v>15149</v>
      </c>
      <c r="P331" s="22" t="n">
        <v>13979</v>
      </c>
      <c r="Q331" s="22" t="n">
        <v>11307</v>
      </c>
      <c r="R331" s="22" t="n">
        <v>10098</v>
      </c>
      <c r="S331" s="22" t="n">
        <v>7624</v>
      </c>
      <c r="T331" s="22" t="n">
        <v>5262</v>
      </c>
      <c r="U331" s="22" t="n">
        <v>4205</v>
      </c>
      <c r="V331" s="22" t="n">
        <v>4013</v>
      </c>
      <c r="W331" s="22" t="n">
        <v>4532</v>
      </c>
      <c r="X331" s="22" t="n">
        <v>5019</v>
      </c>
      <c r="Y331" s="22" t="n">
        <v>6773</v>
      </c>
      <c r="Z331" s="22" t="n">
        <v>7401</v>
      </c>
      <c r="AA331" s="22" t="n">
        <v>10805</v>
      </c>
      <c r="AB331" s="22" t="n">
        <v>11774</v>
      </c>
      <c r="AC331" s="22" t="n">
        <v>10175</v>
      </c>
      <c r="AD331" s="22"/>
      <c r="AE331" s="22"/>
      <c r="AF331" s="22"/>
    </row>
    <row r="332" customFormat="false" ht="15" hidden="false" customHeight="false" outlineLevel="0" collapsed="false">
      <c r="A332" s="22" t="s">
        <v>25</v>
      </c>
      <c r="B332" s="22" t="s">
        <v>3</v>
      </c>
      <c r="C332" s="22" t="s">
        <v>25</v>
      </c>
      <c r="D332" s="22" t="n">
        <v>39900</v>
      </c>
      <c r="E332" s="22" t="s">
        <v>132</v>
      </c>
      <c r="F332" s="22" t="s">
        <v>133</v>
      </c>
      <c r="G332" s="22" t="s">
        <v>131</v>
      </c>
      <c r="H332" s="22" t="s">
        <v>131</v>
      </c>
      <c r="I332" s="22" t="n">
        <v>46499</v>
      </c>
      <c r="J332" s="22" t="n">
        <v>46834</v>
      </c>
      <c r="K332" s="22" t="n">
        <v>47269</v>
      </c>
      <c r="L332" s="22" t="n">
        <v>47699</v>
      </c>
      <c r="M332" s="22" t="n">
        <v>48045</v>
      </c>
      <c r="N332" s="22" t="n">
        <v>48393</v>
      </c>
      <c r="O332" s="22" t="n">
        <v>48701</v>
      </c>
      <c r="P332" s="22" t="n">
        <v>48884</v>
      </c>
      <c r="Q332" s="22" t="n">
        <v>49237</v>
      </c>
      <c r="R332" s="22" t="n">
        <v>49825</v>
      </c>
      <c r="S332" s="22" t="n">
        <v>50475</v>
      </c>
      <c r="T332" s="22" t="n">
        <v>51137</v>
      </c>
      <c r="U332" s="22" t="n">
        <v>51419</v>
      </c>
      <c r="V332" s="22" t="n">
        <v>52316</v>
      </c>
      <c r="W332" s="22" t="n">
        <v>52951</v>
      </c>
      <c r="X332" s="22" t="n">
        <v>53326</v>
      </c>
      <c r="Y332" s="22" t="n">
        <v>53565</v>
      </c>
      <c r="Z332" s="22" t="n">
        <v>53861</v>
      </c>
      <c r="AA332" s="22" t="n">
        <v>54126</v>
      </c>
      <c r="AB332" s="22" t="n">
        <v>54291</v>
      </c>
      <c r="AC332" s="22" t="n">
        <v>54345</v>
      </c>
      <c r="AD332" s="22" t="n">
        <v>54441</v>
      </c>
      <c r="AE332" s="22" t="n">
        <v>54506</v>
      </c>
      <c r="AF332" s="22" t="n">
        <v>54529</v>
      </c>
    </row>
    <row r="333" customFormat="false" ht="15" hidden="false" customHeight="false" outlineLevel="0" collapsed="false">
      <c r="A333" s="22" t="s">
        <v>25</v>
      </c>
      <c r="B333" s="22" t="s">
        <v>3</v>
      </c>
      <c r="C333" s="22" t="s">
        <v>25</v>
      </c>
      <c r="D333" s="22" t="n">
        <v>39900</v>
      </c>
      <c r="E333" s="22" t="s">
        <v>136</v>
      </c>
      <c r="F333" s="22" t="s">
        <v>680</v>
      </c>
      <c r="G333" s="22" t="s">
        <v>131</v>
      </c>
      <c r="H333" s="22" t="s">
        <v>131</v>
      </c>
      <c r="I333" s="22" t="n">
        <v>432</v>
      </c>
      <c r="J333" s="22" t="n">
        <v>330</v>
      </c>
      <c r="K333" s="22" t="n">
        <v>360</v>
      </c>
      <c r="L333" s="22" t="n">
        <v>1273</v>
      </c>
      <c r="M333" s="22" t="n">
        <v>794</v>
      </c>
      <c r="N333" s="22" t="n">
        <v>722</v>
      </c>
      <c r="O333" s="22" t="n">
        <v>300</v>
      </c>
      <c r="P333" s="22" t="n">
        <v>370</v>
      </c>
      <c r="Q333" s="22" t="n">
        <v>0</v>
      </c>
      <c r="R333" s="22" t="n">
        <v>330</v>
      </c>
      <c r="S333" s="22" t="n">
        <v>418</v>
      </c>
      <c r="T333" s="22" t="n">
        <v>0</v>
      </c>
      <c r="U333" s="22" t="n">
        <v>83</v>
      </c>
      <c r="V333" s="22" t="n">
        <v>0</v>
      </c>
      <c r="W333" s="22" t="n">
        <v>0</v>
      </c>
      <c r="X333" s="22" t="n">
        <v>0</v>
      </c>
      <c r="Y333" s="22" t="n">
        <v>0</v>
      </c>
      <c r="Z333" s="22" t="n">
        <v>0</v>
      </c>
      <c r="AA333" s="22" t="n">
        <v>842</v>
      </c>
      <c r="AB333" s="22" t="n">
        <v>38</v>
      </c>
      <c r="AC333" s="22" t="n">
        <v>420</v>
      </c>
      <c r="AD333" s="22"/>
      <c r="AE333" s="22"/>
      <c r="AF333" s="22"/>
    </row>
    <row r="334" customFormat="false" ht="15" hidden="false" customHeight="false" outlineLevel="0" collapsed="false">
      <c r="A334" s="22" t="s">
        <v>25</v>
      </c>
      <c r="B334" s="22" t="s">
        <v>3</v>
      </c>
      <c r="C334" s="22" t="s">
        <v>25</v>
      </c>
      <c r="D334" s="22" t="n">
        <v>39900</v>
      </c>
      <c r="E334" s="22" t="s">
        <v>136</v>
      </c>
      <c r="F334" s="22" t="s">
        <v>681</v>
      </c>
      <c r="G334" s="22" t="s">
        <v>131</v>
      </c>
      <c r="H334" s="22" t="s">
        <v>131</v>
      </c>
      <c r="I334" s="22" t="n">
        <v>1446</v>
      </c>
      <c r="J334" s="22" t="n">
        <v>1776</v>
      </c>
      <c r="K334" s="22" t="n">
        <v>1441</v>
      </c>
      <c r="L334" s="22" t="n">
        <v>2395</v>
      </c>
      <c r="M334" s="22" t="n">
        <v>2757</v>
      </c>
      <c r="N334" s="22" t="n">
        <v>3149</v>
      </c>
      <c r="O334" s="22" t="n">
        <v>3089</v>
      </c>
      <c r="P334" s="22" t="n">
        <v>2186</v>
      </c>
      <c r="Q334" s="22" t="n">
        <v>1392</v>
      </c>
      <c r="R334" s="22" t="n">
        <v>1000</v>
      </c>
      <c r="S334" s="22" t="n">
        <v>1118</v>
      </c>
      <c r="T334" s="22" t="n">
        <v>748</v>
      </c>
      <c r="U334" s="22" t="n">
        <v>831</v>
      </c>
      <c r="V334" s="22" t="n">
        <v>501</v>
      </c>
      <c r="W334" s="22" t="n">
        <v>83</v>
      </c>
      <c r="X334" s="22" t="n">
        <v>83</v>
      </c>
      <c r="Y334" s="22" t="n">
        <v>0</v>
      </c>
      <c r="Z334" s="22" t="n">
        <v>0</v>
      </c>
      <c r="AA334" s="22" t="n">
        <v>842</v>
      </c>
      <c r="AB334" s="22" t="n">
        <v>880</v>
      </c>
      <c r="AC334" s="22" t="n">
        <v>1300</v>
      </c>
      <c r="AD334" s="22"/>
      <c r="AE334" s="22"/>
      <c r="AF334" s="22"/>
    </row>
    <row r="335" customFormat="false" ht="15" hidden="false" customHeight="false" outlineLevel="0" collapsed="false">
      <c r="A335" s="22" t="s">
        <v>31</v>
      </c>
      <c r="B335" s="22" t="s">
        <v>3</v>
      </c>
      <c r="C335" s="22" t="s">
        <v>31</v>
      </c>
      <c r="D335" s="22" t="n">
        <v>40060</v>
      </c>
      <c r="E335" s="22" t="s">
        <v>132</v>
      </c>
      <c r="F335" s="22" t="s">
        <v>133</v>
      </c>
      <c r="G335" s="22" t="s">
        <v>131</v>
      </c>
      <c r="H335" s="22" t="s">
        <v>131</v>
      </c>
      <c r="I335" s="22" t="n">
        <v>104859</v>
      </c>
      <c r="J335" s="22" t="n">
        <v>106182</v>
      </c>
      <c r="K335" s="22" t="n">
        <v>107184</v>
      </c>
      <c r="L335" s="22" t="n">
        <v>107883</v>
      </c>
      <c r="M335" s="22" t="n">
        <v>108664</v>
      </c>
      <c r="N335" s="22" t="n">
        <v>109318</v>
      </c>
      <c r="O335" s="22" t="n">
        <v>109505</v>
      </c>
      <c r="P335" s="22" t="n">
        <v>110507</v>
      </c>
      <c r="Q335" s="22" t="n">
        <v>111572</v>
      </c>
      <c r="R335" s="22" t="n">
        <v>112326</v>
      </c>
      <c r="S335" s="22" t="n">
        <v>113434</v>
      </c>
      <c r="T335" s="22" t="n">
        <v>114519</v>
      </c>
      <c r="U335" s="22" t="n">
        <v>115312</v>
      </c>
      <c r="V335" s="22" t="n">
        <v>115947</v>
      </c>
      <c r="W335" s="22" t="n">
        <v>116474</v>
      </c>
      <c r="X335" s="22" t="n">
        <v>117181</v>
      </c>
      <c r="Y335" s="22" t="n">
        <v>118411</v>
      </c>
      <c r="Z335" s="22" t="n">
        <v>119224</v>
      </c>
      <c r="AA335" s="22" t="n">
        <v>119946</v>
      </c>
      <c r="AB335" s="22" t="n">
        <v>120219</v>
      </c>
      <c r="AC335" s="22" t="n">
        <v>120508</v>
      </c>
      <c r="AD335" s="22" t="n">
        <v>120905</v>
      </c>
      <c r="AE335" s="22" t="n">
        <v>122677</v>
      </c>
      <c r="AF335" s="22" t="n">
        <v>123685</v>
      </c>
    </row>
    <row r="336" customFormat="false" ht="15" hidden="false" customHeight="false" outlineLevel="0" collapsed="false">
      <c r="A336" s="22" t="s">
        <v>31</v>
      </c>
      <c r="B336" s="22" t="s">
        <v>3</v>
      </c>
      <c r="C336" s="22" t="s">
        <v>31</v>
      </c>
      <c r="D336" s="22" t="n">
        <v>40060</v>
      </c>
      <c r="E336" s="22" t="s">
        <v>136</v>
      </c>
      <c r="F336" s="22" t="s">
        <v>680</v>
      </c>
      <c r="G336" s="22" t="s">
        <v>131</v>
      </c>
      <c r="H336" s="22" t="s">
        <v>131</v>
      </c>
      <c r="I336" s="22" t="n">
        <v>1130</v>
      </c>
      <c r="J336" s="22" t="n">
        <v>849</v>
      </c>
      <c r="K336" s="22" t="n">
        <v>933</v>
      </c>
      <c r="L336" s="22" t="n">
        <v>1048</v>
      </c>
      <c r="M336" s="22" t="n">
        <v>1294</v>
      </c>
      <c r="N336" s="22" t="n">
        <v>802</v>
      </c>
      <c r="O336" s="22" t="n">
        <v>692</v>
      </c>
      <c r="P336" s="22" t="n">
        <v>737</v>
      </c>
      <c r="Q336" s="22" t="n">
        <v>701</v>
      </c>
      <c r="R336" s="22" t="n">
        <v>893</v>
      </c>
      <c r="S336" s="22" t="n">
        <v>504</v>
      </c>
      <c r="T336" s="22" t="n">
        <v>513</v>
      </c>
      <c r="U336" s="22" t="n">
        <v>0</v>
      </c>
      <c r="V336" s="22" t="n">
        <v>630</v>
      </c>
      <c r="W336" s="22" t="n">
        <v>1259</v>
      </c>
      <c r="X336" s="22" t="n">
        <v>314</v>
      </c>
      <c r="Y336" s="22" t="n">
        <v>932</v>
      </c>
      <c r="Z336" s="22" t="n">
        <v>0</v>
      </c>
      <c r="AA336" s="22" t="n">
        <v>288</v>
      </c>
      <c r="AB336" s="22" t="n">
        <v>1071</v>
      </c>
      <c r="AC336" s="22" t="n">
        <v>299</v>
      </c>
      <c r="AD336" s="22"/>
      <c r="AE336" s="22"/>
      <c r="AF336" s="22"/>
    </row>
    <row r="337" customFormat="false" ht="15" hidden="false" customHeight="false" outlineLevel="0" collapsed="false">
      <c r="A337" s="22" t="s">
        <v>31</v>
      </c>
      <c r="B337" s="22" t="s">
        <v>3</v>
      </c>
      <c r="C337" s="22" t="s">
        <v>31</v>
      </c>
      <c r="D337" s="22" t="n">
        <v>40060</v>
      </c>
      <c r="E337" s="22" t="s">
        <v>136</v>
      </c>
      <c r="F337" s="22" t="s">
        <v>681</v>
      </c>
      <c r="G337" s="22" t="s">
        <v>131</v>
      </c>
      <c r="H337" s="22" t="s">
        <v>131</v>
      </c>
      <c r="I337" s="22" t="n">
        <v>3744</v>
      </c>
      <c r="J337" s="22" t="n">
        <v>4251</v>
      </c>
      <c r="K337" s="22" t="n">
        <v>3588</v>
      </c>
      <c r="L337" s="22" t="n">
        <v>3960</v>
      </c>
      <c r="M337" s="22" t="n">
        <v>4124</v>
      </c>
      <c r="N337" s="22" t="n">
        <v>4077</v>
      </c>
      <c r="O337" s="22" t="n">
        <v>3836</v>
      </c>
      <c r="P337" s="22" t="n">
        <v>3525</v>
      </c>
      <c r="Q337" s="22" t="n">
        <v>2932</v>
      </c>
      <c r="R337" s="22" t="n">
        <v>3023</v>
      </c>
      <c r="S337" s="22" t="n">
        <v>2835</v>
      </c>
      <c r="T337" s="22" t="n">
        <v>2611</v>
      </c>
      <c r="U337" s="22" t="n">
        <v>1910</v>
      </c>
      <c r="V337" s="22" t="n">
        <v>1647</v>
      </c>
      <c r="W337" s="22" t="n">
        <v>2402</v>
      </c>
      <c r="X337" s="22" t="n">
        <v>2203</v>
      </c>
      <c r="Y337" s="22" t="n">
        <v>3135</v>
      </c>
      <c r="Z337" s="22" t="n">
        <v>2505</v>
      </c>
      <c r="AA337" s="22" t="n">
        <v>1534</v>
      </c>
      <c r="AB337" s="22" t="n">
        <v>2291</v>
      </c>
      <c r="AC337" s="22" t="n">
        <v>1658</v>
      </c>
      <c r="AD337" s="22"/>
      <c r="AE337" s="22"/>
      <c r="AF337" s="22"/>
    </row>
    <row r="338" customFormat="false" ht="15" hidden="false" customHeight="false" outlineLevel="0" collapsed="false">
      <c r="A338" s="22" t="s">
        <v>199</v>
      </c>
      <c r="B338" s="22" t="s">
        <v>3</v>
      </c>
      <c r="C338" s="22" t="s">
        <v>199</v>
      </c>
      <c r="D338" s="22" t="n">
        <v>40140</v>
      </c>
      <c r="E338" s="22" t="s">
        <v>132</v>
      </c>
      <c r="F338" s="22" t="s">
        <v>133</v>
      </c>
      <c r="G338" s="22" t="s">
        <v>131</v>
      </c>
      <c r="H338" s="22" t="s">
        <v>131</v>
      </c>
      <c r="I338" s="22" t="n">
        <v>190865</v>
      </c>
      <c r="J338" s="22" t="n">
        <v>191173</v>
      </c>
      <c r="K338" s="22" t="n">
        <v>191292</v>
      </c>
      <c r="L338" s="22" t="n">
        <v>191705</v>
      </c>
      <c r="M338" s="22" t="n">
        <v>192010</v>
      </c>
      <c r="N338" s="22" t="n">
        <v>192170</v>
      </c>
      <c r="O338" s="22" t="n">
        <v>192101</v>
      </c>
      <c r="P338" s="22" t="n">
        <v>192355</v>
      </c>
      <c r="Q338" s="22" t="n">
        <v>192743</v>
      </c>
      <c r="R338" s="22" t="n">
        <v>193294</v>
      </c>
      <c r="S338" s="22" t="n">
        <v>194219</v>
      </c>
      <c r="T338" s="22" t="n">
        <v>194963</v>
      </c>
      <c r="U338" s="22" t="n">
        <v>195883</v>
      </c>
      <c r="V338" s="22" t="n">
        <v>196850</v>
      </c>
      <c r="W338" s="22" t="n">
        <v>198585</v>
      </c>
      <c r="X338" s="22" t="n">
        <v>200076</v>
      </c>
      <c r="Y338" s="22" t="n">
        <v>201416</v>
      </c>
      <c r="Z338" s="22" t="n">
        <v>202489</v>
      </c>
      <c r="AA338" s="22" t="n">
        <v>202842</v>
      </c>
      <c r="AB338" s="22" t="n">
        <v>203238</v>
      </c>
      <c r="AC338" s="22" t="n">
        <v>203781</v>
      </c>
      <c r="AD338" s="22" t="n">
        <v>204074</v>
      </c>
      <c r="AE338" s="22" t="n">
        <v>204617</v>
      </c>
      <c r="AF338" s="22" t="n">
        <v>205391</v>
      </c>
    </row>
    <row r="339" customFormat="false" ht="15" hidden="false" customHeight="false" outlineLevel="0" collapsed="false">
      <c r="A339" s="22" t="s">
        <v>199</v>
      </c>
      <c r="B339" s="22" t="s">
        <v>3</v>
      </c>
      <c r="C339" s="22" t="s">
        <v>199</v>
      </c>
      <c r="D339" s="22" t="n">
        <v>40140</v>
      </c>
      <c r="E339" s="22" t="s">
        <v>136</v>
      </c>
      <c r="F339" s="22" t="s">
        <v>680</v>
      </c>
      <c r="G339" s="22" t="s">
        <v>131</v>
      </c>
      <c r="H339" s="22" t="s">
        <v>131</v>
      </c>
      <c r="I339" s="22" t="n">
        <v>866</v>
      </c>
      <c r="J339" s="22" t="n">
        <v>2040</v>
      </c>
      <c r="K339" s="22" t="n">
        <v>352</v>
      </c>
      <c r="L339" s="22" t="n">
        <v>1508</v>
      </c>
      <c r="M339" s="22" t="n">
        <v>667</v>
      </c>
      <c r="N339" s="22" t="n">
        <v>799</v>
      </c>
      <c r="O339" s="22" t="n">
        <v>923</v>
      </c>
      <c r="P339" s="22" t="n">
        <v>1030</v>
      </c>
      <c r="Q339" s="22" t="n">
        <v>1458</v>
      </c>
      <c r="R339" s="22" t="n">
        <v>808</v>
      </c>
      <c r="S339" s="22" t="n">
        <v>0</v>
      </c>
      <c r="T339" s="22" t="n">
        <v>458</v>
      </c>
      <c r="U339" s="22" t="n">
        <v>687</v>
      </c>
      <c r="V339" s="22" t="n">
        <v>64</v>
      </c>
      <c r="W339" s="22" t="n">
        <v>666</v>
      </c>
      <c r="X339" s="22" t="n">
        <v>414</v>
      </c>
      <c r="Y339" s="22" t="n">
        <v>0</v>
      </c>
      <c r="Z339" s="22" t="n">
        <v>322</v>
      </c>
      <c r="AA339" s="22" t="n">
        <v>228</v>
      </c>
      <c r="AB339" s="22" t="n">
        <v>0</v>
      </c>
      <c r="AC339" s="22" t="n">
        <v>0</v>
      </c>
      <c r="AD339" s="22"/>
      <c r="AE339" s="22"/>
      <c r="AF339" s="22"/>
    </row>
    <row r="340" customFormat="false" ht="15" hidden="false" customHeight="false" outlineLevel="0" collapsed="false">
      <c r="A340" s="22" t="s">
        <v>199</v>
      </c>
      <c r="B340" s="22" t="s">
        <v>3</v>
      </c>
      <c r="C340" s="22" t="s">
        <v>199</v>
      </c>
      <c r="D340" s="22" t="n">
        <v>40140</v>
      </c>
      <c r="E340" s="22" t="s">
        <v>136</v>
      </c>
      <c r="F340" s="22" t="s">
        <v>681</v>
      </c>
      <c r="G340" s="22" t="s">
        <v>131</v>
      </c>
      <c r="H340" s="22" t="s">
        <v>131</v>
      </c>
      <c r="I340" s="22" t="n">
        <v>1977</v>
      </c>
      <c r="J340" s="22" t="n">
        <v>3831</v>
      </c>
      <c r="K340" s="22" t="n">
        <v>3458</v>
      </c>
      <c r="L340" s="22" t="n">
        <v>4766</v>
      </c>
      <c r="M340" s="22" t="n">
        <v>4567</v>
      </c>
      <c r="N340" s="22" t="n">
        <v>3326</v>
      </c>
      <c r="O340" s="22" t="n">
        <v>3897</v>
      </c>
      <c r="P340" s="22" t="n">
        <v>3419</v>
      </c>
      <c r="Q340" s="22" t="n">
        <v>4210</v>
      </c>
      <c r="R340" s="22" t="n">
        <v>4219</v>
      </c>
      <c r="S340" s="22" t="n">
        <v>3296</v>
      </c>
      <c r="T340" s="22" t="n">
        <v>2724</v>
      </c>
      <c r="U340" s="22" t="n">
        <v>1953</v>
      </c>
      <c r="V340" s="22" t="n">
        <v>1209</v>
      </c>
      <c r="W340" s="22" t="n">
        <v>1875</v>
      </c>
      <c r="X340" s="22" t="n">
        <v>1831</v>
      </c>
      <c r="Y340" s="22" t="n">
        <v>1144</v>
      </c>
      <c r="Z340" s="22" t="n">
        <v>1402</v>
      </c>
      <c r="AA340" s="22" t="n">
        <v>964</v>
      </c>
      <c r="AB340" s="22" t="n">
        <v>550</v>
      </c>
      <c r="AC340" s="22" t="n">
        <v>550</v>
      </c>
      <c r="AD340" s="22"/>
      <c r="AE340" s="22"/>
      <c r="AF340" s="22"/>
    </row>
    <row r="341" customFormat="false" ht="15" hidden="false" customHeight="false" outlineLevel="0" collapsed="false">
      <c r="A341" s="22" t="s">
        <v>200</v>
      </c>
      <c r="B341" s="22" t="s">
        <v>3</v>
      </c>
      <c r="C341" s="22" t="s">
        <v>200</v>
      </c>
      <c r="D341" s="22" t="n">
        <v>40380</v>
      </c>
      <c r="E341" s="22" t="s">
        <v>132</v>
      </c>
      <c r="F341" s="22" t="s">
        <v>133</v>
      </c>
      <c r="G341" s="22" t="s">
        <v>131</v>
      </c>
      <c r="H341" s="22" t="s">
        <v>131</v>
      </c>
      <c r="I341" s="22" t="n">
        <v>68519</v>
      </c>
      <c r="J341" s="22" t="n">
        <v>68688</v>
      </c>
      <c r="K341" s="22" t="n">
        <v>68807</v>
      </c>
      <c r="L341" s="22" t="n">
        <v>68852</v>
      </c>
      <c r="M341" s="22" t="n">
        <v>68852</v>
      </c>
      <c r="N341" s="22" t="n">
        <v>68897</v>
      </c>
      <c r="O341" s="22" t="n">
        <v>68942</v>
      </c>
      <c r="P341" s="22" t="n">
        <v>68972</v>
      </c>
      <c r="Q341" s="22" t="n">
        <v>69044</v>
      </c>
      <c r="R341" s="22" t="n">
        <v>69130</v>
      </c>
      <c r="S341" s="22" t="n">
        <v>69193</v>
      </c>
      <c r="T341" s="22" t="n">
        <v>69266</v>
      </c>
      <c r="U341" s="22" t="n">
        <v>69303</v>
      </c>
      <c r="V341" s="22" t="n">
        <v>69303</v>
      </c>
      <c r="W341" s="22" t="n">
        <v>69325</v>
      </c>
      <c r="X341" s="22" t="n">
        <v>69391</v>
      </c>
      <c r="Y341" s="22" t="n">
        <v>69413</v>
      </c>
      <c r="Z341" s="22" t="n">
        <v>69453</v>
      </c>
      <c r="AA341" s="22" t="n">
        <v>69513</v>
      </c>
      <c r="AB341" s="22" t="n">
        <v>69573</v>
      </c>
      <c r="AC341" s="22" t="n">
        <v>69645</v>
      </c>
      <c r="AD341" s="22" t="n">
        <v>69781</v>
      </c>
      <c r="AE341" s="22" t="n">
        <v>69852</v>
      </c>
      <c r="AF341" s="22" t="n">
        <v>70167</v>
      </c>
    </row>
    <row r="342" customFormat="false" ht="15" hidden="false" customHeight="false" outlineLevel="0" collapsed="false">
      <c r="A342" s="22" t="s">
        <v>200</v>
      </c>
      <c r="B342" s="22" t="s">
        <v>3</v>
      </c>
      <c r="C342" s="22" t="s">
        <v>200</v>
      </c>
      <c r="D342" s="22" t="n">
        <v>40380</v>
      </c>
      <c r="E342" s="22" t="s">
        <v>136</v>
      </c>
      <c r="F342" s="22" t="s">
        <v>680</v>
      </c>
      <c r="G342" s="22" t="s">
        <v>131</v>
      </c>
      <c r="H342" s="22" t="s">
        <v>131</v>
      </c>
      <c r="I342" s="22" t="n">
        <v>0</v>
      </c>
      <c r="J342" s="22" t="n">
        <v>120</v>
      </c>
      <c r="K342" s="22" t="n">
        <v>25</v>
      </c>
      <c r="L342" s="22" t="n">
        <v>196</v>
      </c>
      <c r="M342" s="22" t="n">
        <v>0</v>
      </c>
      <c r="N342" s="22" t="n">
        <v>110</v>
      </c>
      <c r="O342" s="22" t="n">
        <v>0</v>
      </c>
      <c r="P342" s="22" t="n">
        <v>0</v>
      </c>
      <c r="Q342" s="22" t="n">
        <v>0</v>
      </c>
      <c r="R342" s="22" t="n">
        <v>0</v>
      </c>
      <c r="S342" s="22" t="n">
        <v>0</v>
      </c>
      <c r="T342" s="22" t="n">
        <v>0</v>
      </c>
      <c r="U342" s="22" t="n">
        <v>0</v>
      </c>
      <c r="V342" s="22" t="n">
        <v>280</v>
      </c>
      <c r="W342" s="22" t="n">
        <v>0</v>
      </c>
      <c r="X342" s="22" t="n">
        <v>297</v>
      </c>
      <c r="Y342" s="22" t="n">
        <v>0</v>
      </c>
      <c r="Z342" s="22" t="n">
        <v>284</v>
      </c>
      <c r="AA342" s="22" t="n">
        <v>223</v>
      </c>
      <c r="AB342" s="22" t="n">
        <v>0</v>
      </c>
      <c r="AC342" s="22" t="n">
        <v>0</v>
      </c>
      <c r="AD342" s="22"/>
      <c r="AE342" s="22"/>
      <c r="AF342" s="22"/>
    </row>
    <row r="343" customFormat="false" ht="15" hidden="false" customHeight="false" outlineLevel="0" collapsed="false">
      <c r="A343" s="22" t="s">
        <v>200</v>
      </c>
      <c r="B343" s="22" t="s">
        <v>3</v>
      </c>
      <c r="C343" s="22" t="s">
        <v>200</v>
      </c>
      <c r="D343" s="22" t="n">
        <v>40380</v>
      </c>
      <c r="E343" s="22" t="s">
        <v>136</v>
      </c>
      <c r="F343" s="22" t="s">
        <v>681</v>
      </c>
      <c r="G343" s="22" t="s">
        <v>131</v>
      </c>
      <c r="H343" s="22" t="s">
        <v>131</v>
      </c>
      <c r="I343" s="22" t="n">
        <v>0</v>
      </c>
      <c r="J343" s="22" t="n">
        <v>120</v>
      </c>
      <c r="K343" s="22" t="n">
        <v>145</v>
      </c>
      <c r="L343" s="22" t="n">
        <v>341</v>
      </c>
      <c r="M343" s="22" t="n">
        <v>341</v>
      </c>
      <c r="N343" s="22" t="n">
        <v>331</v>
      </c>
      <c r="O343" s="22" t="n">
        <v>306</v>
      </c>
      <c r="P343" s="22" t="n">
        <v>110</v>
      </c>
      <c r="Q343" s="22" t="n">
        <v>110</v>
      </c>
      <c r="R343" s="22" t="n">
        <v>0</v>
      </c>
      <c r="S343" s="22" t="n">
        <v>0</v>
      </c>
      <c r="T343" s="22" t="n">
        <v>0</v>
      </c>
      <c r="U343" s="22" t="n">
        <v>0</v>
      </c>
      <c r="V343" s="22" t="n">
        <v>280</v>
      </c>
      <c r="W343" s="22" t="n">
        <v>280</v>
      </c>
      <c r="X343" s="22" t="n">
        <v>577</v>
      </c>
      <c r="Y343" s="22" t="n">
        <v>577</v>
      </c>
      <c r="Z343" s="22" t="n">
        <v>581</v>
      </c>
      <c r="AA343" s="22" t="n">
        <v>804</v>
      </c>
      <c r="AB343" s="22" t="n">
        <v>507</v>
      </c>
      <c r="AC343" s="22" t="n">
        <v>507</v>
      </c>
      <c r="AD343" s="22"/>
      <c r="AE343" s="22"/>
      <c r="AF343" s="22"/>
    </row>
    <row r="344" customFormat="false" ht="15" hidden="false" customHeight="false" outlineLevel="0" collapsed="false">
      <c r="A344" s="22" t="s">
        <v>201</v>
      </c>
      <c r="B344" s="22" t="s">
        <v>3</v>
      </c>
      <c r="C344" s="22" t="s">
        <v>201</v>
      </c>
      <c r="D344" s="22" t="n">
        <v>40900</v>
      </c>
      <c r="E344" s="22" t="s">
        <v>132</v>
      </c>
      <c r="F344" s="22" t="s">
        <v>133</v>
      </c>
      <c r="G344" s="22" t="s">
        <v>131</v>
      </c>
      <c r="H344" s="22" t="s">
        <v>131</v>
      </c>
      <c r="I344" s="22" t="n">
        <v>152727</v>
      </c>
      <c r="J344" s="22" t="n">
        <v>153240</v>
      </c>
      <c r="K344" s="22" t="n">
        <v>153675</v>
      </c>
      <c r="L344" s="22" t="n">
        <v>154072</v>
      </c>
      <c r="M344" s="22" t="n">
        <v>154868</v>
      </c>
      <c r="N344" s="22" t="n">
        <v>155208</v>
      </c>
      <c r="O344" s="22" t="n">
        <v>155677</v>
      </c>
      <c r="P344" s="22" t="n">
        <v>156098</v>
      </c>
      <c r="Q344" s="22" t="n">
        <v>156797</v>
      </c>
      <c r="R344" s="22" t="n">
        <v>157573</v>
      </c>
      <c r="S344" s="22" t="n">
        <v>158271</v>
      </c>
      <c r="T344" s="22" t="n">
        <v>159193</v>
      </c>
      <c r="U344" s="22" t="n">
        <v>160274</v>
      </c>
      <c r="V344" s="22" t="n">
        <v>160823</v>
      </c>
      <c r="W344" s="22" t="n">
        <v>161566</v>
      </c>
      <c r="X344" s="22" t="n">
        <v>162014</v>
      </c>
      <c r="Y344" s="22" t="n">
        <v>162673</v>
      </c>
      <c r="Z344" s="22" t="n">
        <v>162798</v>
      </c>
      <c r="AA344" s="22" t="n">
        <v>163000</v>
      </c>
      <c r="AB344" s="22" t="n">
        <v>163221</v>
      </c>
      <c r="AC344" s="22" t="n">
        <v>163254</v>
      </c>
      <c r="AD344" s="22" t="n">
        <v>163625</v>
      </c>
      <c r="AE344" s="22" t="n">
        <v>164303</v>
      </c>
      <c r="AF344" s="22" t="n">
        <v>164788</v>
      </c>
    </row>
    <row r="345" customFormat="false" ht="15" hidden="false" customHeight="false" outlineLevel="0" collapsed="false">
      <c r="A345" s="22" t="s">
        <v>201</v>
      </c>
      <c r="B345" s="22" t="s">
        <v>3</v>
      </c>
      <c r="C345" s="22" t="s">
        <v>201</v>
      </c>
      <c r="D345" s="22" t="n">
        <v>40900</v>
      </c>
      <c r="E345" s="22" t="s">
        <v>136</v>
      </c>
      <c r="F345" s="22" t="s">
        <v>680</v>
      </c>
      <c r="G345" s="22" t="s">
        <v>131</v>
      </c>
      <c r="H345" s="22" t="s">
        <v>131</v>
      </c>
      <c r="I345" s="22" t="n">
        <v>591</v>
      </c>
      <c r="J345" s="22" t="n">
        <v>190</v>
      </c>
      <c r="K345" s="22" t="n">
        <v>745</v>
      </c>
      <c r="L345" s="22" t="n">
        <v>1187</v>
      </c>
      <c r="M345" s="22" t="n">
        <v>443</v>
      </c>
      <c r="N345" s="22" t="n">
        <v>1015</v>
      </c>
      <c r="O345" s="22" t="n">
        <v>513</v>
      </c>
      <c r="P345" s="22" t="n">
        <v>331</v>
      </c>
      <c r="Q345" s="22" t="n">
        <v>625</v>
      </c>
      <c r="R345" s="22" t="n">
        <v>575</v>
      </c>
      <c r="S345" s="22" t="n">
        <v>62</v>
      </c>
      <c r="T345" s="22" t="n">
        <v>454</v>
      </c>
      <c r="U345" s="22" t="n">
        <v>336</v>
      </c>
      <c r="V345" s="22" t="n">
        <v>706</v>
      </c>
      <c r="W345" s="22" t="n">
        <v>275</v>
      </c>
      <c r="X345" s="22" t="n">
        <v>141</v>
      </c>
      <c r="Y345" s="22" t="n">
        <v>263</v>
      </c>
      <c r="Z345" s="22" t="n">
        <v>585</v>
      </c>
      <c r="AA345" s="22" t="n">
        <v>0</v>
      </c>
      <c r="AB345" s="22" t="n">
        <v>107</v>
      </c>
      <c r="AC345" s="22" t="n">
        <v>0</v>
      </c>
      <c r="AD345" s="22"/>
      <c r="AE345" s="22"/>
      <c r="AF345" s="22"/>
    </row>
    <row r="346" customFormat="false" ht="15" hidden="false" customHeight="false" outlineLevel="0" collapsed="false">
      <c r="A346" s="22" t="s">
        <v>201</v>
      </c>
      <c r="B346" s="22" t="s">
        <v>3</v>
      </c>
      <c r="C346" s="22" t="s">
        <v>201</v>
      </c>
      <c r="D346" s="22" t="n">
        <v>40900</v>
      </c>
      <c r="E346" s="22" t="s">
        <v>136</v>
      </c>
      <c r="F346" s="22" t="s">
        <v>681</v>
      </c>
      <c r="G346" s="22" t="s">
        <v>131</v>
      </c>
      <c r="H346" s="22" t="s">
        <v>131</v>
      </c>
      <c r="I346" s="22" t="n">
        <v>2464</v>
      </c>
      <c r="J346" s="22" t="n">
        <v>2654</v>
      </c>
      <c r="K346" s="22" t="n">
        <v>2494</v>
      </c>
      <c r="L346" s="22" t="n">
        <v>2713</v>
      </c>
      <c r="M346" s="22" t="n">
        <v>2565</v>
      </c>
      <c r="N346" s="22" t="n">
        <v>3390</v>
      </c>
      <c r="O346" s="22" t="n">
        <v>3158</v>
      </c>
      <c r="P346" s="22" t="n">
        <v>2302</v>
      </c>
      <c r="Q346" s="22" t="n">
        <v>2484</v>
      </c>
      <c r="R346" s="22" t="n">
        <v>2044</v>
      </c>
      <c r="S346" s="22" t="n">
        <v>1593</v>
      </c>
      <c r="T346" s="22" t="n">
        <v>1716</v>
      </c>
      <c r="U346" s="22" t="n">
        <v>1427</v>
      </c>
      <c r="V346" s="22" t="n">
        <v>1558</v>
      </c>
      <c r="W346" s="22" t="n">
        <v>1771</v>
      </c>
      <c r="X346" s="22" t="n">
        <v>1458</v>
      </c>
      <c r="Y346" s="22" t="n">
        <v>1385</v>
      </c>
      <c r="Z346" s="22" t="n">
        <v>1264</v>
      </c>
      <c r="AA346" s="22" t="n">
        <v>989</v>
      </c>
      <c r="AB346" s="22" t="n">
        <v>955</v>
      </c>
      <c r="AC346" s="22" t="n">
        <v>692</v>
      </c>
      <c r="AD346" s="22"/>
      <c r="AE346" s="22"/>
      <c r="AF346" s="22"/>
    </row>
    <row r="347" customFormat="false" ht="15" hidden="false" customHeight="false" outlineLevel="0" collapsed="false">
      <c r="A347" s="22" t="s">
        <v>202</v>
      </c>
      <c r="B347" s="22" t="s">
        <v>3</v>
      </c>
      <c r="C347" s="22" t="s">
        <v>202</v>
      </c>
      <c r="D347" s="22" t="n">
        <v>41420</v>
      </c>
      <c r="E347" s="22" t="s">
        <v>132</v>
      </c>
      <c r="F347" s="22" t="s">
        <v>133</v>
      </c>
      <c r="G347" s="22" t="s">
        <v>131</v>
      </c>
      <c r="H347" s="22" t="s">
        <v>131</v>
      </c>
      <c r="I347" s="22" t="n">
        <v>25254</v>
      </c>
      <c r="J347" s="22" t="n">
        <v>25571</v>
      </c>
      <c r="K347" s="22" t="n">
        <v>25698</v>
      </c>
      <c r="L347" s="22" t="n">
        <v>25446</v>
      </c>
      <c r="M347" s="22" t="n">
        <v>25564</v>
      </c>
      <c r="N347" s="22" t="n">
        <v>25797</v>
      </c>
      <c r="O347" s="22" t="n">
        <v>25977</v>
      </c>
      <c r="P347" s="22" t="n">
        <v>25988</v>
      </c>
      <c r="Q347" s="22" t="n">
        <v>25988</v>
      </c>
      <c r="R347" s="22" t="n">
        <v>26167</v>
      </c>
      <c r="S347" s="22" t="n">
        <v>26425</v>
      </c>
      <c r="T347" s="22" t="n">
        <v>26706</v>
      </c>
      <c r="U347" s="22" t="n">
        <v>27051</v>
      </c>
      <c r="V347" s="22" t="n">
        <v>27428</v>
      </c>
      <c r="W347" s="22" t="n">
        <v>27614</v>
      </c>
      <c r="X347" s="22" t="n">
        <v>27771</v>
      </c>
      <c r="Y347" s="22" t="n">
        <v>27977</v>
      </c>
      <c r="Z347" s="22" t="n">
        <v>28192</v>
      </c>
      <c r="AA347" s="22" t="n">
        <v>28215</v>
      </c>
      <c r="AB347" s="22" t="n">
        <v>28326</v>
      </c>
      <c r="AC347" s="22" t="n">
        <v>28677</v>
      </c>
      <c r="AD347" s="22" t="n">
        <v>28715</v>
      </c>
      <c r="AE347" s="22" t="n">
        <v>28829</v>
      </c>
      <c r="AF347" s="22" t="n">
        <v>28835</v>
      </c>
    </row>
    <row r="348" customFormat="false" ht="15" hidden="false" customHeight="false" outlineLevel="0" collapsed="false">
      <c r="A348" s="22" t="s">
        <v>202</v>
      </c>
      <c r="B348" s="22" t="s">
        <v>3</v>
      </c>
      <c r="C348" s="22" t="s">
        <v>202</v>
      </c>
      <c r="D348" s="22" t="n">
        <v>41420</v>
      </c>
      <c r="E348" s="22" t="s">
        <v>136</v>
      </c>
      <c r="F348" s="22" t="s">
        <v>680</v>
      </c>
      <c r="G348" s="22" t="s">
        <v>131</v>
      </c>
      <c r="H348" s="22" t="s">
        <v>131</v>
      </c>
      <c r="I348" s="22" t="n">
        <v>0</v>
      </c>
      <c r="J348" s="22" t="n">
        <v>0</v>
      </c>
      <c r="K348" s="22" t="n">
        <v>120</v>
      </c>
      <c r="L348" s="22" t="n">
        <v>260</v>
      </c>
      <c r="M348" s="22" t="n">
        <v>157</v>
      </c>
      <c r="N348" s="22" t="n">
        <v>300</v>
      </c>
      <c r="O348" s="22" t="n">
        <v>412</v>
      </c>
      <c r="P348" s="22" t="n">
        <v>176</v>
      </c>
      <c r="Q348" s="22" t="n">
        <v>66</v>
      </c>
      <c r="R348" s="22" t="n">
        <v>0</v>
      </c>
      <c r="S348" s="22" t="n">
        <v>73</v>
      </c>
      <c r="T348" s="22" t="n">
        <v>71</v>
      </c>
      <c r="U348" s="22" t="n">
        <v>543</v>
      </c>
      <c r="V348" s="22" t="n">
        <v>42</v>
      </c>
      <c r="W348" s="22" t="n">
        <v>0</v>
      </c>
      <c r="X348" s="22" t="n">
        <v>0</v>
      </c>
      <c r="Y348" s="22" t="n">
        <v>0</v>
      </c>
      <c r="Z348" s="22" t="n">
        <v>105</v>
      </c>
      <c r="AA348" s="22" t="n">
        <v>0</v>
      </c>
      <c r="AB348" s="22" t="n">
        <v>0</v>
      </c>
      <c r="AC348" s="22" t="n">
        <v>0</v>
      </c>
      <c r="AD348" s="22"/>
      <c r="AE348" s="22"/>
      <c r="AF348" s="22"/>
    </row>
    <row r="349" customFormat="false" ht="15" hidden="false" customHeight="false" outlineLevel="0" collapsed="false">
      <c r="A349" s="22" t="s">
        <v>202</v>
      </c>
      <c r="B349" s="22" t="s">
        <v>3</v>
      </c>
      <c r="C349" s="22" t="s">
        <v>202</v>
      </c>
      <c r="D349" s="22" t="n">
        <v>41420</v>
      </c>
      <c r="E349" s="22" t="s">
        <v>136</v>
      </c>
      <c r="F349" s="22" t="s">
        <v>681</v>
      </c>
      <c r="G349" s="22" t="s">
        <v>131</v>
      </c>
      <c r="H349" s="22" t="s">
        <v>131</v>
      </c>
      <c r="I349" s="22" t="n">
        <v>578</v>
      </c>
      <c r="J349" s="22" t="n">
        <v>555</v>
      </c>
      <c r="K349" s="22" t="n">
        <v>324</v>
      </c>
      <c r="L349" s="22" t="n">
        <v>380</v>
      </c>
      <c r="M349" s="22" t="n">
        <v>537</v>
      </c>
      <c r="N349" s="22" t="n">
        <v>837</v>
      </c>
      <c r="O349" s="22" t="n">
        <v>1129</v>
      </c>
      <c r="P349" s="22" t="n">
        <v>1045</v>
      </c>
      <c r="Q349" s="22" t="n">
        <v>954</v>
      </c>
      <c r="R349" s="22" t="n">
        <v>654</v>
      </c>
      <c r="S349" s="22" t="n">
        <v>315</v>
      </c>
      <c r="T349" s="22" t="n">
        <v>210</v>
      </c>
      <c r="U349" s="22" t="n">
        <v>687</v>
      </c>
      <c r="V349" s="22" t="n">
        <v>729</v>
      </c>
      <c r="W349" s="22" t="n">
        <v>656</v>
      </c>
      <c r="X349" s="22" t="n">
        <v>585</v>
      </c>
      <c r="Y349" s="22" t="n">
        <v>42</v>
      </c>
      <c r="Z349" s="22" t="n">
        <v>105</v>
      </c>
      <c r="AA349" s="22" t="n">
        <v>105</v>
      </c>
      <c r="AB349" s="22" t="n">
        <v>105</v>
      </c>
      <c r="AC349" s="22" t="n">
        <v>105</v>
      </c>
      <c r="AD349" s="22"/>
      <c r="AE349" s="22"/>
      <c r="AF349" s="22"/>
    </row>
    <row r="350" customFormat="false" ht="15" hidden="false" customHeight="false" outlineLevel="0" collapsed="false">
      <c r="A350" s="22" t="s">
        <v>203</v>
      </c>
      <c r="B350" s="22" t="s">
        <v>3</v>
      </c>
      <c r="C350" s="22" t="s">
        <v>203</v>
      </c>
      <c r="D350" s="22" t="n">
        <v>341540</v>
      </c>
      <c r="E350" s="22" t="s">
        <v>132</v>
      </c>
      <c r="F350" s="22" t="s">
        <v>133</v>
      </c>
      <c r="G350" s="22" t="s">
        <v>131</v>
      </c>
      <c r="H350" s="22" t="s">
        <v>131</v>
      </c>
      <c r="I350" s="22" t="n">
        <v>24062</v>
      </c>
      <c r="J350" s="22" t="n">
        <v>24140</v>
      </c>
      <c r="K350" s="22" t="n">
        <v>24214</v>
      </c>
      <c r="L350" s="22" t="n">
        <v>24342</v>
      </c>
      <c r="M350" s="22" t="n">
        <v>24454</v>
      </c>
      <c r="N350" s="22" t="n">
        <v>24569</v>
      </c>
      <c r="O350" s="22" t="n">
        <v>24684</v>
      </c>
      <c r="P350" s="22" t="n">
        <v>24948</v>
      </c>
      <c r="Q350" s="22" t="n">
        <v>25017</v>
      </c>
      <c r="R350" s="22" t="n">
        <v>25056</v>
      </c>
      <c r="S350" s="22" t="n">
        <v>25075</v>
      </c>
      <c r="T350" s="22" t="n">
        <v>25299</v>
      </c>
      <c r="U350" s="22" t="n">
        <v>25604</v>
      </c>
      <c r="V350" s="22" t="n">
        <v>25987</v>
      </c>
      <c r="W350" s="22" t="n">
        <v>26221</v>
      </c>
      <c r="X350" s="22" t="n">
        <v>26317</v>
      </c>
      <c r="Y350" s="22" t="n">
        <v>26337</v>
      </c>
      <c r="Z350" s="22" t="n">
        <v>26396</v>
      </c>
      <c r="AA350" s="22" t="n">
        <v>26515</v>
      </c>
      <c r="AB350" s="22" t="n">
        <v>26515</v>
      </c>
      <c r="AC350" s="22" t="n">
        <v>26515</v>
      </c>
      <c r="AD350" s="22" t="n">
        <v>26515</v>
      </c>
      <c r="AE350" s="22" t="n">
        <v>26515</v>
      </c>
      <c r="AF350" s="22" t="n">
        <v>26621</v>
      </c>
    </row>
    <row r="351" customFormat="false" ht="15" hidden="false" customHeight="false" outlineLevel="0" collapsed="false">
      <c r="A351" s="22" t="s">
        <v>203</v>
      </c>
      <c r="B351" s="22" t="s">
        <v>3</v>
      </c>
      <c r="C351" s="22" t="s">
        <v>203</v>
      </c>
      <c r="D351" s="22" t="n">
        <v>341540</v>
      </c>
      <c r="E351" s="22" t="s">
        <v>136</v>
      </c>
      <c r="F351" s="22" t="s">
        <v>680</v>
      </c>
      <c r="G351" s="22" t="s">
        <v>131</v>
      </c>
      <c r="H351" s="22" t="s">
        <v>131</v>
      </c>
      <c r="I351" s="22" t="n">
        <v>406</v>
      </c>
      <c r="J351" s="22" t="n">
        <v>0</v>
      </c>
      <c r="K351" s="22" t="n">
        <v>196</v>
      </c>
      <c r="L351" s="22" t="n">
        <v>60</v>
      </c>
      <c r="M351" s="22" t="n">
        <v>240</v>
      </c>
      <c r="N351" s="22" t="n">
        <v>504</v>
      </c>
      <c r="O351" s="22" t="n">
        <v>72</v>
      </c>
      <c r="P351" s="22" t="n">
        <v>0</v>
      </c>
      <c r="Q351" s="22" t="n">
        <v>440</v>
      </c>
      <c r="R351" s="22" t="n">
        <v>0</v>
      </c>
      <c r="S351" s="22" t="n">
        <v>0</v>
      </c>
      <c r="T351" s="22" t="n">
        <v>0</v>
      </c>
      <c r="U351" s="22" t="n">
        <v>178</v>
      </c>
      <c r="V351" s="22" t="n">
        <v>0</v>
      </c>
      <c r="W351" s="22" t="n">
        <v>0</v>
      </c>
      <c r="X351" s="22" t="n">
        <v>0</v>
      </c>
      <c r="Y351" s="22" t="n">
        <v>0</v>
      </c>
      <c r="Z351" s="22" t="n">
        <v>0</v>
      </c>
      <c r="AA351" s="22" t="n">
        <v>106</v>
      </c>
      <c r="AB351" s="22" t="n">
        <v>0</v>
      </c>
      <c r="AC351" s="22" t="n">
        <v>128</v>
      </c>
      <c r="AD351" s="22"/>
      <c r="AE351" s="22"/>
      <c r="AF351" s="22"/>
    </row>
    <row r="352" customFormat="false" ht="15" hidden="false" customHeight="false" outlineLevel="0" collapsed="false">
      <c r="A352" s="22" t="s">
        <v>203</v>
      </c>
      <c r="B352" s="22" t="s">
        <v>3</v>
      </c>
      <c r="C352" s="22" t="s">
        <v>203</v>
      </c>
      <c r="D352" s="22" t="n">
        <v>341540</v>
      </c>
      <c r="E352" s="22" t="s">
        <v>136</v>
      </c>
      <c r="F352" s="22" t="s">
        <v>681</v>
      </c>
      <c r="G352" s="22" t="s">
        <v>131</v>
      </c>
      <c r="H352" s="22" t="s">
        <v>131</v>
      </c>
      <c r="I352" s="22" t="n">
        <v>406</v>
      </c>
      <c r="J352" s="22" t="n">
        <v>406</v>
      </c>
      <c r="K352" s="22" t="n">
        <v>602</v>
      </c>
      <c r="L352" s="22" t="n">
        <v>662</v>
      </c>
      <c r="M352" s="22" t="n">
        <v>496</v>
      </c>
      <c r="N352" s="22" t="n">
        <v>1000</v>
      </c>
      <c r="O352" s="22" t="n">
        <v>876</v>
      </c>
      <c r="P352" s="22" t="n">
        <v>816</v>
      </c>
      <c r="Q352" s="22" t="n">
        <v>1016</v>
      </c>
      <c r="R352" s="22" t="n">
        <v>512</v>
      </c>
      <c r="S352" s="22" t="n">
        <v>440</v>
      </c>
      <c r="T352" s="22" t="n">
        <v>440</v>
      </c>
      <c r="U352" s="22" t="n">
        <v>178</v>
      </c>
      <c r="V352" s="22" t="n">
        <v>178</v>
      </c>
      <c r="W352" s="22" t="n">
        <v>178</v>
      </c>
      <c r="X352" s="22" t="n">
        <v>178</v>
      </c>
      <c r="Y352" s="22" t="n">
        <v>0</v>
      </c>
      <c r="Z352" s="22" t="n">
        <v>0</v>
      </c>
      <c r="AA352" s="22" t="n">
        <v>106</v>
      </c>
      <c r="AB352" s="22" t="n">
        <v>106</v>
      </c>
      <c r="AC352" s="22" t="n">
        <v>234</v>
      </c>
      <c r="AD352" s="22"/>
      <c r="AE352" s="22"/>
      <c r="AF352" s="22"/>
    </row>
    <row r="353" customFormat="false" ht="15" hidden="false" customHeight="false" outlineLevel="0" collapsed="false">
      <c r="A353" s="22" t="s">
        <v>27</v>
      </c>
      <c r="B353" s="22" t="s">
        <v>3</v>
      </c>
      <c r="C353" s="22" t="s">
        <v>27</v>
      </c>
      <c r="D353" s="22" t="n">
        <v>341620</v>
      </c>
      <c r="E353" s="22" t="s">
        <v>132</v>
      </c>
      <c r="F353" s="22" t="s">
        <v>133</v>
      </c>
      <c r="G353" s="22" t="s">
        <v>131</v>
      </c>
      <c r="H353" s="22" t="s">
        <v>131</v>
      </c>
      <c r="I353" s="22" t="n">
        <v>113900</v>
      </c>
      <c r="J353" s="22" t="n">
        <v>114694</v>
      </c>
      <c r="K353" s="22" t="n">
        <v>115916</v>
      </c>
      <c r="L353" s="22" t="n">
        <v>116818</v>
      </c>
      <c r="M353" s="22" t="n">
        <v>117746</v>
      </c>
      <c r="N353" s="22" t="n">
        <v>119098</v>
      </c>
      <c r="O353" s="22" t="n">
        <v>120728</v>
      </c>
      <c r="P353" s="22" t="n">
        <v>122240</v>
      </c>
      <c r="Q353" s="22" t="n">
        <v>124036</v>
      </c>
      <c r="R353" s="22" t="n">
        <v>126651</v>
      </c>
      <c r="S353" s="22" t="n">
        <v>128943</v>
      </c>
      <c r="T353" s="22" t="n">
        <v>130565</v>
      </c>
      <c r="U353" s="22" t="n">
        <v>132518</v>
      </c>
      <c r="V353" s="22" t="n">
        <v>134460</v>
      </c>
      <c r="W353" s="22" t="n">
        <v>135916</v>
      </c>
      <c r="X353" s="22" t="n">
        <v>137200</v>
      </c>
      <c r="Y353" s="22" t="n">
        <v>138654</v>
      </c>
      <c r="Z353" s="22" t="n">
        <v>139628</v>
      </c>
      <c r="AA353" s="22" t="n">
        <v>140263</v>
      </c>
      <c r="AB353" s="22" t="n">
        <v>141215</v>
      </c>
      <c r="AC353" s="22" t="n">
        <v>141560</v>
      </c>
      <c r="AD353" s="22" t="n">
        <v>142467</v>
      </c>
      <c r="AE353" s="22" t="n">
        <v>143138</v>
      </c>
      <c r="AF353" s="22" t="n">
        <v>144595</v>
      </c>
    </row>
    <row r="354" customFormat="false" ht="15" hidden="false" customHeight="false" outlineLevel="0" collapsed="false">
      <c r="A354" s="22" t="s">
        <v>27</v>
      </c>
      <c r="B354" s="22" t="s">
        <v>3</v>
      </c>
      <c r="C354" s="22" t="s">
        <v>27</v>
      </c>
      <c r="D354" s="22" t="n">
        <v>341620</v>
      </c>
      <c r="E354" s="22" t="s">
        <v>136</v>
      </c>
      <c r="F354" s="22" t="s">
        <v>680</v>
      </c>
      <c r="G354" s="22" t="s">
        <v>131</v>
      </c>
      <c r="H354" s="22" t="s">
        <v>131</v>
      </c>
      <c r="I354" s="22" t="n">
        <v>3100</v>
      </c>
      <c r="J354" s="22" t="n">
        <v>2395</v>
      </c>
      <c r="K354" s="22" t="n">
        <v>1813</v>
      </c>
      <c r="L354" s="22" t="n">
        <v>3701</v>
      </c>
      <c r="M354" s="22" t="n">
        <v>1291</v>
      </c>
      <c r="N354" s="22" t="n">
        <v>923</v>
      </c>
      <c r="O354" s="22" t="n">
        <v>932</v>
      </c>
      <c r="P354" s="22" t="n">
        <v>802</v>
      </c>
      <c r="Q354" s="22" t="n">
        <v>187</v>
      </c>
      <c r="R354" s="22" t="n">
        <v>1223</v>
      </c>
      <c r="S354" s="22" t="n">
        <v>1255</v>
      </c>
      <c r="T354" s="22" t="n">
        <v>0</v>
      </c>
      <c r="U354" s="22" t="n">
        <v>238</v>
      </c>
      <c r="V354" s="22" t="n">
        <v>955</v>
      </c>
      <c r="W354" s="22" t="n">
        <v>413</v>
      </c>
      <c r="X354" s="22" t="n">
        <v>1730</v>
      </c>
      <c r="Y354" s="22" t="n">
        <v>409</v>
      </c>
      <c r="Z354" s="22" t="n">
        <v>601</v>
      </c>
      <c r="AA354" s="22" t="n">
        <v>258</v>
      </c>
      <c r="AB354" s="22" t="n">
        <v>767</v>
      </c>
      <c r="AC354" s="22" t="n">
        <v>0</v>
      </c>
      <c r="AD354" s="22"/>
      <c r="AE354" s="22"/>
      <c r="AF354" s="22"/>
    </row>
    <row r="355" customFormat="false" ht="15" hidden="false" customHeight="false" outlineLevel="0" collapsed="false">
      <c r="A355" s="22" t="s">
        <v>27</v>
      </c>
      <c r="B355" s="22" t="s">
        <v>3</v>
      </c>
      <c r="C355" s="22" t="s">
        <v>27</v>
      </c>
      <c r="D355" s="22" t="n">
        <v>341620</v>
      </c>
      <c r="E355" s="22" t="s">
        <v>136</v>
      </c>
      <c r="F355" s="22" t="s">
        <v>681</v>
      </c>
      <c r="G355" s="22" t="s">
        <v>131</v>
      </c>
      <c r="H355" s="22" t="s">
        <v>131</v>
      </c>
      <c r="I355" s="22" t="n">
        <v>6342</v>
      </c>
      <c r="J355" s="22" t="n">
        <v>7219</v>
      </c>
      <c r="K355" s="22" t="n">
        <v>8071</v>
      </c>
      <c r="L355" s="22" t="n">
        <v>11009</v>
      </c>
      <c r="M355" s="22" t="n">
        <v>9200</v>
      </c>
      <c r="N355" s="22" t="n">
        <v>7728</v>
      </c>
      <c r="O355" s="22" t="n">
        <v>6847</v>
      </c>
      <c r="P355" s="22" t="n">
        <v>3948</v>
      </c>
      <c r="Q355" s="22" t="n">
        <v>2844</v>
      </c>
      <c r="R355" s="22" t="n">
        <v>3144</v>
      </c>
      <c r="S355" s="22" t="n">
        <v>3467</v>
      </c>
      <c r="T355" s="22" t="n">
        <v>2665</v>
      </c>
      <c r="U355" s="22" t="n">
        <v>2716</v>
      </c>
      <c r="V355" s="22" t="n">
        <v>2448</v>
      </c>
      <c r="W355" s="22" t="n">
        <v>1606</v>
      </c>
      <c r="X355" s="22" t="n">
        <v>3336</v>
      </c>
      <c r="Y355" s="22" t="n">
        <v>3507</v>
      </c>
      <c r="Z355" s="22" t="n">
        <v>3153</v>
      </c>
      <c r="AA355" s="22" t="n">
        <v>2998</v>
      </c>
      <c r="AB355" s="22" t="n">
        <v>2035</v>
      </c>
      <c r="AC355" s="22" t="n">
        <v>1626</v>
      </c>
      <c r="AD355" s="22"/>
      <c r="AE355" s="22"/>
      <c r="AF355" s="22"/>
    </row>
    <row r="356" customFormat="false" ht="15" hidden="false" customHeight="false" outlineLevel="0" collapsed="false">
      <c r="A356" s="22" t="s">
        <v>86</v>
      </c>
      <c r="B356" s="22" t="s">
        <v>3</v>
      </c>
      <c r="C356" s="22" t="s">
        <v>86</v>
      </c>
      <c r="D356" s="22" t="n">
        <v>41700</v>
      </c>
      <c r="E356" s="22" t="s">
        <v>132</v>
      </c>
      <c r="F356" s="22" t="s">
        <v>133</v>
      </c>
      <c r="G356" s="22" t="s">
        <v>131</v>
      </c>
      <c r="H356" s="22" t="s">
        <v>131</v>
      </c>
      <c r="I356" s="22" t="n">
        <v>214046</v>
      </c>
      <c r="J356" s="22" t="n">
        <v>215280</v>
      </c>
      <c r="K356" s="22" t="n">
        <v>216142</v>
      </c>
      <c r="L356" s="22" t="n">
        <v>216471</v>
      </c>
      <c r="M356" s="22" t="n">
        <v>217517</v>
      </c>
      <c r="N356" s="22" t="n">
        <v>218034</v>
      </c>
      <c r="O356" s="22" t="n">
        <v>219181</v>
      </c>
      <c r="P356" s="22" t="n">
        <v>219997</v>
      </c>
      <c r="Q356" s="22" t="n">
        <v>221714</v>
      </c>
      <c r="R356" s="22" t="n">
        <v>223395</v>
      </c>
      <c r="S356" s="22" t="n">
        <v>225246</v>
      </c>
      <c r="T356" s="22" t="n">
        <v>227290</v>
      </c>
      <c r="U356" s="22" t="n">
        <v>230249</v>
      </c>
      <c r="V356" s="22" t="n">
        <v>233803</v>
      </c>
      <c r="W356" s="22" t="n">
        <v>237504</v>
      </c>
      <c r="X356" s="22" t="n">
        <v>240332</v>
      </c>
      <c r="Y356" s="22" t="n">
        <v>241577</v>
      </c>
      <c r="Z356" s="22" t="n">
        <v>242756</v>
      </c>
      <c r="AA356" s="22" t="n">
        <v>244456</v>
      </c>
      <c r="AB356" s="22" t="n">
        <v>246451</v>
      </c>
      <c r="AC356" s="22" t="n">
        <v>248182</v>
      </c>
      <c r="AD356" s="22" t="n">
        <v>249038</v>
      </c>
      <c r="AE356" s="22" t="n">
        <v>249633</v>
      </c>
      <c r="AF356" s="22" t="n">
        <v>249854</v>
      </c>
    </row>
    <row r="357" customFormat="false" ht="15" hidden="false" customHeight="false" outlineLevel="0" collapsed="false">
      <c r="A357" s="22" t="s">
        <v>86</v>
      </c>
      <c r="B357" s="22" t="s">
        <v>3</v>
      </c>
      <c r="C357" s="22" t="s">
        <v>86</v>
      </c>
      <c r="D357" s="22" t="n">
        <v>41700</v>
      </c>
      <c r="E357" s="22" t="s">
        <v>136</v>
      </c>
      <c r="F357" s="22" t="s">
        <v>680</v>
      </c>
      <c r="G357" s="22" t="s">
        <v>131</v>
      </c>
      <c r="H357" s="22" t="s">
        <v>131</v>
      </c>
      <c r="I357" s="22" t="n">
        <v>779</v>
      </c>
      <c r="J357" s="22" t="n">
        <v>2263</v>
      </c>
      <c r="K357" s="22" t="n">
        <v>1327</v>
      </c>
      <c r="L357" s="22" t="n">
        <v>3374</v>
      </c>
      <c r="M357" s="22" t="n">
        <v>2820</v>
      </c>
      <c r="N357" s="22" t="n">
        <v>4038</v>
      </c>
      <c r="O357" s="22" t="n">
        <v>3649</v>
      </c>
      <c r="P357" s="22" t="n">
        <v>1821</v>
      </c>
      <c r="Q357" s="22" t="n">
        <v>2646</v>
      </c>
      <c r="R357" s="22" t="n">
        <v>1588</v>
      </c>
      <c r="S357" s="22" t="n">
        <v>467</v>
      </c>
      <c r="T357" s="22" t="n">
        <v>961</v>
      </c>
      <c r="U357" s="22" t="n">
        <v>903</v>
      </c>
      <c r="V357" s="22" t="n">
        <v>1148</v>
      </c>
      <c r="W357" s="22" t="n">
        <v>1345</v>
      </c>
      <c r="X357" s="22" t="n">
        <v>747</v>
      </c>
      <c r="Y357" s="22" t="n">
        <v>907</v>
      </c>
      <c r="Z357" s="22" t="n">
        <v>27</v>
      </c>
      <c r="AA357" s="22" t="n">
        <v>617</v>
      </c>
      <c r="AB357" s="22" t="n">
        <v>0</v>
      </c>
      <c r="AC357" s="22" t="n">
        <v>0</v>
      </c>
      <c r="AD357" s="22"/>
      <c r="AE357" s="22"/>
      <c r="AF357" s="22"/>
    </row>
    <row r="358" customFormat="false" ht="15" hidden="false" customHeight="false" outlineLevel="0" collapsed="false">
      <c r="A358" s="22" t="s">
        <v>86</v>
      </c>
      <c r="B358" s="22" t="s">
        <v>3</v>
      </c>
      <c r="C358" s="22" t="s">
        <v>86</v>
      </c>
      <c r="D358" s="22" t="n">
        <v>41700</v>
      </c>
      <c r="E358" s="22" t="s">
        <v>136</v>
      </c>
      <c r="F358" s="22" t="s">
        <v>681</v>
      </c>
      <c r="G358" s="22" t="s">
        <v>131</v>
      </c>
      <c r="H358" s="22" t="s">
        <v>131</v>
      </c>
      <c r="I358" s="22" t="n">
        <v>4072</v>
      </c>
      <c r="J358" s="22" t="n">
        <v>4841</v>
      </c>
      <c r="K358" s="22" t="n">
        <v>5506</v>
      </c>
      <c r="L358" s="22" t="n">
        <v>7743</v>
      </c>
      <c r="M358" s="22" t="n">
        <v>9784</v>
      </c>
      <c r="N358" s="22" t="n">
        <v>11559</v>
      </c>
      <c r="O358" s="22" t="n">
        <v>13881</v>
      </c>
      <c r="P358" s="22" t="n">
        <v>12328</v>
      </c>
      <c r="Q358" s="22" t="n">
        <v>12154</v>
      </c>
      <c r="R358" s="22" t="n">
        <v>9704</v>
      </c>
      <c r="S358" s="22" t="n">
        <v>6522</v>
      </c>
      <c r="T358" s="22" t="n">
        <v>5662</v>
      </c>
      <c r="U358" s="22" t="n">
        <v>3919</v>
      </c>
      <c r="V358" s="22" t="n">
        <v>3479</v>
      </c>
      <c r="W358" s="22" t="n">
        <v>4357</v>
      </c>
      <c r="X358" s="22" t="n">
        <v>4143</v>
      </c>
      <c r="Y358" s="22" t="n">
        <v>4147</v>
      </c>
      <c r="Z358" s="22" t="n">
        <v>3026</v>
      </c>
      <c r="AA358" s="22" t="n">
        <v>2298</v>
      </c>
      <c r="AB358" s="22" t="n">
        <v>1551</v>
      </c>
      <c r="AC358" s="22" t="n">
        <v>644</v>
      </c>
      <c r="AD358" s="22"/>
      <c r="AE358" s="22"/>
      <c r="AF358" s="22"/>
    </row>
    <row r="359" customFormat="false" ht="15" hidden="false" customHeight="false" outlineLevel="0" collapsed="false">
      <c r="A359" s="22" t="s">
        <v>204</v>
      </c>
      <c r="B359" s="22" t="s">
        <v>3</v>
      </c>
      <c r="C359" s="22" t="s">
        <v>204</v>
      </c>
      <c r="D359" s="22" t="n">
        <v>41740</v>
      </c>
      <c r="E359" s="22" t="s">
        <v>132</v>
      </c>
      <c r="F359" s="22" t="s">
        <v>133</v>
      </c>
      <c r="G359" s="22" t="s">
        <v>131</v>
      </c>
      <c r="H359" s="22" t="s">
        <v>131</v>
      </c>
      <c r="I359" s="22" t="n">
        <v>314817</v>
      </c>
      <c r="J359" s="22" t="n">
        <v>316085</v>
      </c>
      <c r="K359" s="22" t="n">
        <v>317216</v>
      </c>
      <c r="L359" s="22" t="n">
        <v>317859</v>
      </c>
      <c r="M359" s="22" t="n">
        <v>319192</v>
      </c>
      <c r="N359" s="22" t="n">
        <v>319852</v>
      </c>
      <c r="O359" s="22" t="n">
        <v>320291</v>
      </c>
      <c r="P359" s="22" t="n">
        <v>320937</v>
      </c>
      <c r="Q359" s="22" t="n">
        <v>321680</v>
      </c>
      <c r="R359" s="22" t="n">
        <v>322763</v>
      </c>
      <c r="S359" s="22" t="n">
        <v>323615</v>
      </c>
      <c r="T359" s="22" t="n">
        <v>324208</v>
      </c>
      <c r="U359" s="22" t="n">
        <v>326115</v>
      </c>
      <c r="V359" s="22" t="n">
        <v>327322</v>
      </c>
      <c r="W359" s="22" t="n">
        <v>328376</v>
      </c>
      <c r="X359" s="22" t="n">
        <v>329859</v>
      </c>
      <c r="Y359" s="22" t="n">
        <v>330368</v>
      </c>
      <c r="Z359" s="22" t="n">
        <v>331891</v>
      </c>
      <c r="AA359" s="22" t="n">
        <v>333612</v>
      </c>
      <c r="AB359" s="22" t="n">
        <v>334831</v>
      </c>
      <c r="AC359" s="22" t="n">
        <v>337134</v>
      </c>
      <c r="AD359" s="22" t="n">
        <v>338460</v>
      </c>
      <c r="AE359" s="22" t="n">
        <v>340767</v>
      </c>
      <c r="AF359" s="22" t="n">
        <v>342066</v>
      </c>
    </row>
    <row r="360" customFormat="false" ht="15" hidden="false" customHeight="false" outlineLevel="0" collapsed="false">
      <c r="A360" s="22" t="s">
        <v>204</v>
      </c>
      <c r="B360" s="22" t="s">
        <v>3</v>
      </c>
      <c r="C360" s="22" t="s">
        <v>204</v>
      </c>
      <c r="D360" s="22" t="n">
        <v>41740</v>
      </c>
      <c r="E360" s="22" t="s">
        <v>136</v>
      </c>
      <c r="F360" s="22" t="s">
        <v>680</v>
      </c>
      <c r="G360" s="22" t="s">
        <v>131</v>
      </c>
      <c r="H360" s="22" t="s">
        <v>131</v>
      </c>
      <c r="I360" s="22" t="n">
        <v>1613</v>
      </c>
      <c r="J360" s="22" t="n">
        <v>733</v>
      </c>
      <c r="K360" s="22" t="n">
        <v>687</v>
      </c>
      <c r="L360" s="22" t="n">
        <v>1806</v>
      </c>
      <c r="M360" s="22" t="n">
        <v>480</v>
      </c>
      <c r="N360" s="22" t="n">
        <v>420</v>
      </c>
      <c r="O360" s="22" t="n">
        <v>1471</v>
      </c>
      <c r="P360" s="22" t="n">
        <v>2491</v>
      </c>
      <c r="Q360" s="22" t="n">
        <v>973</v>
      </c>
      <c r="R360" s="22" t="n">
        <v>1205</v>
      </c>
      <c r="S360" s="22" t="n">
        <v>989</v>
      </c>
      <c r="T360" s="22" t="n">
        <v>922</v>
      </c>
      <c r="U360" s="22" t="n">
        <v>1577</v>
      </c>
      <c r="V360" s="22" t="n">
        <v>690</v>
      </c>
      <c r="W360" s="22" t="n">
        <v>1370</v>
      </c>
      <c r="X360" s="22" t="n">
        <v>784</v>
      </c>
      <c r="Y360" s="22" t="n">
        <v>929</v>
      </c>
      <c r="Z360" s="22" t="n">
        <v>1218</v>
      </c>
      <c r="AA360" s="22" t="n">
        <v>1434</v>
      </c>
      <c r="AB360" s="22" t="n">
        <v>900</v>
      </c>
      <c r="AC360" s="22" t="n">
        <v>663</v>
      </c>
      <c r="AD360" s="22"/>
      <c r="AE360" s="22"/>
      <c r="AF360" s="22"/>
    </row>
    <row r="361" customFormat="false" ht="15" hidden="false" customHeight="false" outlineLevel="0" collapsed="false">
      <c r="A361" s="22" t="s">
        <v>204</v>
      </c>
      <c r="B361" s="22" t="s">
        <v>3</v>
      </c>
      <c r="C361" s="22" t="s">
        <v>204</v>
      </c>
      <c r="D361" s="22" t="n">
        <v>41740</v>
      </c>
      <c r="E361" s="22" t="s">
        <v>136</v>
      </c>
      <c r="F361" s="22" t="s">
        <v>681</v>
      </c>
      <c r="G361" s="22" t="s">
        <v>131</v>
      </c>
      <c r="H361" s="22" t="s">
        <v>131</v>
      </c>
      <c r="I361" s="22" t="n">
        <v>4584</v>
      </c>
      <c r="J361" s="22" t="n">
        <v>4136</v>
      </c>
      <c r="K361" s="22" t="n">
        <v>3725</v>
      </c>
      <c r="L361" s="22" t="n">
        <v>4839</v>
      </c>
      <c r="M361" s="22" t="n">
        <v>3706</v>
      </c>
      <c r="N361" s="22" t="n">
        <v>3393</v>
      </c>
      <c r="O361" s="22" t="n">
        <v>4177</v>
      </c>
      <c r="P361" s="22" t="n">
        <v>4862</v>
      </c>
      <c r="Q361" s="22" t="n">
        <v>5355</v>
      </c>
      <c r="R361" s="22" t="n">
        <v>6140</v>
      </c>
      <c r="S361" s="22" t="n">
        <v>5658</v>
      </c>
      <c r="T361" s="22" t="n">
        <v>4089</v>
      </c>
      <c r="U361" s="22" t="n">
        <v>4693</v>
      </c>
      <c r="V361" s="22" t="n">
        <v>4178</v>
      </c>
      <c r="W361" s="22" t="n">
        <v>4559</v>
      </c>
      <c r="X361" s="22" t="n">
        <v>4421</v>
      </c>
      <c r="Y361" s="22" t="n">
        <v>3773</v>
      </c>
      <c r="Z361" s="22" t="n">
        <v>4301</v>
      </c>
      <c r="AA361" s="22" t="n">
        <v>4365</v>
      </c>
      <c r="AB361" s="22" t="n">
        <v>4481</v>
      </c>
      <c r="AC361" s="22" t="n">
        <v>4215</v>
      </c>
      <c r="AD361" s="22"/>
      <c r="AE361" s="22"/>
      <c r="AF361" s="22"/>
    </row>
    <row r="362" customFormat="false" ht="15" hidden="false" customHeight="false" outlineLevel="0" collapsed="false">
      <c r="A362" s="22" t="s">
        <v>205</v>
      </c>
      <c r="B362" s="22" t="s">
        <v>3</v>
      </c>
      <c r="C362" s="22" t="s">
        <v>205</v>
      </c>
      <c r="D362" s="22" t="n">
        <v>41860</v>
      </c>
      <c r="E362" s="22" t="s">
        <v>132</v>
      </c>
      <c r="F362" s="22" t="s">
        <v>133</v>
      </c>
      <c r="G362" s="22" t="s">
        <v>131</v>
      </c>
      <c r="H362" s="22" t="s">
        <v>131</v>
      </c>
      <c r="I362" s="22" t="n">
        <v>245863</v>
      </c>
      <c r="J362" s="22" t="n">
        <v>247385</v>
      </c>
      <c r="K362" s="22" t="n">
        <v>248163</v>
      </c>
      <c r="L362" s="22" t="n">
        <v>248590</v>
      </c>
      <c r="M362" s="22" t="n">
        <v>248793</v>
      </c>
      <c r="N362" s="22" t="n">
        <v>249263</v>
      </c>
      <c r="O362" s="22" t="n">
        <v>249805</v>
      </c>
      <c r="P362" s="22" t="n">
        <v>250093</v>
      </c>
      <c r="Q362" s="22" t="n">
        <v>250430</v>
      </c>
      <c r="R362" s="22" t="n">
        <v>251083</v>
      </c>
      <c r="S362" s="22" t="n">
        <v>251515</v>
      </c>
      <c r="T362" s="22" t="n">
        <v>251765</v>
      </c>
      <c r="U362" s="22" t="n">
        <v>252687</v>
      </c>
      <c r="V362" s="22" t="n">
        <v>253139</v>
      </c>
      <c r="W362" s="22" t="n">
        <v>253574</v>
      </c>
      <c r="X362" s="22" t="n">
        <v>253632</v>
      </c>
      <c r="Y362" s="22" t="n">
        <v>254091</v>
      </c>
      <c r="Z362" s="22" t="n">
        <v>254582</v>
      </c>
      <c r="AA362" s="22" t="n">
        <v>255013</v>
      </c>
      <c r="AB362" s="22" t="n">
        <v>255033</v>
      </c>
      <c r="AC362" s="22" t="n">
        <v>255033</v>
      </c>
      <c r="AD362" s="22" t="n">
        <v>255233</v>
      </c>
      <c r="AE362" s="22" t="n">
        <v>255433</v>
      </c>
      <c r="AF362" s="22" t="n">
        <v>255493</v>
      </c>
    </row>
    <row r="363" customFormat="false" ht="15" hidden="false" customHeight="false" outlineLevel="0" collapsed="false">
      <c r="A363" s="22" t="s">
        <v>205</v>
      </c>
      <c r="B363" s="22" t="s">
        <v>3</v>
      </c>
      <c r="C363" s="22" t="s">
        <v>205</v>
      </c>
      <c r="D363" s="22" t="n">
        <v>41860</v>
      </c>
      <c r="E363" s="22" t="s">
        <v>136</v>
      </c>
      <c r="F363" s="22" t="s">
        <v>680</v>
      </c>
      <c r="G363" s="22" t="s">
        <v>131</v>
      </c>
      <c r="H363" s="22" t="s">
        <v>131</v>
      </c>
      <c r="I363" s="22" t="n">
        <v>313</v>
      </c>
      <c r="J363" s="22" t="n">
        <v>383</v>
      </c>
      <c r="K363" s="22" t="n">
        <v>177</v>
      </c>
      <c r="L363" s="22" t="n">
        <v>1236</v>
      </c>
      <c r="M363" s="22" t="n">
        <v>54</v>
      </c>
      <c r="N363" s="22" t="n">
        <v>270</v>
      </c>
      <c r="O363" s="22" t="n">
        <v>1079</v>
      </c>
      <c r="P363" s="22" t="n">
        <v>0</v>
      </c>
      <c r="Q363" s="22" t="n">
        <v>311</v>
      </c>
      <c r="R363" s="22" t="n">
        <v>449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278</v>
      </c>
      <c r="X363" s="22" t="n">
        <v>663</v>
      </c>
      <c r="Y363" s="22" t="n">
        <v>560</v>
      </c>
      <c r="Z363" s="22" t="n">
        <v>694</v>
      </c>
      <c r="AA363" s="22" t="n">
        <v>513</v>
      </c>
      <c r="AB363" s="22" t="n">
        <v>345</v>
      </c>
      <c r="AC363" s="22" t="n">
        <v>120</v>
      </c>
      <c r="AD363" s="22"/>
      <c r="AE363" s="22"/>
      <c r="AF363" s="22"/>
    </row>
    <row r="364" customFormat="false" ht="15" hidden="false" customHeight="false" outlineLevel="0" collapsed="false">
      <c r="A364" s="22" t="s">
        <v>205</v>
      </c>
      <c r="B364" s="22" t="s">
        <v>3</v>
      </c>
      <c r="C364" s="22" t="s">
        <v>205</v>
      </c>
      <c r="D364" s="22" t="n">
        <v>41860</v>
      </c>
      <c r="E364" s="22" t="s">
        <v>136</v>
      </c>
      <c r="F364" s="22" t="s">
        <v>681</v>
      </c>
      <c r="G364" s="22" t="s">
        <v>131</v>
      </c>
      <c r="H364" s="22" t="s">
        <v>131</v>
      </c>
      <c r="I364" s="22" t="n">
        <v>952</v>
      </c>
      <c r="J364" s="22" t="n">
        <v>1335</v>
      </c>
      <c r="K364" s="22" t="n">
        <v>1319</v>
      </c>
      <c r="L364" s="22" t="n">
        <v>2109</v>
      </c>
      <c r="M364" s="22" t="n">
        <v>1850</v>
      </c>
      <c r="N364" s="22" t="n">
        <v>1737</v>
      </c>
      <c r="O364" s="22" t="n">
        <v>2639</v>
      </c>
      <c r="P364" s="22" t="n">
        <v>1403</v>
      </c>
      <c r="Q364" s="22" t="n">
        <v>1660</v>
      </c>
      <c r="R364" s="22" t="n">
        <v>1839</v>
      </c>
      <c r="S364" s="22" t="n">
        <v>760</v>
      </c>
      <c r="T364" s="22" t="n">
        <v>760</v>
      </c>
      <c r="U364" s="22" t="n">
        <v>449</v>
      </c>
      <c r="V364" s="22" t="n">
        <v>0</v>
      </c>
      <c r="W364" s="22" t="n">
        <v>278</v>
      </c>
      <c r="X364" s="22" t="n">
        <v>941</v>
      </c>
      <c r="Y364" s="22" t="n">
        <v>1501</v>
      </c>
      <c r="Z364" s="22" t="n">
        <v>2195</v>
      </c>
      <c r="AA364" s="22" t="n">
        <v>2430</v>
      </c>
      <c r="AB364" s="22" t="n">
        <v>2112</v>
      </c>
      <c r="AC364" s="22" t="n">
        <v>1672</v>
      </c>
      <c r="AD364" s="22"/>
      <c r="AE364" s="22"/>
      <c r="AF364" s="22"/>
    </row>
    <row r="365" customFormat="false" ht="15" hidden="false" customHeight="false" outlineLevel="0" collapsed="false">
      <c r="A365" s="22" t="s">
        <v>206</v>
      </c>
      <c r="B365" s="22" t="s">
        <v>3</v>
      </c>
      <c r="C365" s="22" t="s">
        <v>206</v>
      </c>
      <c r="D365" s="22" t="n">
        <v>41940</v>
      </c>
      <c r="E365" s="22" t="s">
        <v>132</v>
      </c>
      <c r="F365" s="22" t="s">
        <v>133</v>
      </c>
      <c r="G365" s="22" t="s">
        <v>131</v>
      </c>
      <c r="H365" s="22" t="s">
        <v>131</v>
      </c>
      <c r="I365" s="22" t="n">
        <v>178113</v>
      </c>
      <c r="J365" s="22" t="n">
        <v>178834</v>
      </c>
      <c r="K365" s="22" t="n">
        <v>179645</v>
      </c>
      <c r="L365" s="22" t="n">
        <v>180064</v>
      </c>
      <c r="M365" s="22" t="n">
        <v>180392</v>
      </c>
      <c r="N365" s="22" t="n">
        <v>181386</v>
      </c>
      <c r="O365" s="22" t="n">
        <v>182193</v>
      </c>
      <c r="P365" s="22" t="n">
        <v>182967</v>
      </c>
      <c r="Q365" s="22" t="n">
        <v>183192</v>
      </c>
      <c r="R365" s="22" t="n">
        <v>183459</v>
      </c>
      <c r="S365" s="22" t="n">
        <v>183699</v>
      </c>
      <c r="T365" s="22" t="n">
        <v>183940</v>
      </c>
      <c r="U365" s="22" t="n">
        <v>184461</v>
      </c>
      <c r="V365" s="22" t="n">
        <v>185248</v>
      </c>
      <c r="W365" s="22" t="n">
        <v>186414</v>
      </c>
      <c r="X365" s="22" t="n">
        <v>188196</v>
      </c>
      <c r="Y365" s="22" t="n">
        <v>189382</v>
      </c>
      <c r="Z365" s="22" t="n">
        <v>190066</v>
      </c>
      <c r="AA365" s="22" t="n">
        <v>190226</v>
      </c>
      <c r="AB365" s="22" t="n">
        <v>190290</v>
      </c>
      <c r="AC365" s="22" t="n">
        <v>190290</v>
      </c>
      <c r="AD365" s="22" t="n">
        <v>190290</v>
      </c>
      <c r="AE365" s="22" t="n">
        <v>190360</v>
      </c>
      <c r="AF365" s="22" t="n">
        <v>190888</v>
      </c>
    </row>
    <row r="366" customFormat="false" ht="15" hidden="false" customHeight="false" outlineLevel="0" collapsed="false">
      <c r="A366" s="22" t="s">
        <v>206</v>
      </c>
      <c r="B366" s="22" t="s">
        <v>3</v>
      </c>
      <c r="C366" s="22" t="s">
        <v>206</v>
      </c>
      <c r="D366" s="22" t="n">
        <v>41940</v>
      </c>
      <c r="E366" s="22" t="s">
        <v>136</v>
      </c>
      <c r="F366" s="22" t="s">
        <v>680</v>
      </c>
      <c r="G366" s="22" t="s">
        <v>131</v>
      </c>
      <c r="H366" s="22" t="s">
        <v>131</v>
      </c>
      <c r="I366" s="22" t="n">
        <v>366</v>
      </c>
      <c r="J366" s="22" t="n">
        <v>19</v>
      </c>
      <c r="K366" s="22" t="n">
        <v>352</v>
      </c>
      <c r="L366" s="22" t="n">
        <v>1799</v>
      </c>
      <c r="M366" s="22" t="n">
        <v>2578</v>
      </c>
      <c r="N366" s="22" t="n">
        <v>775</v>
      </c>
      <c r="O366" s="22" t="n">
        <v>407</v>
      </c>
      <c r="P366" s="22" t="n">
        <v>0</v>
      </c>
      <c r="Q366" s="22" t="n">
        <v>371</v>
      </c>
      <c r="R366" s="22" t="n">
        <v>0</v>
      </c>
      <c r="S366" s="22" t="n">
        <v>0</v>
      </c>
      <c r="T366" s="22" t="n">
        <v>0</v>
      </c>
      <c r="U366" s="22" t="n">
        <v>0</v>
      </c>
      <c r="V366" s="22" t="n">
        <v>0</v>
      </c>
      <c r="W366" s="22" t="n">
        <v>176</v>
      </c>
      <c r="X366" s="22" t="n">
        <v>0</v>
      </c>
      <c r="Y366" s="22" t="n">
        <v>1001</v>
      </c>
      <c r="Z366" s="22" t="n">
        <v>654</v>
      </c>
      <c r="AA366" s="22" t="n">
        <v>726</v>
      </c>
      <c r="AB366" s="22" t="n">
        <v>543</v>
      </c>
      <c r="AC366" s="22" t="n">
        <v>109</v>
      </c>
      <c r="AD366" s="22"/>
      <c r="AE366" s="22"/>
      <c r="AF366" s="22"/>
    </row>
    <row r="367" customFormat="false" ht="15" hidden="false" customHeight="false" outlineLevel="0" collapsed="false">
      <c r="A367" s="22" t="s">
        <v>206</v>
      </c>
      <c r="B367" s="22" t="s">
        <v>3</v>
      </c>
      <c r="C367" s="22" t="s">
        <v>206</v>
      </c>
      <c r="D367" s="22" t="n">
        <v>41940</v>
      </c>
      <c r="E367" s="22" t="s">
        <v>136</v>
      </c>
      <c r="F367" s="22" t="s">
        <v>681</v>
      </c>
      <c r="G367" s="22" t="s">
        <v>131</v>
      </c>
      <c r="H367" s="22" t="s">
        <v>131</v>
      </c>
      <c r="I367" s="22" t="n">
        <v>875</v>
      </c>
      <c r="J367" s="22" t="n">
        <v>523</v>
      </c>
      <c r="K367" s="22" t="n">
        <v>737</v>
      </c>
      <c r="L367" s="22" t="n">
        <v>2536</v>
      </c>
      <c r="M367" s="22" t="n">
        <v>4748</v>
      </c>
      <c r="N367" s="22" t="n">
        <v>5504</v>
      </c>
      <c r="O367" s="22" t="n">
        <v>5559</v>
      </c>
      <c r="P367" s="22" t="n">
        <v>3760</v>
      </c>
      <c r="Q367" s="22" t="n">
        <v>1553</v>
      </c>
      <c r="R367" s="22" t="n">
        <v>778</v>
      </c>
      <c r="S367" s="22" t="n">
        <v>371</v>
      </c>
      <c r="T367" s="22" t="n">
        <v>371</v>
      </c>
      <c r="U367" s="22" t="n">
        <v>0</v>
      </c>
      <c r="V367" s="22" t="n">
        <v>0</v>
      </c>
      <c r="W367" s="22" t="n">
        <v>176</v>
      </c>
      <c r="X367" s="22" t="n">
        <v>176</v>
      </c>
      <c r="Y367" s="22" t="n">
        <v>1177</v>
      </c>
      <c r="Z367" s="22" t="n">
        <v>1831</v>
      </c>
      <c r="AA367" s="22" t="n">
        <v>2381</v>
      </c>
      <c r="AB367" s="22" t="n">
        <v>2924</v>
      </c>
      <c r="AC367" s="22" t="n">
        <v>2032</v>
      </c>
      <c r="AD367" s="22"/>
      <c r="AE367" s="22"/>
      <c r="AF367" s="22"/>
    </row>
    <row r="368" customFormat="false" ht="15" hidden="false" customHeight="false" outlineLevel="0" collapsed="false">
      <c r="A368" s="22" t="s">
        <v>207</v>
      </c>
      <c r="B368" s="22" t="s">
        <v>3</v>
      </c>
      <c r="C368" s="22" t="s">
        <v>207</v>
      </c>
      <c r="D368" s="22" t="n">
        <v>42200</v>
      </c>
      <c r="E368" s="22" t="s">
        <v>132</v>
      </c>
      <c r="F368" s="22" t="s">
        <v>133</v>
      </c>
      <c r="G368" s="22" t="s">
        <v>131</v>
      </c>
      <c r="H368" s="22" t="s">
        <v>131</v>
      </c>
      <c r="I368" s="22" t="n">
        <v>28912</v>
      </c>
      <c r="J368" s="22" t="n">
        <v>28954</v>
      </c>
      <c r="K368" s="22" t="n">
        <v>28954</v>
      </c>
      <c r="L368" s="22" t="n">
        <v>28954</v>
      </c>
      <c r="M368" s="22" t="n">
        <v>28954</v>
      </c>
      <c r="N368" s="22" t="n">
        <v>28954</v>
      </c>
      <c r="O368" s="22" t="n">
        <v>28954</v>
      </c>
      <c r="P368" s="22" t="n">
        <v>28954</v>
      </c>
      <c r="Q368" s="22" t="n">
        <v>28954</v>
      </c>
      <c r="R368" s="22" t="n">
        <v>28954</v>
      </c>
      <c r="S368" s="22" t="n">
        <v>28954</v>
      </c>
      <c r="T368" s="22" t="n">
        <v>29025</v>
      </c>
      <c r="U368" s="22" t="n">
        <v>29097</v>
      </c>
      <c r="V368" s="22" t="n">
        <v>29121</v>
      </c>
      <c r="W368" s="22" t="n">
        <v>29173</v>
      </c>
      <c r="X368" s="22" t="n">
        <v>29199</v>
      </c>
      <c r="Y368" s="22" t="n">
        <v>29199</v>
      </c>
      <c r="Z368" s="22" t="n">
        <v>29206</v>
      </c>
      <c r="AA368" s="22" t="n">
        <v>29220</v>
      </c>
      <c r="AB368" s="22" t="n">
        <v>29294</v>
      </c>
      <c r="AC368" s="22" t="n">
        <v>29408</v>
      </c>
      <c r="AD368" s="22" t="n">
        <v>29556</v>
      </c>
      <c r="AE368" s="22" t="n">
        <v>29643</v>
      </c>
      <c r="AF368" s="22" t="n">
        <v>29892</v>
      </c>
    </row>
    <row r="369" customFormat="false" ht="15" hidden="false" customHeight="false" outlineLevel="0" collapsed="false">
      <c r="A369" s="22" t="s">
        <v>207</v>
      </c>
      <c r="B369" s="22" t="s">
        <v>3</v>
      </c>
      <c r="C369" s="22" t="s">
        <v>207</v>
      </c>
      <c r="D369" s="22" t="n">
        <v>42200</v>
      </c>
      <c r="E369" s="22" t="s">
        <v>136</v>
      </c>
      <c r="F369" s="22" t="s">
        <v>680</v>
      </c>
      <c r="G369" s="22" t="s">
        <v>131</v>
      </c>
      <c r="H369" s="22" t="s">
        <v>131</v>
      </c>
      <c r="I369" s="22" t="n">
        <v>0</v>
      </c>
      <c r="J369" s="22" t="n">
        <v>167</v>
      </c>
      <c r="K369" s="22" t="n">
        <v>0</v>
      </c>
      <c r="L369" s="22" t="n">
        <v>0</v>
      </c>
      <c r="M369" s="22" t="n">
        <v>0</v>
      </c>
      <c r="N369" s="22" t="n">
        <v>0</v>
      </c>
      <c r="O369" s="22" t="n">
        <v>0</v>
      </c>
      <c r="P369" s="22" t="n">
        <v>78</v>
      </c>
      <c r="Q369" s="22" t="n">
        <v>0</v>
      </c>
      <c r="R369" s="22" t="n">
        <v>21</v>
      </c>
      <c r="S369" s="22" t="n">
        <v>0</v>
      </c>
      <c r="T369" s="22" t="n">
        <v>0</v>
      </c>
      <c r="U369" s="22" t="n">
        <v>0</v>
      </c>
      <c r="V369" s="22" t="n">
        <v>374</v>
      </c>
      <c r="W369" s="22" t="n">
        <v>0</v>
      </c>
      <c r="X369" s="22" t="n">
        <v>228</v>
      </c>
      <c r="Y369" s="22" t="n">
        <v>23</v>
      </c>
      <c r="Z369" s="22" t="n">
        <v>104</v>
      </c>
      <c r="AA369" s="22" t="n">
        <v>0</v>
      </c>
      <c r="AB369" s="22" t="n">
        <v>0</v>
      </c>
      <c r="AC369" s="22" t="n">
        <v>0</v>
      </c>
      <c r="AD369" s="22"/>
      <c r="AE369" s="22"/>
      <c r="AF369" s="22"/>
    </row>
    <row r="370" customFormat="false" ht="15" hidden="false" customHeight="false" outlineLevel="0" collapsed="false">
      <c r="A370" s="22" t="s">
        <v>207</v>
      </c>
      <c r="B370" s="22" t="s">
        <v>3</v>
      </c>
      <c r="C370" s="22" t="s">
        <v>207</v>
      </c>
      <c r="D370" s="22" t="n">
        <v>42200</v>
      </c>
      <c r="E370" s="22" t="s">
        <v>136</v>
      </c>
      <c r="F370" s="22" t="s">
        <v>681</v>
      </c>
      <c r="G370" s="22" t="s">
        <v>131</v>
      </c>
      <c r="H370" s="22" t="s">
        <v>131</v>
      </c>
      <c r="I370" s="22" t="n">
        <v>0</v>
      </c>
      <c r="J370" s="22" t="n">
        <v>167</v>
      </c>
      <c r="K370" s="22" t="n">
        <v>167</v>
      </c>
      <c r="L370" s="22" t="n">
        <v>167</v>
      </c>
      <c r="M370" s="22" t="n">
        <v>167</v>
      </c>
      <c r="N370" s="22" t="n">
        <v>0</v>
      </c>
      <c r="O370" s="22" t="n">
        <v>0</v>
      </c>
      <c r="P370" s="22" t="n">
        <v>78</v>
      </c>
      <c r="Q370" s="22" t="n">
        <v>78</v>
      </c>
      <c r="R370" s="22" t="n">
        <v>99</v>
      </c>
      <c r="S370" s="22" t="n">
        <v>99</v>
      </c>
      <c r="T370" s="22" t="n">
        <v>21</v>
      </c>
      <c r="U370" s="22" t="n">
        <v>21</v>
      </c>
      <c r="V370" s="22" t="n">
        <v>374</v>
      </c>
      <c r="W370" s="22" t="n">
        <v>374</v>
      </c>
      <c r="X370" s="22" t="n">
        <v>602</v>
      </c>
      <c r="Y370" s="22" t="n">
        <v>625</v>
      </c>
      <c r="Z370" s="22" t="n">
        <v>355</v>
      </c>
      <c r="AA370" s="22" t="n">
        <v>355</v>
      </c>
      <c r="AB370" s="22" t="n">
        <v>127</v>
      </c>
      <c r="AC370" s="22" t="n">
        <v>104</v>
      </c>
      <c r="AD370" s="22"/>
      <c r="AE370" s="22"/>
      <c r="AF370" s="22"/>
    </row>
    <row r="371" customFormat="false" ht="15" hidden="false" customHeight="false" outlineLevel="0" collapsed="false">
      <c r="A371" s="22" t="s">
        <v>208</v>
      </c>
      <c r="B371" s="22" t="s">
        <v>3</v>
      </c>
      <c r="C371" s="22" t="s">
        <v>208</v>
      </c>
      <c r="D371" s="22" t="n">
        <v>42220</v>
      </c>
      <c r="E371" s="22" t="s">
        <v>132</v>
      </c>
      <c r="F371" s="22" t="s">
        <v>133</v>
      </c>
      <c r="G371" s="22" t="s">
        <v>131</v>
      </c>
      <c r="H371" s="22" t="s">
        <v>131</v>
      </c>
      <c r="I371" s="22" t="n">
        <v>25934</v>
      </c>
      <c r="J371" s="22" t="n">
        <v>25934</v>
      </c>
      <c r="K371" s="22" t="n">
        <v>25934</v>
      </c>
      <c r="L371" s="22" t="n">
        <v>25934</v>
      </c>
      <c r="M371" s="22" t="n">
        <v>25934</v>
      </c>
      <c r="N371" s="22" t="n">
        <v>25959</v>
      </c>
      <c r="O371" s="22" t="n">
        <v>25998</v>
      </c>
      <c r="P371" s="22" t="n">
        <v>26198</v>
      </c>
      <c r="Q371" s="22" t="n">
        <v>26418</v>
      </c>
      <c r="R371" s="22" t="n">
        <v>26502</v>
      </c>
      <c r="S371" s="22" t="n">
        <v>26571</v>
      </c>
      <c r="T371" s="22" t="n">
        <v>26818</v>
      </c>
      <c r="U371" s="22" t="n">
        <v>26999</v>
      </c>
      <c r="V371" s="22" t="n">
        <v>27083</v>
      </c>
      <c r="W371" s="22" t="n">
        <v>27133</v>
      </c>
      <c r="X371" s="22" t="n">
        <v>27163</v>
      </c>
      <c r="Y371" s="22" t="n">
        <v>27359</v>
      </c>
      <c r="Z371" s="22" t="n">
        <v>27636</v>
      </c>
      <c r="AA371" s="22" t="n">
        <v>27658</v>
      </c>
      <c r="AB371" s="22" t="n">
        <v>27684</v>
      </c>
      <c r="AC371" s="22" t="n">
        <v>27762</v>
      </c>
      <c r="AD371" s="22" t="n">
        <v>27869</v>
      </c>
      <c r="AE371" s="22" t="n">
        <v>27947</v>
      </c>
      <c r="AF371" s="22" t="n">
        <v>27977</v>
      </c>
    </row>
    <row r="372" customFormat="false" ht="15" hidden="false" customHeight="false" outlineLevel="0" collapsed="false">
      <c r="A372" s="22" t="s">
        <v>208</v>
      </c>
      <c r="B372" s="22" t="s">
        <v>3</v>
      </c>
      <c r="C372" s="22" t="s">
        <v>208</v>
      </c>
      <c r="D372" s="22" t="n">
        <v>42220</v>
      </c>
      <c r="E372" s="22" t="s">
        <v>136</v>
      </c>
      <c r="F372" s="22" t="s">
        <v>680</v>
      </c>
      <c r="G372" s="22" t="s">
        <v>131</v>
      </c>
      <c r="H372" s="22" t="s">
        <v>131</v>
      </c>
      <c r="I372" s="22" t="n">
        <v>0</v>
      </c>
      <c r="J372" s="22" t="n">
        <v>0</v>
      </c>
      <c r="K372" s="22" t="n">
        <v>248</v>
      </c>
      <c r="L372" s="22" t="n">
        <v>0</v>
      </c>
      <c r="M372" s="22" t="n">
        <v>0</v>
      </c>
      <c r="N372" s="22" t="n">
        <v>40</v>
      </c>
      <c r="O372" s="22" t="n">
        <v>239</v>
      </c>
      <c r="P372" s="22" t="n">
        <v>0</v>
      </c>
      <c r="Q372" s="22" t="n">
        <v>134</v>
      </c>
      <c r="R372" s="22" t="n">
        <v>168</v>
      </c>
      <c r="S372" s="22" t="n">
        <v>148</v>
      </c>
      <c r="T372" s="22" t="n">
        <v>29</v>
      </c>
      <c r="U372" s="22" t="n">
        <v>260</v>
      </c>
      <c r="V372" s="22" t="n">
        <v>0</v>
      </c>
      <c r="W372" s="22" t="n">
        <v>0</v>
      </c>
      <c r="X372" s="22" t="n">
        <v>0</v>
      </c>
      <c r="Y372" s="22" t="n">
        <v>0</v>
      </c>
      <c r="Z372" s="22" t="n">
        <v>672</v>
      </c>
      <c r="AA372" s="22" t="n">
        <v>62</v>
      </c>
      <c r="AB372" s="22" t="n">
        <v>0</v>
      </c>
      <c r="AC372" s="22" t="n">
        <v>0</v>
      </c>
      <c r="AD372" s="22"/>
      <c r="AE372" s="22"/>
      <c r="AF372" s="22"/>
    </row>
    <row r="373" customFormat="false" ht="15" hidden="false" customHeight="false" outlineLevel="0" collapsed="false">
      <c r="A373" s="22" t="s">
        <v>208</v>
      </c>
      <c r="B373" s="22" t="s">
        <v>3</v>
      </c>
      <c r="C373" s="22" t="s">
        <v>208</v>
      </c>
      <c r="D373" s="22" t="n">
        <v>42220</v>
      </c>
      <c r="E373" s="22" t="s">
        <v>136</v>
      </c>
      <c r="F373" s="22" t="s">
        <v>681</v>
      </c>
      <c r="G373" s="22" t="s">
        <v>131</v>
      </c>
      <c r="H373" s="22" t="s">
        <v>131</v>
      </c>
      <c r="I373" s="22" t="n">
        <v>365</v>
      </c>
      <c r="J373" s="22" t="n">
        <v>181</v>
      </c>
      <c r="K373" s="22" t="n">
        <v>322</v>
      </c>
      <c r="L373" s="22" t="n">
        <v>248</v>
      </c>
      <c r="M373" s="22" t="n">
        <v>248</v>
      </c>
      <c r="N373" s="22" t="n">
        <v>288</v>
      </c>
      <c r="O373" s="22" t="n">
        <v>279</v>
      </c>
      <c r="P373" s="22" t="n">
        <v>279</v>
      </c>
      <c r="Q373" s="22" t="n">
        <v>413</v>
      </c>
      <c r="R373" s="22" t="n">
        <v>541</v>
      </c>
      <c r="S373" s="22" t="n">
        <v>450</v>
      </c>
      <c r="T373" s="22" t="n">
        <v>479</v>
      </c>
      <c r="U373" s="22" t="n">
        <v>605</v>
      </c>
      <c r="V373" s="22" t="n">
        <v>437</v>
      </c>
      <c r="W373" s="22" t="n">
        <v>289</v>
      </c>
      <c r="X373" s="22" t="n">
        <v>260</v>
      </c>
      <c r="Y373" s="22" t="n">
        <v>0</v>
      </c>
      <c r="Z373" s="22" t="n">
        <v>672</v>
      </c>
      <c r="AA373" s="22" t="n">
        <v>734</v>
      </c>
      <c r="AB373" s="22" t="n">
        <v>734</v>
      </c>
      <c r="AC373" s="22" t="n">
        <v>734</v>
      </c>
      <c r="AD373" s="22"/>
      <c r="AE373" s="22"/>
      <c r="AF373" s="22"/>
    </row>
    <row r="374" customFormat="false" ht="15" hidden="false" customHeight="false" outlineLevel="0" collapsed="false">
      <c r="A374" s="22" t="s">
        <v>37</v>
      </c>
      <c r="B374" s="22" t="s">
        <v>3</v>
      </c>
      <c r="C374" s="22" t="s">
        <v>37</v>
      </c>
      <c r="D374" s="22" t="n">
        <v>42340</v>
      </c>
      <c r="E374" s="22" t="s">
        <v>132</v>
      </c>
      <c r="F374" s="22" t="s">
        <v>133</v>
      </c>
      <c r="G374" s="22" t="s">
        <v>131</v>
      </c>
      <c r="H374" s="22" t="s">
        <v>131</v>
      </c>
      <c r="I374" s="22" t="n">
        <v>31465</v>
      </c>
      <c r="J374" s="22" t="n">
        <v>32078</v>
      </c>
      <c r="K374" s="22" t="n">
        <v>32436</v>
      </c>
      <c r="L374" s="22" t="n">
        <v>32754</v>
      </c>
      <c r="M374" s="22" t="n">
        <v>32846</v>
      </c>
      <c r="N374" s="22" t="n">
        <v>32912</v>
      </c>
      <c r="O374" s="22" t="n">
        <v>32981</v>
      </c>
      <c r="P374" s="22" t="n">
        <v>33123</v>
      </c>
      <c r="Q374" s="22" t="n">
        <v>33520</v>
      </c>
      <c r="R374" s="22" t="n">
        <v>34142</v>
      </c>
      <c r="S374" s="22" t="n">
        <v>34827</v>
      </c>
      <c r="T374" s="22" t="n">
        <v>35179</v>
      </c>
      <c r="U374" s="22" t="n">
        <v>35654</v>
      </c>
      <c r="V374" s="22" t="n">
        <v>36363</v>
      </c>
      <c r="W374" s="22" t="n">
        <v>37014</v>
      </c>
      <c r="X374" s="22" t="n">
        <v>37343</v>
      </c>
      <c r="Y374" s="22" t="n">
        <v>37854</v>
      </c>
      <c r="Z374" s="22" t="n">
        <v>38652</v>
      </c>
      <c r="AA374" s="22" t="n">
        <v>39576</v>
      </c>
      <c r="AB374" s="22" t="n">
        <v>40427</v>
      </c>
      <c r="AC374" s="22" t="n">
        <v>40837</v>
      </c>
      <c r="AD374" s="22" t="n">
        <v>41061</v>
      </c>
      <c r="AE374" s="22" t="n">
        <v>41383</v>
      </c>
      <c r="AF374" s="22" t="n">
        <v>41992</v>
      </c>
    </row>
    <row r="375" customFormat="false" ht="15" hidden="false" customHeight="false" outlineLevel="0" collapsed="false">
      <c r="A375" s="22" t="s">
        <v>37</v>
      </c>
      <c r="B375" s="22" t="s">
        <v>3</v>
      </c>
      <c r="C375" s="22" t="s">
        <v>37</v>
      </c>
      <c r="D375" s="22" t="n">
        <v>42340</v>
      </c>
      <c r="E375" s="22" t="s">
        <v>136</v>
      </c>
      <c r="F375" s="22" t="s">
        <v>680</v>
      </c>
      <c r="G375" s="22" t="s">
        <v>131</v>
      </c>
      <c r="H375" s="22" t="s">
        <v>131</v>
      </c>
      <c r="I375" s="22" t="n">
        <v>996</v>
      </c>
      <c r="J375" s="22" t="n">
        <v>250</v>
      </c>
      <c r="K375" s="22" t="n">
        <v>280</v>
      </c>
      <c r="L375" s="22" t="n">
        <v>1043</v>
      </c>
      <c r="M375" s="22" t="n">
        <v>424</v>
      </c>
      <c r="N375" s="22" t="n">
        <v>395</v>
      </c>
      <c r="O375" s="22" t="n">
        <v>716</v>
      </c>
      <c r="P375" s="22" t="n">
        <v>0</v>
      </c>
      <c r="Q375" s="22" t="n">
        <v>949</v>
      </c>
      <c r="R375" s="22" t="n">
        <v>280</v>
      </c>
      <c r="S375" s="22" t="n">
        <v>469</v>
      </c>
      <c r="T375" s="22" t="n">
        <v>402</v>
      </c>
      <c r="U375" s="22" t="n">
        <v>1184</v>
      </c>
      <c r="V375" s="22" t="n">
        <v>595</v>
      </c>
      <c r="W375" s="22" t="n">
        <v>103</v>
      </c>
      <c r="X375" s="22" t="n">
        <v>517</v>
      </c>
      <c r="Y375" s="22" t="n">
        <v>250</v>
      </c>
      <c r="Z375" s="22" t="n">
        <v>504</v>
      </c>
      <c r="AA375" s="22" t="n">
        <v>240</v>
      </c>
      <c r="AB375" s="22" t="n">
        <v>0</v>
      </c>
      <c r="AC375" s="22" t="n">
        <v>0</v>
      </c>
      <c r="AD375" s="22"/>
      <c r="AE375" s="22"/>
      <c r="AF375" s="22"/>
    </row>
    <row r="376" customFormat="false" ht="15" hidden="false" customHeight="false" outlineLevel="0" collapsed="false">
      <c r="A376" s="22" t="s">
        <v>37</v>
      </c>
      <c r="B376" s="22" t="s">
        <v>3</v>
      </c>
      <c r="C376" s="22" t="s">
        <v>37</v>
      </c>
      <c r="D376" s="22" t="n">
        <v>42340</v>
      </c>
      <c r="E376" s="22" t="s">
        <v>136</v>
      </c>
      <c r="F376" s="22" t="s">
        <v>681</v>
      </c>
      <c r="G376" s="22" t="s">
        <v>131</v>
      </c>
      <c r="H376" s="22" t="s">
        <v>131</v>
      </c>
      <c r="I376" s="22" t="n">
        <v>1385</v>
      </c>
      <c r="J376" s="22" t="n">
        <v>1635</v>
      </c>
      <c r="K376" s="22" t="n">
        <v>1915</v>
      </c>
      <c r="L376" s="22" t="n">
        <v>2569</v>
      </c>
      <c r="M376" s="22" t="n">
        <v>1997</v>
      </c>
      <c r="N376" s="22" t="n">
        <v>2142</v>
      </c>
      <c r="O376" s="22" t="n">
        <v>2578</v>
      </c>
      <c r="P376" s="22" t="n">
        <v>1535</v>
      </c>
      <c r="Q376" s="22" t="n">
        <v>2060</v>
      </c>
      <c r="R376" s="22" t="n">
        <v>1945</v>
      </c>
      <c r="S376" s="22" t="n">
        <v>1698</v>
      </c>
      <c r="T376" s="22" t="n">
        <v>2100</v>
      </c>
      <c r="U376" s="22" t="n">
        <v>2335</v>
      </c>
      <c r="V376" s="22" t="n">
        <v>2650</v>
      </c>
      <c r="W376" s="22" t="n">
        <v>2284</v>
      </c>
      <c r="X376" s="22" t="n">
        <v>2399</v>
      </c>
      <c r="Y376" s="22" t="n">
        <v>1465</v>
      </c>
      <c r="Z376" s="22" t="n">
        <v>1374</v>
      </c>
      <c r="AA376" s="22" t="n">
        <v>1511</v>
      </c>
      <c r="AB376" s="22" t="n">
        <v>994</v>
      </c>
      <c r="AC376" s="22" t="n">
        <v>744</v>
      </c>
      <c r="AD376" s="22"/>
      <c r="AE376" s="22"/>
      <c r="AF376" s="22"/>
    </row>
    <row r="377" customFormat="false" ht="15" hidden="false" customHeight="false" outlineLevel="0" collapsed="false">
      <c r="A377" s="22" t="s">
        <v>209</v>
      </c>
      <c r="B377" s="22" t="s">
        <v>3</v>
      </c>
      <c r="C377" s="22" t="s">
        <v>209</v>
      </c>
      <c r="D377" s="22" t="n">
        <v>42644</v>
      </c>
      <c r="E377" s="22" t="s">
        <v>132</v>
      </c>
      <c r="F377" s="22" t="s">
        <v>133</v>
      </c>
      <c r="G377" s="22" t="s">
        <v>131</v>
      </c>
      <c r="H377" s="22" t="s">
        <v>131</v>
      </c>
      <c r="I377" s="22" t="n">
        <v>353256</v>
      </c>
      <c r="J377" s="22" t="n">
        <v>355527</v>
      </c>
      <c r="K377" s="22" t="n">
        <v>356744</v>
      </c>
      <c r="L377" s="22" t="n">
        <v>358598</v>
      </c>
      <c r="M377" s="22" t="n">
        <v>360792</v>
      </c>
      <c r="N377" s="22" t="n">
        <v>363498</v>
      </c>
      <c r="O377" s="22" t="n">
        <v>365526</v>
      </c>
      <c r="P377" s="22" t="n">
        <v>366342</v>
      </c>
      <c r="Q377" s="22" t="n">
        <v>367700</v>
      </c>
      <c r="R377" s="22" t="n">
        <v>369605</v>
      </c>
      <c r="S377" s="22" t="n">
        <v>370735</v>
      </c>
      <c r="T377" s="22" t="n">
        <v>373580</v>
      </c>
      <c r="U377" s="22" t="n">
        <v>376648</v>
      </c>
      <c r="V377" s="22" t="n">
        <v>379872</v>
      </c>
      <c r="W377" s="22" t="n">
        <v>382870</v>
      </c>
      <c r="X377" s="22" t="n">
        <v>386227</v>
      </c>
      <c r="Y377" s="22" t="n">
        <v>388833</v>
      </c>
      <c r="Z377" s="22" t="n">
        <v>389908</v>
      </c>
      <c r="AA377" s="22" t="n">
        <v>390577</v>
      </c>
      <c r="AB377" s="22" t="n">
        <v>391049</v>
      </c>
      <c r="AC377" s="22" t="n">
        <v>391922</v>
      </c>
      <c r="AD377" s="22" t="n">
        <v>393954</v>
      </c>
      <c r="AE377" s="22" t="n">
        <v>396714</v>
      </c>
      <c r="AF377" s="22" t="n">
        <v>397934</v>
      </c>
    </row>
    <row r="378" customFormat="false" ht="15" hidden="false" customHeight="false" outlineLevel="0" collapsed="false">
      <c r="A378" s="22" t="s">
        <v>209</v>
      </c>
      <c r="B378" s="22" t="s">
        <v>3</v>
      </c>
      <c r="C378" s="22" t="s">
        <v>209</v>
      </c>
      <c r="D378" s="22" t="n">
        <v>42644</v>
      </c>
      <c r="E378" s="22" t="s">
        <v>136</v>
      </c>
      <c r="F378" s="22" t="s">
        <v>680</v>
      </c>
      <c r="G378" s="22" t="s">
        <v>131</v>
      </c>
      <c r="H378" s="22" t="s">
        <v>131</v>
      </c>
      <c r="I378" s="22" t="n">
        <v>1934</v>
      </c>
      <c r="J378" s="22" t="n">
        <v>3826</v>
      </c>
      <c r="K378" s="22" t="n">
        <v>3170</v>
      </c>
      <c r="L378" s="22" t="n">
        <v>1973</v>
      </c>
      <c r="M378" s="22" t="n">
        <v>1788</v>
      </c>
      <c r="N378" s="22" t="n">
        <v>4779</v>
      </c>
      <c r="O378" s="22" t="n">
        <v>2307</v>
      </c>
      <c r="P378" s="22" t="n">
        <v>995</v>
      </c>
      <c r="Q378" s="22" t="n">
        <v>1231</v>
      </c>
      <c r="R378" s="22" t="n">
        <v>516</v>
      </c>
      <c r="S378" s="22" t="n">
        <v>681</v>
      </c>
      <c r="T378" s="22" t="n">
        <v>233</v>
      </c>
      <c r="U378" s="22" t="n">
        <v>763</v>
      </c>
      <c r="V378" s="22" t="n">
        <v>1853</v>
      </c>
      <c r="W378" s="22" t="n">
        <v>748</v>
      </c>
      <c r="X378" s="22" t="n">
        <v>801</v>
      </c>
      <c r="Y378" s="22" t="n">
        <v>1431</v>
      </c>
      <c r="Z378" s="22" t="n">
        <v>3332</v>
      </c>
      <c r="AA378" s="22" t="n">
        <v>970</v>
      </c>
      <c r="AB378" s="22" t="n">
        <v>1895</v>
      </c>
      <c r="AC378" s="22" t="n">
        <v>979</v>
      </c>
      <c r="AD378" s="22"/>
      <c r="AE378" s="22"/>
      <c r="AF378" s="22"/>
    </row>
    <row r="379" customFormat="false" ht="15" hidden="false" customHeight="false" outlineLevel="0" collapsed="false">
      <c r="A379" s="22" t="s">
        <v>209</v>
      </c>
      <c r="B379" s="22" t="s">
        <v>3</v>
      </c>
      <c r="C379" s="22" t="s">
        <v>209</v>
      </c>
      <c r="D379" s="22" t="n">
        <v>42644</v>
      </c>
      <c r="E379" s="22" t="s">
        <v>136</v>
      </c>
      <c r="F379" s="22" t="s">
        <v>681</v>
      </c>
      <c r="G379" s="22" t="s">
        <v>131</v>
      </c>
      <c r="H379" s="22" t="s">
        <v>131</v>
      </c>
      <c r="I379" s="22" t="n">
        <v>7893</v>
      </c>
      <c r="J379" s="22" t="n">
        <v>9855</v>
      </c>
      <c r="K379" s="22" t="n">
        <v>11650</v>
      </c>
      <c r="L379" s="22" t="n">
        <v>10903</v>
      </c>
      <c r="M379" s="22" t="n">
        <v>10757</v>
      </c>
      <c r="N379" s="22" t="n">
        <v>11710</v>
      </c>
      <c r="O379" s="22" t="n">
        <v>10847</v>
      </c>
      <c r="P379" s="22" t="n">
        <v>9869</v>
      </c>
      <c r="Q379" s="22" t="n">
        <v>9312</v>
      </c>
      <c r="R379" s="22" t="n">
        <v>5049</v>
      </c>
      <c r="S379" s="22" t="n">
        <v>3423</v>
      </c>
      <c r="T379" s="22" t="n">
        <v>2661</v>
      </c>
      <c r="U379" s="22" t="n">
        <v>2193</v>
      </c>
      <c r="V379" s="22" t="n">
        <v>3530</v>
      </c>
      <c r="W379" s="22" t="n">
        <v>3597</v>
      </c>
      <c r="X379" s="22" t="n">
        <v>4165</v>
      </c>
      <c r="Y379" s="22" t="n">
        <v>4833</v>
      </c>
      <c r="Z379" s="22" t="n">
        <v>6312</v>
      </c>
      <c r="AA379" s="22" t="n">
        <v>6534</v>
      </c>
      <c r="AB379" s="22" t="n">
        <v>7628</v>
      </c>
      <c r="AC379" s="22" t="n">
        <v>7176</v>
      </c>
      <c r="AD379" s="22"/>
      <c r="AE379" s="22"/>
      <c r="AF379" s="22"/>
    </row>
    <row r="380" customFormat="false" ht="15" hidden="false" customHeight="false" outlineLevel="0" collapsed="false">
      <c r="A380" s="22" t="s">
        <v>210</v>
      </c>
      <c r="B380" s="22" t="s">
        <v>3</v>
      </c>
      <c r="C380" s="22" t="s">
        <v>210</v>
      </c>
      <c r="D380" s="22" t="n">
        <v>243340</v>
      </c>
      <c r="E380" s="22" t="s">
        <v>132</v>
      </c>
      <c r="F380" s="22" t="s">
        <v>133</v>
      </c>
      <c r="G380" s="22" t="s">
        <v>131</v>
      </c>
      <c r="H380" s="22" t="s">
        <v>131</v>
      </c>
      <c r="I380" s="22" t="n">
        <v>26218</v>
      </c>
      <c r="J380" s="22" t="n">
        <v>26218</v>
      </c>
      <c r="K380" s="22" t="n">
        <v>26218</v>
      </c>
      <c r="L380" s="22" t="n">
        <v>26218</v>
      </c>
      <c r="M380" s="22" t="n">
        <v>26218</v>
      </c>
      <c r="N380" s="22" t="n">
        <v>26218</v>
      </c>
      <c r="O380" s="22" t="n">
        <v>26218</v>
      </c>
      <c r="P380" s="22" t="n">
        <v>26218</v>
      </c>
      <c r="Q380" s="22" t="n">
        <v>26218</v>
      </c>
      <c r="R380" s="22" t="n">
        <v>26218</v>
      </c>
      <c r="S380" s="22" t="n">
        <v>26218</v>
      </c>
      <c r="T380" s="22" t="n">
        <v>26218</v>
      </c>
      <c r="U380" s="22" t="n">
        <v>26218</v>
      </c>
      <c r="V380" s="22" t="n">
        <v>26218</v>
      </c>
      <c r="W380" s="22" t="n">
        <v>26218</v>
      </c>
      <c r="X380" s="22" t="n">
        <v>26218</v>
      </c>
      <c r="Y380" s="22" t="n">
        <v>26218</v>
      </c>
      <c r="Z380" s="22" t="n">
        <v>26218</v>
      </c>
      <c r="AA380" s="22" t="n">
        <v>26218</v>
      </c>
      <c r="AB380" s="22" t="n">
        <v>26218</v>
      </c>
      <c r="AC380" s="22" t="n">
        <v>26218</v>
      </c>
      <c r="AD380" s="22" t="n">
        <v>26306</v>
      </c>
      <c r="AE380" s="22" t="n">
        <v>26306</v>
      </c>
      <c r="AF380" s="22" t="n">
        <v>26306</v>
      </c>
    </row>
    <row r="381" customFormat="false" ht="15" hidden="false" customHeight="false" outlineLevel="0" collapsed="false">
      <c r="A381" s="22" t="s">
        <v>210</v>
      </c>
      <c r="B381" s="22" t="s">
        <v>3</v>
      </c>
      <c r="C381" s="22" t="s">
        <v>210</v>
      </c>
      <c r="D381" s="22" t="n">
        <v>243340</v>
      </c>
      <c r="E381" s="22" t="s">
        <v>136</v>
      </c>
      <c r="F381" s="22" t="s">
        <v>680</v>
      </c>
      <c r="G381" s="22" t="s">
        <v>131</v>
      </c>
      <c r="H381" s="22" t="s">
        <v>131</v>
      </c>
      <c r="I381" s="22" t="n">
        <v>0</v>
      </c>
      <c r="J381" s="22" t="n">
        <v>0</v>
      </c>
      <c r="K381" s="22" t="n">
        <v>0</v>
      </c>
      <c r="L381" s="22" t="n">
        <v>0</v>
      </c>
      <c r="M381" s="22" t="n">
        <v>0</v>
      </c>
      <c r="N381" s="22" t="n">
        <v>0</v>
      </c>
      <c r="O381" s="22" t="n">
        <v>0</v>
      </c>
      <c r="P381" s="22" t="n">
        <v>0</v>
      </c>
      <c r="Q381" s="22" t="n">
        <v>0</v>
      </c>
      <c r="R381" s="22" t="n">
        <v>0</v>
      </c>
      <c r="S381" s="22" t="n">
        <v>0</v>
      </c>
      <c r="T381" s="22" t="n">
        <v>0</v>
      </c>
      <c r="U381" s="22" t="n">
        <v>0</v>
      </c>
      <c r="V381" s="22" t="n">
        <v>88</v>
      </c>
      <c r="W381" s="22" t="n">
        <v>0</v>
      </c>
      <c r="X381" s="22" t="n">
        <v>0</v>
      </c>
      <c r="Y381" s="22" t="n">
        <v>0</v>
      </c>
      <c r="Z381" s="22" t="n">
        <v>0</v>
      </c>
      <c r="AA381" s="22" t="n">
        <v>0</v>
      </c>
      <c r="AB381" s="22" t="n">
        <v>0</v>
      </c>
      <c r="AC381" s="22" t="n">
        <v>0</v>
      </c>
      <c r="AD381" s="22"/>
      <c r="AE381" s="22"/>
      <c r="AF381" s="22"/>
    </row>
    <row r="382" customFormat="false" ht="15" hidden="false" customHeight="false" outlineLevel="0" collapsed="false">
      <c r="A382" s="22" t="s">
        <v>210</v>
      </c>
      <c r="B382" s="22" t="s">
        <v>3</v>
      </c>
      <c r="C382" s="22" t="s">
        <v>210</v>
      </c>
      <c r="D382" s="22" t="n">
        <v>243340</v>
      </c>
      <c r="E382" s="22" t="s">
        <v>136</v>
      </c>
      <c r="F382" s="22" t="s">
        <v>681</v>
      </c>
      <c r="G382" s="22" t="s">
        <v>131</v>
      </c>
      <c r="H382" s="22" t="s">
        <v>131</v>
      </c>
      <c r="I382" s="22" t="n">
        <v>0</v>
      </c>
      <c r="J382" s="22" t="n">
        <v>0</v>
      </c>
      <c r="K382" s="22" t="n">
        <v>0</v>
      </c>
      <c r="L382" s="22" t="n">
        <v>0</v>
      </c>
      <c r="M382" s="22" t="n">
        <v>0</v>
      </c>
      <c r="N382" s="22" t="n">
        <v>0</v>
      </c>
      <c r="O382" s="22" t="n">
        <v>0</v>
      </c>
      <c r="P382" s="22" t="n">
        <v>0</v>
      </c>
      <c r="Q382" s="22" t="n">
        <v>0</v>
      </c>
      <c r="R382" s="22" t="n">
        <v>0</v>
      </c>
      <c r="S382" s="22" t="n">
        <v>0</v>
      </c>
      <c r="T382" s="22" t="n">
        <v>0</v>
      </c>
      <c r="U382" s="22" t="n">
        <v>0</v>
      </c>
      <c r="V382" s="22" t="n">
        <v>88</v>
      </c>
      <c r="W382" s="22" t="n">
        <v>88</v>
      </c>
      <c r="X382" s="22" t="n">
        <v>88</v>
      </c>
      <c r="Y382" s="22" t="n">
        <v>88</v>
      </c>
      <c r="Z382" s="22" t="n">
        <v>0</v>
      </c>
      <c r="AA382" s="22" t="n">
        <v>0</v>
      </c>
      <c r="AB382" s="22" t="n">
        <v>0</v>
      </c>
      <c r="AC382" s="22" t="n">
        <v>0</v>
      </c>
      <c r="AD382" s="22"/>
      <c r="AE382" s="22"/>
      <c r="AF382" s="22"/>
    </row>
    <row r="383" customFormat="false" ht="15" hidden="false" customHeight="false" outlineLevel="0" collapsed="false">
      <c r="A383" s="22" t="s">
        <v>23</v>
      </c>
      <c r="B383" s="22" t="s">
        <v>3</v>
      </c>
      <c r="C383" s="22" t="s">
        <v>23</v>
      </c>
      <c r="D383" s="22" t="n">
        <v>43620</v>
      </c>
      <c r="E383" s="22" t="s">
        <v>132</v>
      </c>
      <c r="F383" s="22" t="s">
        <v>133</v>
      </c>
      <c r="G383" s="22" t="s">
        <v>131</v>
      </c>
      <c r="H383" s="22" t="s">
        <v>131</v>
      </c>
      <c r="I383" s="22" t="n">
        <v>23410</v>
      </c>
      <c r="J383" s="22" t="n">
        <v>23678</v>
      </c>
      <c r="K383" s="22" t="n">
        <v>23994</v>
      </c>
      <c r="L383" s="22" t="n">
        <v>24287</v>
      </c>
      <c r="M383" s="22" t="n">
        <v>24525</v>
      </c>
      <c r="N383" s="22" t="n">
        <v>24787</v>
      </c>
      <c r="O383" s="22" t="n">
        <v>25021</v>
      </c>
      <c r="P383" s="22" t="n">
        <v>25731</v>
      </c>
      <c r="Q383" s="22" t="n">
        <v>26282</v>
      </c>
      <c r="R383" s="22" t="n">
        <v>26979</v>
      </c>
      <c r="S383" s="22" t="n">
        <v>27524</v>
      </c>
      <c r="T383" s="22" t="n">
        <v>28030</v>
      </c>
      <c r="U383" s="22" t="n">
        <v>28676</v>
      </c>
      <c r="V383" s="22" t="n">
        <v>29414</v>
      </c>
      <c r="W383" s="22" t="n">
        <v>30072</v>
      </c>
      <c r="X383" s="22" t="n">
        <v>30571</v>
      </c>
      <c r="Y383" s="22" t="n">
        <v>31195</v>
      </c>
      <c r="Z383" s="22" t="n">
        <v>31539</v>
      </c>
      <c r="AA383" s="22" t="n">
        <v>32017</v>
      </c>
      <c r="AB383" s="22" t="n">
        <v>32341</v>
      </c>
      <c r="AC383" s="22" t="n">
        <v>32668</v>
      </c>
      <c r="AD383" s="22" t="n">
        <v>32839</v>
      </c>
      <c r="AE383" s="22" t="n">
        <v>32882</v>
      </c>
      <c r="AF383" s="22" t="n">
        <v>32882</v>
      </c>
    </row>
    <row r="384" customFormat="false" ht="15" hidden="false" customHeight="false" outlineLevel="0" collapsed="false">
      <c r="A384" s="22" t="s">
        <v>23</v>
      </c>
      <c r="B384" s="22" t="s">
        <v>3</v>
      </c>
      <c r="C384" s="22" t="s">
        <v>23</v>
      </c>
      <c r="D384" s="22" t="n">
        <v>43620</v>
      </c>
      <c r="E384" s="22" t="s">
        <v>136</v>
      </c>
      <c r="F384" s="22" t="s">
        <v>680</v>
      </c>
      <c r="G384" s="22" t="s">
        <v>131</v>
      </c>
      <c r="H384" s="22" t="s">
        <v>131</v>
      </c>
      <c r="I384" s="22" t="n">
        <v>371</v>
      </c>
      <c r="J384" s="22" t="n">
        <v>1106</v>
      </c>
      <c r="K384" s="22" t="n">
        <v>717</v>
      </c>
      <c r="L384" s="22" t="n">
        <v>334</v>
      </c>
      <c r="M384" s="22" t="n">
        <v>1055</v>
      </c>
      <c r="N384" s="22" t="n">
        <v>269</v>
      </c>
      <c r="O384" s="22" t="n">
        <v>478</v>
      </c>
      <c r="P384" s="22" t="n">
        <v>470</v>
      </c>
      <c r="Q384" s="22" t="n">
        <v>479</v>
      </c>
      <c r="R384" s="22" t="n">
        <v>120</v>
      </c>
      <c r="S384" s="22" t="n">
        <v>216</v>
      </c>
      <c r="T384" s="22" t="n">
        <v>221</v>
      </c>
      <c r="U384" s="22" t="n">
        <v>513</v>
      </c>
      <c r="V384" s="22" t="n">
        <v>429</v>
      </c>
      <c r="W384" s="22" t="n">
        <v>144</v>
      </c>
      <c r="X384" s="22" t="n">
        <v>184</v>
      </c>
      <c r="Y384" s="22" t="n">
        <v>268</v>
      </c>
      <c r="Z384" s="22" t="n">
        <v>70</v>
      </c>
      <c r="AA384" s="22" t="n">
        <v>0</v>
      </c>
      <c r="AB384" s="22" t="n">
        <v>0</v>
      </c>
      <c r="AC384" s="22" t="n">
        <v>0</v>
      </c>
      <c r="AD384" s="22"/>
      <c r="AE384" s="22"/>
      <c r="AF384" s="22"/>
    </row>
    <row r="385" customFormat="false" ht="15" hidden="false" customHeight="false" outlineLevel="0" collapsed="false">
      <c r="A385" s="22" t="s">
        <v>23</v>
      </c>
      <c r="B385" s="22" t="s">
        <v>3</v>
      </c>
      <c r="C385" s="22" t="s">
        <v>23</v>
      </c>
      <c r="D385" s="22" t="n">
        <v>43620</v>
      </c>
      <c r="E385" s="22" t="s">
        <v>136</v>
      </c>
      <c r="F385" s="22" t="s">
        <v>681</v>
      </c>
      <c r="G385" s="22" t="s">
        <v>131</v>
      </c>
      <c r="H385" s="22" t="s">
        <v>131</v>
      </c>
      <c r="I385" s="22" t="n">
        <v>1793</v>
      </c>
      <c r="J385" s="22" t="n">
        <v>2646</v>
      </c>
      <c r="K385" s="22" t="n">
        <v>2486</v>
      </c>
      <c r="L385" s="22" t="n">
        <v>2528</v>
      </c>
      <c r="M385" s="22" t="n">
        <v>3212</v>
      </c>
      <c r="N385" s="22" t="n">
        <v>2375</v>
      </c>
      <c r="O385" s="22" t="n">
        <v>2136</v>
      </c>
      <c r="P385" s="22" t="n">
        <v>2272</v>
      </c>
      <c r="Q385" s="22" t="n">
        <v>1696</v>
      </c>
      <c r="R385" s="22" t="n">
        <v>1547</v>
      </c>
      <c r="S385" s="22" t="n">
        <v>1285</v>
      </c>
      <c r="T385" s="22" t="n">
        <v>1036</v>
      </c>
      <c r="U385" s="22" t="n">
        <v>1070</v>
      </c>
      <c r="V385" s="22" t="n">
        <v>1379</v>
      </c>
      <c r="W385" s="22" t="n">
        <v>1307</v>
      </c>
      <c r="X385" s="22" t="n">
        <v>1270</v>
      </c>
      <c r="Y385" s="22" t="n">
        <v>1025</v>
      </c>
      <c r="Z385" s="22" t="n">
        <v>666</v>
      </c>
      <c r="AA385" s="22" t="n">
        <v>522</v>
      </c>
      <c r="AB385" s="22" t="n">
        <v>338</v>
      </c>
      <c r="AC385" s="22" t="n">
        <v>70</v>
      </c>
      <c r="AD385" s="22"/>
      <c r="AE385" s="22"/>
      <c r="AF385" s="22"/>
    </row>
    <row r="386" customFormat="false" ht="15" hidden="false" customHeight="false" outlineLevel="0" collapsed="false">
      <c r="A386" s="22" t="s">
        <v>61</v>
      </c>
      <c r="B386" s="22" t="s">
        <v>3</v>
      </c>
      <c r="C386" s="22" t="s">
        <v>61</v>
      </c>
      <c r="D386" s="22" t="n">
        <v>44060</v>
      </c>
      <c r="E386" s="22" t="s">
        <v>132</v>
      </c>
      <c r="F386" s="22" t="s">
        <v>133</v>
      </c>
      <c r="G386" s="22" t="s">
        <v>131</v>
      </c>
      <c r="H386" s="22" t="s">
        <v>131</v>
      </c>
      <c r="I386" s="22" t="n">
        <v>42188</v>
      </c>
      <c r="J386" s="22" t="n">
        <v>42313</v>
      </c>
      <c r="K386" s="22" t="n">
        <v>42308</v>
      </c>
      <c r="L386" s="22" t="n">
        <v>42459</v>
      </c>
      <c r="M386" s="22" t="n">
        <v>42672</v>
      </c>
      <c r="N386" s="22" t="n">
        <v>42839</v>
      </c>
      <c r="O386" s="22" t="n">
        <v>43130</v>
      </c>
      <c r="P386" s="22" t="n">
        <v>43382</v>
      </c>
      <c r="Q386" s="22" t="n">
        <v>43496</v>
      </c>
      <c r="R386" s="22" t="n">
        <v>43663</v>
      </c>
      <c r="S386" s="22" t="n">
        <v>43843</v>
      </c>
      <c r="T386" s="22" t="n">
        <v>44183</v>
      </c>
      <c r="U386" s="22" t="n">
        <v>44432</v>
      </c>
      <c r="V386" s="22" t="n">
        <v>45027</v>
      </c>
      <c r="W386" s="22" t="n">
        <v>45358</v>
      </c>
      <c r="X386" s="22" t="n">
        <v>45763</v>
      </c>
      <c r="Y386" s="22" t="n">
        <v>45940</v>
      </c>
      <c r="Z386" s="22" t="n">
        <v>46038</v>
      </c>
      <c r="AA386" s="22" t="n">
        <v>46152</v>
      </c>
      <c r="AB386" s="22" t="n">
        <v>46400</v>
      </c>
      <c r="AC386" s="22" t="n">
        <v>46579</v>
      </c>
      <c r="AD386" s="22" t="n">
        <v>46645</v>
      </c>
      <c r="AE386" s="22" t="n">
        <v>46714</v>
      </c>
      <c r="AF386" s="22" t="n">
        <v>46799</v>
      </c>
    </row>
    <row r="387" customFormat="false" ht="15" hidden="false" customHeight="false" outlineLevel="0" collapsed="false">
      <c r="A387" s="22" t="s">
        <v>61</v>
      </c>
      <c r="B387" s="22" t="s">
        <v>3</v>
      </c>
      <c r="C387" s="22" t="s">
        <v>61</v>
      </c>
      <c r="D387" s="22" t="n">
        <v>44060</v>
      </c>
      <c r="E387" s="22" t="s">
        <v>136</v>
      </c>
      <c r="F387" s="22" t="s">
        <v>680</v>
      </c>
      <c r="G387" s="22" t="s">
        <v>131</v>
      </c>
      <c r="H387" s="22" t="s">
        <v>131</v>
      </c>
      <c r="I387" s="22" t="n">
        <v>0</v>
      </c>
      <c r="J387" s="22" t="n">
        <v>350</v>
      </c>
      <c r="K387" s="22" t="n">
        <v>180</v>
      </c>
      <c r="L387" s="22" t="n">
        <v>565</v>
      </c>
      <c r="M387" s="22" t="n">
        <v>120</v>
      </c>
      <c r="N387" s="22" t="n">
        <v>135</v>
      </c>
      <c r="O387" s="22" t="n">
        <v>94</v>
      </c>
      <c r="P387" s="22" t="n">
        <v>608</v>
      </c>
      <c r="Q387" s="22" t="n">
        <v>230</v>
      </c>
      <c r="R387" s="22" t="n">
        <v>522</v>
      </c>
      <c r="S387" s="22" t="n">
        <v>107</v>
      </c>
      <c r="T387" s="22" t="n">
        <v>0</v>
      </c>
      <c r="U387" s="22" t="n">
        <v>40</v>
      </c>
      <c r="V387" s="22" t="n">
        <v>24</v>
      </c>
      <c r="W387" s="22" t="n">
        <v>240</v>
      </c>
      <c r="X387" s="22" t="n">
        <v>0</v>
      </c>
      <c r="Y387" s="22" t="n">
        <v>274</v>
      </c>
      <c r="Z387" s="22" t="n">
        <v>0</v>
      </c>
      <c r="AA387" s="22" t="n">
        <v>0</v>
      </c>
      <c r="AB387" s="22" t="n">
        <v>88</v>
      </c>
      <c r="AC387" s="22" t="n">
        <v>0</v>
      </c>
      <c r="AD387" s="22"/>
      <c r="AE387" s="22"/>
      <c r="AF387" s="22"/>
    </row>
    <row r="388" customFormat="false" ht="15" hidden="false" customHeight="false" outlineLevel="0" collapsed="false">
      <c r="A388" s="22" t="s">
        <v>61</v>
      </c>
      <c r="B388" s="22" t="s">
        <v>3</v>
      </c>
      <c r="C388" s="22" t="s">
        <v>61</v>
      </c>
      <c r="D388" s="22" t="n">
        <v>44060</v>
      </c>
      <c r="E388" s="22" t="s">
        <v>136</v>
      </c>
      <c r="F388" s="22" t="s">
        <v>681</v>
      </c>
      <c r="G388" s="22" t="s">
        <v>131</v>
      </c>
      <c r="H388" s="22" t="s">
        <v>131</v>
      </c>
      <c r="I388" s="22" t="n">
        <v>1090</v>
      </c>
      <c r="J388" s="22" t="n">
        <v>1095</v>
      </c>
      <c r="K388" s="22" t="n">
        <v>1009</v>
      </c>
      <c r="L388" s="22" t="n">
        <v>1095</v>
      </c>
      <c r="M388" s="22" t="n">
        <v>1215</v>
      </c>
      <c r="N388" s="22" t="n">
        <v>1000</v>
      </c>
      <c r="O388" s="22" t="n">
        <v>914</v>
      </c>
      <c r="P388" s="22" t="n">
        <v>957</v>
      </c>
      <c r="Q388" s="22" t="n">
        <v>1067</v>
      </c>
      <c r="R388" s="22" t="n">
        <v>1454</v>
      </c>
      <c r="S388" s="22" t="n">
        <v>1467</v>
      </c>
      <c r="T388" s="22" t="n">
        <v>859</v>
      </c>
      <c r="U388" s="22" t="n">
        <v>669</v>
      </c>
      <c r="V388" s="22" t="n">
        <v>171</v>
      </c>
      <c r="W388" s="22" t="n">
        <v>304</v>
      </c>
      <c r="X388" s="22" t="n">
        <v>304</v>
      </c>
      <c r="Y388" s="22" t="n">
        <v>538</v>
      </c>
      <c r="Z388" s="22" t="n">
        <v>514</v>
      </c>
      <c r="AA388" s="22" t="n">
        <v>274</v>
      </c>
      <c r="AB388" s="22" t="n">
        <v>362</v>
      </c>
      <c r="AC388" s="22" t="n">
        <v>88</v>
      </c>
      <c r="AD388" s="22"/>
      <c r="AE388" s="22"/>
      <c r="AF388" s="22"/>
    </row>
    <row r="389" customFormat="false" ht="15" hidden="false" customHeight="false" outlineLevel="0" collapsed="false">
      <c r="A389" s="22" t="s">
        <v>211</v>
      </c>
      <c r="B389" s="22" t="s">
        <v>3</v>
      </c>
      <c r="C389" s="22" t="s">
        <v>211</v>
      </c>
      <c r="D389" s="22" t="n">
        <v>344140</v>
      </c>
      <c r="E389" s="22" t="s">
        <v>132</v>
      </c>
      <c r="F389" s="22" t="s">
        <v>133</v>
      </c>
      <c r="G389" s="22" t="s">
        <v>131</v>
      </c>
      <c r="H389" s="22" t="s">
        <v>131</v>
      </c>
      <c r="I389" s="22" t="n">
        <v>46282</v>
      </c>
      <c r="J389" s="22" t="n">
        <v>46282</v>
      </c>
      <c r="K389" s="22" t="n">
        <v>46282</v>
      </c>
      <c r="L389" s="22" t="n">
        <v>46282</v>
      </c>
      <c r="M389" s="22" t="n">
        <v>46282</v>
      </c>
      <c r="N389" s="22" t="n">
        <v>46327</v>
      </c>
      <c r="O389" s="22" t="n">
        <v>46327</v>
      </c>
      <c r="P389" s="22" t="n">
        <v>46327</v>
      </c>
      <c r="Q389" s="22" t="n">
        <v>46327</v>
      </c>
      <c r="R389" s="22" t="n">
        <v>46327</v>
      </c>
      <c r="S389" s="22" t="n">
        <v>46385</v>
      </c>
      <c r="T389" s="22" t="n">
        <v>46546</v>
      </c>
      <c r="U389" s="22" t="n">
        <v>46256</v>
      </c>
      <c r="V389" s="22" t="n">
        <v>46256</v>
      </c>
      <c r="W389" s="22" t="n">
        <v>46256</v>
      </c>
      <c r="X389" s="22" t="n">
        <v>46256</v>
      </c>
      <c r="Y389" s="22" t="n">
        <v>46256</v>
      </c>
      <c r="Z389" s="22" t="n">
        <v>46256</v>
      </c>
      <c r="AA389" s="22" t="n">
        <v>46256</v>
      </c>
      <c r="AB389" s="22" t="n">
        <v>46256</v>
      </c>
      <c r="AC389" s="22" t="n">
        <v>46256</v>
      </c>
      <c r="AD389" s="22" t="n">
        <v>46256</v>
      </c>
      <c r="AE389" s="22" t="n">
        <v>46256</v>
      </c>
      <c r="AF389" s="22" t="n">
        <v>46256</v>
      </c>
    </row>
    <row r="390" customFormat="false" ht="15" hidden="false" customHeight="false" outlineLevel="0" collapsed="false">
      <c r="A390" s="22" t="s">
        <v>211</v>
      </c>
      <c r="B390" s="22" t="s">
        <v>3</v>
      </c>
      <c r="C390" s="22" t="s">
        <v>211</v>
      </c>
      <c r="D390" s="22" t="n">
        <v>344140</v>
      </c>
      <c r="E390" s="22" t="s">
        <v>136</v>
      </c>
      <c r="F390" s="22" t="s">
        <v>680</v>
      </c>
      <c r="G390" s="22" t="s">
        <v>131</v>
      </c>
      <c r="H390" s="22" t="s">
        <v>131</v>
      </c>
      <c r="I390" s="22" t="n">
        <v>0</v>
      </c>
      <c r="J390" s="22" t="n">
        <v>0</v>
      </c>
      <c r="K390" s="22" t="n">
        <v>0</v>
      </c>
      <c r="L390" s="22" t="n">
        <v>0</v>
      </c>
      <c r="M390" s="22" t="n">
        <v>90</v>
      </c>
      <c r="N390" s="22" t="n">
        <v>0</v>
      </c>
      <c r="O390" s="22" t="n">
        <v>0</v>
      </c>
      <c r="P390" s="22" t="n">
        <v>0</v>
      </c>
      <c r="Q390" s="22" t="n">
        <v>0</v>
      </c>
      <c r="R390" s="22" t="n">
        <v>0</v>
      </c>
      <c r="S390" s="22" t="n">
        <v>0</v>
      </c>
      <c r="T390" s="22" t="n">
        <v>0</v>
      </c>
      <c r="U390" s="22" t="n">
        <v>0</v>
      </c>
      <c r="V390" s="22" t="n">
        <v>0</v>
      </c>
      <c r="W390" s="22" t="n">
        <v>0</v>
      </c>
      <c r="X390" s="22" t="n">
        <v>0</v>
      </c>
      <c r="Y390" s="22" t="n">
        <v>0</v>
      </c>
      <c r="Z390" s="22" t="n">
        <v>0</v>
      </c>
      <c r="AA390" s="22" t="n">
        <v>0</v>
      </c>
      <c r="AB390" s="22" t="n">
        <v>102</v>
      </c>
      <c r="AC390" s="22" t="n">
        <v>0</v>
      </c>
      <c r="AD390" s="22"/>
      <c r="AE390" s="22"/>
      <c r="AF390" s="22"/>
    </row>
    <row r="391" customFormat="false" ht="15" hidden="false" customHeight="false" outlineLevel="0" collapsed="false">
      <c r="A391" s="22" t="s">
        <v>211</v>
      </c>
      <c r="B391" s="22" t="s">
        <v>3</v>
      </c>
      <c r="C391" s="22" t="s">
        <v>211</v>
      </c>
      <c r="D391" s="22" t="n">
        <v>344140</v>
      </c>
      <c r="E391" s="22" t="s">
        <v>136</v>
      </c>
      <c r="F391" s="22" t="s">
        <v>681</v>
      </c>
      <c r="G391" s="22" t="s">
        <v>131</v>
      </c>
      <c r="H391" s="22" t="s">
        <v>131</v>
      </c>
      <c r="I391" s="22" t="n">
        <v>45</v>
      </c>
      <c r="J391" s="22" t="n">
        <v>45</v>
      </c>
      <c r="K391" s="22" t="n">
        <v>45</v>
      </c>
      <c r="L391" s="22" t="n">
        <v>0</v>
      </c>
      <c r="M391" s="22" t="n">
        <v>90</v>
      </c>
      <c r="N391" s="22" t="n">
        <v>90</v>
      </c>
      <c r="O391" s="22" t="n">
        <v>90</v>
      </c>
      <c r="P391" s="22" t="n">
        <v>90</v>
      </c>
      <c r="Q391" s="22" t="n">
        <v>0</v>
      </c>
      <c r="R391" s="22" t="n">
        <v>0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0</v>
      </c>
      <c r="X391" s="22" t="n">
        <v>0</v>
      </c>
      <c r="Y391" s="22" t="n">
        <v>0</v>
      </c>
      <c r="Z391" s="22" t="n">
        <v>0</v>
      </c>
      <c r="AA391" s="22" t="n">
        <v>0</v>
      </c>
      <c r="AB391" s="22" t="n">
        <v>102</v>
      </c>
      <c r="AC391" s="22" t="n">
        <v>102</v>
      </c>
      <c r="AD391" s="22"/>
      <c r="AE391" s="22"/>
      <c r="AF391" s="22"/>
    </row>
    <row r="392" customFormat="false" ht="15" hidden="false" customHeight="false" outlineLevel="0" collapsed="false">
      <c r="A392" s="22" t="s">
        <v>212</v>
      </c>
      <c r="B392" s="22" t="s">
        <v>3</v>
      </c>
      <c r="C392" s="22" t="s">
        <v>212</v>
      </c>
      <c r="D392" s="22" t="n">
        <v>44180</v>
      </c>
      <c r="E392" s="22" t="s">
        <v>132</v>
      </c>
      <c r="F392" s="22" t="s">
        <v>133</v>
      </c>
      <c r="G392" s="22" t="s">
        <v>131</v>
      </c>
      <c r="H392" s="22" t="s">
        <v>131</v>
      </c>
      <c r="I392" s="22" t="n">
        <v>24245</v>
      </c>
      <c r="J392" s="22" t="n">
        <v>24404</v>
      </c>
      <c r="K392" s="22" t="n">
        <v>24547</v>
      </c>
      <c r="L392" s="22" t="n">
        <v>24547</v>
      </c>
      <c r="M392" s="22" t="n">
        <v>24577</v>
      </c>
      <c r="N392" s="22" t="n">
        <v>24625</v>
      </c>
      <c r="O392" s="22" t="n">
        <v>24724</v>
      </c>
      <c r="P392" s="22" t="n">
        <v>24756</v>
      </c>
      <c r="Q392" s="22" t="n">
        <v>24756</v>
      </c>
      <c r="R392" s="22" t="n">
        <v>24870</v>
      </c>
      <c r="S392" s="22" t="n">
        <v>24980</v>
      </c>
      <c r="T392" s="22" t="n">
        <v>25083</v>
      </c>
      <c r="U392" s="22" t="n">
        <v>25370</v>
      </c>
      <c r="V392" s="22" t="n">
        <v>25518</v>
      </c>
      <c r="W392" s="22" t="n">
        <v>25601</v>
      </c>
      <c r="X392" s="22" t="n">
        <v>25634</v>
      </c>
      <c r="Y392" s="22" t="n">
        <v>25667</v>
      </c>
      <c r="Z392" s="22" t="n">
        <v>25727</v>
      </c>
      <c r="AA392" s="22" t="n">
        <v>25783</v>
      </c>
      <c r="AB392" s="22" t="n">
        <v>25880</v>
      </c>
      <c r="AC392" s="22" t="n">
        <v>26014</v>
      </c>
      <c r="AD392" s="22" t="n">
        <v>26216</v>
      </c>
      <c r="AE392" s="22" t="n">
        <v>26386</v>
      </c>
      <c r="AF392" s="22" t="n">
        <v>26535</v>
      </c>
    </row>
    <row r="393" customFormat="false" ht="15" hidden="false" customHeight="false" outlineLevel="0" collapsed="false">
      <c r="A393" s="22" t="s">
        <v>212</v>
      </c>
      <c r="B393" s="22" t="s">
        <v>3</v>
      </c>
      <c r="C393" s="22" t="s">
        <v>212</v>
      </c>
      <c r="D393" s="22" t="n">
        <v>44180</v>
      </c>
      <c r="E393" s="22" t="s">
        <v>136</v>
      </c>
      <c r="F393" s="22" t="s">
        <v>680</v>
      </c>
      <c r="G393" s="22" t="s">
        <v>131</v>
      </c>
      <c r="H393" s="22" t="s">
        <v>131</v>
      </c>
      <c r="I393" s="22" t="n">
        <v>0</v>
      </c>
      <c r="J393" s="22" t="n">
        <v>0</v>
      </c>
      <c r="K393" s="22" t="n">
        <v>51</v>
      </c>
      <c r="L393" s="22" t="n">
        <v>240</v>
      </c>
      <c r="M393" s="22" t="n">
        <v>95</v>
      </c>
      <c r="N393" s="22" t="n">
        <v>180</v>
      </c>
      <c r="O393" s="22" t="n">
        <v>152</v>
      </c>
      <c r="P393" s="22" t="n">
        <v>0</v>
      </c>
      <c r="Q393" s="22" t="n">
        <v>0</v>
      </c>
      <c r="R393" s="22" t="n">
        <v>51</v>
      </c>
      <c r="S393" s="22" t="n">
        <v>0</v>
      </c>
      <c r="T393" s="22" t="n">
        <v>120</v>
      </c>
      <c r="U393" s="22" t="n">
        <v>282</v>
      </c>
      <c r="V393" s="22" t="n">
        <v>144</v>
      </c>
      <c r="W393" s="22" t="n">
        <v>46</v>
      </c>
      <c r="X393" s="22" t="n">
        <v>108</v>
      </c>
      <c r="Y393" s="22" t="n">
        <v>340</v>
      </c>
      <c r="Z393" s="22" t="n">
        <v>0</v>
      </c>
      <c r="AA393" s="22" t="n">
        <v>120</v>
      </c>
      <c r="AB393" s="22" t="n">
        <v>0</v>
      </c>
      <c r="AC393" s="22" t="n">
        <v>0</v>
      </c>
      <c r="AD393" s="22"/>
      <c r="AE393" s="22"/>
      <c r="AF393" s="22"/>
    </row>
    <row r="394" customFormat="false" ht="15" hidden="false" customHeight="false" outlineLevel="0" collapsed="false">
      <c r="A394" s="22" t="s">
        <v>212</v>
      </c>
      <c r="B394" s="22" t="s">
        <v>3</v>
      </c>
      <c r="C394" s="22" t="s">
        <v>212</v>
      </c>
      <c r="D394" s="22" t="n">
        <v>44180</v>
      </c>
      <c r="E394" s="22" t="s">
        <v>136</v>
      </c>
      <c r="F394" s="22" t="s">
        <v>681</v>
      </c>
      <c r="G394" s="22" t="s">
        <v>131</v>
      </c>
      <c r="H394" s="22" t="s">
        <v>131</v>
      </c>
      <c r="I394" s="22" t="n">
        <v>158</v>
      </c>
      <c r="J394" s="22" t="n">
        <v>0</v>
      </c>
      <c r="K394" s="22" t="n">
        <v>51</v>
      </c>
      <c r="L394" s="22" t="n">
        <v>291</v>
      </c>
      <c r="M394" s="22" t="n">
        <v>386</v>
      </c>
      <c r="N394" s="22" t="n">
        <v>566</v>
      </c>
      <c r="O394" s="22" t="n">
        <v>667</v>
      </c>
      <c r="P394" s="22" t="n">
        <v>427</v>
      </c>
      <c r="Q394" s="22" t="n">
        <v>332</v>
      </c>
      <c r="R394" s="22" t="n">
        <v>203</v>
      </c>
      <c r="S394" s="22" t="n">
        <v>51</v>
      </c>
      <c r="T394" s="22" t="n">
        <v>171</v>
      </c>
      <c r="U394" s="22" t="n">
        <v>453</v>
      </c>
      <c r="V394" s="22" t="n">
        <v>546</v>
      </c>
      <c r="W394" s="22" t="n">
        <v>592</v>
      </c>
      <c r="X394" s="22" t="n">
        <v>580</v>
      </c>
      <c r="Y394" s="22" t="n">
        <v>638</v>
      </c>
      <c r="Z394" s="22" t="n">
        <v>494</v>
      </c>
      <c r="AA394" s="22" t="n">
        <v>568</v>
      </c>
      <c r="AB394" s="22" t="n">
        <v>460</v>
      </c>
      <c r="AC394" s="22" t="n">
        <v>120</v>
      </c>
      <c r="AD394" s="22"/>
      <c r="AE394" s="22"/>
      <c r="AF394" s="22"/>
    </row>
    <row r="395" customFormat="false" ht="15" hidden="false" customHeight="false" outlineLevel="0" collapsed="false">
      <c r="A395" s="22" t="s">
        <v>46</v>
      </c>
      <c r="B395" s="22" t="s">
        <v>3</v>
      </c>
      <c r="C395" s="22" t="s">
        <v>46</v>
      </c>
      <c r="D395" s="22" t="n">
        <v>41180</v>
      </c>
      <c r="E395" s="22" t="s">
        <v>132</v>
      </c>
      <c r="F395" s="22" t="s">
        <v>133</v>
      </c>
      <c r="G395" s="22" t="s">
        <v>131</v>
      </c>
      <c r="H395" s="22" t="s">
        <v>131</v>
      </c>
      <c r="I395" s="22" t="n">
        <v>163703</v>
      </c>
      <c r="J395" s="22" t="n">
        <v>163886</v>
      </c>
      <c r="K395" s="22" t="n">
        <v>164274</v>
      </c>
      <c r="L395" s="22" t="n">
        <v>164158</v>
      </c>
      <c r="M395" s="22" t="n">
        <v>164896</v>
      </c>
      <c r="N395" s="22" t="n">
        <v>166156</v>
      </c>
      <c r="O395" s="22" t="n">
        <v>166913</v>
      </c>
      <c r="P395" s="22" t="n">
        <v>167341</v>
      </c>
      <c r="Q395" s="22" t="n">
        <v>167788</v>
      </c>
      <c r="R395" s="22" t="n">
        <v>168673</v>
      </c>
      <c r="S395" s="22" t="n">
        <v>169979</v>
      </c>
      <c r="T395" s="22" t="n">
        <v>170878</v>
      </c>
      <c r="U395" s="22" t="n">
        <v>171450</v>
      </c>
      <c r="V395" s="22" t="n">
        <v>171988</v>
      </c>
      <c r="W395" s="22" t="n">
        <v>172717</v>
      </c>
      <c r="X395" s="22" t="n">
        <v>173332</v>
      </c>
      <c r="Y395" s="22" t="n">
        <v>173819</v>
      </c>
      <c r="Z395" s="22" t="n">
        <v>174205</v>
      </c>
      <c r="AA395" s="22" t="n">
        <v>174572</v>
      </c>
      <c r="AB395" s="22" t="n">
        <v>174892</v>
      </c>
      <c r="AC395" s="22" t="n">
        <v>175257</v>
      </c>
      <c r="AD395" s="22" t="n">
        <v>175490</v>
      </c>
      <c r="AE395" s="22" t="n">
        <v>176092</v>
      </c>
      <c r="AF395" s="22" t="n">
        <v>176487</v>
      </c>
    </row>
    <row r="396" customFormat="false" ht="15" hidden="false" customHeight="false" outlineLevel="0" collapsed="false">
      <c r="A396" s="22" t="s">
        <v>46</v>
      </c>
      <c r="B396" s="22" t="s">
        <v>3</v>
      </c>
      <c r="C396" s="22" t="s">
        <v>46</v>
      </c>
      <c r="D396" s="22" t="n">
        <v>41180</v>
      </c>
      <c r="E396" s="22" t="s">
        <v>136</v>
      </c>
      <c r="F396" s="22" t="s">
        <v>680</v>
      </c>
      <c r="G396" s="22" t="s">
        <v>131</v>
      </c>
      <c r="H396" s="22" t="s">
        <v>131</v>
      </c>
      <c r="I396" s="22" t="n">
        <v>498</v>
      </c>
      <c r="J396" s="22" t="n">
        <v>802</v>
      </c>
      <c r="K396" s="22" t="n">
        <v>859</v>
      </c>
      <c r="L396" s="22" t="n">
        <v>771</v>
      </c>
      <c r="M396" s="22" t="n">
        <v>680</v>
      </c>
      <c r="N396" s="22" t="n">
        <v>1343</v>
      </c>
      <c r="O396" s="22" t="n">
        <v>1147</v>
      </c>
      <c r="P396" s="22" t="n">
        <v>482</v>
      </c>
      <c r="Q396" s="22" t="n">
        <v>605</v>
      </c>
      <c r="R396" s="22" t="n">
        <v>0</v>
      </c>
      <c r="S396" s="22" t="n">
        <v>0</v>
      </c>
      <c r="T396" s="22" t="n">
        <v>0</v>
      </c>
      <c r="U396" s="22" t="n">
        <v>982</v>
      </c>
      <c r="V396" s="22" t="n">
        <v>0</v>
      </c>
      <c r="W396" s="22" t="n">
        <v>529</v>
      </c>
      <c r="X396" s="22" t="n">
        <v>152</v>
      </c>
      <c r="Y396" s="22" t="n">
        <v>0</v>
      </c>
      <c r="Z396" s="22" t="n">
        <v>963</v>
      </c>
      <c r="AA396" s="22" t="n">
        <v>370</v>
      </c>
      <c r="AB396" s="22" t="n">
        <v>387</v>
      </c>
      <c r="AC396" s="22" t="n">
        <v>216</v>
      </c>
      <c r="AD396" s="22"/>
      <c r="AE396" s="22"/>
      <c r="AF396" s="22"/>
    </row>
    <row r="397" customFormat="false" ht="15" hidden="false" customHeight="false" outlineLevel="0" collapsed="false">
      <c r="A397" s="22" t="s">
        <v>46</v>
      </c>
      <c r="B397" s="22" t="s">
        <v>3</v>
      </c>
      <c r="C397" s="22" t="s">
        <v>46</v>
      </c>
      <c r="D397" s="22" t="n">
        <v>41180</v>
      </c>
      <c r="E397" s="22" t="s">
        <v>136</v>
      </c>
      <c r="F397" s="22" t="s">
        <v>681</v>
      </c>
      <c r="G397" s="22" t="s">
        <v>131</v>
      </c>
      <c r="H397" s="22" t="s">
        <v>131</v>
      </c>
      <c r="I397" s="22" t="n">
        <v>2552</v>
      </c>
      <c r="J397" s="22" t="n">
        <v>2929</v>
      </c>
      <c r="K397" s="22" t="n">
        <v>2865</v>
      </c>
      <c r="L397" s="22" t="n">
        <v>2930</v>
      </c>
      <c r="M397" s="22" t="n">
        <v>3112</v>
      </c>
      <c r="N397" s="22" t="n">
        <v>3653</v>
      </c>
      <c r="O397" s="22" t="n">
        <v>3941</v>
      </c>
      <c r="P397" s="22" t="n">
        <v>3652</v>
      </c>
      <c r="Q397" s="22" t="n">
        <v>3577</v>
      </c>
      <c r="R397" s="22" t="n">
        <v>2234</v>
      </c>
      <c r="S397" s="22" t="n">
        <v>1087</v>
      </c>
      <c r="T397" s="22" t="n">
        <v>605</v>
      </c>
      <c r="U397" s="22" t="n">
        <v>982</v>
      </c>
      <c r="V397" s="22" t="n">
        <v>982</v>
      </c>
      <c r="W397" s="22" t="n">
        <v>1511</v>
      </c>
      <c r="X397" s="22" t="n">
        <v>1663</v>
      </c>
      <c r="Y397" s="22" t="n">
        <v>681</v>
      </c>
      <c r="Z397" s="22" t="n">
        <v>1644</v>
      </c>
      <c r="AA397" s="22" t="n">
        <v>1485</v>
      </c>
      <c r="AB397" s="22" t="n">
        <v>1720</v>
      </c>
      <c r="AC397" s="22" t="n">
        <v>1936</v>
      </c>
      <c r="AD397" s="22"/>
      <c r="AE397" s="22"/>
      <c r="AF397" s="22"/>
    </row>
    <row r="398" customFormat="false" ht="15" hidden="false" customHeight="false" outlineLevel="0" collapsed="false">
      <c r="A398" s="22" t="s">
        <v>213</v>
      </c>
      <c r="B398" s="22" t="s">
        <v>3</v>
      </c>
      <c r="C398" s="22" t="s">
        <v>213</v>
      </c>
      <c r="D398" s="22" t="n">
        <v>44700</v>
      </c>
      <c r="E398" s="22" t="s">
        <v>132</v>
      </c>
      <c r="F398" s="22" t="s">
        <v>133</v>
      </c>
      <c r="G398" s="22" t="s">
        <v>131</v>
      </c>
      <c r="H398" s="22" t="s">
        <v>131</v>
      </c>
      <c r="I398" s="22" t="n">
        <v>30300</v>
      </c>
      <c r="J398" s="22" t="n">
        <v>30451</v>
      </c>
      <c r="K398" s="22" t="n">
        <v>30529</v>
      </c>
      <c r="L398" s="22" t="n">
        <v>30573</v>
      </c>
      <c r="M398" s="22" t="n">
        <v>30717</v>
      </c>
      <c r="N398" s="22" t="n">
        <v>30726</v>
      </c>
      <c r="O398" s="22" t="n">
        <v>30761</v>
      </c>
      <c r="P398" s="22" t="n">
        <v>30929</v>
      </c>
      <c r="Q398" s="22" t="n">
        <v>31209</v>
      </c>
      <c r="R398" s="22" t="n">
        <v>31451</v>
      </c>
      <c r="S398" s="22" t="n">
        <v>31565</v>
      </c>
      <c r="T398" s="22" t="n">
        <v>31710</v>
      </c>
      <c r="U398" s="22" t="n">
        <v>31865</v>
      </c>
      <c r="V398" s="22" t="n">
        <v>31909</v>
      </c>
      <c r="W398" s="22" t="n">
        <v>31909</v>
      </c>
      <c r="X398" s="22" t="n">
        <v>31909</v>
      </c>
      <c r="Y398" s="22" t="n">
        <v>32011</v>
      </c>
      <c r="Z398" s="22" t="n">
        <v>32129</v>
      </c>
      <c r="AA398" s="22" t="n">
        <v>32177</v>
      </c>
      <c r="AB398" s="22" t="n">
        <v>32361</v>
      </c>
      <c r="AC398" s="22" t="n">
        <v>32412</v>
      </c>
      <c r="AD398" s="22" t="n">
        <v>32412</v>
      </c>
      <c r="AE398" s="22" t="n">
        <v>32412</v>
      </c>
      <c r="AF398" s="22" t="n">
        <v>32412</v>
      </c>
    </row>
    <row r="399" customFormat="false" ht="15" hidden="false" customHeight="false" outlineLevel="0" collapsed="false">
      <c r="A399" s="22" t="s">
        <v>213</v>
      </c>
      <c r="B399" s="22" t="s">
        <v>3</v>
      </c>
      <c r="C399" s="22" t="s">
        <v>213</v>
      </c>
      <c r="D399" s="22" t="n">
        <v>44700</v>
      </c>
      <c r="E399" s="22" t="s">
        <v>136</v>
      </c>
      <c r="F399" s="22" t="s">
        <v>680</v>
      </c>
      <c r="G399" s="22" t="s">
        <v>131</v>
      </c>
      <c r="H399" s="22" t="s">
        <v>131</v>
      </c>
      <c r="I399" s="22" t="n">
        <v>0</v>
      </c>
      <c r="J399" s="22" t="n">
        <v>360</v>
      </c>
      <c r="K399" s="22" t="n">
        <v>0</v>
      </c>
      <c r="L399" s="22" t="n">
        <v>440</v>
      </c>
      <c r="M399" s="22" t="n">
        <v>0</v>
      </c>
      <c r="N399" s="22" t="n">
        <v>0</v>
      </c>
      <c r="O399" s="22" t="n">
        <v>0</v>
      </c>
      <c r="P399" s="22" t="n">
        <v>0</v>
      </c>
      <c r="Q399" s="22" t="n">
        <v>0</v>
      </c>
      <c r="R399" s="22" t="n">
        <v>0</v>
      </c>
      <c r="S399" s="22" t="n">
        <v>172</v>
      </c>
      <c r="T399" s="22" t="n">
        <v>0</v>
      </c>
      <c r="U399" s="22" t="n">
        <v>0</v>
      </c>
      <c r="V399" s="22" t="n">
        <v>195</v>
      </c>
      <c r="W399" s="22" t="n">
        <v>0</v>
      </c>
      <c r="X399" s="22" t="n">
        <v>0</v>
      </c>
      <c r="Y399" s="22" t="n">
        <v>0</v>
      </c>
      <c r="Z399" s="22" t="n">
        <v>0</v>
      </c>
      <c r="AA399" s="22" t="n">
        <v>0</v>
      </c>
      <c r="AB399" s="22" t="n">
        <v>0</v>
      </c>
      <c r="AC399" s="22" t="n">
        <v>0</v>
      </c>
      <c r="AD399" s="22"/>
      <c r="AE399" s="22"/>
      <c r="AF399" s="22"/>
    </row>
    <row r="400" customFormat="false" ht="15" hidden="false" customHeight="false" outlineLevel="0" collapsed="false">
      <c r="A400" s="22" t="s">
        <v>213</v>
      </c>
      <c r="B400" s="22" t="s">
        <v>3</v>
      </c>
      <c r="C400" s="22" t="s">
        <v>213</v>
      </c>
      <c r="D400" s="22" t="n">
        <v>44700</v>
      </c>
      <c r="E400" s="22" t="s">
        <v>136</v>
      </c>
      <c r="F400" s="22" t="s">
        <v>681</v>
      </c>
      <c r="G400" s="22" t="s">
        <v>131</v>
      </c>
      <c r="H400" s="22" t="s">
        <v>131</v>
      </c>
      <c r="I400" s="22" t="n">
        <v>508</v>
      </c>
      <c r="J400" s="22" t="n">
        <v>868</v>
      </c>
      <c r="K400" s="22" t="n">
        <v>868</v>
      </c>
      <c r="L400" s="22" t="n">
        <v>800</v>
      </c>
      <c r="M400" s="22" t="n">
        <v>800</v>
      </c>
      <c r="N400" s="22" t="n">
        <v>440</v>
      </c>
      <c r="O400" s="22" t="n">
        <v>440</v>
      </c>
      <c r="P400" s="22" t="n">
        <v>0</v>
      </c>
      <c r="Q400" s="22" t="n">
        <v>0</v>
      </c>
      <c r="R400" s="22" t="n">
        <v>0</v>
      </c>
      <c r="S400" s="22" t="n">
        <v>172</v>
      </c>
      <c r="T400" s="22" t="n">
        <v>172</v>
      </c>
      <c r="U400" s="22" t="n">
        <v>172</v>
      </c>
      <c r="V400" s="22" t="n">
        <v>367</v>
      </c>
      <c r="W400" s="22" t="n">
        <v>195</v>
      </c>
      <c r="X400" s="22" t="n">
        <v>195</v>
      </c>
      <c r="Y400" s="22" t="n">
        <v>195</v>
      </c>
      <c r="Z400" s="22" t="n">
        <v>0</v>
      </c>
      <c r="AA400" s="22" t="n">
        <v>0</v>
      </c>
      <c r="AB400" s="22" t="n">
        <v>0</v>
      </c>
      <c r="AC400" s="22" t="n">
        <v>0</v>
      </c>
      <c r="AD400" s="22"/>
      <c r="AE400" s="22"/>
      <c r="AF400" s="22"/>
    </row>
    <row r="401" customFormat="false" ht="15" hidden="false" customHeight="false" outlineLevel="0" collapsed="false">
      <c r="A401" s="22" t="s">
        <v>214</v>
      </c>
      <c r="B401" s="22" t="s">
        <v>3</v>
      </c>
      <c r="C401" s="22" t="s">
        <v>214</v>
      </c>
      <c r="D401" s="22" t="n">
        <v>45060</v>
      </c>
      <c r="E401" s="22" t="s">
        <v>132</v>
      </c>
      <c r="F401" s="22" t="s">
        <v>133</v>
      </c>
      <c r="G401" s="22" t="s">
        <v>131</v>
      </c>
      <c r="H401" s="22" t="s">
        <v>131</v>
      </c>
      <c r="I401" s="22" t="n">
        <v>42632</v>
      </c>
      <c r="J401" s="22" t="n">
        <v>42651</v>
      </c>
      <c r="K401" s="22" t="n">
        <v>42658</v>
      </c>
      <c r="L401" s="22" t="n">
        <v>42658</v>
      </c>
      <c r="M401" s="22" t="n">
        <v>42658</v>
      </c>
      <c r="N401" s="22" t="n">
        <v>42658</v>
      </c>
      <c r="O401" s="22" t="n">
        <v>42777</v>
      </c>
      <c r="P401" s="22" t="n">
        <v>42795</v>
      </c>
      <c r="Q401" s="22" t="n">
        <v>42825</v>
      </c>
      <c r="R401" s="22" t="n">
        <v>42825</v>
      </c>
      <c r="S401" s="22" t="n">
        <v>42825</v>
      </c>
      <c r="T401" s="22" t="n">
        <v>42850</v>
      </c>
      <c r="U401" s="22" t="n">
        <v>42906</v>
      </c>
      <c r="V401" s="22" t="n">
        <v>43008</v>
      </c>
      <c r="W401" s="22" t="n">
        <v>43098</v>
      </c>
      <c r="X401" s="22" t="n">
        <v>43182</v>
      </c>
      <c r="Y401" s="22" t="n">
        <v>43206</v>
      </c>
      <c r="Z401" s="22" t="n">
        <v>43278</v>
      </c>
      <c r="AA401" s="22" t="n">
        <v>43278</v>
      </c>
      <c r="AB401" s="22" t="n">
        <v>43306</v>
      </c>
      <c r="AC401" s="22" t="n">
        <v>43306</v>
      </c>
      <c r="AD401" s="22" t="n">
        <v>43306</v>
      </c>
      <c r="AE401" s="22" t="n">
        <v>43364</v>
      </c>
      <c r="AF401" s="22" t="n">
        <v>43393</v>
      </c>
    </row>
    <row r="402" customFormat="false" ht="15" hidden="false" customHeight="false" outlineLevel="0" collapsed="false">
      <c r="A402" s="22" t="s">
        <v>214</v>
      </c>
      <c r="B402" s="22" t="s">
        <v>3</v>
      </c>
      <c r="C402" s="22" t="s">
        <v>214</v>
      </c>
      <c r="D402" s="22" t="n">
        <v>45060</v>
      </c>
      <c r="E402" s="22" t="s">
        <v>136</v>
      </c>
      <c r="F402" s="22" t="s">
        <v>680</v>
      </c>
      <c r="G402" s="22" t="s">
        <v>131</v>
      </c>
      <c r="H402" s="22" t="s">
        <v>131</v>
      </c>
      <c r="I402" s="22" t="n">
        <v>48</v>
      </c>
      <c r="J402" s="22" t="n">
        <v>0</v>
      </c>
      <c r="K402" s="22" t="n">
        <v>0</v>
      </c>
      <c r="L402" s="22" t="n">
        <v>119</v>
      </c>
      <c r="M402" s="22" t="n">
        <v>276</v>
      </c>
      <c r="N402" s="22" t="n">
        <v>0</v>
      </c>
      <c r="O402" s="22" t="n">
        <v>0</v>
      </c>
      <c r="P402" s="22" t="n">
        <v>0</v>
      </c>
      <c r="Q402" s="22" t="n">
        <v>75</v>
      </c>
      <c r="R402" s="22" t="n">
        <v>130</v>
      </c>
      <c r="S402" s="22" t="n">
        <v>0</v>
      </c>
      <c r="T402" s="22" t="n">
        <v>0</v>
      </c>
      <c r="U402" s="22" t="n">
        <v>0</v>
      </c>
      <c r="V402" s="22" t="n">
        <v>0</v>
      </c>
      <c r="W402" s="22" t="n">
        <v>0</v>
      </c>
      <c r="X402" s="22" t="n">
        <v>0</v>
      </c>
      <c r="Y402" s="22" t="n">
        <v>30</v>
      </c>
      <c r="Z402" s="22" t="n">
        <v>0</v>
      </c>
      <c r="AA402" s="22" t="n">
        <v>57</v>
      </c>
      <c r="AB402" s="22" t="n">
        <v>0</v>
      </c>
      <c r="AC402" s="22" t="n">
        <v>0</v>
      </c>
      <c r="AD402" s="22"/>
      <c r="AE402" s="22"/>
      <c r="AF402" s="22"/>
    </row>
    <row r="403" customFormat="false" ht="15" hidden="false" customHeight="false" outlineLevel="0" collapsed="false">
      <c r="A403" s="22" t="s">
        <v>214</v>
      </c>
      <c r="B403" s="22" t="s">
        <v>3</v>
      </c>
      <c r="C403" s="22" t="s">
        <v>214</v>
      </c>
      <c r="D403" s="22" t="n">
        <v>45060</v>
      </c>
      <c r="E403" s="22" t="s">
        <v>136</v>
      </c>
      <c r="F403" s="22" t="s">
        <v>681</v>
      </c>
      <c r="G403" s="22" t="s">
        <v>131</v>
      </c>
      <c r="H403" s="22" t="s">
        <v>131</v>
      </c>
      <c r="I403" s="22" t="n">
        <v>48</v>
      </c>
      <c r="J403" s="22" t="n">
        <v>48</v>
      </c>
      <c r="K403" s="22" t="n">
        <v>48</v>
      </c>
      <c r="L403" s="22" t="n">
        <v>167</v>
      </c>
      <c r="M403" s="22" t="n">
        <v>395</v>
      </c>
      <c r="N403" s="22" t="n">
        <v>395</v>
      </c>
      <c r="O403" s="22" t="n">
        <v>395</v>
      </c>
      <c r="P403" s="22" t="n">
        <v>276</v>
      </c>
      <c r="Q403" s="22" t="n">
        <v>75</v>
      </c>
      <c r="R403" s="22" t="n">
        <v>205</v>
      </c>
      <c r="S403" s="22" t="n">
        <v>205</v>
      </c>
      <c r="T403" s="22" t="n">
        <v>205</v>
      </c>
      <c r="U403" s="22" t="n">
        <v>130</v>
      </c>
      <c r="V403" s="22" t="n">
        <v>0</v>
      </c>
      <c r="W403" s="22" t="n">
        <v>0</v>
      </c>
      <c r="X403" s="22" t="n">
        <v>0</v>
      </c>
      <c r="Y403" s="22" t="n">
        <v>30</v>
      </c>
      <c r="Z403" s="22" t="n">
        <v>30</v>
      </c>
      <c r="AA403" s="22" t="n">
        <v>87</v>
      </c>
      <c r="AB403" s="22" t="n">
        <v>87</v>
      </c>
      <c r="AC403" s="22" t="n">
        <v>57</v>
      </c>
      <c r="AD403" s="22"/>
      <c r="AE403" s="22"/>
      <c r="AF403" s="22"/>
    </row>
    <row r="404" customFormat="false" ht="15" hidden="false" customHeight="false" outlineLevel="0" collapsed="false">
      <c r="A404" s="22" t="s">
        <v>215</v>
      </c>
      <c r="B404" s="22" t="s">
        <v>3</v>
      </c>
      <c r="C404" s="22" t="s">
        <v>215</v>
      </c>
      <c r="D404" s="22" t="n">
        <v>45104</v>
      </c>
      <c r="E404" s="22" t="s">
        <v>132</v>
      </c>
      <c r="F404" s="22" t="s">
        <v>133</v>
      </c>
      <c r="G404" s="22" t="s">
        <v>131</v>
      </c>
      <c r="H404" s="22" t="s">
        <v>131</v>
      </c>
      <c r="I404" s="22" t="n">
        <v>60601</v>
      </c>
      <c r="J404" s="22" t="n">
        <v>60628</v>
      </c>
      <c r="K404" s="22" t="n">
        <v>61046</v>
      </c>
      <c r="L404" s="22" t="n">
        <v>61073</v>
      </c>
      <c r="M404" s="22" t="n">
        <v>61551</v>
      </c>
      <c r="N404" s="22" t="n">
        <v>61752</v>
      </c>
      <c r="O404" s="22" t="n">
        <v>61971</v>
      </c>
      <c r="P404" s="22" t="n">
        <v>62549</v>
      </c>
      <c r="Q404" s="22" t="n">
        <v>63167</v>
      </c>
      <c r="R404" s="22" t="n">
        <v>63493</v>
      </c>
      <c r="S404" s="22" t="n">
        <v>63804</v>
      </c>
      <c r="T404" s="22" t="n">
        <v>64101</v>
      </c>
      <c r="U404" s="22" t="n">
        <v>64781</v>
      </c>
      <c r="V404" s="22" t="n">
        <v>65566</v>
      </c>
      <c r="W404" s="22" t="n">
        <v>66043</v>
      </c>
      <c r="X404" s="22" t="n">
        <v>66274</v>
      </c>
      <c r="Y404" s="22" t="n">
        <v>66607</v>
      </c>
      <c r="Z404" s="22" t="n">
        <v>67001</v>
      </c>
      <c r="AA404" s="22" t="n">
        <v>67293</v>
      </c>
      <c r="AB404" s="22" t="n">
        <v>67564</v>
      </c>
      <c r="AC404" s="22" t="n">
        <v>67698</v>
      </c>
      <c r="AD404" s="22" t="n">
        <v>67858</v>
      </c>
      <c r="AE404" s="22" t="n">
        <v>67906</v>
      </c>
      <c r="AF404" s="22" t="n">
        <v>68022</v>
      </c>
    </row>
    <row r="405" customFormat="false" ht="15" hidden="false" customHeight="false" outlineLevel="0" collapsed="false">
      <c r="A405" s="22" t="s">
        <v>215</v>
      </c>
      <c r="B405" s="22" t="s">
        <v>3</v>
      </c>
      <c r="C405" s="22" t="s">
        <v>215</v>
      </c>
      <c r="D405" s="22" t="n">
        <v>45104</v>
      </c>
      <c r="E405" s="22" t="s">
        <v>136</v>
      </c>
      <c r="F405" s="22" t="s">
        <v>680</v>
      </c>
      <c r="G405" s="22" t="s">
        <v>131</v>
      </c>
      <c r="H405" s="22" t="s">
        <v>131</v>
      </c>
      <c r="I405" s="22" t="n">
        <v>1046</v>
      </c>
      <c r="J405" s="22" t="n">
        <v>536</v>
      </c>
      <c r="K405" s="22" t="n">
        <v>47</v>
      </c>
      <c r="L405" s="22" t="n">
        <v>483</v>
      </c>
      <c r="M405" s="22" t="n">
        <v>956</v>
      </c>
      <c r="N405" s="22" t="n">
        <v>202</v>
      </c>
      <c r="O405" s="22" t="n">
        <v>399</v>
      </c>
      <c r="P405" s="22" t="n">
        <v>123</v>
      </c>
      <c r="Q405" s="22" t="n">
        <v>440</v>
      </c>
      <c r="R405" s="22" t="n">
        <v>330</v>
      </c>
      <c r="S405" s="22" t="n">
        <v>145</v>
      </c>
      <c r="T405" s="22" t="n">
        <v>179</v>
      </c>
      <c r="U405" s="22" t="n">
        <v>90</v>
      </c>
      <c r="V405" s="22" t="n">
        <v>33</v>
      </c>
      <c r="W405" s="22" t="n">
        <v>240</v>
      </c>
      <c r="X405" s="22" t="n">
        <v>152</v>
      </c>
      <c r="Y405" s="22" t="n">
        <v>0</v>
      </c>
      <c r="Z405" s="22" t="n">
        <v>521</v>
      </c>
      <c r="AA405" s="22" t="n">
        <v>20</v>
      </c>
      <c r="AB405" s="22" t="n">
        <v>88</v>
      </c>
      <c r="AC405" s="22" t="n">
        <v>283</v>
      </c>
      <c r="AD405" s="22"/>
      <c r="AE405" s="22"/>
      <c r="AF405" s="22"/>
    </row>
    <row r="406" customFormat="false" ht="15" hidden="false" customHeight="false" outlineLevel="0" collapsed="false">
      <c r="A406" s="22" t="s">
        <v>215</v>
      </c>
      <c r="B406" s="22" t="s">
        <v>3</v>
      </c>
      <c r="C406" s="22" t="s">
        <v>215</v>
      </c>
      <c r="D406" s="22" t="n">
        <v>45104</v>
      </c>
      <c r="E406" s="22" t="s">
        <v>136</v>
      </c>
      <c r="F406" s="22" t="s">
        <v>681</v>
      </c>
      <c r="G406" s="22" t="s">
        <v>131</v>
      </c>
      <c r="H406" s="22" t="s">
        <v>131</v>
      </c>
      <c r="I406" s="22" t="n">
        <v>1765</v>
      </c>
      <c r="J406" s="22" t="n">
        <v>2054</v>
      </c>
      <c r="K406" s="22" t="n">
        <v>2101</v>
      </c>
      <c r="L406" s="22" t="n">
        <v>2112</v>
      </c>
      <c r="M406" s="22" t="n">
        <v>2022</v>
      </c>
      <c r="N406" s="22" t="n">
        <v>1688</v>
      </c>
      <c r="O406" s="22" t="n">
        <v>2040</v>
      </c>
      <c r="P406" s="22" t="n">
        <v>1680</v>
      </c>
      <c r="Q406" s="22" t="n">
        <v>1164</v>
      </c>
      <c r="R406" s="22" t="n">
        <v>1292</v>
      </c>
      <c r="S406" s="22" t="n">
        <v>1038</v>
      </c>
      <c r="T406" s="22" t="n">
        <v>1094</v>
      </c>
      <c r="U406" s="22" t="n">
        <v>744</v>
      </c>
      <c r="V406" s="22" t="n">
        <v>447</v>
      </c>
      <c r="W406" s="22" t="n">
        <v>542</v>
      </c>
      <c r="X406" s="22" t="n">
        <v>515</v>
      </c>
      <c r="Y406" s="22" t="n">
        <v>425</v>
      </c>
      <c r="Z406" s="22" t="n">
        <v>913</v>
      </c>
      <c r="AA406" s="22" t="n">
        <v>693</v>
      </c>
      <c r="AB406" s="22" t="n">
        <v>629</v>
      </c>
      <c r="AC406" s="22" t="n">
        <v>912</v>
      </c>
      <c r="AD406" s="22"/>
      <c r="AE406" s="22"/>
      <c r="AF406" s="22"/>
    </row>
    <row r="407" customFormat="false" ht="15" hidden="false" customHeight="false" outlineLevel="0" collapsed="false">
      <c r="A407" s="22" t="s">
        <v>70</v>
      </c>
      <c r="B407" s="22" t="s">
        <v>3</v>
      </c>
      <c r="C407" s="22" t="s">
        <v>70</v>
      </c>
      <c r="D407" s="22" t="n">
        <v>45220</v>
      </c>
      <c r="E407" s="22" t="s">
        <v>132</v>
      </c>
      <c r="F407" s="22" t="s">
        <v>133</v>
      </c>
      <c r="G407" s="22" t="s">
        <v>131</v>
      </c>
      <c r="H407" s="22" t="s">
        <v>131</v>
      </c>
      <c r="I407" s="22" t="n">
        <v>29645</v>
      </c>
      <c r="J407" s="22" t="n">
        <v>29990</v>
      </c>
      <c r="K407" s="22" t="n">
        <v>30167</v>
      </c>
      <c r="L407" s="22" t="n">
        <v>30303</v>
      </c>
      <c r="M407" s="22" t="n">
        <v>30605</v>
      </c>
      <c r="N407" s="22" t="n">
        <v>30645</v>
      </c>
      <c r="O407" s="22" t="n">
        <v>30817</v>
      </c>
      <c r="P407" s="22" t="n">
        <v>30621</v>
      </c>
      <c r="Q407" s="22" t="n">
        <v>30665</v>
      </c>
      <c r="R407" s="22" t="n">
        <v>30789</v>
      </c>
      <c r="S407" s="22" t="n">
        <v>30877</v>
      </c>
      <c r="T407" s="22" t="n">
        <v>31357</v>
      </c>
      <c r="U407" s="22" t="n">
        <v>31625</v>
      </c>
      <c r="V407" s="22" t="n">
        <v>31833</v>
      </c>
      <c r="W407" s="22" t="n">
        <v>31833</v>
      </c>
      <c r="X407" s="22" t="n">
        <v>32083</v>
      </c>
      <c r="Y407" s="22" t="n">
        <v>32083</v>
      </c>
      <c r="Z407" s="22" t="n">
        <v>32083</v>
      </c>
      <c r="AA407" s="22" t="n">
        <v>32123</v>
      </c>
      <c r="AB407" s="22" t="n">
        <v>31924</v>
      </c>
      <c r="AC407" s="22" t="n">
        <v>32032</v>
      </c>
      <c r="AD407" s="22" t="n">
        <v>32206</v>
      </c>
      <c r="AE407" s="22" t="n">
        <v>32380</v>
      </c>
      <c r="AF407" s="22" t="n">
        <v>32585</v>
      </c>
    </row>
    <row r="408" customFormat="false" ht="15" hidden="false" customHeight="false" outlineLevel="0" collapsed="false">
      <c r="A408" s="22" t="s">
        <v>70</v>
      </c>
      <c r="B408" s="22" t="s">
        <v>3</v>
      </c>
      <c r="C408" s="22" t="s">
        <v>70</v>
      </c>
      <c r="D408" s="22" t="n">
        <v>45220</v>
      </c>
      <c r="E408" s="22" t="s">
        <v>136</v>
      </c>
      <c r="F408" s="22" t="s">
        <v>680</v>
      </c>
      <c r="G408" s="22" t="s">
        <v>131</v>
      </c>
      <c r="H408" s="22" t="s">
        <v>131</v>
      </c>
      <c r="I408" s="22" t="n">
        <v>264</v>
      </c>
      <c r="J408" s="22" t="n">
        <v>358</v>
      </c>
      <c r="K408" s="22" t="n">
        <v>0</v>
      </c>
      <c r="L408" s="22" t="n">
        <v>0</v>
      </c>
      <c r="M408" s="22" t="n">
        <v>282</v>
      </c>
      <c r="N408" s="22" t="n">
        <v>0</v>
      </c>
      <c r="O408" s="22" t="n">
        <v>62</v>
      </c>
      <c r="P408" s="22" t="n">
        <v>480</v>
      </c>
      <c r="Q408" s="22" t="n">
        <v>0</v>
      </c>
      <c r="R408" s="22" t="n">
        <v>0</v>
      </c>
      <c r="S408" s="22" t="n">
        <v>0</v>
      </c>
      <c r="T408" s="22" t="n">
        <v>36</v>
      </c>
      <c r="U408" s="22" t="n">
        <v>0</v>
      </c>
      <c r="V408" s="22" t="n">
        <v>0</v>
      </c>
      <c r="W408" s="22" t="n">
        <v>0</v>
      </c>
      <c r="X408" s="22" t="n">
        <v>398</v>
      </c>
      <c r="Y408" s="22" t="n">
        <v>244</v>
      </c>
      <c r="Z408" s="22" t="n">
        <v>458</v>
      </c>
      <c r="AA408" s="22" t="n">
        <v>0</v>
      </c>
      <c r="AB408" s="22" t="n">
        <v>288</v>
      </c>
      <c r="AC408" s="22" t="n">
        <v>0</v>
      </c>
      <c r="AD408" s="22"/>
      <c r="AE408" s="22"/>
      <c r="AF408" s="22"/>
    </row>
    <row r="409" customFormat="false" ht="15" hidden="false" customHeight="false" outlineLevel="0" collapsed="false">
      <c r="A409" s="22" t="s">
        <v>70</v>
      </c>
      <c r="B409" s="22" t="s">
        <v>3</v>
      </c>
      <c r="C409" s="22" t="s">
        <v>70</v>
      </c>
      <c r="D409" s="22" t="n">
        <v>45220</v>
      </c>
      <c r="E409" s="22" t="s">
        <v>136</v>
      </c>
      <c r="F409" s="22" t="s">
        <v>681</v>
      </c>
      <c r="G409" s="22" t="s">
        <v>131</v>
      </c>
      <c r="H409" s="22" t="s">
        <v>131</v>
      </c>
      <c r="I409" s="22" t="n">
        <v>516</v>
      </c>
      <c r="J409" s="22" t="n">
        <v>874</v>
      </c>
      <c r="K409" s="22" t="n">
        <v>622</v>
      </c>
      <c r="L409" s="22" t="n">
        <v>622</v>
      </c>
      <c r="M409" s="22" t="n">
        <v>640</v>
      </c>
      <c r="N409" s="22" t="n">
        <v>282</v>
      </c>
      <c r="O409" s="22" t="n">
        <v>344</v>
      </c>
      <c r="P409" s="22" t="n">
        <v>824</v>
      </c>
      <c r="Q409" s="22" t="n">
        <v>542</v>
      </c>
      <c r="R409" s="22" t="n">
        <v>542</v>
      </c>
      <c r="S409" s="22" t="n">
        <v>480</v>
      </c>
      <c r="T409" s="22" t="n">
        <v>36</v>
      </c>
      <c r="U409" s="22" t="n">
        <v>36</v>
      </c>
      <c r="V409" s="22" t="n">
        <v>36</v>
      </c>
      <c r="W409" s="22" t="n">
        <v>36</v>
      </c>
      <c r="X409" s="22" t="n">
        <v>398</v>
      </c>
      <c r="Y409" s="22" t="n">
        <v>642</v>
      </c>
      <c r="Z409" s="22" t="n">
        <v>1100</v>
      </c>
      <c r="AA409" s="22" t="n">
        <v>1100</v>
      </c>
      <c r="AB409" s="22" t="n">
        <v>990</v>
      </c>
      <c r="AC409" s="22" t="n">
        <v>746</v>
      </c>
      <c r="AD409" s="22"/>
      <c r="AE409" s="22"/>
      <c r="AF409" s="22"/>
    </row>
    <row r="410" customFormat="false" ht="15" hidden="false" customHeight="false" outlineLevel="0" collapsed="false">
      <c r="A410" s="22" t="s">
        <v>77</v>
      </c>
      <c r="B410" s="22" t="s">
        <v>3</v>
      </c>
      <c r="C410" s="22" t="s">
        <v>77</v>
      </c>
      <c r="D410" s="22" t="n">
        <v>45300</v>
      </c>
      <c r="E410" s="22" t="s">
        <v>132</v>
      </c>
      <c r="F410" s="22" t="s">
        <v>133</v>
      </c>
      <c r="G410" s="22" t="s">
        <v>131</v>
      </c>
      <c r="H410" s="22" t="s">
        <v>131</v>
      </c>
      <c r="I410" s="22" t="n">
        <v>262581</v>
      </c>
      <c r="J410" s="22" t="n">
        <v>264385</v>
      </c>
      <c r="K410" s="22" t="n">
        <v>265861</v>
      </c>
      <c r="L410" s="22" t="n">
        <v>266762</v>
      </c>
      <c r="M410" s="22" t="n">
        <v>269379</v>
      </c>
      <c r="N410" s="22" t="n">
        <v>271886</v>
      </c>
      <c r="O410" s="22" t="n">
        <v>273543</v>
      </c>
      <c r="P410" s="22" t="n">
        <v>274958</v>
      </c>
      <c r="Q410" s="22" t="n">
        <v>276373</v>
      </c>
      <c r="R410" s="22" t="n">
        <v>277964</v>
      </c>
      <c r="S410" s="22" t="n">
        <v>279855</v>
      </c>
      <c r="T410" s="22" t="n">
        <v>282771</v>
      </c>
      <c r="U410" s="22" t="n">
        <v>285900</v>
      </c>
      <c r="V410" s="22" t="n">
        <v>289564</v>
      </c>
      <c r="W410" s="22" t="n">
        <v>292998</v>
      </c>
      <c r="X410" s="22" t="n">
        <v>295356</v>
      </c>
      <c r="Y410" s="22" t="n">
        <v>297194</v>
      </c>
      <c r="Z410" s="22" t="n">
        <v>299124</v>
      </c>
      <c r="AA410" s="22" t="n">
        <v>301287</v>
      </c>
      <c r="AB410" s="22" t="n">
        <v>302612</v>
      </c>
      <c r="AC410" s="22" t="n">
        <v>304438</v>
      </c>
      <c r="AD410" s="22" t="n">
        <v>305828</v>
      </c>
      <c r="AE410" s="22" t="n">
        <v>307317</v>
      </c>
      <c r="AF410" s="22" t="n">
        <v>308266</v>
      </c>
    </row>
    <row r="411" customFormat="false" ht="15" hidden="false" customHeight="false" outlineLevel="0" collapsed="false">
      <c r="A411" s="22" t="s">
        <v>77</v>
      </c>
      <c r="B411" s="22" t="s">
        <v>3</v>
      </c>
      <c r="C411" s="22" t="s">
        <v>77</v>
      </c>
      <c r="D411" s="22" t="n">
        <v>45300</v>
      </c>
      <c r="E411" s="22" t="s">
        <v>136</v>
      </c>
      <c r="F411" s="22" t="s">
        <v>680</v>
      </c>
      <c r="G411" s="22" t="s">
        <v>131</v>
      </c>
      <c r="H411" s="22" t="s">
        <v>131</v>
      </c>
      <c r="I411" s="22" t="n">
        <v>1461</v>
      </c>
      <c r="J411" s="22" t="n">
        <v>2798</v>
      </c>
      <c r="K411" s="22" t="n">
        <v>1996</v>
      </c>
      <c r="L411" s="22" t="n">
        <v>2846</v>
      </c>
      <c r="M411" s="22" t="n">
        <v>2674</v>
      </c>
      <c r="N411" s="22" t="n">
        <v>3284</v>
      </c>
      <c r="O411" s="22" t="n">
        <v>3153</v>
      </c>
      <c r="P411" s="22" t="n">
        <v>2408</v>
      </c>
      <c r="Q411" s="22" t="n">
        <v>1646</v>
      </c>
      <c r="R411" s="22" t="n">
        <v>1449</v>
      </c>
      <c r="S411" s="22" t="n">
        <v>1619</v>
      </c>
      <c r="T411" s="22" t="n">
        <v>1741</v>
      </c>
      <c r="U411" s="22" t="n">
        <v>1830</v>
      </c>
      <c r="V411" s="22" t="n">
        <v>806</v>
      </c>
      <c r="W411" s="22" t="n">
        <v>1778</v>
      </c>
      <c r="X411" s="22" t="n">
        <v>2107</v>
      </c>
      <c r="Y411" s="22" t="n">
        <v>1177</v>
      </c>
      <c r="Z411" s="22" t="n">
        <v>1315</v>
      </c>
      <c r="AA411" s="22" t="n">
        <v>1566</v>
      </c>
      <c r="AB411" s="22" t="n">
        <v>1366</v>
      </c>
      <c r="AC411" s="22" t="n">
        <v>1290</v>
      </c>
      <c r="AD411" s="22"/>
      <c r="AE411" s="22"/>
      <c r="AF411" s="22"/>
    </row>
    <row r="412" customFormat="false" ht="15" hidden="false" customHeight="false" outlineLevel="0" collapsed="false">
      <c r="A412" s="22" t="s">
        <v>77</v>
      </c>
      <c r="B412" s="22" t="s">
        <v>3</v>
      </c>
      <c r="C412" s="22" t="s">
        <v>77</v>
      </c>
      <c r="D412" s="22" t="n">
        <v>45300</v>
      </c>
      <c r="E412" s="22" t="s">
        <v>136</v>
      </c>
      <c r="F412" s="22" t="s">
        <v>681</v>
      </c>
      <c r="G412" s="22" t="s">
        <v>131</v>
      </c>
      <c r="H412" s="22" t="s">
        <v>131</v>
      </c>
      <c r="I412" s="22" t="n">
        <v>7489</v>
      </c>
      <c r="J412" s="22" t="n">
        <v>8812</v>
      </c>
      <c r="K412" s="22" t="n">
        <v>8613</v>
      </c>
      <c r="L412" s="22" t="n">
        <v>9101</v>
      </c>
      <c r="M412" s="22" t="n">
        <v>10314</v>
      </c>
      <c r="N412" s="22" t="n">
        <v>10800</v>
      </c>
      <c r="O412" s="22" t="n">
        <v>11957</v>
      </c>
      <c r="P412" s="22" t="n">
        <v>11519</v>
      </c>
      <c r="Q412" s="22" t="n">
        <v>10491</v>
      </c>
      <c r="R412" s="22" t="n">
        <v>8656</v>
      </c>
      <c r="S412" s="22" t="n">
        <v>7122</v>
      </c>
      <c r="T412" s="22" t="n">
        <v>6455</v>
      </c>
      <c r="U412" s="22" t="n">
        <v>6639</v>
      </c>
      <c r="V412" s="22" t="n">
        <v>5996</v>
      </c>
      <c r="W412" s="22" t="n">
        <v>6155</v>
      </c>
      <c r="X412" s="22" t="n">
        <v>6521</v>
      </c>
      <c r="Y412" s="22" t="n">
        <v>5868</v>
      </c>
      <c r="Z412" s="22" t="n">
        <v>6377</v>
      </c>
      <c r="AA412" s="22" t="n">
        <v>6165</v>
      </c>
      <c r="AB412" s="22" t="n">
        <v>5424</v>
      </c>
      <c r="AC412" s="22" t="n">
        <v>5537</v>
      </c>
      <c r="AD412" s="22"/>
      <c r="AE412" s="22"/>
      <c r="AF412" s="22"/>
    </row>
    <row r="413" customFormat="false" ht="15" hidden="false" customHeight="false" outlineLevel="0" collapsed="false">
      <c r="A413" s="22" t="s">
        <v>216</v>
      </c>
      <c r="B413" s="22" t="s">
        <v>3</v>
      </c>
      <c r="C413" s="22" t="s">
        <v>216</v>
      </c>
      <c r="D413" s="22" t="n">
        <v>45780</v>
      </c>
      <c r="E413" s="22" t="s">
        <v>132</v>
      </c>
      <c r="F413" s="22" t="s">
        <v>133</v>
      </c>
      <c r="G413" s="22" t="s">
        <v>131</v>
      </c>
      <c r="H413" s="22" t="s">
        <v>131</v>
      </c>
      <c r="I413" s="22" t="n">
        <v>45161</v>
      </c>
      <c r="J413" s="22" t="n">
        <v>45202</v>
      </c>
      <c r="K413" s="22" t="n">
        <v>45244</v>
      </c>
      <c r="L413" s="22" t="n">
        <v>45272</v>
      </c>
      <c r="M413" s="22" t="n">
        <v>45272</v>
      </c>
      <c r="N413" s="22" t="n">
        <v>45272</v>
      </c>
      <c r="O413" s="22" t="n">
        <v>45272</v>
      </c>
      <c r="P413" s="22" t="n">
        <v>45272</v>
      </c>
      <c r="Q413" s="22" t="n">
        <v>45272</v>
      </c>
      <c r="R413" s="22" t="n">
        <v>45418</v>
      </c>
      <c r="S413" s="22" t="n">
        <v>45524</v>
      </c>
      <c r="T413" s="22" t="n">
        <v>45524</v>
      </c>
      <c r="U413" s="22" t="n">
        <v>45580</v>
      </c>
      <c r="V413" s="22" t="n">
        <v>45599</v>
      </c>
      <c r="W413" s="22" t="n">
        <v>45599</v>
      </c>
      <c r="X413" s="22" t="n">
        <v>45710</v>
      </c>
      <c r="Y413" s="22" t="n">
        <v>45823</v>
      </c>
      <c r="Z413" s="22" t="n">
        <v>45861</v>
      </c>
      <c r="AA413" s="22" t="n">
        <v>45861</v>
      </c>
      <c r="AB413" s="22" t="n">
        <v>45861</v>
      </c>
      <c r="AC413" s="22" t="n">
        <v>45861</v>
      </c>
      <c r="AD413" s="22" t="n">
        <v>45861</v>
      </c>
      <c r="AE413" s="22" t="n">
        <v>45861</v>
      </c>
      <c r="AF413" s="22" t="n">
        <v>45861</v>
      </c>
    </row>
    <row r="414" customFormat="false" ht="15" hidden="false" customHeight="false" outlineLevel="0" collapsed="false">
      <c r="A414" s="22" t="s">
        <v>216</v>
      </c>
      <c r="B414" s="22" t="s">
        <v>3</v>
      </c>
      <c r="C414" s="22" t="s">
        <v>216</v>
      </c>
      <c r="D414" s="22" t="n">
        <v>45780</v>
      </c>
      <c r="E414" s="22" t="s">
        <v>136</v>
      </c>
      <c r="F414" s="22" t="s">
        <v>680</v>
      </c>
      <c r="G414" s="22" t="s">
        <v>131</v>
      </c>
      <c r="H414" s="22" t="s">
        <v>131</v>
      </c>
      <c r="I414" s="22" t="n">
        <v>0</v>
      </c>
      <c r="J414" s="22" t="n">
        <v>0</v>
      </c>
      <c r="K414" s="22" t="n">
        <v>0</v>
      </c>
      <c r="L414" s="22" t="n">
        <v>0</v>
      </c>
      <c r="M414" s="22" t="n">
        <v>0</v>
      </c>
      <c r="N414" s="22" t="n">
        <v>0</v>
      </c>
      <c r="O414" s="22" t="n">
        <v>0</v>
      </c>
      <c r="P414" s="22" t="n">
        <v>0</v>
      </c>
      <c r="Q414" s="22" t="n">
        <v>75</v>
      </c>
      <c r="R414" s="22" t="n">
        <v>0</v>
      </c>
      <c r="S414" s="22" t="n">
        <v>262</v>
      </c>
      <c r="T414" s="22" t="n">
        <v>0</v>
      </c>
      <c r="U414" s="22" t="n">
        <v>0</v>
      </c>
      <c r="V414" s="22" t="n">
        <v>0</v>
      </c>
      <c r="W414" s="22" t="n">
        <v>0</v>
      </c>
      <c r="X414" s="22" t="n">
        <v>0</v>
      </c>
      <c r="Y414" s="22" t="n">
        <v>0</v>
      </c>
      <c r="Z414" s="22" t="n">
        <v>400</v>
      </c>
      <c r="AA414" s="22" t="n">
        <v>0</v>
      </c>
      <c r="AB414" s="22" t="n">
        <v>0</v>
      </c>
      <c r="AC414" s="22" t="n">
        <v>0</v>
      </c>
      <c r="AD414" s="22"/>
      <c r="AE414" s="22"/>
      <c r="AF414" s="22"/>
    </row>
    <row r="415" customFormat="false" ht="15" hidden="false" customHeight="false" outlineLevel="0" collapsed="false">
      <c r="A415" s="22" t="s">
        <v>216</v>
      </c>
      <c r="B415" s="22" t="s">
        <v>3</v>
      </c>
      <c r="C415" s="22" t="s">
        <v>216</v>
      </c>
      <c r="D415" s="22" t="n">
        <v>45780</v>
      </c>
      <c r="E415" s="22" t="s">
        <v>136</v>
      </c>
      <c r="F415" s="22" t="s">
        <v>681</v>
      </c>
      <c r="G415" s="22" t="s">
        <v>131</v>
      </c>
      <c r="H415" s="22" t="s">
        <v>131</v>
      </c>
      <c r="I415" s="22" t="n">
        <v>0</v>
      </c>
      <c r="J415" s="22" t="n">
        <v>0</v>
      </c>
      <c r="K415" s="22" t="n">
        <v>0</v>
      </c>
      <c r="L415" s="22" t="n">
        <v>0</v>
      </c>
      <c r="M415" s="22" t="n">
        <v>0</v>
      </c>
      <c r="N415" s="22" t="n">
        <v>0</v>
      </c>
      <c r="O415" s="22" t="n">
        <v>0</v>
      </c>
      <c r="P415" s="22" t="n">
        <v>0</v>
      </c>
      <c r="Q415" s="22" t="n">
        <v>75</v>
      </c>
      <c r="R415" s="22" t="n">
        <v>75</v>
      </c>
      <c r="S415" s="22" t="n">
        <v>337</v>
      </c>
      <c r="T415" s="22" t="n">
        <v>337</v>
      </c>
      <c r="U415" s="22" t="n">
        <v>262</v>
      </c>
      <c r="V415" s="22" t="n">
        <v>262</v>
      </c>
      <c r="W415" s="22" t="n">
        <v>0</v>
      </c>
      <c r="X415" s="22" t="n">
        <v>0</v>
      </c>
      <c r="Y415" s="22" t="n">
        <v>0</v>
      </c>
      <c r="Z415" s="22" t="n">
        <v>400</v>
      </c>
      <c r="AA415" s="22" t="n">
        <v>400</v>
      </c>
      <c r="AB415" s="22" t="n">
        <v>400</v>
      </c>
      <c r="AC415" s="22" t="n">
        <v>400</v>
      </c>
      <c r="AD415" s="22"/>
      <c r="AE415" s="22"/>
      <c r="AF415" s="22"/>
    </row>
    <row r="416" customFormat="false" ht="15" hidden="false" customHeight="false" outlineLevel="0" collapsed="false">
      <c r="A416" s="22" t="s">
        <v>217</v>
      </c>
      <c r="B416" s="22" t="s">
        <v>3</v>
      </c>
      <c r="C416" s="22" t="s">
        <v>217</v>
      </c>
      <c r="D416" s="22" t="n">
        <v>45940</v>
      </c>
      <c r="E416" s="22" t="s">
        <v>132</v>
      </c>
      <c r="F416" s="22" t="s">
        <v>133</v>
      </c>
      <c r="G416" s="22" t="s">
        <v>131</v>
      </c>
      <c r="H416" s="22" t="s">
        <v>131</v>
      </c>
      <c r="I416" s="22" t="n">
        <v>27926</v>
      </c>
      <c r="J416" s="22" t="n">
        <v>27946</v>
      </c>
      <c r="K416" s="22" t="n">
        <v>28006</v>
      </c>
      <c r="L416" s="22" t="n">
        <v>28066</v>
      </c>
      <c r="M416" s="22" t="n">
        <v>28126</v>
      </c>
      <c r="N416" s="22" t="n">
        <v>28186</v>
      </c>
      <c r="O416" s="22" t="n">
        <v>28246</v>
      </c>
      <c r="P416" s="22" t="n">
        <v>28306</v>
      </c>
      <c r="Q416" s="22" t="n">
        <v>28417</v>
      </c>
      <c r="R416" s="22" t="n">
        <v>28583</v>
      </c>
      <c r="S416" s="22" t="n">
        <v>28751</v>
      </c>
      <c r="T416" s="22" t="n">
        <v>28971</v>
      </c>
      <c r="U416" s="22" t="n">
        <v>29301</v>
      </c>
      <c r="V416" s="22" t="n">
        <v>29496</v>
      </c>
      <c r="W416" s="22" t="n">
        <v>29623</v>
      </c>
      <c r="X416" s="22" t="n">
        <v>29953</v>
      </c>
      <c r="Y416" s="22" t="n">
        <v>30397</v>
      </c>
      <c r="Z416" s="22" t="n">
        <v>30975</v>
      </c>
      <c r="AA416" s="22" t="n">
        <v>31351</v>
      </c>
      <c r="AB416" s="22" t="n">
        <v>31818</v>
      </c>
      <c r="AC416" s="22" t="n">
        <v>31926</v>
      </c>
      <c r="AD416" s="22" t="n">
        <v>31966</v>
      </c>
      <c r="AE416" s="22" t="n">
        <v>32012</v>
      </c>
      <c r="AF416" s="22" t="n">
        <v>32158</v>
      </c>
    </row>
    <row r="417" customFormat="false" ht="15" hidden="false" customHeight="false" outlineLevel="0" collapsed="false">
      <c r="A417" s="22" t="s">
        <v>217</v>
      </c>
      <c r="B417" s="22" t="s">
        <v>3</v>
      </c>
      <c r="C417" s="22" t="s">
        <v>217</v>
      </c>
      <c r="D417" s="22" t="n">
        <v>45940</v>
      </c>
      <c r="E417" s="22" t="s">
        <v>136</v>
      </c>
      <c r="F417" s="22" t="s">
        <v>680</v>
      </c>
      <c r="G417" s="22" t="s">
        <v>131</v>
      </c>
      <c r="H417" s="22" t="s">
        <v>131</v>
      </c>
      <c r="I417" s="22" t="n">
        <v>0</v>
      </c>
      <c r="J417" s="22" t="n">
        <v>81</v>
      </c>
      <c r="K417" s="22" t="n">
        <v>0</v>
      </c>
      <c r="L417" s="22" t="n">
        <v>221</v>
      </c>
      <c r="M417" s="22" t="n">
        <v>0</v>
      </c>
      <c r="N417" s="22" t="n">
        <v>138</v>
      </c>
      <c r="O417" s="22" t="n">
        <v>1191</v>
      </c>
      <c r="P417" s="22" t="n">
        <v>125</v>
      </c>
      <c r="Q417" s="22" t="n">
        <v>0</v>
      </c>
      <c r="R417" s="22" t="n">
        <v>0</v>
      </c>
      <c r="S417" s="22" t="n">
        <v>200</v>
      </c>
      <c r="T417" s="22" t="n">
        <v>270</v>
      </c>
      <c r="U417" s="22" t="n">
        <v>30</v>
      </c>
      <c r="V417" s="22" t="n">
        <v>45</v>
      </c>
      <c r="W417" s="22" t="n">
        <v>120</v>
      </c>
      <c r="X417" s="22" t="n">
        <v>0</v>
      </c>
      <c r="Y417" s="22" t="n">
        <v>618</v>
      </c>
      <c r="Z417" s="22" t="n">
        <v>24</v>
      </c>
      <c r="AA417" s="22" t="n">
        <v>44</v>
      </c>
      <c r="AB417" s="22" t="n">
        <v>0</v>
      </c>
      <c r="AC417" s="22" t="n">
        <v>0</v>
      </c>
      <c r="AD417" s="22"/>
      <c r="AE417" s="22"/>
      <c r="AF417" s="22"/>
    </row>
    <row r="418" customFormat="false" ht="15" hidden="false" customHeight="false" outlineLevel="0" collapsed="false">
      <c r="A418" s="22" t="s">
        <v>217</v>
      </c>
      <c r="B418" s="22" t="s">
        <v>3</v>
      </c>
      <c r="C418" s="22" t="s">
        <v>217</v>
      </c>
      <c r="D418" s="22" t="n">
        <v>45940</v>
      </c>
      <c r="E418" s="22" t="s">
        <v>136</v>
      </c>
      <c r="F418" s="22" t="s">
        <v>681</v>
      </c>
      <c r="G418" s="22" t="s">
        <v>131</v>
      </c>
      <c r="H418" s="22" t="s">
        <v>131</v>
      </c>
      <c r="I418" s="22" t="n">
        <v>0</v>
      </c>
      <c r="J418" s="22" t="n">
        <v>81</v>
      </c>
      <c r="K418" s="22" t="n">
        <v>81</v>
      </c>
      <c r="L418" s="22" t="n">
        <v>302</v>
      </c>
      <c r="M418" s="22" t="n">
        <v>302</v>
      </c>
      <c r="N418" s="22" t="n">
        <v>359</v>
      </c>
      <c r="O418" s="22" t="n">
        <v>1550</v>
      </c>
      <c r="P418" s="22" t="n">
        <v>1454</v>
      </c>
      <c r="Q418" s="22" t="n">
        <v>1454</v>
      </c>
      <c r="R418" s="22" t="n">
        <v>1316</v>
      </c>
      <c r="S418" s="22" t="n">
        <v>325</v>
      </c>
      <c r="T418" s="22" t="n">
        <v>470</v>
      </c>
      <c r="U418" s="22" t="n">
        <v>500</v>
      </c>
      <c r="V418" s="22" t="n">
        <v>545</v>
      </c>
      <c r="W418" s="22" t="n">
        <v>465</v>
      </c>
      <c r="X418" s="22" t="n">
        <v>195</v>
      </c>
      <c r="Y418" s="22" t="n">
        <v>783</v>
      </c>
      <c r="Z418" s="22" t="n">
        <v>762</v>
      </c>
      <c r="AA418" s="22" t="n">
        <v>686</v>
      </c>
      <c r="AB418" s="22" t="n">
        <v>686</v>
      </c>
      <c r="AC418" s="22" t="n">
        <v>68</v>
      </c>
      <c r="AD418" s="22"/>
      <c r="AE418" s="22"/>
      <c r="AF418" s="22"/>
    </row>
    <row r="419" customFormat="false" ht="15" hidden="false" customHeight="false" outlineLevel="0" collapsed="false">
      <c r="A419" s="22" t="s">
        <v>55</v>
      </c>
      <c r="B419" s="22" t="s">
        <v>3</v>
      </c>
      <c r="C419" s="22" t="s">
        <v>55</v>
      </c>
      <c r="D419" s="22" t="n">
        <v>46060</v>
      </c>
      <c r="E419" s="22" t="s">
        <v>132</v>
      </c>
      <c r="F419" s="22" t="s">
        <v>133</v>
      </c>
      <c r="G419" s="22" t="s">
        <v>131</v>
      </c>
      <c r="H419" s="22" t="s">
        <v>131</v>
      </c>
      <c r="I419" s="22" t="n">
        <v>81447</v>
      </c>
      <c r="J419" s="22" t="n">
        <v>81817</v>
      </c>
      <c r="K419" s="22" t="n">
        <v>82324</v>
      </c>
      <c r="L419" s="22" t="n">
        <v>82821</v>
      </c>
      <c r="M419" s="22" t="n">
        <v>83220</v>
      </c>
      <c r="N419" s="22" t="n">
        <v>83536</v>
      </c>
      <c r="O419" s="22" t="n">
        <v>83600</v>
      </c>
      <c r="P419" s="22" t="n">
        <v>83600</v>
      </c>
      <c r="Q419" s="22" t="n">
        <v>83660</v>
      </c>
      <c r="R419" s="22" t="n">
        <v>83839</v>
      </c>
      <c r="S419" s="22" t="n">
        <v>84463</v>
      </c>
      <c r="T419" s="22" t="n">
        <v>84918</v>
      </c>
      <c r="U419" s="22" t="n">
        <v>85354</v>
      </c>
      <c r="V419" s="22" t="n">
        <v>86025</v>
      </c>
      <c r="W419" s="22" t="n">
        <v>86880</v>
      </c>
      <c r="X419" s="22" t="n">
        <v>87335</v>
      </c>
      <c r="Y419" s="22" t="n">
        <v>87621</v>
      </c>
      <c r="Z419" s="22" t="n">
        <v>87870</v>
      </c>
      <c r="AA419" s="22" t="n">
        <v>88105</v>
      </c>
      <c r="AB419" s="22" t="n">
        <v>88219</v>
      </c>
      <c r="AC419" s="22" t="n">
        <v>88347</v>
      </c>
      <c r="AD419" s="22" t="n">
        <v>88604</v>
      </c>
      <c r="AE419" s="22" t="n">
        <v>88756</v>
      </c>
      <c r="AF419" s="22" t="n">
        <v>88879</v>
      </c>
    </row>
    <row r="420" customFormat="false" ht="15" hidden="false" customHeight="false" outlineLevel="0" collapsed="false">
      <c r="A420" s="22" t="s">
        <v>55</v>
      </c>
      <c r="B420" s="22" t="s">
        <v>3</v>
      </c>
      <c r="C420" s="22" t="s">
        <v>55</v>
      </c>
      <c r="D420" s="22" t="n">
        <v>46060</v>
      </c>
      <c r="E420" s="22" t="s">
        <v>136</v>
      </c>
      <c r="F420" s="22" t="s">
        <v>680</v>
      </c>
      <c r="G420" s="22" t="s">
        <v>131</v>
      </c>
      <c r="H420" s="22" t="s">
        <v>131</v>
      </c>
      <c r="I420" s="22" t="n">
        <v>0</v>
      </c>
      <c r="J420" s="22" t="n">
        <v>0</v>
      </c>
      <c r="K420" s="22" t="n">
        <v>497</v>
      </c>
      <c r="L420" s="22" t="n">
        <v>1275</v>
      </c>
      <c r="M420" s="22" t="n">
        <v>128</v>
      </c>
      <c r="N420" s="22" t="n">
        <v>223</v>
      </c>
      <c r="O420" s="22" t="n">
        <v>210</v>
      </c>
      <c r="P420" s="22" t="n">
        <v>1350</v>
      </c>
      <c r="Q420" s="22" t="n">
        <v>344</v>
      </c>
      <c r="R420" s="22" t="n">
        <v>477</v>
      </c>
      <c r="S420" s="22" t="n">
        <v>0</v>
      </c>
      <c r="T420" s="22" t="n">
        <v>0</v>
      </c>
      <c r="U420" s="22" t="n">
        <v>304</v>
      </c>
      <c r="V420" s="22" t="n">
        <v>0</v>
      </c>
      <c r="W420" s="22" t="n">
        <v>0</v>
      </c>
      <c r="X420" s="22" t="n">
        <v>48</v>
      </c>
      <c r="Y420" s="22" t="n">
        <v>312</v>
      </c>
      <c r="Z420" s="22" t="n">
        <v>0</v>
      </c>
      <c r="AA420" s="22" t="n">
        <v>446</v>
      </c>
      <c r="AB420" s="22" t="n">
        <v>0</v>
      </c>
      <c r="AC420" s="22" t="n">
        <v>0</v>
      </c>
      <c r="AD420" s="22"/>
      <c r="AE420" s="22"/>
      <c r="AF420" s="22"/>
    </row>
    <row r="421" customFormat="false" ht="15" hidden="false" customHeight="false" outlineLevel="0" collapsed="false">
      <c r="A421" s="22" t="s">
        <v>55</v>
      </c>
      <c r="B421" s="22" t="s">
        <v>3</v>
      </c>
      <c r="C421" s="22" t="s">
        <v>55</v>
      </c>
      <c r="D421" s="22" t="n">
        <v>46060</v>
      </c>
      <c r="E421" s="22" t="s">
        <v>136</v>
      </c>
      <c r="F421" s="22" t="s">
        <v>681</v>
      </c>
      <c r="G421" s="22" t="s">
        <v>131</v>
      </c>
      <c r="H421" s="22" t="s">
        <v>131</v>
      </c>
      <c r="I421" s="22" t="n">
        <v>666</v>
      </c>
      <c r="J421" s="22" t="n">
        <v>612</v>
      </c>
      <c r="K421" s="22" t="n">
        <v>797</v>
      </c>
      <c r="L421" s="22" t="n">
        <v>1772</v>
      </c>
      <c r="M421" s="22" t="n">
        <v>1900</v>
      </c>
      <c r="N421" s="22" t="n">
        <v>2123</v>
      </c>
      <c r="O421" s="22" t="n">
        <v>1836</v>
      </c>
      <c r="P421" s="22" t="n">
        <v>1911</v>
      </c>
      <c r="Q421" s="22" t="n">
        <v>2127</v>
      </c>
      <c r="R421" s="22" t="n">
        <v>2381</v>
      </c>
      <c r="S421" s="22" t="n">
        <v>2171</v>
      </c>
      <c r="T421" s="22" t="n">
        <v>821</v>
      </c>
      <c r="U421" s="22" t="n">
        <v>781</v>
      </c>
      <c r="V421" s="22" t="n">
        <v>304</v>
      </c>
      <c r="W421" s="22" t="n">
        <v>304</v>
      </c>
      <c r="X421" s="22" t="n">
        <v>352</v>
      </c>
      <c r="Y421" s="22" t="n">
        <v>360</v>
      </c>
      <c r="Z421" s="22" t="n">
        <v>360</v>
      </c>
      <c r="AA421" s="22" t="n">
        <v>806</v>
      </c>
      <c r="AB421" s="22" t="n">
        <v>758</v>
      </c>
      <c r="AC421" s="22" t="n">
        <v>446</v>
      </c>
      <c r="AD421" s="22"/>
      <c r="AE421" s="22"/>
      <c r="AF421" s="22"/>
    </row>
    <row r="422" customFormat="false" ht="15" hidden="false" customHeight="false" outlineLevel="0" collapsed="false">
      <c r="A422" s="22" t="s">
        <v>74</v>
      </c>
      <c r="B422" s="22" t="s">
        <v>3</v>
      </c>
      <c r="C422" s="22" t="s">
        <v>74</v>
      </c>
      <c r="D422" s="22" t="n">
        <v>46140</v>
      </c>
      <c r="E422" s="22" t="s">
        <v>132</v>
      </c>
      <c r="F422" s="22" t="s">
        <v>133</v>
      </c>
      <c r="G422" s="22" t="s">
        <v>131</v>
      </c>
      <c r="H422" s="22" t="s">
        <v>131</v>
      </c>
      <c r="I422" s="22" t="n">
        <v>70119</v>
      </c>
      <c r="J422" s="22" t="n">
        <v>70119</v>
      </c>
      <c r="K422" s="22" t="n">
        <v>69937</v>
      </c>
      <c r="L422" s="22" t="n">
        <v>70056</v>
      </c>
      <c r="M422" s="22" t="n">
        <v>70331</v>
      </c>
      <c r="N422" s="22" t="n">
        <v>70540</v>
      </c>
      <c r="O422" s="22" t="n">
        <v>70625</v>
      </c>
      <c r="P422" s="22" t="n">
        <v>70733</v>
      </c>
      <c r="Q422" s="22" t="n">
        <v>70782</v>
      </c>
      <c r="R422" s="22" t="n">
        <v>70881</v>
      </c>
      <c r="S422" s="22" t="n">
        <v>71036</v>
      </c>
      <c r="T422" s="22" t="n">
        <v>71341</v>
      </c>
      <c r="U422" s="22" t="n">
        <v>71645</v>
      </c>
      <c r="V422" s="22" t="n">
        <v>72103</v>
      </c>
      <c r="W422" s="22" t="n">
        <v>72569</v>
      </c>
      <c r="X422" s="22" t="n">
        <v>72896</v>
      </c>
      <c r="Y422" s="22" t="n">
        <v>73256</v>
      </c>
      <c r="Z422" s="22" t="n">
        <v>73645</v>
      </c>
      <c r="AA422" s="22" t="n">
        <v>73918</v>
      </c>
      <c r="AB422" s="22" t="n">
        <v>74236</v>
      </c>
      <c r="AC422" s="22" t="n">
        <v>74316</v>
      </c>
      <c r="AD422" s="22" t="n">
        <v>74316</v>
      </c>
      <c r="AE422" s="22" t="n">
        <v>74316</v>
      </c>
      <c r="AF422" s="22" t="n">
        <v>74316</v>
      </c>
    </row>
    <row r="423" customFormat="false" ht="15" hidden="false" customHeight="false" outlineLevel="0" collapsed="false">
      <c r="A423" s="22" t="s">
        <v>74</v>
      </c>
      <c r="B423" s="22" t="s">
        <v>3</v>
      </c>
      <c r="C423" s="22" t="s">
        <v>74</v>
      </c>
      <c r="D423" s="22" t="n">
        <v>46140</v>
      </c>
      <c r="E423" s="22" t="s">
        <v>136</v>
      </c>
      <c r="F423" s="22" t="s">
        <v>680</v>
      </c>
      <c r="G423" s="22" t="s">
        <v>131</v>
      </c>
      <c r="H423" s="22" t="s">
        <v>131</v>
      </c>
      <c r="I423" s="22" t="n">
        <v>0</v>
      </c>
      <c r="J423" s="22" t="n">
        <v>322</v>
      </c>
      <c r="K423" s="22" t="n">
        <v>360</v>
      </c>
      <c r="L423" s="22" t="n">
        <v>356</v>
      </c>
      <c r="M423" s="22" t="n">
        <v>0</v>
      </c>
      <c r="N423" s="22" t="n">
        <v>268</v>
      </c>
      <c r="O423" s="22" t="n">
        <v>66</v>
      </c>
      <c r="P423" s="22" t="n">
        <v>365</v>
      </c>
      <c r="Q423" s="22" t="n">
        <v>132</v>
      </c>
      <c r="R423" s="22" t="n">
        <v>715</v>
      </c>
      <c r="S423" s="22" t="n">
        <v>868</v>
      </c>
      <c r="T423" s="22" t="n">
        <v>0</v>
      </c>
      <c r="U423" s="22" t="n">
        <v>0</v>
      </c>
      <c r="V423" s="22" t="n">
        <v>0</v>
      </c>
      <c r="W423" s="22" t="n">
        <v>0</v>
      </c>
      <c r="X423" s="22" t="n">
        <v>0</v>
      </c>
      <c r="Y423" s="22" t="n">
        <v>0</v>
      </c>
      <c r="Z423" s="22" t="n">
        <v>0</v>
      </c>
      <c r="AA423" s="22" t="n">
        <v>0</v>
      </c>
      <c r="AB423" s="22" t="n">
        <v>0</v>
      </c>
      <c r="AC423" s="22" t="n">
        <v>0</v>
      </c>
      <c r="AD423" s="22"/>
      <c r="AE423" s="22"/>
      <c r="AF423" s="22"/>
    </row>
    <row r="424" customFormat="false" ht="15" hidden="false" customHeight="false" outlineLevel="0" collapsed="false">
      <c r="A424" s="22" t="s">
        <v>74</v>
      </c>
      <c r="B424" s="22" t="s">
        <v>3</v>
      </c>
      <c r="C424" s="22" t="s">
        <v>74</v>
      </c>
      <c r="D424" s="22" t="n">
        <v>46140</v>
      </c>
      <c r="E424" s="22" t="s">
        <v>136</v>
      </c>
      <c r="F424" s="22" t="s">
        <v>681</v>
      </c>
      <c r="G424" s="22" t="s">
        <v>131</v>
      </c>
      <c r="H424" s="22" t="s">
        <v>131</v>
      </c>
      <c r="I424" s="22" t="n">
        <v>764</v>
      </c>
      <c r="J424" s="22" t="n">
        <v>822</v>
      </c>
      <c r="K424" s="22" t="n">
        <v>682</v>
      </c>
      <c r="L424" s="22" t="n">
        <v>1038</v>
      </c>
      <c r="M424" s="22" t="n">
        <v>1038</v>
      </c>
      <c r="N424" s="22" t="n">
        <v>984</v>
      </c>
      <c r="O424" s="22" t="n">
        <v>690</v>
      </c>
      <c r="P424" s="22" t="n">
        <v>699</v>
      </c>
      <c r="Q424" s="22" t="n">
        <v>831</v>
      </c>
      <c r="R424" s="22" t="n">
        <v>1278</v>
      </c>
      <c r="S424" s="22" t="n">
        <v>2080</v>
      </c>
      <c r="T424" s="22" t="n">
        <v>1715</v>
      </c>
      <c r="U424" s="22" t="n">
        <v>1583</v>
      </c>
      <c r="V424" s="22" t="n">
        <v>868</v>
      </c>
      <c r="W424" s="22" t="n">
        <v>0</v>
      </c>
      <c r="X424" s="22" t="n">
        <v>0</v>
      </c>
      <c r="Y424" s="22" t="n">
        <v>0</v>
      </c>
      <c r="Z424" s="22" t="n">
        <v>0</v>
      </c>
      <c r="AA424" s="22" t="n">
        <v>0</v>
      </c>
      <c r="AB424" s="22" t="n">
        <v>0</v>
      </c>
      <c r="AC424" s="22" t="n">
        <v>0</v>
      </c>
      <c r="AD424" s="22"/>
      <c r="AE424" s="22"/>
      <c r="AF424" s="22"/>
    </row>
    <row r="425" customFormat="false" ht="15" hidden="false" customHeight="false" outlineLevel="0" collapsed="false">
      <c r="A425" s="22" t="s">
        <v>218</v>
      </c>
      <c r="B425" s="22" t="s">
        <v>3</v>
      </c>
      <c r="C425" s="22" t="s">
        <v>218</v>
      </c>
      <c r="D425" s="22" t="n">
        <v>46520</v>
      </c>
      <c r="E425" s="22" t="s">
        <v>132</v>
      </c>
      <c r="F425" s="22" t="s">
        <v>133</v>
      </c>
      <c r="G425" s="22" t="s">
        <v>131</v>
      </c>
      <c r="H425" s="22" t="s">
        <v>131</v>
      </c>
      <c r="I425" s="22" t="n">
        <v>81870</v>
      </c>
      <c r="J425" s="22" t="n">
        <v>81993</v>
      </c>
      <c r="K425" s="22" t="n">
        <v>82091</v>
      </c>
      <c r="L425" s="22" t="n">
        <v>82139</v>
      </c>
      <c r="M425" s="22" t="n">
        <v>82588</v>
      </c>
      <c r="N425" s="22" t="n">
        <v>82637</v>
      </c>
      <c r="O425" s="22" t="n">
        <v>82688</v>
      </c>
      <c r="P425" s="22" t="n">
        <v>82688</v>
      </c>
      <c r="Q425" s="22" t="n">
        <v>82688</v>
      </c>
      <c r="R425" s="22" t="n">
        <v>82688</v>
      </c>
      <c r="S425" s="22" t="n">
        <v>82688</v>
      </c>
      <c r="T425" s="22" t="n">
        <v>82688</v>
      </c>
      <c r="U425" s="22" t="n">
        <v>82688</v>
      </c>
      <c r="V425" s="22" t="n">
        <v>82688</v>
      </c>
      <c r="W425" s="22" t="n">
        <v>82688</v>
      </c>
      <c r="X425" s="22" t="n">
        <v>82688</v>
      </c>
      <c r="Y425" s="22" t="n">
        <v>82688</v>
      </c>
      <c r="Z425" s="22" t="n">
        <v>82688</v>
      </c>
      <c r="AA425" s="22" t="n">
        <v>82688</v>
      </c>
      <c r="AB425" s="22" t="n">
        <v>82688</v>
      </c>
      <c r="AC425" s="22" t="n">
        <v>82688</v>
      </c>
      <c r="AD425" s="22" t="n">
        <v>82688</v>
      </c>
      <c r="AE425" s="22" t="n">
        <v>82688</v>
      </c>
      <c r="AF425" s="22" t="n">
        <v>82688</v>
      </c>
    </row>
    <row r="426" customFormat="false" ht="15" hidden="false" customHeight="false" outlineLevel="0" collapsed="false">
      <c r="A426" s="22" t="s">
        <v>218</v>
      </c>
      <c r="B426" s="22" t="s">
        <v>3</v>
      </c>
      <c r="C426" s="22" t="s">
        <v>218</v>
      </c>
      <c r="D426" s="22" t="n">
        <v>46520</v>
      </c>
      <c r="E426" s="22" t="s">
        <v>136</v>
      </c>
      <c r="F426" s="22" t="s">
        <v>680</v>
      </c>
      <c r="G426" s="22" t="s">
        <v>131</v>
      </c>
      <c r="H426" s="22" t="s">
        <v>131</v>
      </c>
      <c r="I426" s="22" t="n">
        <v>0</v>
      </c>
      <c r="J426" s="22" t="n">
        <v>0</v>
      </c>
      <c r="K426" s="22" t="n">
        <v>0</v>
      </c>
      <c r="L426" s="22" t="n">
        <v>0</v>
      </c>
      <c r="M426" s="22" t="n">
        <v>0</v>
      </c>
      <c r="N426" s="22" t="n">
        <v>0</v>
      </c>
      <c r="O426" s="22" t="n">
        <v>0</v>
      </c>
      <c r="P426" s="22" t="n">
        <v>0</v>
      </c>
      <c r="Q426" s="22" t="n">
        <v>0</v>
      </c>
      <c r="R426" s="22" t="n">
        <v>0</v>
      </c>
      <c r="S426" s="22" t="n">
        <v>0</v>
      </c>
      <c r="T426" s="22" t="n">
        <v>0</v>
      </c>
      <c r="U426" s="22" t="n">
        <v>0</v>
      </c>
      <c r="V426" s="22" t="n">
        <v>0</v>
      </c>
      <c r="W426" s="22" t="n">
        <v>0</v>
      </c>
      <c r="X426" s="22" t="n">
        <v>0</v>
      </c>
      <c r="Y426" s="22" t="n">
        <v>0</v>
      </c>
      <c r="Z426" s="22" t="n">
        <v>0</v>
      </c>
      <c r="AA426" s="22" t="n">
        <v>0</v>
      </c>
      <c r="AB426" s="22" t="n">
        <v>0</v>
      </c>
      <c r="AC426" s="22" t="n">
        <v>0</v>
      </c>
      <c r="AD426" s="22"/>
      <c r="AE426" s="22"/>
      <c r="AF426" s="22"/>
    </row>
    <row r="427" customFormat="false" ht="15" hidden="false" customHeight="false" outlineLevel="0" collapsed="false">
      <c r="A427" s="22" t="s">
        <v>218</v>
      </c>
      <c r="B427" s="22" t="s">
        <v>3</v>
      </c>
      <c r="C427" s="22" t="s">
        <v>218</v>
      </c>
      <c r="D427" s="22" t="n">
        <v>46520</v>
      </c>
      <c r="E427" s="22" t="s">
        <v>136</v>
      </c>
      <c r="F427" s="22" t="s">
        <v>681</v>
      </c>
      <c r="G427" s="22" t="s">
        <v>131</v>
      </c>
      <c r="H427" s="22" t="s">
        <v>131</v>
      </c>
      <c r="I427" s="22" t="n">
        <v>0</v>
      </c>
      <c r="J427" s="22" t="n">
        <v>0</v>
      </c>
      <c r="K427" s="22" t="n">
        <v>0</v>
      </c>
      <c r="L427" s="22" t="n">
        <v>0</v>
      </c>
      <c r="M427" s="22" t="n">
        <v>0</v>
      </c>
      <c r="N427" s="22" t="n">
        <v>0</v>
      </c>
      <c r="O427" s="22" t="n">
        <v>0</v>
      </c>
      <c r="P427" s="22" t="n">
        <v>0</v>
      </c>
      <c r="Q427" s="22" t="n">
        <v>0</v>
      </c>
      <c r="R427" s="22" t="n">
        <v>0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0</v>
      </c>
      <c r="X427" s="22" t="n">
        <v>0</v>
      </c>
      <c r="Y427" s="22" t="n">
        <v>0</v>
      </c>
      <c r="Z427" s="22" t="n">
        <v>0</v>
      </c>
      <c r="AA427" s="22" t="n">
        <v>0</v>
      </c>
      <c r="AB427" s="22" t="n">
        <v>0</v>
      </c>
      <c r="AC427" s="22" t="n">
        <v>0</v>
      </c>
      <c r="AD427" s="22"/>
      <c r="AE427" s="22"/>
      <c r="AF427" s="22"/>
    </row>
    <row r="428" customFormat="false" ht="15" hidden="false" customHeight="false" outlineLevel="0" collapsed="false">
      <c r="A428" s="22" t="s">
        <v>219</v>
      </c>
      <c r="B428" s="22" t="s">
        <v>3</v>
      </c>
      <c r="C428" s="22" t="s">
        <v>219</v>
      </c>
      <c r="D428" s="22" t="n">
        <v>246700</v>
      </c>
      <c r="E428" s="22" t="s">
        <v>132</v>
      </c>
      <c r="F428" s="22" t="s">
        <v>133</v>
      </c>
      <c r="G428" s="22" t="s">
        <v>131</v>
      </c>
      <c r="H428" s="22" t="s">
        <v>131</v>
      </c>
      <c r="I428" s="22" t="n">
        <v>28585</v>
      </c>
      <c r="J428" s="22" t="n">
        <v>28585</v>
      </c>
      <c r="K428" s="22" t="n">
        <v>28585</v>
      </c>
      <c r="L428" s="22" t="n">
        <v>28633</v>
      </c>
      <c r="M428" s="22" t="n">
        <v>28673</v>
      </c>
      <c r="N428" s="22" t="n">
        <v>28873</v>
      </c>
      <c r="O428" s="22" t="n">
        <v>29074</v>
      </c>
      <c r="P428" s="22" t="n">
        <v>29074</v>
      </c>
      <c r="Q428" s="22" t="n">
        <v>29074</v>
      </c>
      <c r="R428" s="22" t="n">
        <v>29233</v>
      </c>
      <c r="S428" s="22" t="n">
        <v>29377</v>
      </c>
      <c r="T428" s="22" t="n">
        <v>29548</v>
      </c>
      <c r="U428" s="22" t="n">
        <v>29620</v>
      </c>
      <c r="V428" s="22" t="n">
        <v>29670</v>
      </c>
      <c r="W428" s="22" t="n">
        <v>29670</v>
      </c>
      <c r="X428" s="22" t="n">
        <v>29913</v>
      </c>
      <c r="Y428" s="22" t="n">
        <v>29977</v>
      </c>
      <c r="Z428" s="22" t="n">
        <v>30021</v>
      </c>
      <c r="AA428" s="22" t="n">
        <v>30057</v>
      </c>
      <c r="AB428" s="22" t="n">
        <v>30057</v>
      </c>
      <c r="AC428" s="22" t="n">
        <v>30057</v>
      </c>
      <c r="AD428" s="22" t="n">
        <v>30125</v>
      </c>
      <c r="AE428" s="22" t="n">
        <v>30263</v>
      </c>
      <c r="AF428" s="22" t="n">
        <v>30263</v>
      </c>
    </row>
    <row r="429" customFormat="false" ht="15" hidden="false" customHeight="false" outlineLevel="0" collapsed="false">
      <c r="A429" s="22" t="s">
        <v>219</v>
      </c>
      <c r="B429" s="22" t="s">
        <v>3</v>
      </c>
      <c r="C429" s="22" t="s">
        <v>219</v>
      </c>
      <c r="D429" s="22" t="n">
        <v>246700</v>
      </c>
      <c r="E429" s="22" t="s">
        <v>136</v>
      </c>
      <c r="F429" s="22" t="s">
        <v>680</v>
      </c>
      <c r="G429" s="22" t="s">
        <v>131</v>
      </c>
      <c r="H429" s="22" t="s">
        <v>131</v>
      </c>
      <c r="I429" s="22" t="n">
        <v>454</v>
      </c>
      <c r="J429" s="22" t="n">
        <v>0</v>
      </c>
      <c r="K429" s="22" t="n">
        <v>0</v>
      </c>
      <c r="L429" s="22" t="n">
        <v>218</v>
      </c>
      <c r="M429" s="22" t="n">
        <v>132</v>
      </c>
      <c r="N429" s="22" t="n">
        <v>0</v>
      </c>
      <c r="O429" s="22" t="n">
        <v>180</v>
      </c>
      <c r="P429" s="22" t="n">
        <v>85</v>
      </c>
      <c r="Q429" s="22" t="n">
        <v>0</v>
      </c>
      <c r="R429" s="22" t="n">
        <v>50</v>
      </c>
      <c r="S429" s="22" t="n">
        <v>0</v>
      </c>
      <c r="T429" s="22" t="n">
        <v>0</v>
      </c>
      <c r="U429" s="22" t="n">
        <v>0</v>
      </c>
      <c r="V429" s="22" t="n">
        <v>278</v>
      </c>
      <c r="W429" s="22" t="n">
        <v>0</v>
      </c>
      <c r="X429" s="22" t="n">
        <v>0</v>
      </c>
      <c r="Y429" s="22" t="n">
        <v>0</v>
      </c>
      <c r="Z429" s="22" t="n">
        <v>0</v>
      </c>
      <c r="AA429" s="22" t="n">
        <v>0</v>
      </c>
      <c r="AB429" s="22" t="n">
        <v>0</v>
      </c>
      <c r="AC429" s="22" t="n">
        <v>0</v>
      </c>
      <c r="AD429" s="22"/>
      <c r="AE429" s="22"/>
      <c r="AF429" s="22"/>
    </row>
    <row r="430" customFormat="false" ht="15" hidden="false" customHeight="false" outlineLevel="0" collapsed="false">
      <c r="A430" s="22" t="s">
        <v>219</v>
      </c>
      <c r="B430" s="22" t="s">
        <v>3</v>
      </c>
      <c r="C430" s="22" t="s">
        <v>219</v>
      </c>
      <c r="D430" s="22" t="n">
        <v>246700</v>
      </c>
      <c r="E430" s="22" t="s">
        <v>136</v>
      </c>
      <c r="F430" s="22" t="s">
        <v>681</v>
      </c>
      <c r="G430" s="22" t="s">
        <v>131</v>
      </c>
      <c r="H430" s="22" t="s">
        <v>131</v>
      </c>
      <c r="I430" s="22" t="n">
        <v>735</v>
      </c>
      <c r="J430" s="22" t="n">
        <v>454</v>
      </c>
      <c r="K430" s="22" t="n">
        <v>454</v>
      </c>
      <c r="L430" s="22" t="n">
        <v>672</v>
      </c>
      <c r="M430" s="22" t="n">
        <v>350</v>
      </c>
      <c r="N430" s="22" t="n">
        <v>350</v>
      </c>
      <c r="O430" s="22" t="n">
        <v>530</v>
      </c>
      <c r="P430" s="22" t="n">
        <v>397</v>
      </c>
      <c r="Q430" s="22" t="n">
        <v>265</v>
      </c>
      <c r="R430" s="22" t="n">
        <v>315</v>
      </c>
      <c r="S430" s="22" t="n">
        <v>135</v>
      </c>
      <c r="T430" s="22" t="n">
        <v>50</v>
      </c>
      <c r="U430" s="22" t="n">
        <v>50</v>
      </c>
      <c r="V430" s="22" t="n">
        <v>278</v>
      </c>
      <c r="W430" s="22" t="n">
        <v>278</v>
      </c>
      <c r="X430" s="22" t="n">
        <v>278</v>
      </c>
      <c r="Y430" s="22" t="n">
        <v>278</v>
      </c>
      <c r="Z430" s="22" t="n">
        <v>0</v>
      </c>
      <c r="AA430" s="22" t="n">
        <v>0</v>
      </c>
      <c r="AB430" s="22" t="n">
        <v>0</v>
      </c>
      <c r="AC430" s="22" t="n">
        <v>0</v>
      </c>
      <c r="AD430" s="22"/>
      <c r="AE430" s="22"/>
      <c r="AF430" s="22"/>
    </row>
    <row r="431" customFormat="false" ht="15" hidden="false" customHeight="false" outlineLevel="0" collapsed="false">
      <c r="A431" s="22" t="s">
        <v>32</v>
      </c>
      <c r="B431" s="22" t="s">
        <v>3</v>
      </c>
      <c r="C431" s="22" t="s">
        <v>32</v>
      </c>
      <c r="D431" s="22" t="n">
        <v>47260</v>
      </c>
      <c r="E431" s="22" t="s">
        <v>132</v>
      </c>
      <c r="F431" s="22" t="s">
        <v>133</v>
      </c>
      <c r="G431" s="22" t="s">
        <v>131</v>
      </c>
      <c r="H431" s="22" t="s">
        <v>131</v>
      </c>
      <c r="I431" s="22" t="n">
        <v>140782</v>
      </c>
      <c r="J431" s="22" t="n">
        <v>141288</v>
      </c>
      <c r="K431" s="22" t="n">
        <v>141602</v>
      </c>
      <c r="L431" s="22" t="n">
        <v>141794</v>
      </c>
      <c r="M431" s="22" t="n">
        <v>141968</v>
      </c>
      <c r="N431" s="22" t="n">
        <v>142140</v>
      </c>
      <c r="O431" s="22" t="n">
        <v>142343</v>
      </c>
      <c r="P431" s="22" t="n">
        <v>142546</v>
      </c>
      <c r="Q431" s="22" t="n">
        <v>142720</v>
      </c>
      <c r="R431" s="22" t="n">
        <v>143246</v>
      </c>
      <c r="S431" s="22" t="n">
        <v>143502</v>
      </c>
      <c r="T431" s="22" t="n">
        <v>143869</v>
      </c>
      <c r="U431" s="22" t="n">
        <v>144500</v>
      </c>
      <c r="V431" s="22" t="n">
        <v>145108</v>
      </c>
      <c r="W431" s="22" t="n">
        <v>145770</v>
      </c>
      <c r="X431" s="22" t="n">
        <v>146267</v>
      </c>
      <c r="Y431" s="22" t="n">
        <v>146298</v>
      </c>
      <c r="Z431" s="22" t="n">
        <v>146388</v>
      </c>
      <c r="AA431" s="22" t="n">
        <v>146888</v>
      </c>
      <c r="AB431" s="22" t="n">
        <v>147079</v>
      </c>
      <c r="AC431" s="22" t="n">
        <v>147252</v>
      </c>
      <c r="AD431" s="22" t="n">
        <v>147431</v>
      </c>
      <c r="AE431" s="22" t="n">
        <v>147580</v>
      </c>
      <c r="AF431" s="22" t="n">
        <v>147597</v>
      </c>
    </row>
    <row r="432" customFormat="false" ht="15" hidden="false" customHeight="false" outlineLevel="0" collapsed="false">
      <c r="A432" s="22" t="s">
        <v>32</v>
      </c>
      <c r="B432" s="22" t="s">
        <v>3</v>
      </c>
      <c r="C432" s="22" t="s">
        <v>32</v>
      </c>
      <c r="D432" s="22" t="n">
        <v>47260</v>
      </c>
      <c r="E432" s="22" t="s">
        <v>136</v>
      </c>
      <c r="F432" s="22" t="s">
        <v>680</v>
      </c>
      <c r="G432" s="22" t="s">
        <v>131</v>
      </c>
      <c r="H432" s="22" t="s">
        <v>131</v>
      </c>
      <c r="I432" s="22" t="n">
        <v>828</v>
      </c>
      <c r="J432" s="22" t="n">
        <v>619</v>
      </c>
      <c r="K432" s="22" t="n">
        <v>273</v>
      </c>
      <c r="L432" s="22" t="n">
        <v>382</v>
      </c>
      <c r="M432" s="22" t="n">
        <v>374</v>
      </c>
      <c r="N432" s="22" t="n">
        <v>0</v>
      </c>
      <c r="O432" s="22" t="n">
        <v>962</v>
      </c>
      <c r="P432" s="22" t="n">
        <v>519</v>
      </c>
      <c r="Q432" s="22" t="n">
        <v>0</v>
      </c>
      <c r="R432" s="22" t="n">
        <v>660</v>
      </c>
      <c r="S432" s="22" t="n">
        <v>316</v>
      </c>
      <c r="T432" s="22" t="n">
        <v>0</v>
      </c>
      <c r="U432" s="22" t="n">
        <v>387</v>
      </c>
      <c r="V432" s="22" t="n">
        <v>253</v>
      </c>
      <c r="W432" s="22" t="n">
        <v>0</v>
      </c>
      <c r="X432" s="22" t="n">
        <v>0</v>
      </c>
      <c r="Y432" s="22" t="n">
        <v>78</v>
      </c>
      <c r="Z432" s="22" t="n">
        <v>0</v>
      </c>
      <c r="AA432" s="22" t="n">
        <v>0</v>
      </c>
      <c r="AB432" s="22" t="n">
        <v>215</v>
      </c>
      <c r="AC432" s="22" t="n">
        <v>372</v>
      </c>
      <c r="AD432" s="22"/>
      <c r="AE432" s="22"/>
      <c r="AF432" s="22"/>
    </row>
    <row r="433" customFormat="false" ht="15" hidden="false" customHeight="false" outlineLevel="0" collapsed="false">
      <c r="A433" s="22" t="s">
        <v>32</v>
      </c>
      <c r="B433" s="22" t="s">
        <v>3</v>
      </c>
      <c r="C433" s="22" t="s">
        <v>32</v>
      </c>
      <c r="D433" s="22" t="n">
        <v>47260</v>
      </c>
      <c r="E433" s="22" t="s">
        <v>136</v>
      </c>
      <c r="F433" s="22" t="s">
        <v>681</v>
      </c>
      <c r="G433" s="22" t="s">
        <v>131</v>
      </c>
      <c r="H433" s="22" t="s">
        <v>131</v>
      </c>
      <c r="I433" s="22" t="n">
        <v>1454</v>
      </c>
      <c r="J433" s="22" t="n">
        <v>1773</v>
      </c>
      <c r="K433" s="22" t="n">
        <v>2046</v>
      </c>
      <c r="L433" s="22" t="n">
        <v>2102</v>
      </c>
      <c r="M433" s="22" t="n">
        <v>1648</v>
      </c>
      <c r="N433" s="22" t="n">
        <v>1029</v>
      </c>
      <c r="O433" s="22" t="n">
        <v>1718</v>
      </c>
      <c r="P433" s="22" t="n">
        <v>1855</v>
      </c>
      <c r="Q433" s="22" t="n">
        <v>1481</v>
      </c>
      <c r="R433" s="22" t="n">
        <v>2141</v>
      </c>
      <c r="S433" s="22" t="n">
        <v>1495</v>
      </c>
      <c r="T433" s="22" t="n">
        <v>976</v>
      </c>
      <c r="U433" s="22" t="n">
        <v>1363</v>
      </c>
      <c r="V433" s="22" t="n">
        <v>956</v>
      </c>
      <c r="W433" s="22" t="n">
        <v>640</v>
      </c>
      <c r="X433" s="22" t="n">
        <v>640</v>
      </c>
      <c r="Y433" s="22" t="n">
        <v>331</v>
      </c>
      <c r="Z433" s="22" t="n">
        <v>78</v>
      </c>
      <c r="AA433" s="22" t="n">
        <v>78</v>
      </c>
      <c r="AB433" s="22" t="n">
        <v>293</v>
      </c>
      <c r="AC433" s="22" t="n">
        <v>587</v>
      </c>
      <c r="AD433" s="22"/>
      <c r="AE433" s="22"/>
      <c r="AF433" s="22"/>
    </row>
    <row r="434" customFormat="false" ht="15" hidden="false" customHeight="false" outlineLevel="0" collapsed="false">
      <c r="A434" s="22" t="s">
        <v>67</v>
      </c>
      <c r="B434" s="22" t="s">
        <v>3</v>
      </c>
      <c r="C434" s="22" t="s">
        <v>67</v>
      </c>
      <c r="D434" s="22" t="n">
        <v>47900</v>
      </c>
      <c r="E434" s="22" t="s">
        <v>132</v>
      </c>
      <c r="F434" s="22" t="s">
        <v>133</v>
      </c>
      <c r="G434" s="22" t="s">
        <v>131</v>
      </c>
      <c r="H434" s="22" t="s">
        <v>131</v>
      </c>
      <c r="I434" s="22" t="n">
        <v>649139</v>
      </c>
      <c r="J434" s="22" t="n">
        <v>653953</v>
      </c>
      <c r="K434" s="22" t="n">
        <v>656580</v>
      </c>
      <c r="L434" s="22" t="n">
        <v>658527</v>
      </c>
      <c r="M434" s="22" t="n">
        <v>661078</v>
      </c>
      <c r="N434" s="22" t="n">
        <v>663911</v>
      </c>
      <c r="O434" s="22" t="n">
        <v>667383</v>
      </c>
      <c r="P434" s="22" t="n">
        <v>670798</v>
      </c>
      <c r="Q434" s="22" t="n">
        <v>673680</v>
      </c>
      <c r="R434" s="22" t="n">
        <v>677840</v>
      </c>
      <c r="S434" s="22" t="n">
        <v>680754</v>
      </c>
      <c r="T434" s="22" t="n">
        <v>683071</v>
      </c>
      <c r="U434" s="22" t="n">
        <v>686662</v>
      </c>
      <c r="V434" s="22" t="n">
        <v>690369</v>
      </c>
      <c r="W434" s="22" t="n">
        <v>694525</v>
      </c>
      <c r="X434" s="22" t="n">
        <v>698499</v>
      </c>
      <c r="Y434" s="22" t="n">
        <v>701212</v>
      </c>
      <c r="Z434" s="22" t="n">
        <v>702702</v>
      </c>
      <c r="AA434" s="22" t="n">
        <v>704435</v>
      </c>
      <c r="AB434" s="22" t="n">
        <v>706348</v>
      </c>
      <c r="AC434" s="22" t="n">
        <v>707981</v>
      </c>
      <c r="AD434" s="22" t="n">
        <v>709057</v>
      </c>
      <c r="AE434" s="22" t="n">
        <v>710040</v>
      </c>
      <c r="AF434" s="22" t="n">
        <v>710925</v>
      </c>
    </row>
    <row r="435" customFormat="false" ht="15" hidden="false" customHeight="false" outlineLevel="0" collapsed="false">
      <c r="A435" s="22" t="s">
        <v>67</v>
      </c>
      <c r="B435" s="22" t="s">
        <v>3</v>
      </c>
      <c r="C435" s="22" t="s">
        <v>67</v>
      </c>
      <c r="D435" s="22" t="n">
        <v>47900</v>
      </c>
      <c r="E435" s="22" t="s">
        <v>136</v>
      </c>
      <c r="F435" s="22" t="s">
        <v>680</v>
      </c>
      <c r="G435" s="22" t="s">
        <v>131</v>
      </c>
      <c r="H435" s="22" t="s">
        <v>131</v>
      </c>
      <c r="I435" s="22" t="n">
        <v>4300</v>
      </c>
      <c r="J435" s="22" t="n">
        <v>2199</v>
      </c>
      <c r="K435" s="22" t="n">
        <v>3278</v>
      </c>
      <c r="L435" s="22" t="n">
        <v>2452</v>
      </c>
      <c r="M435" s="22" t="n">
        <v>7060</v>
      </c>
      <c r="N435" s="22" t="n">
        <v>4044</v>
      </c>
      <c r="O435" s="22" t="n">
        <v>1449</v>
      </c>
      <c r="P435" s="22" t="n">
        <v>1610</v>
      </c>
      <c r="Q435" s="22" t="n">
        <v>1145</v>
      </c>
      <c r="R435" s="22" t="n">
        <v>2643</v>
      </c>
      <c r="S435" s="22" t="n">
        <v>1868</v>
      </c>
      <c r="T435" s="22" t="n">
        <v>2252</v>
      </c>
      <c r="U435" s="22" t="n">
        <v>340</v>
      </c>
      <c r="V435" s="22" t="n">
        <v>0</v>
      </c>
      <c r="W435" s="22" t="n">
        <v>1059</v>
      </c>
      <c r="X435" s="22" t="n">
        <v>1833</v>
      </c>
      <c r="Y435" s="22" t="n">
        <v>1706</v>
      </c>
      <c r="Z435" s="22" t="n">
        <v>1973</v>
      </c>
      <c r="AA435" s="22" t="n">
        <v>1071</v>
      </c>
      <c r="AB435" s="22" t="n">
        <v>2154</v>
      </c>
      <c r="AC435" s="22" t="n">
        <v>2219</v>
      </c>
      <c r="AD435" s="22"/>
      <c r="AE435" s="22"/>
      <c r="AF435" s="22"/>
    </row>
    <row r="436" customFormat="false" ht="15" hidden="false" customHeight="false" outlineLevel="0" collapsed="false">
      <c r="A436" s="22" t="s">
        <v>67</v>
      </c>
      <c r="B436" s="22" t="s">
        <v>3</v>
      </c>
      <c r="C436" s="22" t="s">
        <v>67</v>
      </c>
      <c r="D436" s="22" t="n">
        <v>47900</v>
      </c>
      <c r="E436" s="22" t="s">
        <v>136</v>
      </c>
      <c r="F436" s="22" t="s">
        <v>681</v>
      </c>
      <c r="G436" s="22" t="s">
        <v>131</v>
      </c>
      <c r="H436" s="22" t="s">
        <v>131</v>
      </c>
      <c r="I436" s="22" t="n">
        <v>12147</v>
      </c>
      <c r="J436" s="22" t="n">
        <v>11878</v>
      </c>
      <c r="K436" s="22" t="n">
        <v>11612</v>
      </c>
      <c r="L436" s="22" t="n">
        <v>12229</v>
      </c>
      <c r="M436" s="22" t="n">
        <v>14989</v>
      </c>
      <c r="N436" s="22" t="n">
        <v>16834</v>
      </c>
      <c r="O436" s="22" t="n">
        <v>15005</v>
      </c>
      <c r="P436" s="22" t="n">
        <v>14163</v>
      </c>
      <c r="Q436" s="22" t="n">
        <v>8248</v>
      </c>
      <c r="R436" s="22" t="n">
        <v>6847</v>
      </c>
      <c r="S436" s="22" t="n">
        <v>7266</v>
      </c>
      <c r="T436" s="22" t="n">
        <v>7908</v>
      </c>
      <c r="U436" s="22" t="n">
        <v>7103</v>
      </c>
      <c r="V436" s="22" t="n">
        <v>4460</v>
      </c>
      <c r="W436" s="22" t="n">
        <v>3651</v>
      </c>
      <c r="X436" s="22" t="n">
        <v>3232</v>
      </c>
      <c r="Y436" s="22" t="n">
        <v>4598</v>
      </c>
      <c r="Z436" s="22" t="n">
        <v>6571</v>
      </c>
      <c r="AA436" s="22" t="n">
        <v>6583</v>
      </c>
      <c r="AB436" s="22" t="n">
        <v>6904</v>
      </c>
      <c r="AC436" s="22" t="n">
        <v>7417</v>
      </c>
      <c r="AD436" s="22"/>
      <c r="AE436" s="22"/>
      <c r="AF436" s="22"/>
    </row>
    <row r="437" customFormat="false" ht="15" hidden="false" customHeight="false" outlineLevel="0" collapsed="false">
      <c r="A437" s="22" t="s">
        <v>43</v>
      </c>
      <c r="B437" s="22" t="s">
        <v>3</v>
      </c>
      <c r="C437" s="22" t="s">
        <v>43</v>
      </c>
      <c r="D437" s="22" t="n">
        <v>48424</v>
      </c>
      <c r="E437" s="22" t="s">
        <v>132</v>
      </c>
      <c r="F437" s="22" t="s">
        <v>133</v>
      </c>
      <c r="G437" s="22" t="s">
        <v>131</v>
      </c>
      <c r="H437" s="22" t="s">
        <v>131</v>
      </c>
      <c r="I437" s="22" t="n">
        <v>120779</v>
      </c>
      <c r="J437" s="22" t="n">
        <v>121207</v>
      </c>
      <c r="K437" s="22" t="n">
        <v>121869</v>
      </c>
      <c r="L437" s="22" t="n">
        <v>122379</v>
      </c>
      <c r="M437" s="22" t="n">
        <v>123005</v>
      </c>
      <c r="N437" s="22" t="n">
        <v>123691</v>
      </c>
      <c r="O437" s="22" t="n">
        <v>124040</v>
      </c>
      <c r="P437" s="22" t="n">
        <v>124530</v>
      </c>
      <c r="Q437" s="22" t="n">
        <v>125531</v>
      </c>
      <c r="R437" s="22" t="n">
        <v>126113</v>
      </c>
      <c r="S437" s="22" t="n">
        <v>126665</v>
      </c>
      <c r="T437" s="22" t="n">
        <v>127521</v>
      </c>
      <c r="U437" s="22" t="n">
        <v>128834</v>
      </c>
      <c r="V437" s="22" t="n">
        <v>129482</v>
      </c>
      <c r="W437" s="22" t="n">
        <v>130646</v>
      </c>
      <c r="X437" s="22" t="n">
        <v>130971</v>
      </c>
      <c r="Y437" s="22" t="n">
        <v>131265</v>
      </c>
      <c r="Z437" s="22" t="n">
        <v>131620</v>
      </c>
      <c r="AA437" s="22" t="n">
        <v>131932</v>
      </c>
      <c r="AB437" s="22" t="n">
        <v>132217</v>
      </c>
      <c r="AC437" s="22" t="n">
        <v>132415</v>
      </c>
      <c r="AD437" s="22" t="n">
        <v>133228</v>
      </c>
      <c r="AE437" s="22" t="n">
        <v>134473</v>
      </c>
      <c r="AF437" s="22" t="n">
        <v>134948</v>
      </c>
    </row>
    <row r="438" customFormat="false" ht="15" hidden="false" customHeight="false" outlineLevel="0" collapsed="false">
      <c r="A438" s="22" t="s">
        <v>43</v>
      </c>
      <c r="B438" s="22" t="s">
        <v>3</v>
      </c>
      <c r="C438" s="22" t="s">
        <v>43</v>
      </c>
      <c r="D438" s="22" t="n">
        <v>48424</v>
      </c>
      <c r="E438" s="22" t="s">
        <v>136</v>
      </c>
      <c r="F438" s="22" t="s">
        <v>680</v>
      </c>
      <c r="G438" s="22" t="s">
        <v>131</v>
      </c>
      <c r="H438" s="22" t="s">
        <v>131</v>
      </c>
      <c r="I438" s="22" t="n">
        <v>519</v>
      </c>
      <c r="J438" s="22" t="n">
        <v>597</v>
      </c>
      <c r="K438" s="22" t="n">
        <v>1754</v>
      </c>
      <c r="L438" s="22" t="n">
        <v>1566</v>
      </c>
      <c r="M438" s="22" t="n">
        <v>647</v>
      </c>
      <c r="N438" s="22" t="n">
        <v>1148</v>
      </c>
      <c r="O438" s="22" t="n">
        <v>0</v>
      </c>
      <c r="P438" s="22" t="n">
        <v>401</v>
      </c>
      <c r="Q438" s="22" t="n">
        <v>0</v>
      </c>
      <c r="R438" s="22" t="n">
        <v>200</v>
      </c>
      <c r="S438" s="22" t="n">
        <v>125</v>
      </c>
      <c r="T438" s="22" t="n">
        <v>790</v>
      </c>
      <c r="U438" s="22" t="n">
        <v>187</v>
      </c>
      <c r="V438" s="22" t="n">
        <v>270</v>
      </c>
      <c r="W438" s="22" t="n">
        <v>679</v>
      </c>
      <c r="X438" s="22" t="n">
        <v>522</v>
      </c>
      <c r="Y438" s="22" t="n">
        <v>866</v>
      </c>
      <c r="Z438" s="22" t="n">
        <v>510</v>
      </c>
      <c r="AA438" s="22" t="n">
        <v>629</v>
      </c>
      <c r="AB438" s="22" t="n">
        <v>646</v>
      </c>
      <c r="AC438" s="22" t="n">
        <v>1157</v>
      </c>
      <c r="AD438" s="22"/>
      <c r="AE438" s="22"/>
      <c r="AF438" s="22"/>
    </row>
    <row r="439" customFormat="false" ht="15" hidden="false" customHeight="false" outlineLevel="0" collapsed="false">
      <c r="A439" s="22" t="s">
        <v>43</v>
      </c>
      <c r="B439" s="22" t="s">
        <v>3</v>
      </c>
      <c r="C439" s="22" t="s">
        <v>43</v>
      </c>
      <c r="D439" s="22" t="n">
        <v>48424</v>
      </c>
      <c r="E439" s="22" t="s">
        <v>136</v>
      </c>
      <c r="F439" s="22" t="s">
        <v>681</v>
      </c>
      <c r="G439" s="22" t="s">
        <v>131</v>
      </c>
      <c r="H439" s="22" t="s">
        <v>131</v>
      </c>
      <c r="I439" s="22" t="n">
        <v>2731</v>
      </c>
      <c r="J439" s="22" t="n">
        <v>2958</v>
      </c>
      <c r="K439" s="22" t="n">
        <v>4364</v>
      </c>
      <c r="L439" s="22" t="n">
        <v>4436</v>
      </c>
      <c r="M439" s="22" t="n">
        <v>4564</v>
      </c>
      <c r="N439" s="22" t="n">
        <v>5115</v>
      </c>
      <c r="O439" s="22" t="n">
        <v>3361</v>
      </c>
      <c r="P439" s="22" t="n">
        <v>2196</v>
      </c>
      <c r="Q439" s="22" t="n">
        <v>1549</v>
      </c>
      <c r="R439" s="22" t="n">
        <v>601</v>
      </c>
      <c r="S439" s="22" t="n">
        <v>726</v>
      </c>
      <c r="T439" s="22" t="n">
        <v>1115</v>
      </c>
      <c r="U439" s="22" t="n">
        <v>1302</v>
      </c>
      <c r="V439" s="22" t="n">
        <v>1372</v>
      </c>
      <c r="W439" s="22" t="n">
        <v>1926</v>
      </c>
      <c r="X439" s="22" t="n">
        <v>1658</v>
      </c>
      <c r="Y439" s="22" t="n">
        <v>2337</v>
      </c>
      <c r="Z439" s="22" t="n">
        <v>2577</v>
      </c>
      <c r="AA439" s="22" t="n">
        <v>2527</v>
      </c>
      <c r="AB439" s="22" t="n">
        <v>2651</v>
      </c>
      <c r="AC439" s="22" t="n">
        <v>2942</v>
      </c>
      <c r="AD439" s="22"/>
      <c r="AE439" s="22"/>
      <c r="AF439" s="22"/>
    </row>
    <row r="440" customFormat="false" ht="15" hidden="false" customHeight="false" outlineLevel="0" collapsed="false">
      <c r="A440" s="22" t="s">
        <v>26</v>
      </c>
      <c r="B440" s="22" t="s">
        <v>3</v>
      </c>
      <c r="C440" s="22" t="s">
        <v>26</v>
      </c>
      <c r="D440" s="22" t="n">
        <v>48620</v>
      </c>
      <c r="E440" s="22" t="s">
        <v>132</v>
      </c>
      <c r="F440" s="22" t="s">
        <v>133</v>
      </c>
      <c r="G440" s="22" t="s">
        <v>131</v>
      </c>
      <c r="H440" s="22" t="s">
        <v>131</v>
      </c>
      <c r="I440" s="22" t="n">
        <v>37000</v>
      </c>
      <c r="J440" s="22" t="n">
        <v>37068</v>
      </c>
      <c r="K440" s="22" t="n">
        <v>37068</v>
      </c>
      <c r="L440" s="22" t="n">
        <v>37118</v>
      </c>
      <c r="M440" s="22" t="n">
        <v>37118</v>
      </c>
      <c r="N440" s="22" t="n">
        <v>37118</v>
      </c>
      <c r="O440" s="22" t="n">
        <v>37128</v>
      </c>
      <c r="P440" s="22" t="n">
        <v>37146</v>
      </c>
      <c r="Q440" s="22" t="n">
        <v>37194</v>
      </c>
      <c r="R440" s="22" t="n">
        <v>37725</v>
      </c>
      <c r="S440" s="22" t="n">
        <v>38164</v>
      </c>
      <c r="T440" s="22" t="n">
        <v>38320</v>
      </c>
      <c r="U440" s="22" t="n">
        <v>38497</v>
      </c>
      <c r="V440" s="22" t="n">
        <v>38673</v>
      </c>
      <c r="W440" s="22" t="n">
        <v>38760</v>
      </c>
      <c r="X440" s="22" t="n">
        <v>38840</v>
      </c>
      <c r="Y440" s="22" t="n">
        <v>38964</v>
      </c>
      <c r="Z440" s="22" t="n">
        <v>39204</v>
      </c>
      <c r="AA440" s="22" t="n">
        <v>39462</v>
      </c>
      <c r="AB440" s="22" t="n">
        <v>39591</v>
      </c>
      <c r="AC440" s="22" t="n">
        <v>39615</v>
      </c>
      <c r="AD440" s="22" t="n">
        <v>39761</v>
      </c>
      <c r="AE440" s="22" t="n">
        <v>39918</v>
      </c>
      <c r="AF440" s="22" t="n">
        <v>39938</v>
      </c>
    </row>
    <row r="441" customFormat="false" ht="15" hidden="false" customHeight="false" outlineLevel="0" collapsed="false">
      <c r="A441" s="22" t="s">
        <v>26</v>
      </c>
      <c r="B441" s="22" t="s">
        <v>3</v>
      </c>
      <c r="C441" s="22" t="s">
        <v>26</v>
      </c>
      <c r="D441" s="22" t="n">
        <v>48620</v>
      </c>
      <c r="E441" s="22" t="s">
        <v>136</v>
      </c>
      <c r="F441" s="22" t="s">
        <v>680</v>
      </c>
      <c r="G441" s="22" t="s">
        <v>131</v>
      </c>
      <c r="H441" s="22" t="s">
        <v>131</v>
      </c>
      <c r="I441" s="22" t="n">
        <v>0</v>
      </c>
      <c r="J441" s="22" t="n">
        <v>301</v>
      </c>
      <c r="K441" s="22" t="n">
        <v>0</v>
      </c>
      <c r="L441" s="22" t="n">
        <v>402</v>
      </c>
      <c r="M441" s="22" t="n">
        <v>729</v>
      </c>
      <c r="N441" s="22" t="n">
        <v>247</v>
      </c>
      <c r="O441" s="22" t="n">
        <v>0</v>
      </c>
      <c r="P441" s="22" t="n">
        <v>36</v>
      </c>
      <c r="Q441" s="22" t="n">
        <v>150</v>
      </c>
      <c r="R441" s="22" t="n">
        <v>0</v>
      </c>
      <c r="S441" s="22" t="n">
        <v>0</v>
      </c>
      <c r="T441" s="22" t="n">
        <v>0</v>
      </c>
      <c r="U441" s="22" t="n">
        <v>252</v>
      </c>
      <c r="V441" s="22" t="n">
        <v>213</v>
      </c>
      <c r="W441" s="22" t="n">
        <v>0</v>
      </c>
      <c r="X441" s="22" t="n">
        <v>163</v>
      </c>
      <c r="Y441" s="22" t="n">
        <v>300</v>
      </c>
      <c r="Z441" s="22" t="n">
        <v>154</v>
      </c>
      <c r="AA441" s="22" t="n">
        <v>0</v>
      </c>
      <c r="AB441" s="22" t="n">
        <v>0</v>
      </c>
      <c r="AC441" s="22" t="n">
        <v>0</v>
      </c>
      <c r="AD441" s="22"/>
      <c r="AE441" s="22"/>
      <c r="AF441" s="22"/>
    </row>
    <row r="442" customFormat="false" ht="15" hidden="false" customHeight="false" outlineLevel="0" collapsed="false">
      <c r="A442" s="22" t="s">
        <v>26</v>
      </c>
      <c r="B442" s="22" t="s">
        <v>3</v>
      </c>
      <c r="C442" s="22" t="s">
        <v>26</v>
      </c>
      <c r="D442" s="22" t="n">
        <v>48620</v>
      </c>
      <c r="E442" s="22" t="s">
        <v>136</v>
      </c>
      <c r="F442" s="22" t="s">
        <v>681</v>
      </c>
      <c r="G442" s="22" t="s">
        <v>131</v>
      </c>
      <c r="H442" s="22" t="s">
        <v>131</v>
      </c>
      <c r="I442" s="22" t="n">
        <v>50</v>
      </c>
      <c r="J442" s="22" t="n">
        <v>351</v>
      </c>
      <c r="K442" s="22" t="n">
        <v>351</v>
      </c>
      <c r="L442" s="22" t="n">
        <v>703</v>
      </c>
      <c r="M442" s="22" t="n">
        <v>1432</v>
      </c>
      <c r="N442" s="22" t="n">
        <v>1378</v>
      </c>
      <c r="O442" s="22" t="n">
        <v>1378</v>
      </c>
      <c r="P442" s="22" t="n">
        <v>1012</v>
      </c>
      <c r="Q442" s="22" t="n">
        <v>433</v>
      </c>
      <c r="R442" s="22" t="n">
        <v>186</v>
      </c>
      <c r="S442" s="22" t="n">
        <v>186</v>
      </c>
      <c r="T442" s="22" t="n">
        <v>150</v>
      </c>
      <c r="U442" s="22" t="n">
        <v>252</v>
      </c>
      <c r="V442" s="22" t="n">
        <v>465</v>
      </c>
      <c r="W442" s="22" t="n">
        <v>465</v>
      </c>
      <c r="X442" s="22" t="n">
        <v>628</v>
      </c>
      <c r="Y442" s="22" t="n">
        <v>676</v>
      </c>
      <c r="Z442" s="22" t="n">
        <v>617</v>
      </c>
      <c r="AA442" s="22" t="n">
        <v>617</v>
      </c>
      <c r="AB442" s="22" t="n">
        <v>454</v>
      </c>
      <c r="AC442" s="22" t="n">
        <v>154</v>
      </c>
      <c r="AD442" s="22"/>
      <c r="AE442" s="22"/>
      <c r="AF442" s="22"/>
    </row>
    <row r="443" customFormat="false" ht="15" hidden="false" customHeight="false" outlineLevel="0" collapsed="false">
      <c r="A443" s="22" t="s">
        <v>35</v>
      </c>
      <c r="B443" s="22" t="s">
        <v>3</v>
      </c>
      <c r="C443" s="22" t="s">
        <v>35</v>
      </c>
      <c r="D443" s="22" t="n">
        <v>48900</v>
      </c>
      <c r="E443" s="22" t="s">
        <v>132</v>
      </c>
      <c r="F443" s="22" t="s">
        <v>133</v>
      </c>
      <c r="G443" s="22" t="s">
        <v>131</v>
      </c>
      <c r="H443" s="22" t="s">
        <v>131</v>
      </c>
      <c r="I443" s="22" t="n">
        <v>29414</v>
      </c>
      <c r="J443" s="22" t="n">
        <v>29962</v>
      </c>
      <c r="K443" s="22" t="n">
        <v>30262</v>
      </c>
      <c r="L443" s="22" t="n">
        <v>30572</v>
      </c>
      <c r="M443" s="22" t="n">
        <v>30958</v>
      </c>
      <c r="N443" s="22" t="n">
        <v>31515</v>
      </c>
      <c r="O443" s="22" t="n">
        <v>32023</v>
      </c>
      <c r="P443" s="22" t="n">
        <v>32640</v>
      </c>
      <c r="Q443" s="22" t="n">
        <v>32989</v>
      </c>
      <c r="R443" s="22" t="n">
        <v>33484</v>
      </c>
      <c r="S443" s="22" t="n">
        <v>34449</v>
      </c>
      <c r="T443" s="22" t="n">
        <v>35128</v>
      </c>
      <c r="U443" s="22" t="n">
        <v>36020</v>
      </c>
      <c r="V443" s="22" t="n">
        <v>37514</v>
      </c>
      <c r="W443" s="22" t="n">
        <v>39518</v>
      </c>
      <c r="X443" s="22" t="n">
        <v>40460</v>
      </c>
      <c r="Y443" s="22" t="n">
        <v>40831</v>
      </c>
      <c r="Z443" s="22" t="n">
        <v>41238</v>
      </c>
      <c r="AA443" s="22" t="n">
        <v>41388</v>
      </c>
      <c r="AB443" s="22" t="n">
        <v>41620</v>
      </c>
      <c r="AC443" s="22" t="n">
        <v>41949</v>
      </c>
      <c r="AD443" s="22" t="n">
        <v>42233</v>
      </c>
      <c r="AE443" s="22" t="n">
        <v>42763</v>
      </c>
      <c r="AF443" s="22" t="n">
        <v>43735</v>
      </c>
    </row>
    <row r="444" customFormat="false" ht="15" hidden="false" customHeight="false" outlineLevel="0" collapsed="false">
      <c r="A444" s="22" t="s">
        <v>35</v>
      </c>
      <c r="B444" s="22" t="s">
        <v>3</v>
      </c>
      <c r="C444" s="22" t="s">
        <v>35</v>
      </c>
      <c r="D444" s="22" t="n">
        <v>48900</v>
      </c>
      <c r="E444" s="22" t="s">
        <v>136</v>
      </c>
      <c r="F444" s="22" t="s">
        <v>680</v>
      </c>
      <c r="G444" s="22" t="s">
        <v>131</v>
      </c>
      <c r="H444" s="22" t="s">
        <v>131</v>
      </c>
      <c r="I444" s="22" t="n">
        <v>710</v>
      </c>
      <c r="J444" s="22" t="n">
        <v>515</v>
      </c>
      <c r="K444" s="22" t="n">
        <v>667</v>
      </c>
      <c r="L444" s="22" t="n">
        <v>470</v>
      </c>
      <c r="M444" s="22" t="n">
        <v>1012</v>
      </c>
      <c r="N444" s="22" t="n">
        <v>701</v>
      </c>
      <c r="O444" s="22" t="n">
        <v>1953</v>
      </c>
      <c r="P444" s="22" t="n">
        <v>1476</v>
      </c>
      <c r="Q444" s="22" t="n">
        <v>532</v>
      </c>
      <c r="R444" s="22" t="n">
        <v>370</v>
      </c>
      <c r="S444" s="22" t="n">
        <v>918</v>
      </c>
      <c r="T444" s="22" t="n">
        <v>0</v>
      </c>
      <c r="U444" s="22" t="n">
        <v>266</v>
      </c>
      <c r="V444" s="22" t="n">
        <v>446</v>
      </c>
      <c r="W444" s="22" t="n">
        <v>362</v>
      </c>
      <c r="X444" s="22" t="n">
        <v>780</v>
      </c>
      <c r="Y444" s="22" t="n">
        <v>623</v>
      </c>
      <c r="Z444" s="22" t="n">
        <v>527</v>
      </c>
      <c r="AA444" s="22" t="n">
        <v>0</v>
      </c>
      <c r="AB444" s="22" t="n">
        <v>253</v>
      </c>
      <c r="AC444" s="22" t="n">
        <v>0</v>
      </c>
      <c r="AD444" s="22"/>
      <c r="AE444" s="22"/>
      <c r="AF444" s="22"/>
    </row>
    <row r="445" customFormat="false" ht="15" hidden="false" customHeight="false" outlineLevel="0" collapsed="false">
      <c r="A445" s="22" t="s">
        <v>35</v>
      </c>
      <c r="B445" s="22" t="s">
        <v>3</v>
      </c>
      <c r="C445" s="22" t="s">
        <v>35</v>
      </c>
      <c r="D445" s="22" t="n">
        <v>48900</v>
      </c>
      <c r="E445" s="22" t="s">
        <v>136</v>
      </c>
      <c r="F445" s="22" t="s">
        <v>681</v>
      </c>
      <c r="G445" s="22" t="s">
        <v>131</v>
      </c>
      <c r="H445" s="22" t="s">
        <v>131</v>
      </c>
      <c r="I445" s="22" t="n">
        <v>1648</v>
      </c>
      <c r="J445" s="22" t="n">
        <v>1877</v>
      </c>
      <c r="K445" s="22" t="n">
        <v>2215</v>
      </c>
      <c r="L445" s="22" t="n">
        <v>2362</v>
      </c>
      <c r="M445" s="22" t="n">
        <v>2664</v>
      </c>
      <c r="N445" s="22" t="n">
        <v>2850</v>
      </c>
      <c r="O445" s="22" t="n">
        <v>4136</v>
      </c>
      <c r="P445" s="22" t="n">
        <v>5142</v>
      </c>
      <c r="Q445" s="22" t="n">
        <v>4662</v>
      </c>
      <c r="R445" s="22" t="n">
        <v>4331</v>
      </c>
      <c r="S445" s="22" t="n">
        <v>3296</v>
      </c>
      <c r="T445" s="22" t="n">
        <v>1820</v>
      </c>
      <c r="U445" s="22" t="n">
        <v>1554</v>
      </c>
      <c r="V445" s="22" t="n">
        <v>1630</v>
      </c>
      <c r="W445" s="22" t="n">
        <v>1074</v>
      </c>
      <c r="X445" s="22" t="n">
        <v>1854</v>
      </c>
      <c r="Y445" s="22" t="n">
        <v>2211</v>
      </c>
      <c r="Z445" s="22" t="n">
        <v>2292</v>
      </c>
      <c r="AA445" s="22" t="n">
        <v>1930</v>
      </c>
      <c r="AB445" s="22" t="n">
        <v>1403</v>
      </c>
      <c r="AC445" s="22" t="n">
        <v>780</v>
      </c>
      <c r="AD445" s="22"/>
      <c r="AE445" s="22"/>
      <c r="AF445" s="22"/>
    </row>
    <row r="446" customFormat="false" ht="15" hidden="false" customHeight="false" outlineLevel="0" collapsed="false">
      <c r="A446" s="22" t="s">
        <v>220</v>
      </c>
      <c r="B446" s="22" t="s">
        <v>3</v>
      </c>
      <c r="C446" s="22" t="s">
        <v>220</v>
      </c>
      <c r="D446" s="22" t="n">
        <v>249340</v>
      </c>
      <c r="E446" s="22" t="s">
        <v>132</v>
      </c>
      <c r="F446" s="22" t="s">
        <v>133</v>
      </c>
      <c r="G446" s="22" t="s">
        <v>131</v>
      </c>
      <c r="H446" s="22" t="s">
        <v>131</v>
      </c>
      <c r="I446" s="22" t="n">
        <v>51190</v>
      </c>
      <c r="J446" s="22" t="n">
        <v>51237</v>
      </c>
      <c r="K446" s="22" t="n">
        <v>51261</v>
      </c>
      <c r="L446" s="22" t="n">
        <v>51367</v>
      </c>
      <c r="M446" s="22" t="n">
        <v>51477</v>
      </c>
      <c r="N446" s="22" t="n">
        <v>51595</v>
      </c>
      <c r="O446" s="22" t="n">
        <v>51625</v>
      </c>
      <c r="P446" s="22" t="n">
        <v>51860</v>
      </c>
      <c r="Q446" s="22" t="n">
        <v>52005</v>
      </c>
      <c r="R446" s="22" t="n">
        <v>52062</v>
      </c>
      <c r="S446" s="22" t="n">
        <v>52227</v>
      </c>
      <c r="T446" s="22" t="n">
        <v>52691</v>
      </c>
      <c r="U446" s="22" t="n">
        <v>52944</v>
      </c>
      <c r="V446" s="22" t="n">
        <v>53153</v>
      </c>
      <c r="W446" s="22" t="n">
        <v>53457</v>
      </c>
      <c r="X446" s="22" t="n">
        <v>53457</v>
      </c>
      <c r="Y446" s="22" t="n">
        <v>53467</v>
      </c>
      <c r="Z446" s="22" t="n">
        <v>53498</v>
      </c>
      <c r="AA446" s="22" t="n">
        <v>53509</v>
      </c>
      <c r="AB446" s="22" t="n">
        <v>53740</v>
      </c>
      <c r="AC446" s="22" t="n">
        <v>54080</v>
      </c>
      <c r="AD446" s="22" t="n">
        <v>54249</v>
      </c>
      <c r="AE446" s="22" t="n">
        <v>54628</v>
      </c>
      <c r="AF446" s="22" t="n">
        <v>54959</v>
      </c>
    </row>
    <row r="447" customFormat="false" ht="15" hidden="false" customHeight="false" outlineLevel="0" collapsed="false">
      <c r="A447" s="22" t="s">
        <v>220</v>
      </c>
      <c r="B447" s="22" t="s">
        <v>3</v>
      </c>
      <c r="C447" s="22" t="s">
        <v>220</v>
      </c>
      <c r="D447" s="22" t="n">
        <v>249340</v>
      </c>
      <c r="E447" s="22" t="s">
        <v>136</v>
      </c>
      <c r="F447" s="22" t="s">
        <v>680</v>
      </c>
      <c r="G447" s="22" t="s">
        <v>131</v>
      </c>
      <c r="H447" s="22" t="s">
        <v>131</v>
      </c>
      <c r="I447" s="22" t="n">
        <v>0</v>
      </c>
      <c r="J447" s="22" t="n">
        <v>228</v>
      </c>
      <c r="K447" s="22" t="n">
        <v>255</v>
      </c>
      <c r="L447" s="22" t="n">
        <v>97</v>
      </c>
      <c r="M447" s="22" t="n">
        <v>370</v>
      </c>
      <c r="N447" s="22" t="n">
        <v>199</v>
      </c>
      <c r="O447" s="22" t="n">
        <v>173</v>
      </c>
      <c r="P447" s="22" t="n">
        <v>162</v>
      </c>
      <c r="Q447" s="22" t="n">
        <v>0</v>
      </c>
      <c r="R447" s="22" t="n">
        <v>0</v>
      </c>
      <c r="S447" s="22" t="n">
        <v>262</v>
      </c>
      <c r="T447" s="22" t="n">
        <v>0</v>
      </c>
      <c r="U447" s="22" t="n">
        <v>21</v>
      </c>
      <c r="V447" s="22" t="n">
        <v>248</v>
      </c>
      <c r="W447" s="22" t="n">
        <v>102</v>
      </c>
      <c r="X447" s="22" t="n">
        <v>260</v>
      </c>
      <c r="Y447" s="22" t="n">
        <v>593</v>
      </c>
      <c r="Z447" s="22" t="n">
        <v>617</v>
      </c>
      <c r="AA447" s="22" t="n">
        <v>0</v>
      </c>
      <c r="AB447" s="22" t="n">
        <v>196</v>
      </c>
      <c r="AC447" s="22" t="n">
        <v>0</v>
      </c>
      <c r="AD447" s="22"/>
      <c r="AE447" s="22"/>
      <c r="AF447" s="22"/>
    </row>
    <row r="448" customFormat="false" ht="15" hidden="false" customHeight="false" outlineLevel="0" collapsed="false">
      <c r="A448" s="22" t="s">
        <v>220</v>
      </c>
      <c r="B448" s="22" t="s">
        <v>3</v>
      </c>
      <c r="C448" s="22" t="s">
        <v>220</v>
      </c>
      <c r="D448" s="22" t="n">
        <v>249340</v>
      </c>
      <c r="E448" s="22" t="s">
        <v>136</v>
      </c>
      <c r="F448" s="22" t="s">
        <v>681</v>
      </c>
      <c r="G448" s="22" t="s">
        <v>131</v>
      </c>
      <c r="H448" s="22" t="s">
        <v>131</v>
      </c>
      <c r="I448" s="22" t="n">
        <v>628</v>
      </c>
      <c r="J448" s="22" t="n">
        <v>856</v>
      </c>
      <c r="K448" s="22" t="n">
        <v>779</v>
      </c>
      <c r="L448" s="22" t="n">
        <v>580</v>
      </c>
      <c r="M448" s="22" t="n">
        <v>950</v>
      </c>
      <c r="N448" s="22" t="n">
        <v>921</v>
      </c>
      <c r="O448" s="22" t="n">
        <v>839</v>
      </c>
      <c r="P448" s="22" t="n">
        <v>904</v>
      </c>
      <c r="Q448" s="22" t="n">
        <v>534</v>
      </c>
      <c r="R448" s="22" t="n">
        <v>335</v>
      </c>
      <c r="S448" s="22" t="n">
        <v>424</v>
      </c>
      <c r="T448" s="22" t="n">
        <v>262</v>
      </c>
      <c r="U448" s="22" t="n">
        <v>283</v>
      </c>
      <c r="V448" s="22" t="n">
        <v>531</v>
      </c>
      <c r="W448" s="22" t="n">
        <v>371</v>
      </c>
      <c r="X448" s="22" t="n">
        <v>631</v>
      </c>
      <c r="Y448" s="22" t="n">
        <v>1203</v>
      </c>
      <c r="Z448" s="22" t="n">
        <v>1572</v>
      </c>
      <c r="AA448" s="22" t="n">
        <v>1470</v>
      </c>
      <c r="AB448" s="22" t="n">
        <v>1406</v>
      </c>
      <c r="AC448" s="22" t="n">
        <v>813</v>
      </c>
      <c r="AD448" s="22"/>
      <c r="AE448" s="22"/>
      <c r="AF448" s="22"/>
    </row>
    <row r="449" customFormat="false" ht="15" hidden="false" customHeight="false" outlineLevel="0" collapsed="false">
      <c r="A449" s="22" t="s">
        <v>221</v>
      </c>
      <c r="B449" s="22" t="s">
        <v>3</v>
      </c>
      <c r="C449" s="22" t="s">
        <v>221</v>
      </c>
      <c r="D449" s="22" t="n">
        <v>249660</v>
      </c>
      <c r="E449" s="22" t="s">
        <v>132</v>
      </c>
      <c r="F449" s="22" t="s">
        <v>133</v>
      </c>
      <c r="G449" s="22" t="s">
        <v>131</v>
      </c>
      <c r="H449" s="22" t="s">
        <v>131</v>
      </c>
      <c r="I449" s="22" t="n">
        <v>25413</v>
      </c>
      <c r="J449" s="22" t="n">
        <v>25413</v>
      </c>
      <c r="K449" s="22" t="n">
        <v>25413</v>
      </c>
      <c r="L449" s="22" t="n">
        <v>25413</v>
      </c>
      <c r="M449" s="22" t="n">
        <v>25413</v>
      </c>
      <c r="N449" s="22" t="n">
        <v>25413</v>
      </c>
      <c r="O449" s="22" t="n">
        <v>25413</v>
      </c>
      <c r="P449" s="22" t="n">
        <v>25413</v>
      </c>
      <c r="Q449" s="22" t="n">
        <v>25413</v>
      </c>
      <c r="R449" s="22" t="n">
        <v>25413</v>
      </c>
      <c r="S449" s="22" t="n">
        <v>25413</v>
      </c>
      <c r="T449" s="22" t="n">
        <v>25413</v>
      </c>
      <c r="U449" s="22" t="n">
        <v>25413</v>
      </c>
      <c r="V449" s="22" t="n">
        <v>25413</v>
      </c>
      <c r="W449" s="22" t="n">
        <v>25413</v>
      </c>
      <c r="X449" s="22" t="n">
        <v>25413</v>
      </c>
      <c r="Y449" s="22" t="n">
        <v>25413</v>
      </c>
      <c r="Z449" s="22" t="n">
        <v>25413</v>
      </c>
      <c r="AA449" s="22" t="n">
        <v>25413</v>
      </c>
      <c r="AB449" s="22" t="n">
        <v>25413</v>
      </c>
      <c r="AC449" s="22" t="n">
        <v>25413</v>
      </c>
      <c r="AD449" s="22" t="n">
        <v>25413</v>
      </c>
      <c r="AE449" s="22" t="n">
        <v>25413</v>
      </c>
      <c r="AF449" s="22" t="n">
        <v>25413</v>
      </c>
    </row>
    <row r="450" customFormat="false" ht="15" hidden="false" customHeight="false" outlineLevel="0" collapsed="false">
      <c r="A450" s="22" t="s">
        <v>221</v>
      </c>
      <c r="B450" s="22" t="s">
        <v>3</v>
      </c>
      <c r="C450" s="22" t="s">
        <v>221</v>
      </c>
      <c r="D450" s="22" t="n">
        <v>249660</v>
      </c>
      <c r="E450" s="22" t="s">
        <v>136</v>
      </c>
      <c r="F450" s="22" t="s">
        <v>680</v>
      </c>
      <c r="G450" s="22" t="s">
        <v>131</v>
      </c>
      <c r="H450" s="22" t="s">
        <v>131</v>
      </c>
      <c r="I450" s="22" t="n">
        <v>0</v>
      </c>
      <c r="J450" s="22" t="n">
        <v>0</v>
      </c>
      <c r="K450" s="22" t="n">
        <v>0</v>
      </c>
      <c r="L450" s="22" t="n">
        <v>0</v>
      </c>
      <c r="M450" s="22" t="n">
        <v>0</v>
      </c>
      <c r="N450" s="22" t="n">
        <v>0</v>
      </c>
      <c r="O450" s="22" t="n">
        <v>0</v>
      </c>
      <c r="P450" s="22" t="n">
        <v>0</v>
      </c>
      <c r="Q450" s="22" t="n">
        <v>0</v>
      </c>
      <c r="R450" s="22" t="n">
        <v>0</v>
      </c>
      <c r="S450" s="22" t="n">
        <v>0</v>
      </c>
      <c r="T450" s="22" t="n">
        <v>0</v>
      </c>
      <c r="U450" s="22" t="n">
        <v>0</v>
      </c>
      <c r="V450" s="22" t="n">
        <v>0</v>
      </c>
      <c r="W450" s="22" t="n">
        <v>0</v>
      </c>
      <c r="X450" s="22" t="n">
        <v>0</v>
      </c>
      <c r="Y450" s="22" t="n">
        <v>0</v>
      </c>
      <c r="Z450" s="22" t="n">
        <v>0</v>
      </c>
      <c r="AA450" s="22" t="n">
        <v>0</v>
      </c>
      <c r="AB450" s="22" t="n">
        <v>0</v>
      </c>
      <c r="AC450" s="22" t="n">
        <v>0</v>
      </c>
      <c r="AD450" s="22"/>
      <c r="AE450" s="22"/>
      <c r="AF450" s="22"/>
    </row>
    <row r="451" customFormat="false" ht="15" hidden="false" customHeight="false" outlineLevel="0" collapsed="false">
      <c r="A451" s="22" t="s">
        <v>221</v>
      </c>
      <c r="B451" s="22" t="s">
        <v>3</v>
      </c>
      <c r="C451" s="22" t="s">
        <v>221</v>
      </c>
      <c r="D451" s="22" t="n">
        <v>249660</v>
      </c>
      <c r="E451" s="22" t="s">
        <v>136</v>
      </c>
      <c r="F451" s="22" t="s">
        <v>681</v>
      </c>
      <c r="G451" s="22" t="s">
        <v>131</v>
      </c>
      <c r="H451" s="22" t="s">
        <v>131</v>
      </c>
      <c r="I451" s="22" t="n">
        <v>0</v>
      </c>
      <c r="J451" s="22" t="n">
        <v>0</v>
      </c>
      <c r="K451" s="22" t="n">
        <v>0</v>
      </c>
      <c r="L451" s="22" t="n">
        <v>0</v>
      </c>
      <c r="M451" s="22" t="n">
        <v>0</v>
      </c>
      <c r="N451" s="22" t="n">
        <v>0</v>
      </c>
      <c r="O451" s="22" t="n">
        <v>0</v>
      </c>
      <c r="P451" s="22" t="n">
        <v>0</v>
      </c>
      <c r="Q451" s="22" t="n">
        <v>0</v>
      </c>
      <c r="R451" s="22" t="n">
        <v>0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0</v>
      </c>
      <c r="X451" s="22" t="n">
        <v>0</v>
      </c>
      <c r="Y451" s="22" t="n">
        <v>0</v>
      </c>
      <c r="Z451" s="22" t="n">
        <v>0</v>
      </c>
      <c r="AA451" s="22" t="n">
        <v>0</v>
      </c>
      <c r="AB451" s="22" t="n">
        <v>0</v>
      </c>
      <c r="AC451" s="22" t="n">
        <v>0</v>
      </c>
      <c r="AD451" s="22"/>
      <c r="AE451" s="22"/>
      <c r="AF451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N6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0" min="2" style="0" width="10.5"/>
    <col collapsed="false" customWidth="true" hidden="false" outlineLevel="0" max="36" min="22" style="0" width="10.5"/>
    <col collapsed="false" customWidth="true" hidden="false" outlineLevel="0" max="40" min="38" style="0" width="10.5"/>
  </cols>
  <sheetData>
    <row r="2" customFormat="false" ht="16.15" hidden="false" customHeight="false" outlineLevel="0" collapsed="false">
      <c r="A2" s="1" t="s">
        <v>682</v>
      </c>
    </row>
    <row r="3" customFormat="false" ht="15" hidden="false" customHeight="false" outlineLevel="0" collapsed="false">
      <c r="A3" s="2" t="s">
        <v>683</v>
      </c>
      <c r="V3" s="23" t="n">
        <v>1</v>
      </c>
      <c r="W3" s="23" t="n">
        <v>2</v>
      </c>
      <c r="X3" s="23" t="n">
        <v>3</v>
      </c>
      <c r="Y3" s="23" t="n">
        <v>4</v>
      </c>
      <c r="Z3" s="23" t="n">
        <v>5</v>
      </c>
      <c r="AA3" s="23" t="n">
        <v>6</v>
      </c>
      <c r="AB3" s="23" t="n">
        <v>7</v>
      </c>
      <c r="AC3" s="23" t="n">
        <v>8</v>
      </c>
      <c r="AD3" s="23" t="n">
        <v>9</v>
      </c>
      <c r="AE3" s="23" t="n">
        <v>10</v>
      </c>
      <c r="AF3" s="23" t="n">
        <v>11</v>
      </c>
      <c r="AG3" s="23" t="n">
        <v>12</v>
      </c>
      <c r="AH3" s="23" t="n">
        <v>13</v>
      </c>
      <c r="AI3" s="23" t="n">
        <v>14</v>
      </c>
      <c r="AJ3" s="23" t="n">
        <v>15</v>
      </c>
    </row>
    <row r="4" customFormat="false" ht="30" hidden="false" customHeight="true" outlineLevel="0" collapsed="false">
      <c r="A4" s="24" t="s">
        <v>3</v>
      </c>
      <c r="B4" s="24" t="s">
        <v>684</v>
      </c>
      <c r="C4" s="24" t="s">
        <v>685</v>
      </c>
      <c r="D4" s="24" t="s">
        <v>686</v>
      </c>
      <c r="E4" s="24" t="s">
        <v>687</v>
      </c>
      <c r="F4" s="24" t="s">
        <v>688</v>
      </c>
      <c r="G4" s="24" t="s">
        <v>689</v>
      </c>
      <c r="H4" s="24" t="s">
        <v>690</v>
      </c>
      <c r="I4" s="24" t="s">
        <v>691</v>
      </c>
      <c r="J4" s="24" t="s">
        <v>692</v>
      </c>
      <c r="K4" s="24" t="s">
        <v>693</v>
      </c>
      <c r="L4" s="24" t="s">
        <v>694</v>
      </c>
      <c r="M4" s="24" t="s">
        <v>695</v>
      </c>
      <c r="N4" s="24" t="s">
        <v>696</v>
      </c>
      <c r="O4" s="24" t="s">
        <v>697</v>
      </c>
      <c r="P4" s="24" t="s">
        <v>698</v>
      </c>
      <c r="Q4" s="24" t="s">
        <v>699</v>
      </c>
      <c r="R4" s="24" t="s">
        <v>700</v>
      </c>
      <c r="S4" s="24" t="s">
        <v>701</v>
      </c>
      <c r="T4" s="24" t="s">
        <v>702</v>
      </c>
      <c r="V4" s="24" t="s">
        <v>703</v>
      </c>
      <c r="W4" s="24" t="s">
        <v>704</v>
      </c>
      <c r="X4" s="24" t="s">
        <v>705</v>
      </c>
      <c r="Y4" s="24" t="s">
        <v>706</v>
      </c>
      <c r="Z4" s="24" t="s">
        <v>707</v>
      </c>
      <c r="AA4" s="24" t="s">
        <v>708</v>
      </c>
      <c r="AB4" s="24" t="s">
        <v>709</v>
      </c>
      <c r="AC4" s="24" t="s">
        <v>710</v>
      </c>
      <c r="AD4" s="24" t="s">
        <v>711</v>
      </c>
      <c r="AE4" s="24" t="s">
        <v>712</v>
      </c>
      <c r="AF4" s="24" t="s">
        <v>713</v>
      </c>
      <c r="AG4" s="24" t="s">
        <v>714</v>
      </c>
      <c r="AH4" s="24" t="s">
        <v>715</v>
      </c>
      <c r="AI4" s="24" t="s">
        <v>716</v>
      </c>
      <c r="AJ4" s="24" t="s">
        <v>717</v>
      </c>
      <c r="AL4" s="24" t="s">
        <v>718</v>
      </c>
      <c r="AM4" s="24" t="s">
        <v>719</v>
      </c>
      <c r="AN4" s="24" t="s">
        <v>720</v>
      </c>
    </row>
    <row r="5" customFormat="false" ht="15" hidden="false" customHeight="false" outlineLevel="0" collapsed="false">
      <c r="A5" s="25" t="s">
        <v>22</v>
      </c>
      <c r="B5" s="6" t="n">
        <f aca="false">SUMIFS('Realpage Data'!$R$2:$R$899,'Realpage Data'!$A$2:$A$899,$A5,'Realpage Data'!$F$2:$F$899,"Rent Roll (Rev/OSF)")</f>
        <v>1.56258378340267</v>
      </c>
      <c r="C5" s="6" t="n">
        <f aca="false">SUMIFS('Realpage Data'!$O$2:$O$899,'Realpage Data'!$A$2:$A$899,$A5,'Realpage Data'!$F$2:$F$899,"Effective RPSF")</f>
        <v>1.845</v>
      </c>
      <c r="D5" s="6" t="n">
        <f aca="false">SUMIFS('Realpage Data'!$P$2:$P$899,'Realpage Data'!$A$2:$A$899,$A5,'Realpage Data'!$F$2:$F$899,"Effective RPSF")</f>
        <v>1.827</v>
      </c>
      <c r="E5" s="6" t="n">
        <f aca="false">SUMIFS('Realpage Data'!$Q$2:$Q$899,'Realpage Data'!$A$2:$A$899,$A5,'Realpage Data'!$F$2:$F$899,"Effective RPSF")</f>
        <v>1.849</v>
      </c>
      <c r="F5" s="6" t="n">
        <f aca="false">SUMIFS('Realpage Data'!$R$2:$R$899,'Realpage Data'!$A$2:$A$899,$A5,'Realpage Data'!$F$2:$F$899,"Effective RPSF")</f>
        <v>1.861</v>
      </c>
      <c r="G5" s="6" t="n">
        <f aca="false">C5*(1+SUMIFS('Realpage Data'!$S$2:$S$899,'Realpage Data'!$A$2:$A$899,$A5,'Realpage Data'!$F$2:$F$899,"YOY Effective Rent Change"))</f>
        <v>1.861605</v>
      </c>
      <c r="H5" s="6" t="n">
        <f aca="false">D5*(1+SUMIFS('Realpage Data'!$T$2:$T$899,'Realpage Data'!$A$2:$A$899,$A5,'Realpage Data'!$F$2:$F$899,"YOY Effective Rent Change"))</f>
        <v>1.861713</v>
      </c>
      <c r="I5" s="6" t="n">
        <f aca="false">E5*(1+SUMIFS('Realpage Data'!$U$2:$U$899,'Realpage Data'!$A$2:$A$899,$A5,'Realpage Data'!$F$2:$F$899,"YOY Effective Rent Change"))</f>
        <v>1.88598</v>
      </c>
      <c r="J5" s="6" t="n">
        <f aca="false">F5*(1+SUMIFS('Realpage Data'!$V$2:$V$899,'Realpage Data'!$A$2:$A$899,$A5,'Realpage Data'!$F$2:$F$899,"YOY Effective Rent Change"))</f>
        <v>1.911247</v>
      </c>
      <c r="K5" s="6" t="n">
        <f aca="false">G5*(1+SUMIFS('Realpage Data'!$W$2:$W$899,'Realpage Data'!$A$2:$A$899,$A5,'Realpage Data'!$F$2:$F$899,"YOY Effective Rent Change"))</f>
        <v>1.91372994</v>
      </c>
      <c r="L5" s="6" t="n">
        <f aca="false">H5*(1+SUMIFS('Realpage Data'!$X$2:$X$899,'Realpage Data'!$A$2:$A$899,$A5,'Realpage Data'!$F$2:$F$899,"YOY Effective Rent Change"))</f>
        <v>1.921287816</v>
      </c>
      <c r="M5" s="6" t="n">
        <f aca="false">I5*(1+SUMIFS('Realpage Data'!$Y$2:$Y$899,'Realpage Data'!$A$2:$A$899,$A5,'Realpage Data'!$F$2:$F$899,"YOY Effective Rent Change"))</f>
        <v>1.93878744</v>
      </c>
      <c r="N5" s="6" t="n">
        <f aca="false">J5*(1+SUMIFS('Realpage Data'!$Z$2:$Z$899,'Realpage Data'!$A$2:$A$899,$A5,'Realpage Data'!$F$2:$F$899,"YOY Effective Rent Change"))</f>
        <v>1.962850669</v>
      </c>
      <c r="O5" s="6" t="n">
        <f aca="false">K5*(1+SUMIFS('Realpage Data'!$AA$2:$AA$899,'Realpage Data'!$A$2:$A$899,$A5,'Realpage Data'!$F$2:$F$899,"YOY Effective Rent Change"))</f>
        <v>1.96540064838</v>
      </c>
      <c r="P5" s="6" t="n">
        <f aca="false">L5*(1+SUMIFS('Realpage Data'!$AB$2:$AB$899,'Realpage Data'!$A$2:$A$899,$A5,'Realpage Data'!$F$2:$F$899,"YOY Effective Rent Change"))</f>
        <v>1.982769026112</v>
      </c>
      <c r="Q5" s="6" t="n">
        <f aca="false">M5*(1+SUMIFS('Realpage Data'!$AC$2:$AC$899,'Realpage Data'!$A$2:$A$899,$A5,'Realpage Data'!$F$2:$F$899,"YOY Effective Rent Change"))</f>
        <v>2.00082863808</v>
      </c>
      <c r="R5" s="6" t="n">
        <f aca="false">N5*(1+SUMIFS('Realpage Data'!$AD$2:$AD$899,'Realpage Data'!$A$2:$A$899,$A5,'Realpage Data'!$F$2:$F$899,"YOY Effective Rent Change"))</f>
        <v>2.017810487732</v>
      </c>
      <c r="S5" s="6" t="n">
        <f aca="false">O5*(1+SUMIFS('Realpage Data'!$AE$2:$AE$899,'Realpage Data'!$A$2:$A$899,$A5,'Realpage Data'!$F$2:$F$899,"YOY Effective Rent Change"))</f>
        <v>2.01846646588626</v>
      </c>
      <c r="T5" s="6" t="n">
        <f aca="false">P5*(1+SUMIFS('Realpage Data'!$AF$2:$AF$899,'Realpage Data'!$A$2:$A$899,$A5,'Realpage Data'!$F$2:$F$899,"YOY Effective Rent Change"))</f>
        <v>2.04225209689536</v>
      </c>
      <c r="U5" s="4"/>
      <c r="V5" s="7" t="n">
        <f aca="false">F5/$B5-1</f>
        <v>0.190976138218652</v>
      </c>
      <c r="W5" s="7" t="n">
        <f aca="false">G5/$B5-1</f>
        <v>0.191363317457568</v>
      </c>
      <c r="X5" s="7" t="n">
        <f aca="false">H5/$B5-1</f>
        <v>0.191432433751457</v>
      </c>
      <c r="Y5" s="7" t="n">
        <f aca="false">I5/$B5-1</f>
        <v>0.206962481008927</v>
      </c>
      <c r="Z5" s="7" t="n">
        <f aca="false">J5/$B5-1</f>
        <v>0.223132493950555</v>
      </c>
      <c r="AA5" s="7" t="n">
        <f aca="false">K5/$B5-1</f>
        <v>0.22472149034638</v>
      </c>
      <c r="AB5" s="7" t="n">
        <f aca="false">L5/$B5-1</f>
        <v>0.229558271631503</v>
      </c>
      <c r="AC5" s="7" t="n">
        <f aca="false">M5/$B5-1</f>
        <v>0.240757430477177</v>
      </c>
      <c r="AD5" s="7" t="n">
        <f aca="false">N5/$B5-1</f>
        <v>0.256157071287221</v>
      </c>
      <c r="AE5" s="7" t="n">
        <f aca="false">O5/$B5-1</f>
        <v>0.257788970585732</v>
      </c>
      <c r="AF5" s="7" t="n">
        <f aca="false">P5/$B5-1</f>
        <v>0.268904136323711</v>
      </c>
      <c r="AG5" s="7" t="n">
        <f aca="false">Q5/$B5-1</f>
        <v>0.280461668252447</v>
      </c>
      <c r="AH5" s="7" t="n">
        <f aca="false">R5/$B5-1</f>
        <v>0.291329469283263</v>
      </c>
      <c r="AI5" s="7" t="n">
        <f aca="false">S5/$B5-1</f>
        <v>0.291749272791546</v>
      </c>
      <c r="AJ5" s="7" t="n">
        <f aca="false">T5/$B5-1</f>
        <v>0.306971260413423</v>
      </c>
      <c r="AK5" s="4"/>
      <c r="AL5" s="4" t="n">
        <f aca="false">SUMPRODUCT(MAX((V5:AJ5&lt;0)*$V$3:$AJ$3))</f>
        <v>0</v>
      </c>
      <c r="AM5" s="10" t="n">
        <f aca="false">IF(AL5=0,0,IF(AL5=15,3.5+IFERROR(LN($B5/T5)/LN(1+SUMIFS('Realpage Data'!$AF$2:$AF$899,'Realpage Data'!$A$2:$A$899,$A5,'Realpage Data'!$F$2:$F$899,"YOY Effective Rent Change")),99),((AL5-1)+INDEX(V5:AJ5,1,AL5)/(INDEX(V5:AJ5,1,AL5)-INDEX(V5:AJ5,1,AL5+1)))/4))</f>
        <v>0</v>
      </c>
      <c r="AN5" s="4" t="str">
        <f aca="false">IF(AL5=15,"†","")</f>
        <v/>
      </c>
    </row>
    <row r="6" customFormat="false" ht="15" hidden="false" customHeight="false" outlineLevel="0" collapsed="false">
      <c r="A6" s="25" t="s">
        <v>23</v>
      </c>
      <c r="B6" s="6" t="n">
        <f aca="false">SUMIFS('Realpage Data'!$R$2:$R$899,'Realpage Data'!$A$2:$A$899,$A6,'Realpage Data'!$F$2:$F$899,"Rent Roll (Rev/OSF)")</f>
        <v>1.11925917682504</v>
      </c>
      <c r="C6" s="6" t="n">
        <f aca="false">SUMIFS('Realpage Data'!$O$2:$O$899,'Realpage Data'!$A$2:$A$899,$A6,'Realpage Data'!$F$2:$F$899,"Effective RPSF")</f>
        <v>1.217</v>
      </c>
      <c r="D6" s="6" t="n">
        <f aca="false">SUMIFS('Realpage Data'!$P$2:$P$899,'Realpage Data'!$A$2:$A$899,$A6,'Realpage Data'!$F$2:$F$899,"Effective RPSF")</f>
        <v>1.208</v>
      </c>
      <c r="E6" s="6" t="n">
        <f aca="false">SUMIFS('Realpage Data'!$Q$2:$Q$899,'Realpage Data'!$A$2:$A$899,$A6,'Realpage Data'!$F$2:$F$899,"Effective RPSF")</f>
        <v>1.249</v>
      </c>
      <c r="F6" s="6" t="n">
        <f aca="false">SUMIFS('Realpage Data'!$R$2:$R$899,'Realpage Data'!$A$2:$A$899,$A6,'Realpage Data'!$F$2:$F$899,"Effective RPSF")</f>
        <v>1.284</v>
      </c>
      <c r="G6" s="6" t="n">
        <f aca="false">C6*(1+SUMIFS('Realpage Data'!$S$2:$S$899,'Realpage Data'!$A$2:$A$899,$A6,'Realpage Data'!$F$2:$F$899,"YOY Effective Rent Change"))</f>
        <v>1.252293</v>
      </c>
      <c r="H6" s="6" t="n">
        <f aca="false">D6*(1+SUMIFS('Realpage Data'!$T$2:$T$899,'Realpage Data'!$A$2:$A$899,$A6,'Realpage Data'!$F$2:$F$899,"YOY Effective Rent Change"))</f>
        <v>1.245448</v>
      </c>
      <c r="I6" s="6" t="n">
        <f aca="false">E6*(1+SUMIFS('Realpage Data'!$U$2:$U$899,'Realpage Data'!$A$2:$A$899,$A6,'Realpage Data'!$F$2:$F$899,"YOY Effective Rent Change"))</f>
        <v>1.282723</v>
      </c>
      <c r="J6" s="6" t="n">
        <f aca="false">F6*(1+SUMIFS('Realpage Data'!$V$2:$V$899,'Realpage Data'!$A$2:$A$899,$A6,'Realpage Data'!$F$2:$F$899,"YOY Effective Rent Change"))</f>
        <v>1.319952</v>
      </c>
      <c r="K6" s="6" t="n">
        <f aca="false">G6*(1+SUMIFS('Realpage Data'!$W$2:$W$899,'Realpage Data'!$A$2:$A$899,$A6,'Realpage Data'!$F$2:$F$899,"YOY Effective Rent Change"))</f>
        <v>1.28986179</v>
      </c>
      <c r="L6" s="6" t="n">
        <f aca="false">H6*(1+SUMIFS('Realpage Data'!$X$2:$X$899,'Realpage Data'!$A$2:$A$899,$A6,'Realpage Data'!$F$2:$F$899,"YOY Effective Rent Change"))</f>
        <v>1.281565992</v>
      </c>
      <c r="M6" s="6" t="n">
        <f aca="false">I6*(1+SUMIFS('Realpage Data'!$Y$2:$Y$899,'Realpage Data'!$A$2:$A$899,$A6,'Realpage Data'!$F$2:$F$899,"YOY Effective Rent Change"))</f>
        <v>1.312225629</v>
      </c>
      <c r="N6" s="6" t="n">
        <f aca="false">J6*(1+SUMIFS('Realpage Data'!$Z$2:$Z$899,'Realpage Data'!$A$2:$A$899,$A6,'Realpage Data'!$F$2:$F$899,"YOY Effective Rent Change"))</f>
        <v>1.348990944</v>
      </c>
      <c r="O6" s="6" t="n">
        <f aca="false">K6*(1+SUMIFS('Realpage Data'!$AA$2:$AA$899,'Realpage Data'!$A$2:$A$899,$A6,'Realpage Data'!$F$2:$F$899,"YOY Effective Rent Change"))</f>
        <v>1.32210833475</v>
      </c>
      <c r="P6" s="6" t="n">
        <f aca="false">L6*(1+SUMIFS('Realpage Data'!$AB$2:$AB$899,'Realpage Data'!$A$2:$A$899,$A6,'Realpage Data'!$F$2:$F$899,"YOY Effective Rent Change"))</f>
        <v>1.314886707792</v>
      </c>
      <c r="Q6" s="6" t="n">
        <f aca="false">M6*(1+SUMIFS('Realpage Data'!$AC$2:$AC$899,'Realpage Data'!$A$2:$A$899,$A6,'Realpage Data'!$F$2:$F$899,"YOY Effective Rent Change"))</f>
        <v>1.33847014158</v>
      </c>
      <c r="R6" s="6" t="n">
        <f aca="false">N6*(1+SUMIFS('Realpage Data'!$AD$2:$AD$899,'Realpage Data'!$A$2:$A$899,$A6,'Realpage Data'!$F$2:$F$899,"YOY Effective Rent Change"))</f>
        <v>1.377319753824</v>
      </c>
      <c r="S6" s="6" t="n">
        <f aca="false">O6*(1+SUMIFS('Realpage Data'!$AE$2:$AE$899,'Realpage Data'!$A$2:$A$899,$A6,'Realpage Data'!$F$2:$F$899,"YOY Effective Rent Change"))</f>
        <v>1.35516104311875</v>
      </c>
      <c r="T6" s="6" t="n">
        <f aca="false">P6*(1+SUMIFS('Realpage Data'!$AF$2:$AF$899,'Realpage Data'!$A$2:$A$899,$A6,'Realpage Data'!$F$2:$F$899,"YOY Effective Rent Change"))</f>
        <v>1.3477588754868</v>
      </c>
      <c r="U6" s="4"/>
      <c r="V6" s="7" t="n">
        <f aca="false">F6/$B6-1</f>
        <v>0.14718737767447</v>
      </c>
      <c r="W6" s="7" t="n">
        <f aca="false">G6/$B6-1</f>
        <v>0.118858818341195</v>
      </c>
      <c r="X6" s="7" t="n">
        <f aca="false">H6/$B6-1</f>
        <v>0.112743166004605</v>
      </c>
      <c r="Y6" s="7" t="n">
        <f aca="false">I6/$B6-1</f>
        <v>0.14604644443359</v>
      </c>
      <c r="Z6" s="7" t="n">
        <f aca="false">J6/$B6-1</f>
        <v>0.179308624249355</v>
      </c>
      <c r="AA6" s="7" t="n">
        <f aca="false">K6/$B6-1</f>
        <v>0.152424582891431</v>
      </c>
      <c r="AB6" s="7" t="n">
        <f aca="false">L6/$B6-1</f>
        <v>0.145012717818739</v>
      </c>
      <c r="AC6" s="7" t="n">
        <f aca="false">M6/$B6-1</f>
        <v>0.172405512655562</v>
      </c>
      <c r="AD6" s="7" t="n">
        <f aca="false">N6/$B6-1</f>
        <v>0.205253413982841</v>
      </c>
      <c r="AE6" s="7" t="n">
        <f aca="false">O6/$B6-1</f>
        <v>0.181235197463717</v>
      </c>
      <c r="AF6" s="7" t="n">
        <f aca="false">P6/$B6-1</f>
        <v>0.174783048482026</v>
      </c>
      <c r="AG6" s="7" t="n">
        <f aca="false">Q6/$B6-1</f>
        <v>0.195853622908673</v>
      </c>
      <c r="AH6" s="7" t="n">
        <f aca="false">R6/$B6-1</f>
        <v>0.23056373567648</v>
      </c>
      <c r="AI6" s="7" t="n">
        <f aca="false">S6/$B6-1</f>
        <v>0.21076607740031</v>
      </c>
      <c r="AJ6" s="7" t="n">
        <f aca="false">T6/$B6-1</f>
        <v>0.204152624694076</v>
      </c>
      <c r="AK6" s="4"/>
      <c r="AL6" s="4" t="n">
        <f aca="false">SUMPRODUCT(MAX((V6:AJ6&lt;0)*$V$3:$AJ$3))</f>
        <v>0</v>
      </c>
      <c r="AM6" s="10" t="n">
        <f aca="false">IF(AL6=0,0,IF(AL6=15,3.5+IFERROR(LN($B6/T6)/LN(1+SUMIFS('Realpage Data'!$AF$2:$AF$899,'Realpage Data'!$A$2:$A$899,$A6,'Realpage Data'!$F$2:$F$899,"YOY Effective Rent Change")),99),((AL6-1)+INDEX(V6:AJ6,1,AL6)/(INDEX(V6:AJ6,1,AL6)-INDEX(V6:AJ6,1,AL6+1)))/4))</f>
        <v>0</v>
      </c>
      <c r="AN6" s="4" t="str">
        <f aca="false">IF(AL6=15,"†","")</f>
        <v/>
      </c>
    </row>
    <row r="7" customFormat="false" ht="15" hidden="false" customHeight="false" outlineLevel="0" collapsed="false">
      <c r="A7" s="25" t="s">
        <v>24</v>
      </c>
      <c r="B7" s="6" t="n">
        <f aca="false">SUMIFS('Realpage Data'!$R$2:$R$899,'Realpage Data'!$A$2:$A$899,$A7,'Realpage Data'!$F$2:$F$899,"Rent Roll (Rev/OSF)")</f>
        <v>1.60177332888912</v>
      </c>
      <c r="C7" s="6" t="n">
        <f aca="false">SUMIFS('Realpage Data'!$O$2:$O$899,'Realpage Data'!$A$2:$A$899,$A7,'Realpage Data'!$F$2:$F$899,"Effective RPSF")</f>
        <v>1.728</v>
      </c>
      <c r="D7" s="6" t="n">
        <f aca="false">SUMIFS('Realpage Data'!$P$2:$P$899,'Realpage Data'!$A$2:$A$899,$A7,'Realpage Data'!$F$2:$F$899,"Effective RPSF")</f>
        <v>1.723</v>
      </c>
      <c r="E7" s="6" t="n">
        <f aca="false">SUMIFS('Realpage Data'!$Q$2:$Q$899,'Realpage Data'!$A$2:$A$899,$A7,'Realpage Data'!$F$2:$F$899,"Effective RPSF")</f>
        <v>1.76</v>
      </c>
      <c r="F7" s="6" t="n">
        <f aca="false">SUMIFS('Realpage Data'!$R$2:$R$899,'Realpage Data'!$A$2:$A$899,$A7,'Realpage Data'!$F$2:$F$899,"Effective RPSF")</f>
        <v>1.807</v>
      </c>
      <c r="G7" s="6" t="n">
        <f aca="false">C7*(1+SUMIFS('Realpage Data'!$S$2:$S$899,'Realpage Data'!$A$2:$A$899,$A7,'Realpage Data'!$F$2:$F$899,"YOY Effective Rent Change"))</f>
        <v>1.78848</v>
      </c>
      <c r="H7" s="6" t="n">
        <f aca="false">D7*(1+SUMIFS('Realpage Data'!$T$2:$T$899,'Realpage Data'!$A$2:$A$899,$A7,'Realpage Data'!$F$2:$F$899,"YOY Effective Rent Change"))</f>
        <v>1.785028</v>
      </c>
      <c r="I7" s="6" t="n">
        <f aca="false">E7*(1+SUMIFS('Realpage Data'!$U$2:$U$899,'Realpage Data'!$A$2:$A$899,$A7,'Realpage Data'!$F$2:$F$899,"YOY Effective Rent Change"))</f>
        <v>1.82512</v>
      </c>
      <c r="J7" s="6" t="n">
        <f aca="false">F7*(1+SUMIFS('Realpage Data'!$V$2:$V$899,'Realpage Data'!$A$2:$A$899,$A7,'Realpage Data'!$F$2:$F$899,"YOY Effective Rent Change"))</f>
        <v>1.870245</v>
      </c>
      <c r="K7" s="6" t="n">
        <f aca="false">G7*(1+SUMIFS('Realpage Data'!$W$2:$W$899,'Realpage Data'!$A$2:$A$899,$A7,'Realpage Data'!$F$2:$F$899,"YOY Effective Rent Change"))</f>
        <v>1.84392288</v>
      </c>
      <c r="L7" s="6" t="n">
        <f aca="false">H7*(1+SUMIFS('Realpage Data'!$X$2:$X$899,'Realpage Data'!$A$2:$A$899,$A7,'Realpage Data'!$F$2:$F$899,"YOY Effective Rent Change"))</f>
        <v>1.833223756</v>
      </c>
      <c r="M7" s="6" t="n">
        <f aca="false">I7*(1+SUMIFS('Realpage Data'!$Y$2:$Y$899,'Realpage Data'!$A$2:$A$899,$A7,'Realpage Data'!$F$2:$F$899,"YOY Effective Rent Change"))</f>
        <v>1.87257312</v>
      </c>
      <c r="N7" s="6" t="n">
        <f aca="false">J7*(1+SUMIFS('Realpage Data'!$Z$2:$Z$899,'Realpage Data'!$A$2:$A$899,$A7,'Realpage Data'!$F$2:$F$899,"YOY Effective Rent Change"))</f>
        <v>1.917001125</v>
      </c>
      <c r="O7" s="6" t="n">
        <f aca="false">K7*(1+SUMIFS('Realpage Data'!$AA$2:$AA$899,'Realpage Data'!$A$2:$A$899,$A7,'Realpage Data'!$F$2:$F$899,"YOY Effective Rent Change"))</f>
        <v>1.88817702912</v>
      </c>
      <c r="P7" s="6" t="n">
        <f aca="false">L7*(1+SUMIFS('Realpage Data'!$AB$2:$AB$899,'Realpage Data'!$A$2:$A$899,$A7,'Realpage Data'!$F$2:$F$899,"YOY Effective Rent Change"))</f>
        <v>1.875387902388</v>
      </c>
      <c r="Q7" s="6" t="n">
        <f aca="false">M7*(1+SUMIFS('Realpage Data'!$AC$2:$AC$899,'Realpage Data'!$A$2:$A$899,$A7,'Realpage Data'!$F$2:$F$899,"YOY Effective Rent Change"))</f>
        <v>1.91564230176</v>
      </c>
      <c r="R7" s="6" t="n">
        <f aca="false">N7*(1+SUMIFS('Realpage Data'!$AD$2:$AD$899,'Realpage Data'!$A$2:$A$899,$A7,'Realpage Data'!$F$2:$F$899,"YOY Effective Rent Change"))</f>
        <v>1.95917514975</v>
      </c>
      <c r="S7" s="6" t="n">
        <f aca="false">O7*(1+SUMIFS('Realpage Data'!$AE$2:$AE$899,'Realpage Data'!$A$2:$A$899,$A7,'Realpage Data'!$F$2:$F$899,"YOY Effective Rent Change"))</f>
        <v>1.92971692376064</v>
      </c>
      <c r="T7" s="6" t="n">
        <f aca="false">P7*(1+SUMIFS('Realpage Data'!$AF$2:$AF$899,'Realpage Data'!$A$2:$A$899,$A7,'Realpage Data'!$F$2:$F$899,"YOY Effective Rent Change"))</f>
        <v>1.91664643624054</v>
      </c>
      <c r="U7" s="4"/>
      <c r="V7" s="7" t="n">
        <f aca="false">F7/$B7-1</f>
        <v>0.12812466496318</v>
      </c>
      <c r="W7" s="7" t="n">
        <f aca="false">G7/$B7-1</f>
        <v>0.116562479686412</v>
      </c>
      <c r="X7" s="7" t="n">
        <f aca="false">H7/$B7-1</f>
        <v>0.114407368262255</v>
      </c>
      <c r="Y7" s="7" t="n">
        <f aca="false">I7/$B7-1</f>
        <v>0.139437127015826</v>
      </c>
      <c r="Z7" s="7" t="n">
        <f aca="false">J7/$B7-1</f>
        <v>0.167609028236891</v>
      </c>
      <c r="AA7" s="7" t="n">
        <f aca="false">K7/$B7-1</f>
        <v>0.151175916556691</v>
      </c>
      <c r="AB7" s="7" t="n">
        <f aca="false">L7/$B7-1</f>
        <v>0.144496367205336</v>
      </c>
      <c r="AC7" s="7" t="n">
        <f aca="false">M7/$B7-1</f>
        <v>0.169062492318238</v>
      </c>
      <c r="AD7" s="7" t="n">
        <f aca="false">N7/$B7-1</f>
        <v>0.196799253942813</v>
      </c>
      <c r="AE7" s="7" t="n">
        <f aca="false">O7/$B7-1</f>
        <v>0.178804138554052</v>
      </c>
      <c r="AF7" s="7" t="n">
        <f aca="false">P7/$B7-1</f>
        <v>0.170819783651058</v>
      </c>
      <c r="AG7" s="7" t="n">
        <f aca="false">Q7/$B7-1</f>
        <v>0.195950929641557</v>
      </c>
      <c r="AH7" s="7" t="n">
        <f aca="false">R7/$B7-1</f>
        <v>0.223128837529555</v>
      </c>
      <c r="AI7" s="7" t="n">
        <f aca="false">S7/$B7-1</f>
        <v>0.204737829602241</v>
      </c>
      <c r="AJ7" s="7" t="n">
        <f aca="false">T7/$B7-1</f>
        <v>0.196577818891382</v>
      </c>
      <c r="AK7" s="4"/>
      <c r="AL7" s="4" t="n">
        <f aca="false">SUMPRODUCT(MAX((V7:AJ7&lt;0)*$V$3:$AJ$3))</f>
        <v>0</v>
      </c>
      <c r="AM7" s="10" t="n">
        <f aca="false">IF(AL7=0,0,IF(AL7=15,3.5+IFERROR(LN($B7/T7)/LN(1+SUMIFS('Realpage Data'!$AF$2:$AF$899,'Realpage Data'!$A$2:$A$899,$A7,'Realpage Data'!$F$2:$F$899,"YOY Effective Rent Change")),99),((AL7-1)+INDEX(V7:AJ7,1,AL7)/(INDEX(V7:AJ7,1,AL7)-INDEX(V7:AJ7,1,AL7+1)))/4))</f>
        <v>0</v>
      </c>
      <c r="AN7" s="4" t="str">
        <f aca="false">IF(AL7=15,"†","")</f>
        <v/>
      </c>
    </row>
    <row r="8" customFormat="false" ht="15" hidden="false" customHeight="false" outlineLevel="0" collapsed="false">
      <c r="A8" s="25" t="s">
        <v>25</v>
      </c>
      <c r="B8" s="6" t="n">
        <f aca="false">SUMIFS('Realpage Data'!$R$2:$R$899,'Realpage Data'!$A$2:$A$899,$A8,'Realpage Data'!$F$2:$F$899,"Rent Roll (Rev/OSF)")</f>
        <v>1.81967735778447</v>
      </c>
      <c r="C8" s="6" t="n">
        <f aca="false">SUMIFS('Realpage Data'!$O$2:$O$899,'Realpage Data'!$A$2:$A$899,$A8,'Realpage Data'!$F$2:$F$899,"Effective RPSF")</f>
        <v>1.895</v>
      </c>
      <c r="D8" s="6" t="n">
        <f aca="false">SUMIFS('Realpage Data'!$P$2:$P$899,'Realpage Data'!$A$2:$A$899,$A8,'Realpage Data'!$F$2:$F$899,"Effective RPSF")</f>
        <v>1.897</v>
      </c>
      <c r="E8" s="6" t="n">
        <f aca="false">SUMIFS('Realpage Data'!$Q$2:$Q$899,'Realpage Data'!$A$2:$A$899,$A8,'Realpage Data'!$F$2:$F$899,"Effective RPSF")</f>
        <v>1.921</v>
      </c>
      <c r="F8" s="6" t="n">
        <f aca="false">SUMIFS('Realpage Data'!$R$2:$R$899,'Realpage Data'!$A$2:$A$899,$A8,'Realpage Data'!$F$2:$F$899,"Effective RPSF")</f>
        <v>2.008</v>
      </c>
      <c r="G8" s="6" t="n">
        <f aca="false">C8*(1+SUMIFS('Realpage Data'!$S$2:$S$899,'Realpage Data'!$A$2:$A$899,$A8,'Realpage Data'!$F$2:$F$899,"YOY Effective Rent Change"))</f>
        <v>2.010595</v>
      </c>
      <c r="H8" s="6" t="n">
        <f aca="false">D8*(1+SUMIFS('Realpage Data'!$T$2:$T$899,'Realpage Data'!$A$2:$A$899,$A8,'Realpage Data'!$F$2:$F$899,"YOY Effective Rent Change"))</f>
        <v>2.001335</v>
      </c>
      <c r="I8" s="6" t="n">
        <f aca="false">E8*(1+SUMIFS('Realpage Data'!$U$2:$U$899,'Realpage Data'!$A$2:$A$899,$A8,'Realpage Data'!$F$2:$F$899,"YOY Effective Rent Change"))</f>
        <v>2.011287</v>
      </c>
      <c r="J8" s="6" t="n">
        <f aca="false">F8*(1+SUMIFS('Realpage Data'!$V$2:$V$899,'Realpage Data'!$A$2:$A$899,$A8,'Realpage Data'!$F$2:$F$899,"YOY Effective Rent Change"))</f>
        <v>2.076272</v>
      </c>
      <c r="K8" s="6" t="n">
        <f aca="false">G8*(1+SUMIFS('Realpage Data'!$W$2:$W$899,'Realpage Data'!$A$2:$A$899,$A8,'Realpage Data'!$F$2:$F$899,"YOY Effective Rent Change"))</f>
        <v>2.084987015</v>
      </c>
      <c r="L8" s="6" t="n">
        <f aca="false">H8*(1+SUMIFS('Realpage Data'!$X$2:$X$899,'Realpage Data'!$A$2:$A$899,$A8,'Realpage Data'!$F$2:$F$899,"YOY Effective Rent Change"))</f>
        <v>2.06938039</v>
      </c>
      <c r="M8" s="6" t="n">
        <f aca="false">I8*(1+SUMIFS('Realpage Data'!$Y$2:$Y$899,'Realpage Data'!$A$2:$A$899,$A8,'Realpage Data'!$F$2:$F$899,"YOY Effective Rent Change"))</f>
        <v>2.079670758</v>
      </c>
      <c r="N8" s="6" t="n">
        <f aca="false">J8*(1+SUMIFS('Realpage Data'!$Z$2:$Z$899,'Realpage Data'!$A$2:$A$899,$A8,'Realpage Data'!$F$2:$F$899,"YOY Effective Rent Change"))</f>
        <v>2.153094064</v>
      </c>
      <c r="O8" s="6" t="n">
        <f aca="false">K8*(1+SUMIFS('Realpage Data'!$AA$2:$AA$899,'Realpage Data'!$A$2:$A$899,$A8,'Realpage Data'!$F$2:$F$899,"YOY Effective Rent Change"))</f>
        <v>2.182981404705</v>
      </c>
      <c r="P8" s="6" t="n">
        <f aca="false">L8*(1+SUMIFS('Realpage Data'!$AB$2:$AB$899,'Realpage Data'!$A$2:$A$899,$A8,'Realpage Data'!$F$2:$F$899,"YOY Effective Rent Change"))</f>
        <v>2.17078002911</v>
      </c>
      <c r="Q8" s="6" t="n">
        <f aca="false">M8*(1+SUMIFS('Realpage Data'!$AC$2:$AC$899,'Realpage Data'!$A$2:$A$899,$A8,'Realpage Data'!$F$2:$F$899,"YOY Effective Rent Change"))</f>
        <v>2.189893308174</v>
      </c>
      <c r="R8" s="6" t="n">
        <f aca="false">N8*(1+SUMIFS('Realpage Data'!$AD$2:$AD$899,'Realpage Data'!$A$2:$A$899,$A8,'Realpage Data'!$F$2:$F$899,"YOY Effective Rent Change"))</f>
        <v>2.2607487672</v>
      </c>
      <c r="S8" s="6" t="n">
        <f aca="false">O8*(1+SUMIFS('Realpage Data'!$AE$2:$AE$899,'Realpage Data'!$A$2:$A$899,$A8,'Realpage Data'!$F$2:$F$899,"YOY Effective Rent Change"))</f>
        <v>2.30522836336848</v>
      </c>
      <c r="T8" s="6" t="n">
        <f aca="false">P8*(1+SUMIFS('Realpage Data'!$AF$2:$AF$899,'Realpage Data'!$A$2:$A$899,$A8,'Realpage Data'!$F$2:$F$899,"YOY Effective Rent Change"))</f>
        <v>2.29451449076927</v>
      </c>
      <c r="U8" s="4"/>
      <c r="V8" s="7" t="n">
        <f aca="false">F8/$B8-1</f>
        <v>0.103492325938938</v>
      </c>
      <c r="W8" s="7" t="n">
        <f aca="false">G8/$B8-1</f>
        <v>0.104918402923904</v>
      </c>
      <c r="X8" s="7" t="n">
        <f aca="false">H8/$B8-1</f>
        <v>0.0998295887116556</v>
      </c>
      <c r="Y8" s="7" t="n">
        <f aca="false">I8/$B8-1</f>
        <v>0.105298690119895</v>
      </c>
      <c r="Z8" s="7" t="n">
        <f aca="false">J8/$B8-1</f>
        <v>0.141011065020862</v>
      </c>
      <c r="AA8" s="7" t="n">
        <f aca="false">K8/$B8-1</f>
        <v>0.145800383832088</v>
      </c>
      <c r="AB8" s="7" t="n">
        <f aca="false">L8/$B8-1</f>
        <v>0.137223794727852</v>
      </c>
      <c r="AC8" s="7" t="n">
        <f aca="false">M8/$B8-1</f>
        <v>0.142878845583971</v>
      </c>
      <c r="AD8" s="7" t="n">
        <f aca="false">N8/$B8-1</f>
        <v>0.183228474426633</v>
      </c>
      <c r="AE8" s="7" t="n">
        <f aca="false">O8/$B8-1</f>
        <v>0.199653001872196</v>
      </c>
      <c r="AF8" s="7" t="n">
        <f aca="false">P8/$B8-1</f>
        <v>0.192947760669516</v>
      </c>
      <c r="AG8" s="7" t="n">
        <f aca="false">Q8/$B8-1</f>
        <v>0.203451424399921</v>
      </c>
      <c r="AH8" s="7" t="n">
        <f aca="false">R8/$B8-1</f>
        <v>0.242389898147965</v>
      </c>
      <c r="AI8" s="7" t="n">
        <f aca="false">S8/$B8-1</f>
        <v>0.266833569977039</v>
      </c>
      <c r="AJ8" s="7" t="n">
        <f aca="false">T8/$B8-1</f>
        <v>0.260945783027679</v>
      </c>
      <c r="AK8" s="4"/>
      <c r="AL8" s="4" t="n">
        <f aca="false">SUMPRODUCT(MAX((V8:AJ8&lt;0)*$V$3:$AJ$3))</f>
        <v>0</v>
      </c>
      <c r="AM8" s="10" t="n">
        <f aca="false">IF(AL8=0,0,IF(AL8=15,3.5+IFERROR(LN($B8/T8)/LN(1+SUMIFS('Realpage Data'!$AF$2:$AF$899,'Realpage Data'!$A$2:$A$899,$A8,'Realpage Data'!$F$2:$F$899,"YOY Effective Rent Change")),99),((AL8-1)+INDEX(V8:AJ8,1,AL8)/(INDEX(V8:AJ8,1,AL8)-INDEX(V8:AJ8,1,AL8+1)))/4))</f>
        <v>0</v>
      </c>
      <c r="AN8" s="4" t="str">
        <f aca="false">IF(AL8=15,"†","")</f>
        <v/>
      </c>
    </row>
    <row r="9" customFormat="false" ht="15" hidden="false" customHeight="false" outlineLevel="0" collapsed="false">
      <c r="A9" s="25" t="s">
        <v>26</v>
      </c>
      <c r="B9" s="6" t="n">
        <f aca="false">SUMIFS('Realpage Data'!$R$2:$R$899,'Realpage Data'!$A$2:$A$899,$A9,'Realpage Data'!$F$2:$F$899,"Rent Roll (Rev/OSF)")</f>
        <v>1.07233950025415</v>
      </c>
      <c r="C9" s="6" t="n">
        <f aca="false">SUMIFS('Realpage Data'!$O$2:$O$899,'Realpage Data'!$A$2:$A$899,$A9,'Realpage Data'!$F$2:$F$899,"Effective RPSF")</f>
        <v>1.152</v>
      </c>
      <c r="D9" s="6" t="n">
        <f aca="false">SUMIFS('Realpage Data'!$P$2:$P$899,'Realpage Data'!$A$2:$A$899,$A9,'Realpage Data'!$F$2:$F$899,"Effective RPSF")</f>
        <v>1.145</v>
      </c>
      <c r="E9" s="6" t="n">
        <f aca="false">SUMIFS('Realpage Data'!$Q$2:$Q$899,'Realpage Data'!$A$2:$A$899,$A9,'Realpage Data'!$F$2:$F$899,"Effective RPSF")</f>
        <v>1.159</v>
      </c>
      <c r="F9" s="6" t="n">
        <f aca="false">SUMIFS('Realpage Data'!$R$2:$R$899,'Realpage Data'!$A$2:$A$899,$A9,'Realpage Data'!$F$2:$F$899,"Effective RPSF")</f>
        <v>1.173</v>
      </c>
      <c r="G9" s="6" t="n">
        <f aca="false">C9*(1+SUMIFS('Realpage Data'!$S$2:$S$899,'Realpage Data'!$A$2:$A$899,$A9,'Realpage Data'!$F$2:$F$899,"YOY Effective Rent Change"))</f>
        <v>1.190016</v>
      </c>
      <c r="H9" s="6" t="n">
        <f aca="false">D9*(1+SUMIFS('Realpage Data'!$T$2:$T$899,'Realpage Data'!$A$2:$A$899,$A9,'Realpage Data'!$F$2:$F$899,"YOY Effective Rent Change"))</f>
        <v>1.187365</v>
      </c>
      <c r="I9" s="6" t="n">
        <f aca="false">E9*(1+SUMIFS('Realpage Data'!$U$2:$U$899,'Realpage Data'!$A$2:$A$899,$A9,'Realpage Data'!$F$2:$F$899,"YOY Effective Rent Change"))</f>
        <v>1.196088</v>
      </c>
      <c r="J9" s="6" t="n">
        <f aca="false">F9*(1+SUMIFS('Realpage Data'!$V$2:$V$899,'Realpage Data'!$A$2:$A$899,$A9,'Realpage Data'!$F$2:$F$899,"YOY Effective Rent Change"))</f>
        <v>1.202325</v>
      </c>
      <c r="K9" s="6" t="n">
        <f aca="false">G9*(1+SUMIFS('Realpage Data'!$W$2:$W$899,'Realpage Data'!$A$2:$A$899,$A9,'Realpage Data'!$F$2:$F$899,"YOY Effective Rent Change"))</f>
        <v>1.216196352</v>
      </c>
      <c r="L9" s="6" t="n">
        <f aca="false">H9*(1+SUMIFS('Realpage Data'!$X$2:$X$899,'Realpage Data'!$A$2:$A$899,$A9,'Realpage Data'!$F$2:$F$899,"YOY Effective Rent Change"))</f>
        <v>1.219423855</v>
      </c>
      <c r="M9" s="6" t="n">
        <f aca="false">I9*(1+SUMIFS('Realpage Data'!$Y$2:$Y$899,'Realpage Data'!$A$2:$A$899,$A9,'Realpage Data'!$F$2:$F$899,"YOY Effective Rent Change"))</f>
        <v>1.227186288</v>
      </c>
      <c r="N9" s="6" t="n">
        <f aca="false">J9*(1+SUMIFS('Realpage Data'!$Z$2:$Z$899,'Realpage Data'!$A$2:$A$899,$A9,'Realpage Data'!$F$2:$F$899,"YOY Effective Rent Change"))</f>
        <v>1.23358545</v>
      </c>
      <c r="O9" s="6" t="n">
        <f aca="false">K9*(1+SUMIFS('Realpage Data'!$AA$2:$AA$899,'Realpage Data'!$A$2:$A$899,$A9,'Realpage Data'!$F$2:$F$899,"YOY Effective Rent Change"))</f>
        <v>1.244168868096</v>
      </c>
      <c r="P9" s="6" t="n">
        <f aca="false">L9*(1+SUMIFS('Realpage Data'!$AB$2:$AB$899,'Realpage Data'!$A$2:$A$899,$A9,'Realpage Data'!$F$2:$F$899,"YOY Effective Rent Change"))</f>
        <v>1.252348299085</v>
      </c>
      <c r="Q9" s="6" t="n">
        <f aca="false">M9*(1+SUMIFS('Realpage Data'!$AC$2:$AC$899,'Realpage Data'!$A$2:$A$899,$A9,'Realpage Data'!$F$2:$F$899,"YOY Effective Rent Change"))</f>
        <v>1.260320317776</v>
      </c>
      <c r="R9" s="6" t="n">
        <f aca="false">N9*(1+SUMIFS('Realpage Data'!$AD$2:$AD$899,'Realpage Data'!$A$2:$A$899,$A9,'Realpage Data'!$F$2:$F$899,"YOY Effective Rent Change"))</f>
        <v>1.2656586717</v>
      </c>
      <c r="S9" s="6" t="n">
        <f aca="false">O9*(1+SUMIFS('Realpage Data'!$AE$2:$AE$899,'Realpage Data'!$A$2:$A$899,$A9,'Realpage Data'!$F$2:$F$899,"YOY Effective Rent Change"))</f>
        <v>1.2752730897984</v>
      </c>
      <c r="T9" s="6" t="n">
        <f aca="false">P9*(1+SUMIFS('Realpage Data'!$AF$2:$AF$899,'Realpage Data'!$A$2:$A$899,$A9,'Realpage Data'!$F$2:$F$899,"YOY Effective Rent Change"))</f>
        <v>1.28490935486121</v>
      </c>
      <c r="U9" s="4"/>
      <c r="V9" s="7" t="n">
        <f aca="false">F9/$B9-1</f>
        <v>0.0938699914737768</v>
      </c>
      <c r="W9" s="7" t="n">
        <f aca="false">G9/$B9-1</f>
        <v>0.1097381004038</v>
      </c>
      <c r="X9" s="7" t="n">
        <f aca="false">H9/$B9-1</f>
        <v>0.10726593557226</v>
      </c>
      <c r="Y9" s="7" t="n">
        <f aca="false">I9/$B9-1</f>
        <v>0.115400486242018</v>
      </c>
      <c r="Z9" s="7" t="n">
        <f aca="false">J9/$B9-1</f>
        <v>0.121216741260621</v>
      </c>
      <c r="AA9" s="7" t="n">
        <f aca="false">K9/$B9-1</f>
        <v>0.134152338612684</v>
      </c>
      <c r="AB9" s="7" t="n">
        <f aca="false">L9/$B9-1</f>
        <v>0.137162115832711</v>
      </c>
      <c r="AC9" s="7" t="n">
        <f aca="false">M9/$B9-1</f>
        <v>0.14440089888431</v>
      </c>
      <c r="AD9" s="7" t="n">
        <f aca="false">N9/$B9-1</f>
        <v>0.150368376533397</v>
      </c>
      <c r="AE9" s="7" t="n">
        <f aca="false">O9/$B9-1</f>
        <v>0.160237842400775</v>
      </c>
      <c r="AF9" s="7" t="n">
        <f aca="false">P9/$B9-1</f>
        <v>0.167865492960194</v>
      </c>
      <c r="AG9" s="7" t="n">
        <f aca="false">Q9/$B9-1</f>
        <v>0.175299723154186</v>
      </c>
      <c r="AH9" s="7" t="n">
        <f aca="false">R9/$B9-1</f>
        <v>0.180277954323266</v>
      </c>
      <c r="AI9" s="7" t="n">
        <f aca="false">S9/$B9-1</f>
        <v>0.189243788460794</v>
      </c>
      <c r="AJ9" s="7" t="n">
        <f aca="false">T9/$B9-1</f>
        <v>0.198229995777159</v>
      </c>
      <c r="AK9" s="4"/>
      <c r="AL9" s="4" t="n">
        <f aca="false">SUMPRODUCT(MAX((V9:AJ9&lt;0)*$V$3:$AJ$3))</f>
        <v>0</v>
      </c>
      <c r="AM9" s="10" t="n">
        <f aca="false">IF(AL9=0,0,IF(AL9=15,3.5+IFERROR(LN($B9/T9)/LN(1+SUMIFS('Realpage Data'!$AF$2:$AF$899,'Realpage Data'!$A$2:$A$899,$A9,'Realpage Data'!$F$2:$F$899,"YOY Effective Rent Change")),99),((AL9-1)+INDEX(V9:AJ9,1,AL9)/(INDEX(V9:AJ9,1,AL9)-INDEX(V9:AJ9,1,AL9+1)))/4))</f>
        <v>0</v>
      </c>
      <c r="AN9" s="4" t="str">
        <f aca="false">IF(AL9=15,"†","")</f>
        <v/>
      </c>
    </row>
    <row r="10" customFormat="false" ht="15" hidden="false" customHeight="false" outlineLevel="0" collapsed="false">
      <c r="A10" s="25" t="s">
        <v>27</v>
      </c>
      <c r="B10" s="6" t="n">
        <f aca="false">SUMIFS('Realpage Data'!$R$2:$R$899,'Realpage Data'!$A$2:$A$899,$A10,'Realpage Data'!$F$2:$F$899,"Rent Roll (Rev/OSF)")</f>
        <v>1.57821759797185</v>
      </c>
      <c r="C10" s="6" t="n">
        <f aca="false">SUMIFS('Realpage Data'!$O$2:$O$899,'Realpage Data'!$A$2:$A$899,$A10,'Realpage Data'!$F$2:$F$899,"Effective RPSF")</f>
        <v>1.691</v>
      </c>
      <c r="D10" s="6" t="n">
        <f aca="false">SUMIFS('Realpage Data'!$P$2:$P$899,'Realpage Data'!$A$2:$A$899,$A10,'Realpage Data'!$F$2:$F$899,"Effective RPSF")</f>
        <v>1.647</v>
      </c>
      <c r="E10" s="6" t="n">
        <f aca="false">SUMIFS('Realpage Data'!$Q$2:$Q$899,'Realpage Data'!$A$2:$A$899,$A10,'Realpage Data'!$F$2:$F$899,"Effective RPSF")</f>
        <v>1.657</v>
      </c>
      <c r="F10" s="6" t="n">
        <f aca="false">SUMIFS('Realpage Data'!$R$2:$R$899,'Realpage Data'!$A$2:$A$899,$A10,'Realpage Data'!$F$2:$F$899,"Effective RPSF")</f>
        <v>1.695</v>
      </c>
      <c r="G10" s="6" t="n">
        <f aca="false">C10*(1+SUMIFS('Realpage Data'!$S$2:$S$899,'Realpage Data'!$A$2:$A$899,$A10,'Realpage Data'!$F$2:$F$899,"YOY Effective Rent Change"))</f>
        <v>1.677472</v>
      </c>
      <c r="H10" s="6" t="n">
        <f aca="false">D10*(1+SUMIFS('Realpage Data'!$T$2:$T$899,'Realpage Data'!$A$2:$A$899,$A10,'Realpage Data'!$F$2:$F$899,"YOY Effective Rent Change"))</f>
        <v>1.655235</v>
      </c>
      <c r="I10" s="6" t="n">
        <f aca="false">E10*(1+SUMIFS('Realpage Data'!$U$2:$U$899,'Realpage Data'!$A$2:$A$899,$A10,'Realpage Data'!$F$2:$F$899,"YOY Effective Rent Change"))</f>
        <v>1.693454</v>
      </c>
      <c r="J10" s="6" t="n">
        <f aca="false">F10*(1+SUMIFS('Realpage Data'!$V$2:$V$899,'Realpage Data'!$A$2:$A$899,$A10,'Realpage Data'!$F$2:$F$899,"YOY Effective Rent Change"))</f>
        <v>1.730595</v>
      </c>
      <c r="K10" s="6" t="n">
        <f aca="false">G10*(1+SUMIFS('Realpage Data'!$W$2:$W$899,'Realpage Data'!$A$2:$A$899,$A10,'Realpage Data'!$F$2:$F$899,"YOY Effective Rent Change"))</f>
        <v>1.716053856</v>
      </c>
      <c r="L10" s="6" t="n">
        <f aca="false">H10*(1+SUMIFS('Realpage Data'!$X$2:$X$899,'Realpage Data'!$A$2:$A$899,$A10,'Realpage Data'!$F$2:$F$899,"YOY Effective Rent Change"))</f>
        <v>1.693305405</v>
      </c>
      <c r="M10" s="6" t="n">
        <f aca="false">I10*(1+SUMIFS('Realpage Data'!$Y$2:$Y$899,'Realpage Data'!$A$2:$A$899,$A10,'Realpage Data'!$F$2:$F$899,"YOY Effective Rent Change"))</f>
        <v>1.732403442</v>
      </c>
      <c r="N10" s="6" t="n">
        <f aca="false">J10*(1+SUMIFS('Realpage Data'!$Z$2:$Z$899,'Realpage Data'!$A$2:$A$899,$A10,'Realpage Data'!$F$2:$F$899,"YOY Effective Rent Change"))</f>
        <v>1.770398685</v>
      </c>
      <c r="O10" s="6" t="n">
        <f aca="false">K10*(1+SUMIFS('Realpage Data'!$AA$2:$AA$899,'Realpage Data'!$A$2:$A$899,$A10,'Realpage Data'!$F$2:$F$899,"YOY Effective Rent Change"))</f>
        <v>1.757239148544</v>
      </c>
      <c r="P10" s="6" t="n">
        <f aca="false">L10*(1+SUMIFS('Realpage Data'!$AB$2:$AB$899,'Realpage Data'!$A$2:$A$899,$A10,'Realpage Data'!$F$2:$F$899,"YOY Effective Rent Change"))</f>
        <v>1.73394473472</v>
      </c>
      <c r="Q10" s="6" t="n">
        <f aca="false">M10*(1+SUMIFS('Realpage Data'!$AC$2:$AC$899,'Realpage Data'!$A$2:$A$899,$A10,'Realpage Data'!$F$2:$F$899,"YOY Effective Rent Change"))</f>
        <v>1.772248721166</v>
      </c>
      <c r="R10" s="6" t="n">
        <f aca="false">N10*(1+SUMIFS('Realpage Data'!$AD$2:$AD$899,'Realpage Data'!$A$2:$A$899,$A10,'Realpage Data'!$F$2:$F$899,"YOY Effective Rent Change"))</f>
        <v>1.81288825344</v>
      </c>
      <c r="S10" s="6" t="n">
        <f aca="false">O10*(1+SUMIFS('Realpage Data'!$AE$2:$AE$899,'Realpage Data'!$A$2:$A$899,$A10,'Realpage Data'!$F$2:$F$899,"YOY Effective Rent Change"))</f>
        <v>1.80292736640614</v>
      </c>
      <c r="T10" s="6" t="n">
        <f aca="false">P10*(1+SUMIFS('Realpage Data'!$AF$2:$AF$899,'Realpage Data'!$A$2:$A$899,$A10,'Realpage Data'!$F$2:$F$899,"YOY Effective Rent Change"))</f>
        <v>1.78076124255744</v>
      </c>
      <c r="U10" s="4"/>
      <c r="V10" s="7" t="n">
        <f aca="false">F10/$B10-1</f>
        <v>0.0739963881902113</v>
      </c>
      <c r="W10" s="7" t="n">
        <f aca="false">G10/$B10-1</f>
        <v>0.0628901883718054</v>
      </c>
      <c r="X10" s="7" t="n">
        <f aca="false">H10/$B10-1</f>
        <v>0.0488002428354124</v>
      </c>
      <c r="Y10" s="7" t="n">
        <f aca="false">I10/$B10-1</f>
        <v>0.0730168021039919</v>
      </c>
      <c r="Z10" s="7" t="n">
        <f aca="false">J10/$B10-1</f>
        <v>0.0965503123422056</v>
      </c>
      <c r="AA10" s="7" t="n">
        <f aca="false">K10/$B10-1</f>
        <v>0.0873366627043568</v>
      </c>
      <c r="AB10" s="7" t="n">
        <f aca="false">L10/$B10-1</f>
        <v>0.0729226484206269</v>
      </c>
      <c r="AC10" s="7" t="n">
        <f aca="false">M10/$B10-1</f>
        <v>0.0976961885523835</v>
      </c>
      <c r="AD10" s="7" t="n">
        <f aca="false">N10/$B10-1</f>
        <v>0.121770969526076</v>
      </c>
      <c r="AE10" s="7" t="n">
        <f aca="false">O10/$B10-1</f>
        <v>0.113432742609261</v>
      </c>
      <c r="AF10" s="7" t="n">
        <f aca="false">P10/$B10-1</f>
        <v>0.0986727919827219</v>
      </c>
      <c r="AG10" s="7" t="n">
        <f aca="false">Q10/$B10-1</f>
        <v>0.122943200889088</v>
      </c>
      <c r="AH10" s="7" t="n">
        <f aca="false">R10/$B10-1</f>
        <v>0.148693472794702</v>
      </c>
      <c r="AI10" s="7" t="n">
        <f aca="false">S10/$B10-1</f>
        <v>0.142381993917102</v>
      </c>
      <c r="AJ10" s="7" t="n">
        <f aca="false">T10/$B10-1</f>
        <v>0.128336957366255</v>
      </c>
      <c r="AK10" s="4"/>
      <c r="AL10" s="4" t="n">
        <f aca="false">SUMPRODUCT(MAX((V10:AJ10&lt;0)*$V$3:$AJ$3))</f>
        <v>0</v>
      </c>
      <c r="AM10" s="10" t="n">
        <f aca="false">IF(AL10=0,0,IF(AL10=15,3.5+IFERROR(LN($B10/T10)/LN(1+SUMIFS('Realpage Data'!$AF$2:$AF$899,'Realpage Data'!$A$2:$A$899,$A10,'Realpage Data'!$F$2:$F$899,"YOY Effective Rent Change")),99),((AL10-1)+INDEX(V10:AJ10,1,AL10)/(INDEX(V10:AJ10,1,AL10)-INDEX(V10:AJ10,1,AL10+1)))/4))</f>
        <v>0</v>
      </c>
      <c r="AN10" s="4" t="str">
        <f aca="false">IF(AL10=15,"†","")</f>
        <v/>
      </c>
    </row>
    <row r="11" customFormat="false" ht="15" hidden="false" customHeight="false" outlineLevel="0" collapsed="false">
      <c r="A11" s="25" t="s">
        <v>28</v>
      </c>
      <c r="B11" s="6" t="n">
        <f aca="false">SUMIFS('Realpage Data'!$R$2:$R$899,'Realpage Data'!$A$2:$A$899,$A11,'Realpage Data'!$F$2:$F$899,"Rent Roll (Rev/OSF)")</f>
        <v>1.76337901828346</v>
      </c>
      <c r="C11" s="6" t="n">
        <f aca="false">SUMIFS('Realpage Data'!$O$2:$O$899,'Realpage Data'!$A$2:$A$899,$A11,'Realpage Data'!$F$2:$F$899,"Effective RPSF")</f>
        <v>1.891</v>
      </c>
      <c r="D11" s="6" t="n">
        <f aca="false">SUMIFS('Realpage Data'!$P$2:$P$899,'Realpage Data'!$A$2:$A$899,$A11,'Realpage Data'!$F$2:$F$899,"Effective RPSF")</f>
        <v>1.86</v>
      </c>
      <c r="E11" s="6" t="n">
        <f aca="false">SUMIFS('Realpage Data'!$Q$2:$Q$899,'Realpage Data'!$A$2:$A$899,$A11,'Realpage Data'!$F$2:$F$899,"Effective RPSF")</f>
        <v>1.888</v>
      </c>
      <c r="F11" s="6" t="n">
        <f aca="false">SUMIFS('Realpage Data'!$R$2:$R$899,'Realpage Data'!$A$2:$A$899,$A11,'Realpage Data'!$F$2:$F$899,"Effective RPSF")</f>
        <v>1.877</v>
      </c>
      <c r="G11" s="6" t="n">
        <f aca="false">C11*(1+SUMIFS('Realpage Data'!$S$2:$S$899,'Realpage Data'!$A$2:$A$899,$A11,'Realpage Data'!$F$2:$F$899,"YOY Effective Rent Change"))</f>
        <v>1.891</v>
      </c>
      <c r="H11" s="6" t="n">
        <f aca="false">D11*(1+SUMIFS('Realpage Data'!$T$2:$T$899,'Realpage Data'!$A$2:$A$899,$A11,'Realpage Data'!$F$2:$F$899,"YOY Effective Rent Change"))</f>
        <v>1.86744</v>
      </c>
      <c r="I11" s="6" t="n">
        <f aca="false">E11*(1+SUMIFS('Realpage Data'!$U$2:$U$899,'Realpage Data'!$A$2:$A$899,$A11,'Realpage Data'!$F$2:$F$899,"YOY Effective Rent Change"))</f>
        <v>1.914432</v>
      </c>
      <c r="J11" s="6" t="n">
        <f aca="false">F11*(1+SUMIFS('Realpage Data'!$V$2:$V$899,'Realpage Data'!$A$2:$A$899,$A11,'Realpage Data'!$F$2:$F$899,"YOY Effective Rent Change"))</f>
        <v>1.91454</v>
      </c>
      <c r="K11" s="6" t="n">
        <f aca="false">G11*(1+SUMIFS('Realpage Data'!$W$2:$W$899,'Realpage Data'!$A$2:$A$899,$A11,'Realpage Data'!$F$2:$F$899,"YOY Effective Rent Change"))</f>
        <v>1.942057</v>
      </c>
      <c r="L11" s="6" t="n">
        <f aca="false">H11*(1+SUMIFS('Realpage Data'!$X$2:$X$899,'Realpage Data'!$A$2:$A$899,$A11,'Realpage Data'!$F$2:$F$899,"YOY Effective Rent Change"))</f>
        <v>1.92719808</v>
      </c>
      <c r="M11" s="6" t="n">
        <f aca="false">I11*(1+SUMIFS('Realpage Data'!$Y$2:$Y$899,'Realpage Data'!$A$2:$A$899,$A11,'Realpage Data'!$F$2:$F$899,"YOY Effective Rent Change"))</f>
        <v>1.977608256</v>
      </c>
      <c r="N11" s="6" t="n">
        <f aca="false">J11*(1+SUMIFS('Realpage Data'!$Z$2:$Z$899,'Realpage Data'!$A$2:$A$899,$A11,'Realpage Data'!$F$2:$F$899,"YOY Effective Rent Change"))</f>
        <v>1.98920706</v>
      </c>
      <c r="O11" s="6" t="n">
        <f aca="false">K11*(1+SUMIFS('Realpage Data'!$AA$2:$AA$899,'Realpage Data'!$A$2:$A$899,$A11,'Realpage Data'!$F$2:$F$899,"YOY Effective Rent Change"))</f>
        <v>2.029449565</v>
      </c>
      <c r="P11" s="6" t="n">
        <f aca="false">L11*(1+SUMIFS('Realpage Data'!$AB$2:$AB$899,'Realpage Data'!$A$2:$A$899,$A11,'Realpage Data'!$F$2:$F$899,"YOY Effective Rent Change"))</f>
        <v>2.01777638976</v>
      </c>
      <c r="Q11" s="6" t="n">
        <f aca="false">M11*(1+SUMIFS('Realpage Data'!$AC$2:$AC$899,'Realpage Data'!$A$2:$A$899,$A11,'Realpage Data'!$F$2:$F$899,"YOY Effective Rent Change"))</f>
        <v>2.060667802752</v>
      </c>
      <c r="R11" s="6" t="n">
        <f aca="false">N11*(1+SUMIFS('Realpage Data'!$AD$2:$AD$899,'Realpage Data'!$A$2:$A$899,$A11,'Realpage Data'!$F$2:$F$899,"YOY Effective Rent Change"))</f>
        <v>2.07275375652</v>
      </c>
      <c r="S11" s="6" t="n">
        <f aca="false">O11*(1+SUMIFS('Realpage Data'!$AE$2:$AE$899,'Realpage Data'!$A$2:$A$899,$A11,'Realpage Data'!$F$2:$F$899,"YOY Effective Rent Change"))</f>
        <v>2.11468644673</v>
      </c>
      <c r="T11" s="6" t="n">
        <f aca="false">P11*(1+SUMIFS('Realpage Data'!$AF$2:$AF$899,'Realpage Data'!$A$2:$A$899,$A11,'Realpage Data'!$F$2:$F$899,"YOY Effective Rent Change"))</f>
        <v>2.10050522174016</v>
      </c>
      <c r="U11" s="4"/>
      <c r="V11" s="7" t="n">
        <f aca="false">F11/$B11-1</f>
        <v>0.0644336699815902</v>
      </c>
      <c r="W11" s="7" t="n">
        <f aca="false">G11/$B11-1</f>
        <v>0.0723729727944522</v>
      </c>
      <c r="X11" s="7" t="n">
        <f aca="false">H11/$B11-1</f>
        <v>0.0590122603465215</v>
      </c>
      <c r="Y11" s="7" t="n">
        <f aca="false">I11/$B11-1</f>
        <v>0.0856610973309513</v>
      </c>
      <c r="Z11" s="7" t="n">
        <f aca="false">J11/$B11-1</f>
        <v>0.085722343381222</v>
      </c>
      <c r="AA11" s="7" t="n">
        <f aca="false">K11/$B11-1</f>
        <v>0.101327043059902</v>
      </c>
      <c r="AB11" s="7" t="n">
        <f aca="false">L11/$B11-1</f>
        <v>0.0929006526776104</v>
      </c>
      <c r="AC11" s="7" t="n">
        <f aca="false">M11/$B11-1</f>
        <v>0.121487913542872</v>
      </c>
      <c r="AD11" s="7" t="n">
        <f aca="false">N11/$B11-1</f>
        <v>0.12806551477309</v>
      </c>
      <c r="AE11" s="7" t="n">
        <f aca="false">O11/$B11-1</f>
        <v>0.150886759997598</v>
      </c>
      <c r="AF11" s="7" t="n">
        <f aca="false">P11/$B11-1</f>
        <v>0.144266983353458</v>
      </c>
      <c r="AG11" s="7" t="n">
        <f aca="false">Q11/$B11-1</f>
        <v>0.168590405911673</v>
      </c>
      <c r="AH11" s="7" t="n">
        <f aca="false">R11/$B11-1</f>
        <v>0.175444266393559</v>
      </c>
      <c r="AI11" s="7" t="n">
        <f aca="false">S11/$B11-1</f>
        <v>0.199224003917497</v>
      </c>
      <c r="AJ11" s="7" t="n">
        <f aca="false">T11/$B11-1</f>
        <v>0.19118192967095</v>
      </c>
      <c r="AK11" s="4"/>
      <c r="AL11" s="4" t="n">
        <f aca="false">SUMPRODUCT(MAX((V11:AJ11&lt;0)*$V$3:$AJ$3))</f>
        <v>0</v>
      </c>
      <c r="AM11" s="10" t="n">
        <f aca="false">IF(AL11=0,0,IF(AL11=15,3.5+IFERROR(LN($B11/T11)/LN(1+SUMIFS('Realpage Data'!$AF$2:$AF$899,'Realpage Data'!$A$2:$A$899,$A11,'Realpage Data'!$F$2:$F$899,"YOY Effective Rent Change")),99),((AL11-1)+INDEX(V11:AJ11,1,AL11)/(INDEX(V11:AJ11,1,AL11)-INDEX(V11:AJ11,1,AL11+1)))/4))</f>
        <v>0</v>
      </c>
      <c r="AN11" s="4" t="str">
        <f aca="false">IF(AL11=15,"†","")</f>
        <v/>
      </c>
    </row>
    <row r="12" customFormat="false" ht="15" hidden="false" customHeight="false" outlineLevel="0" collapsed="false">
      <c r="A12" s="25" t="s">
        <v>29</v>
      </c>
      <c r="B12" s="6" t="n">
        <f aca="false">SUMIFS('Realpage Data'!$R$2:$R$899,'Realpage Data'!$A$2:$A$899,$A12,'Realpage Data'!$F$2:$F$899,"Rent Roll (Rev/OSF)")</f>
        <v>1.42323320809454</v>
      </c>
      <c r="C12" s="6" t="n">
        <f aca="false">SUMIFS('Realpage Data'!$O$2:$O$899,'Realpage Data'!$A$2:$A$899,$A12,'Realpage Data'!$F$2:$F$899,"Effective RPSF")</f>
        <v>1.486</v>
      </c>
      <c r="D12" s="6" t="n">
        <f aca="false">SUMIFS('Realpage Data'!$P$2:$P$899,'Realpage Data'!$A$2:$A$899,$A12,'Realpage Data'!$F$2:$F$899,"Effective RPSF")</f>
        <v>1.453</v>
      </c>
      <c r="E12" s="6" t="n">
        <f aca="false">SUMIFS('Realpage Data'!$Q$2:$Q$899,'Realpage Data'!$A$2:$A$899,$A12,'Realpage Data'!$F$2:$F$899,"Effective RPSF")</f>
        <v>1.47</v>
      </c>
      <c r="F12" s="6" t="n">
        <f aca="false">SUMIFS('Realpage Data'!$R$2:$R$899,'Realpage Data'!$A$2:$A$899,$A12,'Realpage Data'!$F$2:$F$899,"Effective RPSF")</f>
        <v>1.494</v>
      </c>
      <c r="G12" s="6" t="n">
        <f aca="false">C12*(1+SUMIFS('Realpage Data'!$S$2:$S$899,'Realpage Data'!$A$2:$A$899,$A12,'Realpage Data'!$F$2:$F$899,"YOY Effective Rent Change"))</f>
        <v>1.488972</v>
      </c>
      <c r="H12" s="6" t="n">
        <f aca="false">D12*(1+SUMIFS('Realpage Data'!$T$2:$T$899,'Realpage Data'!$A$2:$A$899,$A12,'Realpage Data'!$F$2:$F$899,"YOY Effective Rent Change"))</f>
        <v>1.461718</v>
      </c>
      <c r="I12" s="6" t="n">
        <f aca="false">E12*(1+SUMIFS('Realpage Data'!$U$2:$U$899,'Realpage Data'!$A$2:$A$899,$A12,'Realpage Data'!$F$2:$F$899,"YOY Effective Rent Change"))</f>
        <v>1.48764</v>
      </c>
      <c r="J12" s="6" t="n">
        <f aca="false">F12*(1+SUMIFS('Realpage Data'!$V$2:$V$899,'Realpage Data'!$A$2:$A$899,$A12,'Realpage Data'!$F$2:$F$899,"YOY Effective Rent Change"))</f>
        <v>1.525374</v>
      </c>
      <c r="K12" s="6" t="n">
        <f aca="false">G12*(1+SUMIFS('Realpage Data'!$W$2:$W$899,'Realpage Data'!$A$2:$A$899,$A12,'Realpage Data'!$F$2:$F$899,"YOY Effective Rent Change"))</f>
        <v>1.536619104</v>
      </c>
      <c r="L12" s="6" t="n">
        <f aca="false">H12*(1+SUMIFS('Realpage Data'!$X$2:$X$899,'Realpage Data'!$A$2:$A$899,$A12,'Realpage Data'!$F$2:$F$899,"YOY Effective Rent Change"))</f>
        <v>1.509954694</v>
      </c>
      <c r="M12" s="6" t="n">
        <f aca="false">I12*(1+SUMIFS('Realpage Data'!$Y$2:$Y$899,'Realpage Data'!$A$2:$A$899,$A12,'Realpage Data'!$F$2:$F$899,"YOY Effective Rent Change"))</f>
        <v>1.53524448</v>
      </c>
      <c r="N12" s="6" t="n">
        <f aca="false">J12*(1+SUMIFS('Realpage Data'!$Z$2:$Z$899,'Realpage Data'!$A$2:$A$899,$A12,'Realpage Data'!$F$2:$F$899,"YOY Effective Rent Change"))</f>
        <v>1.572660594</v>
      </c>
      <c r="O12" s="6" t="n">
        <f aca="false">K12*(1+SUMIFS('Realpage Data'!$AA$2:$AA$899,'Realpage Data'!$A$2:$A$899,$A12,'Realpage Data'!$F$2:$F$899,"YOY Effective Rent Change"))</f>
        <v>1.585790915328</v>
      </c>
      <c r="P12" s="6" t="n">
        <f aca="false">L12*(1+SUMIFS('Realpage Data'!$AB$2:$AB$899,'Realpage Data'!$A$2:$A$899,$A12,'Realpage Data'!$F$2:$F$899,"YOY Effective Rent Change"))</f>
        <v>1.558273244208</v>
      </c>
      <c r="Q12" s="6" t="n">
        <f aca="false">M12*(1+SUMIFS('Realpage Data'!$AC$2:$AC$899,'Realpage Data'!$A$2:$A$899,$A12,'Realpage Data'!$F$2:$F$899,"YOY Effective Rent Change"))</f>
        <v>1.58283705888</v>
      </c>
      <c r="R12" s="6" t="n">
        <f aca="false">N12*(1+SUMIFS('Realpage Data'!$AD$2:$AD$899,'Realpage Data'!$A$2:$A$899,$A12,'Realpage Data'!$F$2:$F$899,"YOY Effective Rent Change"))</f>
        <v>1.621413072414</v>
      </c>
      <c r="S12" s="6" t="n">
        <f aca="false">O12*(1+SUMIFS('Realpage Data'!$AE$2:$AE$899,'Realpage Data'!$A$2:$A$899,$A12,'Realpage Data'!$F$2:$F$899,"YOY Effective Rent Change"))</f>
        <v>1.63495043370317</v>
      </c>
      <c r="T12" s="6" t="n">
        <f aca="false">P12*(1+SUMIFS('Realpage Data'!$AF$2:$AF$899,'Realpage Data'!$A$2:$A$899,$A12,'Realpage Data'!$F$2:$F$899,"YOY Effective Rent Change"))</f>
        <v>1.60657971477845</v>
      </c>
      <c r="U12" s="4"/>
      <c r="V12" s="7" t="n">
        <f aca="false">F12/$B12-1</f>
        <v>0.0497225553078573</v>
      </c>
      <c r="W12" s="7" t="n">
        <f aca="false">G12/$B12-1</f>
        <v>0.0461897540976244</v>
      </c>
      <c r="X12" s="7" t="n">
        <f aca="false">H12/$B12-1</f>
        <v>0.0270403976569549</v>
      </c>
      <c r="Y12" s="7" t="n">
        <f aca="false">I12/$B12-1</f>
        <v>0.0452538568796392</v>
      </c>
      <c r="Z12" s="7" t="n">
        <f aca="false">J12/$B12-1</f>
        <v>0.0717667289693222</v>
      </c>
      <c r="AA12" s="7" t="n">
        <f aca="false">K12/$B12-1</f>
        <v>0.0796678262287485</v>
      </c>
      <c r="AB12" s="7" t="n">
        <f aca="false">L12/$B12-1</f>
        <v>0.0609327307796344</v>
      </c>
      <c r="AC12" s="7" t="n">
        <f aca="false">M12/$B12-1</f>
        <v>0.0787019802997877</v>
      </c>
      <c r="AD12" s="7" t="n">
        <f aca="false">N12/$B12-1</f>
        <v>0.104991497567371</v>
      </c>
      <c r="AE12" s="7" t="n">
        <f aca="false">O12/$B12-1</f>
        <v>0.114217196668068</v>
      </c>
      <c r="AF12" s="7" t="n">
        <f aca="false">P12/$B12-1</f>
        <v>0.0948825781645828</v>
      </c>
      <c r="AG12" s="7" t="n">
        <f aca="false">Q12/$B12-1</f>
        <v>0.112141741689081</v>
      </c>
      <c r="AH12" s="7" t="n">
        <f aca="false">R12/$B12-1</f>
        <v>0.139246233991959</v>
      </c>
      <c r="AI12" s="7" t="n">
        <f aca="false">S12/$B12-1</f>
        <v>0.148757929764778</v>
      </c>
      <c r="AJ12" s="7" t="n">
        <f aca="false">T12/$B12-1</f>
        <v>0.128823938087685</v>
      </c>
      <c r="AK12" s="4"/>
      <c r="AL12" s="4" t="n">
        <f aca="false">SUMPRODUCT(MAX((V12:AJ12&lt;0)*$V$3:$AJ$3))</f>
        <v>0</v>
      </c>
      <c r="AM12" s="10" t="n">
        <f aca="false">IF(AL12=0,0,IF(AL12=15,3.5+IFERROR(LN($B12/T12)/LN(1+SUMIFS('Realpage Data'!$AF$2:$AF$899,'Realpage Data'!$A$2:$A$899,$A12,'Realpage Data'!$F$2:$F$899,"YOY Effective Rent Change")),99),((AL12-1)+INDEX(V12:AJ12,1,AL12)/(INDEX(V12:AJ12,1,AL12)-INDEX(V12:AJ12,1,AL12+1)))/4))</f>
        <v>0</v>
      </c>
      <c r="AN12" s="4" t="str">
        <f aca="false">IF(AL12=15,"†","")</f>
        <v/>
      </c>
    </row>
    <row r="13" customFormat="false" ht="15" hidden="false" customHeight="false" outlineLevel="0" collapsed="false">
      <c r="A13" s="25" t="s">
        <v>30</v>
      </c>
      <c r="B13" s="6" t="n">
        <f aca="false">SUMIFS('Realpage Data'!$R$2:$R$899,'Realpage Data'!$A$2:$A$899,$A13,'Realpage Data'!$F$2:$F$899,"Rent Roll (Rev/OSF)")</f>
        <v>1.74321933907364</v>
      </c>
      <c r="C13" s="6" t="n">
        <f aca="false">SUMIFS('Realpage Data'!$O$2:$O$899,'Realpage Data'!$A$2:$A$899,$A13,'Realpage Data'!$F$2:$F$899,"Effective RPSF")</f>
        <v>1.751</v>
      </c>
      <c r="D13" s="6" t="n">
        <f aca="false">SUMIFS('Realpage Data'!$P$2:$P$899,'Realpage Data'!$A$2:$A$899,$A13,'Realpage Data'!$F$2:$F$899,"Effective RPSF")</f>
        <v>1.71</v>
      </c>
      <c r="E13" s="6" t="n">
        <f aca="false">SUMIFS('Realpage Data'!$Q$2:$Q$899,'Realpage Data'!$A$2:$A$899,$A13,'Realpage Data'!$F$2:$F$899,"Effective RPSF")</f>
        <v>1.743</v>
      </c>
      <c r="F13" s="6" t="n">
        <f aca="false">SUMIFS('Realpage Data'!$R$2:$R$899,'Realpage Data'!$A$2:$A$899,$A13,'Realpage Data'!$F$2:$F$899,"Effective RPSF")</f>
        <v>1.824</v>
      </c>
      <c r="G13" s="6" t="n">
        <f aca="false">C13*(1+SUMIFS('Realpage Data'!$S$2:$S$899,'Realpage Data'!$A$2:$A$899,$A13,'Realpage Data'!$F$2:$F$899,"YOY Effective Rent Change"))</f>
        <v>1.829795</v>
      </c>
      <c r="H13" s="6" t="n">
        <f aca="false">D13*(1+SUMIFS('Realpage Data'!$T$2:$T$899,'Realpage Data'!$A$2:$A$899,$A13,'Realpage Data'!$F$2:$F$899,"YOY Effective Rent Change"))</f>
        <v>1.78695</v>
      </c>
      <c r="I13" s="6" t="n">
        <f aca="false">E13*(1+SUMIFS('Realpage Data'!$U$2:$U$899,'Realpage Data'!$A$2:$A$899,$A13,'Realpage Data'!$F$2:$F$899,"YOY Effective Rent Change"))</f>
        <v>1.823178</v>
      </c>
      <c r="J13" s="6" t="n">
        <f aca="false">F13*(1+SUMIFS('Realpage Data'!$V$2:$V$899,'Realpage Data'!$A$2:$A$899,$A13,'Realpage Data'!$F$2:$F$899,"YOY Effective Rent Change"))</f>
        <v>1.92432</v>
      </c>
      <c r="K13" s="6" t="n">
        <f aca="false">G13*(1+SUMIFS('Realpage Data'!$W$2:$W$899,'Realpage Data'!$A$2:$A$899,$A13,'Realpage Data'!$F$2:$F$899,"YOY Effective Rent Change"))</f>
        <v>1.937752905</v>
      </c>
      <c r="L13" s="6" t="n">
        <f aca="false">H13*(1+SUMIFS('Realpage Data'!$X$2:$X$899,'Realpage Data'!$A$2:$A$899,$A13,'Realpage Data'!$F$2:$F$899,"YOY Effective Rent Change"))</f>
        <v>1.88165835</v>
      </c>
      <c r="M13" s="6" t="n">
        <f aca="false">I13*(1+SUMIFS('Realpage Data'!$Y$2:$Y$899,'Realpage Data'!$A$2:$A$899,$A13,'Realpage Data'!$F$2:$F$899,"YOY Effective Rent Change"))</f>
        <v>1.907044188</v>
      </c>
      <c r="N13" s="6" t="n">
        <f aca="false">J13*(1+SUMIFS('Realpage Data'!$Z$2:$Z$899,'Realpage Data'!$A$2:$A$899,$A13,'Realpage Data'!$F$2:$F$899,"YOY Effective Rent Change"))</f>
        <v>2.00899008</v>
      </c>
      <c r="O13" s="6" t="n">
        <f aca="false">K13*(1+SUMIFS('Realpage Data'!$AA$2:$AA$899,'Realpage Data'!$A$2:$A$899,$A13,'Realpage Data'!$F$2:$F$899,"YOY Effective Rent Change"))</f>
        <v>2.032702797345</v>
      </c>
      <c r="P13" s="6" t="n">
        <f aca="false">L13*(1+SUMIFS('Realpage Data'!$AB$2:$AB$899,'Realpage Data'!$A$2:$A$899,$A13,'Realpage Data'!$F$2:$F$899,"YOY Effective Rent Change"))</f>
        <v>1.9719779508</v>
      </c>
      <c r="Q13" s="6" t="n">
        <f aca="false">M13*(1+SUMIFS('Realpage Data'!$AC$2:$AC$899,'Realpage Data'!$A$2:$A$899,$A13,'Realpage Data'!$F$2:$F$899,"YOY Effective Rent Change"))</f>
        <v>2.000489353212</v>
      </c>
      <c r="R13" s="6" t="n">
        <f aca="false">N13*(1+SUMIFS('Realpage Data'!$AD$2:$AD$899,'Realpage Data'!$A$2:$A$899,$A13,'Realpage Data'!$F$2:$F$899,"YOY Effective Rent Change"))</f>
        <v>2.09738564352</v>
      </c>
      <c r="S13" s="6" t="n">
        <f aca="false">O13*(1+SUMIFS('Realpage Data'!$AE$2:$AE$899,'Realpage Data'!$A$2:$A$899,$A13,'Realpage Data'!$F$2:$F$899,"YOY Effective Rent Change"))</f>
        <v>2.1323052344149</v>
      </c>
      <c r="T13" s="6" t="n">
        <f aca="false">P13*(1+SUMIFS('Realpage Data'!$AF$2:$AF$899,'Realpage Data'!$A$2:$A$899,$A13,'Realpage Data'!$F$2:$F$899,"YOY Effective Rent Change"))</f>
        <v>2.0686048703892</v>
      </c>
      <c r="U13" s="4"/>
      <c r="V13" s="7" t="n">
        <f aca="false">F13/$B13-1</f>
        <v>0.0463399292995967</v>
      </c>
      <c r="W13" s="7" t="n">
        <f aca="false">G13/$B13-1</f>
        <v>0.0496642384499755</v>
      </c>
      <c r="X13" s="7" t="n">
        <f aca="false">H13/$B13-1</f>
        <v>0.0250861494856987</v>
      </c>
      <c r="Y13" s="7" t="n">
        <f aca="false">I13/$B13-1</f>
        <v>0.0458683879498796</v>
      </c>
      <c r="Z13" s="7" t="n">
        <f aca="false">J13/$B13-1</f>
        <v>0.103888625411074</v>
      </c>
      <c r="AA13" s="7" t="n">
        <f aca="false">K13/$B13-1</f>
        <v>0.111594428518524</v>
      </c>
      <c r="AB13" s="7" t="n">
        <f aca="false">L13/$B13-1</f>
        <v>0.0794157154084405</v>
      </c>
      <c r="AC13" s="7" t="n">
        <f aca="false">M13/$B13-1</f>
        <v>0.093978333795574</v>
      </c>
      <c r="AD13" s="7" t="n">
        <f aca="false">N13/$B13-1</f>
        <v>0.152459724929162</v>
      </c>
      <c r="AE13" s="7" t="n">
        <f aca="false">O13/$B13-1</f>
        <v>0.166062555515932</v>
      </c>
      <c r="AF13" s="7" t="n">
        <f aca="false">P13/$B13-1</f>
        <v>0.131227669748046</v>
      </c>
      <c r="AG13" s="7" t="n">
        <f aca="false">Q13/$B13-1</f>
        <v>0.147583272151557</v>
      </c>
      <c r="AH13" s="7" t="n">
        <f aca="false">R13/$B13-1</f>
        <v>0.203167952826045</v>
      </c>
      <c r="AI13" s="7" t="n">
        <f aca="false">S13/$B13-1</f>
        <v>0.223199620736212</v>
      </c>
      <c r="AJ13" s="7" t="n">
        <f aca="false">T13/$B13-1</f>
        <v>0.1866578255657</v>
      </c>
      <c r="AK13" s="4"/>
      <c r="AL13" s="4" t="n">
        <f aca="false">SUMPRODUCT(MAX((V13:AJ13&lt;0)*$V$3:$AJ$3))</f>
        <v>0</v>
      </c>
      <c r="AM13" s="10" t="n">
        <f aca="false">IF(AL13=0,0,IF(AL13=15,3.5+IFERROR(LN($B13/T13)/LN(1+SUMIFS('Realpage Data'!$AF$2:$AF$899,'Realpage Data'!$A$2:$A$899,$A13,'Realpage Data'!$F$2:$F$899,"YOY Effective Rent Change")),99),((AL13-1)+INDEX(V13:AJ13,1,AL13)/(INDEX(V13:AJ13,1,AL13)-INDEX(V13:AJ13,1,AL13+1)))/4))</f>
        <v>0</v>
      </c>
      <c r="AN13" s="4" t="str">
        <f aca="false">IF(AL13=15,"†","")</f>
        <v/>
      </c>
    </row>
    <row r="14" customFormat="false" ht="15" hidden="false" customHeight="false" outlineLevel="0" collapsed="false">
      <c r="A14" s="25" t="s">
        <v>31</v>
      </c>
      <c r="B14" s="6" t="n">
        <f aca="false">SUMIFS('Realpage Data'!$R$2:$R$899,'Realpage Data'!$A$2:$A$899,$A14,'Realpage Data'!$F$2:$F$899,"Rent Roll (Rev/OSF)")</f>
        <v>1.71619874132329</v>
      </c>
      <c r="C14" s="6" t="n">
        <f aca="false">SUMIFS('Realpage Data'!$O$2:$O$899,'Realpage Data'!$A$2:$A$899,$A14,'Realpage Data'!$F$2:$F$899,"Effective RPSF")</f>
        <v>1.756</v>
      </c>
      <c r="D14" s="6" t="n">
        <f aca="false">SUMIFS('Realpage Data'!$P$2:$P$899,'Realpage Data'!$A$2:$A$899,$A14,'Realpage Data'!$F$2:$F$899,"Effective RPSF")</f>
        <v>1.733</v>
      </c>
      <c r="E14" s="6" t="n">
        <f aca="false">SUMIFS('Realpage Data'!$Q$2:$Q$899,'Realpage Data'!$A$2:$A$899,$A14,'Realpage Data'!$F$2:$F$899,"Effective RPSF")</f>
        <v>1.757</v>
      </c>
      <c r="F14" s="6" t="n">
        <f aca="false">SUMIFS('Realpage Data'!$R$2:$R$899,'Realpage Data'!$A$2:$A$899,$A14,'Realpage Data'!$F$2:$F$899,"Effective RPSF")</f>
        <v>1.793</v>
      </c>
      <c r="G14" s="6" t="n">
        <f aca="false">C14*(1+SUMIFS('Realpage Data'!$S$2:$S$899,'Realpage Data'!$A$2:$A$899,$A14,'Realpage Data'!$F$2:$F$899,"YOY Effective Rent Change"))</f>
        <v>1.780584</v>
      </c>
      <c r="H14" s="6" t="n">
        <f aca="false">D14*(1+SUMIFS('Realpage Data'!$T$2:$T$899,'Realpage Data'!$A$2:$A$899,$A14,'Realpage Data'!$F$2:$F$899,"YOY Effective Rent Change"))</f>
        <v>1.758995</v>
      </c>
      <c r="I14" s="6" t="n">
        <f aca="false">E14*(1+SUMIFS('Realpage Data'!$U$2:$U$899,'Realpage Data'!$A$2:$A$899,$A14,'Realpage Data'!$F$2:$F$899,"YOY Effective Rent Change"))</f>
        <v>1.788626</v>
      </c>
      <c r="J14" s="6" t="n">
        <f aca="false">F14*(1+SUMIFS('Realpage Data'!$V$2:$V$899,'Realpage Data'!$A$2:$A$899,$A14,'Realpage Data'!$F$2:$F$899,"YOY Effective Rent Change"))</f>
        <v>1.830653</v>
      </c>
      <c r="K14" s="6" t="n">
        <f aca="false">G14*(1+SUMIFS('Realpage Data'!$W$2:$W$899,'Realpage Data'!$A$2:$A$899,$A14,'Realpage Data'!$F$2:$F$899,"YOY Effective Rent Change"))</f>
        <v>1.826879184</v>
      </c>
      <c r="L14" s="6" t="n">
        <f aca="false">H14*(1+SUMIFS('Realpage Data'!$X$2:$X$899,'Realpage Data'!$A$2:$A$899,$A14,'Realpage Data'!$F$2:$F$899,"YOY Effective Rent Change"))</f>
        <v>1.813523845</v>
      </c>
      <c r="M14" s="6" t="n">
        <f aca="false">I14*(1+SUMIFS('Realpage Data'!$Y$2:$Y$899,'Realpage Data'!$A$2:$A$899,$A14,'Realpage Data'!$F$2:$F$899,"YOY Effective Rent Change"))</f>
        <v>1.853016536</v>
      </c>
      <c r="N14" s="6" t="n">
        <f aca="false">J14*(1+SUMIFS('Realpage Data'!$Z$2:$Z$899,'Realpage Data'!$A$2:$A$899,$A14,'Realpage Data'!$F$2:$F$899,"YOY Effective Rent Change"))</f>
        <v>1.896556508</v>
      </c>
      <c r="O14" s="6" t="n">
        <f aca="false">K14*(1+SUMIFS('Realpage Data'!$AA$2:$AA$899,'Realpage Data'!$A$2:$A$899,$A14,'Realpage Data'!$F$2:$F$899,"YOY Effective Rent Change"))</f>
        <v>1.89081995544</v>
      </c>
      <c r="P14" s="6" t="n">
        <f aca="false">L14*(1+SUMIFS('Realpage Data'!$AB$2:$AB$899,'Realpage Data'!$A$2:$A$899,$A14,'Realpage Data'!$F$2:$F$899,"YOY Effective Rent Change"))</f>
        <v>1.87518365573</v>
      </c>
      <c r="Q14" s="6" t="n">
        <f aca="false">M14*(1+SUMIFS('Realpage Data'!$AC$2:$AC$899,'Realpage Data'!$A$2:$A$899,$A14,'Realpage Data'!$F$2:$F$899,"YOY Effective Rent Change"))</f>
        <v>1.914166081688</v>
      </c>
      <c r="R14" s="6" t="n">
        <f aca="false">N14*(1+SUMIFS('Realpage Data'!$AD$2:$AD$899,'Realpage Data'!$A$2:$A$899,$A14,'Realpage Data'!$F$2:$F$899,"YOY Effective Rent Change"))</f>
        <v>1.959142872764</v>
      </c>
      <c r="S14" s="6" t="n">
        <f aca="false">O14*(1+SUMIFS('Realpage Data'!$AE$2:$AE$899,'Realpage Data'!$A$2:$A$899,$A14,'Realpage Data'!$F$2:$F$899,"YOY Effective Rent Change"))</f>
        <v>1.95321701396952</v>
      </c>
      <c r="T14" s="6" t="n">
        <f aca="false">P14*(1+SUMIFS('Realpage Data'!$AF$2:$AF$899,'Realpage Data'!$A$2:$A$899,$A14,'Realpage Data'!$F$2:$F$899,"YOY Effective Rent Change"))</f>
        <v>1.93518953271336</v>
      </c>
      <c r="U14" s="4"/>
      <c r="V14" s="7" t="n">
        <f aca="false">F14/$B14-1</f>
        <v>0.044750795363883</v>
      </c>
      <c r="W14" s="7" t="n">
        <f aca="false">G14/$B14-1</f>
        <v>0.0375162020146147</v>
      </c>
      <c r="X14" s="7" t="n">
        <f aca="false">H14/$B14-1</f>
        <v>0.0249366566040676</v>
      </c>
      <c r="Y14" s="7" t="n">
        <f aca="false">I14/$B14-1</f>
        <v>0.0422021394916454</v>
      </c>
      <c r="Z14" s="7" t="n">
        <f aca="false">J14/$B14-1</f>
        <v>0.0666905620665244</v>
      </c>
      <c r="AA14" s="7" t="n">
        <f aca="false">K14/$B14-1</f>
        <v>0.0644916232669948</v>
      </c>
      <c r="AB14" s="7" t="n">
        <f aca="false">L14/$B14-1</f>
        <v>0.0567096929587936</v>
      </c>
      <c r="AC14" s="7" t="n">
        <f aca="false">M14/$B14-1</f>
        <v>0.0797214165133449</v>
      </c>
      <c r="AD14" s="7" t="n">
        <f aca="false">N14/$B14-1</f>
        <v>0.105091422300919</v>
      </c>
      <c r="AE14" s="7" t="n">
        <f aca="false">O14/$B14-1</f>
        <v>0.101748830081339</v>
      </c>
      <c r="AF14" s="7" t="n">
        <f aca="false">P14/$B14-1</f>
        <v>0.0926378225193927</v>
      </c>
      <c r="AG14" s="7" t="n">
        <f aca="false">Q14/$B14-1</f>
        <v>0.115352223258285</v>
      </c>
      <c r="AH14" s="7" t="n">
        <f aca="false">R14/$B14-1</f>
        <v>0.14155943923685</v>
      </c>
      <c r="AI14" s="7" t="n">
        <f aca="false">S14/$B14-1</f>
        <v>0.138106541474024</v>
      </c>
      <c r="AJ14" s="7" t="n">
        <f aca="false">T14/$B14-1</f>
        <v>0.127602232840013</v>
      </c>
      <c r="AK14" s="4"/>
      <c r="AL14" s="4" t="n">
        <f aca="false">SUMPRODUCT(MAX((V14:AJ14&lt;0)*$V$3:$AJ$3))</f>
        <v>0</v>
      </c>
      <c r="AM14" s="10" t="n">
        <f aca="false">IF(AL14=0,0,IF(AL14=15,3.5+IFERROR(LN($B14/T14)/LN(1+SUMIFS('Realpage Data'!$AF$2:$AF$899,'Realpage Data'!$A$2:$A$899,$A14,'Realpage Data'!$F$2:$F$899,"YOY Effective Rent Change")),99),((AL14-1)+INDEX(V14:AJ14,1,AL14)/(INDEX(V14:AJ14,1,AL14)-INDEX(V14:AJ14,1,AL14+1)))/4))</f>
        <v>0</v>
      </c>
      <c r="AN14" s="4" t="str">
        <f aca="false">IF(AL14=15,"†","")</f>
        <v/>
      </c>
    </row>
    <row r="15" customFormat="false" ht="15" hidden="false" customHeight="false" outlineLevel="0" collapsed="false">
      <c r="A15" s="25" t="s">
        <v>32</v>
      </c>
      <c r="B15" s="6" t="n">
        <f aca="false">SUMIFS('Realpage Data'!$R$2:$R$899,'Realpage Data'!$A$2:$A$899,$A15,'Realpage Data'!$F$2:$F$899,"Rent Roll (Rev/OSF)")</f>
        <v>1.6742534436739</v>
      </c>
      <c r="C15" s="6" t="n">
        <f aca="false">SUMIFS('Realpage Data'!$O$2:$O$899,'Realpage Data'!$A$2:$A$899,$A15,'Realpage Data'!$F$2:$F$899,"Effective RPSF")</f>
        <v>1.667</v>
      </c>
      <c r="D15" s="6" t="n">
        <f aca="false">SUMIFS('Realpage Data'!$P$2:$P$899,'Realpage Data'!$A$2:$A$899,$A15,'Realpage Data'!$F$2:$F$899,"Effective RPSF")</f>
        <v>1.677</v>
      </c>
      <c r="E15" s="6" t="n">
        <f aca="false">SUMIFS('Realpage Data'!$Q$2:$Q$899,'Realpage Data'!$A$2:$A$899,$A15,'Realpage Data'!$F$2:$F$899,"Effective RPSF")</f>
        <v>1.71</v>
      </c>
      <c r="F15" s="6" t="n">
        <f aca="false">SUMIFS('Realpage Data'!$R$2:$R$899,'Realpage Data'!$A$2:$A$899,$A15,'Realpage Data'!$F$2:$F$899,"Effective RPSF")</f>
        <v>1.746</v>
      </c>
      <c r="G15" s="6" t="n">
        <f aca="false">C15*(1+SUMIFS('Realpage Data'!$S$2:$S$899,'Realpage Data'!$A$2:$A$899,$A15,'Realpage Data'!$F$2:$F$899,"YOY Effective Rent Change"))</f>
        <v>1.748683</v>
      </c>
      <c r="H15" s="6" t="n">
        <f aca="false">D15*(1+SUMIFS('Realpage Data'!$T$2:$T$899,'Realpage Data'!$A$2:$A$899,$A15,'Realpage Data'!$F$2:$F$899,"YOY Effective Rent Change"))</f>
        <v>1.749111</v>
      </c>
      <c r="I15" s="6" t="n">
        <f aca="false">E15*(1+SUMIFS('Realpage Data'!$U$2:$U$899,'Realpage Data'!$A$2:$A$899,$A15,'Realpage Data'!$F$2:$F$899,"YOY Effective Rent Change"))</f>
        <v>1.7613</v>
      </c>
      <c r="J15" s="6" t="n">
        <f aca="false">F15*(1+SUMIFS('Realpage Data'!$V$2:$V$899,'Realpage Data'!$A$2:$A$899,$A15,'Realpage Data'!$F$2:$F$899,"YOY Effective Rent Change"))</f>
        <v>1.786158</v>
      </c>
      <c r="K15" s="6" t="n">
        <f aca="false">G15*(1+SUMIFS('Realpage Data'!$W$2:$W$899,'Realpage Data'!$A$2:$A$899,$A15,'Realpage Data'!$F$2:$F$899,"YOY Effective Rent Change"))</f>
        <v>1.795897441</v>
      </c>
      <c r="L15" s="6" t="n">
        <f aca="false">H15*(1+SUMIFS('Realpage Data'!$X$2:$X$899,'Realpage Data'!$A$2:$A$899,$A15,'Realpage Data'!$F$2:$F$899,"YOY Effective Rent Change"))</f>
        <v>1.794587886</v>
      </c>
      <c r="M15" s="6" t="n">
        <f aca="false">I15*(1+SUMIFS('Realpage Data'!$Y$2:$Y$899,'Realpage Data'!$A$2:$A$899,$A15,'Realpage Data'!$F$2:$F$899,"YOY Effective Rent Change"))</f>
        <v>1.8053325</v>
      </c>
      <c r="N15" s="6" t="n">
        <f aca="false">J15*(1+SUMIFS('Realpage Data'!$Z$2:$Z$899,'Realpage Data'!$A$2:$A$899,$A15,'Realpage Data'!$F$2:$F$899,"YOY Effective Rent Change"))</f>
        <v>1.823667318</v>
      </c>
      <c r="O15" s="6" t="n">
        <f aca="false">K15*(1+SUMIFS('Realpage Data'!$AA$2:$AA$899,'Realpage Data'!$A$2:$A$899,$A15,'Realpage Data'!$F$2:$F$899,"YOY Effective Rent Change"))</f>
        <v>1.838998979584</v>
      </c>
      <c r="P15" s="6" t="n">
        <f aca="false">L15*(1+SUMIFS('Realpage Data'!$AB$2:$AB$899,'Realpage Data'!$A$2:$A$899,$A15,'Realpage Data'!$F$2:$F$899,"YOY Effective Rent Change"))</f>
        <v>1.83945258315</v>
      </c>
      <c r="Q15" s="6" t="n">
        <f aca="false">M15*(1+SUMIFS('Realpage Data'!$AC$2:$AC$899,'Realpage Data'!$A$2:$A$899,$A15,'Realpage Data'!$F$2:$F$899,"YOY Effective Rent Change"))</f>
        <v>1.84866048</v>
      </c>
      <c r="R15" s="6" t="n">
        <f aca="false">N15*(1+SUMIFS('Realpage Data'!$AD$2:$AD$899,'Realpage Data'!$A$2:$A$899,$A15,'Realpage Data'!$F$2:$F$899,"YOY Effective Rent Change"))</f>
        <v>1.858316997042</v>
      </c>
      <c r="S15" s="6" t="n">
        <f aca="false">O15*(1+SUMIFS('Realpage Data'!$AE$2:$AE$899,'Realpage Data'!$A$2:$A$899,$A15,'Realpage Data'!$F$2:$F$899,"YOY Effective Rent Change"))</f>
        <v>1.8739399601961</v>
      </c>
      <c r="T15" s="6" t="n">
        <f aca="false">P15*(1+SUMIFS('Realpage Data'!$AF$2:$AF$899,'Realpage Data'!$A$2:$A$899,$A15,'Realpage Data'!$F$2:$F$899,"YOY Effective Rent Change"))</f>
        <v>1.88175999256245</v>
      </c>
      <c r="U15" s="4"/>
      <c r="V15" s="7" t="n">
        <f aca="false">F15/$B15-1</f>
        <v>0.0428528647184148</v>
      </c>
      <c r="W15" s="7" t="n">
        <f aca="false">G15/$B15-1</f>
        <v>0.0444553700082428</v>
      </c>
      <c r="X15" s="7" t="n">
        <f aca="false">H15/$B15-1</f>
        <v>0.0447110063347602</v>
      </c>
      <c r="Y15" s="7" t="n">
        <f aca="false">I15/$B15-1</f>
        <v>0.0519912661102773</v>
      </c>
      <c r="Z15" s="7" t="n">
        <f aca="false">J15/$B15-1</f>
        <v>0.0668384806069384</v>
      </c>
      <c r="AA15" s="7" t="n">
        <f aca="false">K15/$B15-1</f>
        <v>0.0726556649984653</v>
      </c>
      <c r="AB15" s="7" t="n">
        <f aca="false">L15/$B15-1</f>
        <v>0.071873492499464</v>
      </c>
      <c r="AC15" s="7" t="n">
        <f aca="false">M15/$B15-1</f>
        <v>0.0782910477630343</v>
      </c>
      <c r="AD15" s="7" t="n">
        <f aca="false">N15/$B15-1</f>
        <v>0.0892420886996841</v>
      </c>
      <c r="AE15" s="7" t="n">
        <f aca="false">O15/$B15-1</f>
        <v>0.0983994009584286</v>
      </c>
      <c r="AF15" s="7" t="n">
        <f aca="false">P15/$B15-1</f>
        <v>0.0986703298119505</v>
      </c>
      <c r="AG15" s="7" t="n">
        <f aca="false">Q15/$B15-1</f>
        <v>0.104170032909347</v>
      </c>
      <c r="AH15" s="7" t="n">
        <f aca="false">R15/$B15-1</f>
        <v>0.109937688384978</v>
      </c>
      <c r="AI15" s="7" t="n">
        <f aca="false">S15/$B15-1</f>
        <v>0.119268989576639</v>
      </c>
      <c r="AJ15" s="7" t="n">
        <f aca="false">T15/$B15-1</f>
        <v>0.123939747397625</v>
      </c>
      <c r="AK15" s="4"/>
      <c r="AL15" s="4" t="n">
        <f aca="false">SUMPRODUCT(MAX((V15:AJ15&lt;0)*$V$3:$AJ$3))</f>
        <v>0</v>
      </c>
      <c r="AM15" s="10" t="n">
        <f aca="false">IF(AL15=0,0,IF(AL15=15,3.5+IFERROR(LN($B15/T15)/LN(1+SUMIFS('Realpage Data'!$AF$2:$AF$899,'Realpage Data'!$A$2:$A$899,$A15,'Realpage Data'!$F$2:$F$899,"YOY Effective Rent Change")),99),((AL15-1)+INDEX(V15:AJ15,1,AL15)/(INDEX(V15:AJ15,1,AL15)-INDEX(V15:AJ15,1,AL15+1)))/4))</f>
        <v>0</v>
      </c>
      <c r="AN15" s="4" t="str">
        <f aca="false">IF(AL15=15,"†","")</f>
        <v/>
      </c>
    </row>
    <row r="16" customFormat="false" ht="15" hidden="false" customHeight="false" outlineLevel="0" collapsed="false">
      <c r="A16" s="25" t="s">
        <v>33</v>
      </c>
      <c r="B16" s="6" t="n">
        <f aca="false">SUMIFS('Realpage Data'!$R$2:$R$899,'Realpage Data'!$A$2:$A$899,$A16,'Realpage Data'!$F$2:$F$899,"Rent Roll (Rev/OSF)")</f>
        <v>2.83465072372167</v>
      </c>
      <c r="C16" s="6" t="n">
        <f aca="false">SUMIFS('Realpage Data'!$O$2:$O$899,'Realpage Data'!$A$2:$A$899,$A16,'Realpage Data'!$F$2:$F$899,"Effective RPSF")</f>
        <v>2.912</v>
      </c>
      <c r="D16" s="6" t="n">
        <f aca="false">SUMIFS('Realpage Data'!$P$2:$P$899,'Realpage Data'!$A$2:$A$899,$A16,'Realpage Data'!$F$2:$F$899,"Effective RPSF")</f>
        <v>2.903</v>
      </c>
      <c r="E16" s="6" t="n">
        <f aca="false">SUMIFS('Realpage Data'!$Q$2:$Q$899,'Realpage Data'!$A$2:$A$899,$A16,'Realpage Data'!$F$2:$F$899,"Effective RPSF")</f>
        <v>2.913</v>
      </c>
      <c r="F16" s="6" t="n">
        <f aca="false">SUMIFS('Realpage Data'!$R$2:$R$899,'Realpage Data'!$A$2:$A$899,$A16,'Realpage Data'!$F$2:$F$899,"Effective RPSF")</f>
        <v>2.946</v>
      </c>
      <c r="G16" s="6" t="n">
        <f aca="false">C16*(1+SUMIFS('Realpage Data'!$S$2:$S$899,'Realpage Data'!$A$2:$A$899,$A16,'Realpage Data'!$F$2:$F$899,"YOY Effective Rent Change"))</f>
        <v>2.923648</v>
      </c>
      <c r="H16" s="6" t="n">
        <f aca="false">D16*(1+SUMIFS('Realpage Data'!$T$2:$T$899,'Realpage Data'!$A$2:$A$899,$A16,'Realpage Data'!$F$2:$F$899,"YOY Effective Rent Change"))</f>
        <v>2.934933</v>
      </c>
      <c r="I16" s="6" t="n">
        <f aca="false">E16*(1+SUMIFS('Realpage Data'!$U$2:$U$899,'Realpage Data'!$A$2:$A$899,$A16,'Realpage Data'!$F$2:$F$899,"YOY Effective Rent Change"))</f>
        <v>2.988738</v>
      </c>
      <c r="J16" s="6" t="n">
        <f aca="false">F16*(1+SUMIFS('Realpage Data'!$V$2:$V$899,'Realpage Data'!$A$2:$A$899,$A16,'Realpage Data'!$F$2:$F$899,"YOY Effective Rent Change"))</f>
        <v>3.046164</v>
      </c>
      <c r="K16" s="6" t="n">
        <f aca="false">G16*(1+SUMIFS('Realpage Data'!$W$2:$W$899,'Realpage Data'!$A$2:$A$899,$A16,'Realpage Data'!$F$2:$F$899,"YOY Effective Rent Change"))</f>
        <v>3.020128384</v>
      </c>
      <c r="L16" s="6" t="n">
        <f aca="false">H16*(1+SUMIFS('Realpage Data'!$X$2:$X$899,'Realpage Data'!$A$2:$A$899,$A16,'Realpage Data'!$F$2:$F$899,"YOY Effective Rent Change"))</f>
        <v>3.037655655</v>
      </c>
      <c r="M16" s="6" t="n">
        <f aca="false">I16*(1+SUMIFS('Realpage Data'!$Y$2:$Y$899,'Realpage Data'!$A$2:$A$899,$A16,'Realpage Data'!$F$2:$F$899,"YOY Effective Rent Change"))</f>
        <v>3.081388878</v>
      </c>
      <c r="N16" s="6" t="n">
        <f aca="false">J16*(1+SUMIFS('Realpage Data'!$Z$2:$Z$899,'Realpage Data'!$A$2:$A$899,$A16,'Realpage Data'!$F$2:$F$899,"YOY Effective Rent Change"))</f>
        <v>3.143641248</v>
      </c>
      <c r="O16" s="6" t="n">
        <f aca="false">K16*(1+SUMIFS('Realpage Data'!$AA$2:$AA$899,'Realpage Data'!$A$2:$A$899,$A16,'Realpage Data'!$F$2:$F$899,"YOY Effective Rent Change"))</f>
        <v>3.137913390976</v>
      </c>
      <c r="P16" s="6" t="n">
        <f aca="false">L16*(1+SUMIFS('Realpage Data'!$AB$2:$AB$899,'Realpage Data'!$A$2:$A$899,$A16,'Realpage Data'!$F$2:$F$899,"YOY Effective Rent Change"))</f>
        <v>3.1591618812</v>
      </c>
      <c r="Q16" s="6" t="n">
        <f aca="false">M16*(1+SUMIFS('Realpage Data'!$AC$2:$AC$899,'Realpage Data'!$A$2:$A$899,$A16,'Realpage Data'!$F$2:$F$899,"YOY Effective Rent Change"))</f>
        <v>3.201563044242</v>
      </c>
      <c r="R16" s="6" t="n">
        <f aca="false">N16*(1+SUMIFS('Realpage Data'!$AD$2:$AD$899,'Realpage Data'!$A$2:$A$899,$A16,'Realpage Data'!$F$2:$F$899,"YOY Effective Rent Change"))</f>
        <v>3.263099615424</v>
      </c>
      <c r="S16" s="6" t="n">
        <f aca="false">O16*(1+SUMIFS('Realpage Data'!$AE$2:$AE$899,'Realpage Data'!$A$2:$A$899,$A16,'Realpage Data'!$F$2:$F$899,"YOY Effective Rent Change"))</f>
        <v>3.26342992661504</v>
      </c>
      <c r="T16" s="6" t="n">
        <f aca="false">P16*(1+SUMIFS('Realpage Data'!$AF$2:$AF$899,'Realpage Data'!$A$2:$A$899,$A16,'Realpage Data'!$F$2:$F$899,"YOY Effective Rent Change"))</f>
        <v>3.2792100326856</v>
      </c>
      <c r="U16" s="4"/>
      <c r="V16" s="7" t="n">
        <f aca="false">F16/$B16-1</f>
        <v>0.0392814802001928</v>
      </c>
      <c r="W16" s="7" t="n">
        <f aca="false">G16/$B16-1</f>
        <v>0.031396205371464</v>
      </c>
      <c r="X16" s="7" t="n">
        <f aca="false">H16/$B16-1</f>
        <v>0.0353772954950415</v>
      </c>
      <c r="Y16" s="7" t="n">
        <f aca="false">I16/$B16-1</f>
        <v>0.0543584699832191</v>
      </c>
      <c r="Z16" s="7" t="n">
        <f aca="false">J16/$B16-1</f>
        <v>0.0746170505269994</v>
      </c>
      <c r="AA16" s="7" t="n">
        <f aca="false">K16/$B16-1</f>
        <v>0.0654322801487224</v>
      </c>
      <c r="AB16" s="7" t="n">
        <f aca="false">L16/$B16-1</f>
        <v>0.0716155008373678</v>
      </c>
      <c r="AC16" s="7" t="n">
        <f aca="false">M16/$B16-1</f>
        <v>0.0870435825526987</v>
      </c>
      <c r="AD16" s="7" t="n">
        <f aca="false">N16/$B16-1</f>
        <v>0.109004796143863</v>
      </c>
      <c r="AE16" s="7" t="n">
        <f aca="false">O16/$B16-1</f>
        <v>0.106984139074523</v>
      </c>
      <c r="AF16" s="7" t="n">
        <f aca="false">P16/$B16-1</f>
        <v>0.114480120870863</v>
      </c>
      <c r="AG16" s="7" t="n">
        <f aca="false">Q16/$B16-1</f>
        <v>0.129438282272254</v>
      </c>
      <c r="AH16" s="7" t="n">
        <f aca="false">R16/$B16-1</f>
        <v>0.15114697839733</v>
      </c>
      <c r="AI16" s="7" t="n">
        <f aca="false">S16/$B16-1</f>
        <v>0.151263504637504</v>
      </c>
      <c r="AJ16" s="7" t="n">
        <f aca="false">T16/$B16-1</f>
        <v>0.156830365463955</v>
      </c>
      <c r="AK16" s="4"/>
      <c r="AL16" s="4" t="n">
        <f aca="false">SUMPRODUCT(MAX((V16:AJ16&lt;0)*$V$3:$AJ$3))</f>
        <v>0</v>
      </c>
      <c r="AM16" s="10" t="n">
        <f aca="false">IF(AL16=0,0,IF(AL16=15,3.5+IFERROR(LN($B16/T16)/LN(1+SUMIFS('Realpage Data'!$AF$2:$AF$899,'Realpage Data'!$A$2:$A$899,$A16,'Realpage Data'!$F$2:$F$899,"YOY Effective Rent Change")),99),((AL16-1)+INDEX(V16:AJ16,1,AL16)/(INDEX(V16:AJ16,1,AL16)-INDEX(V16:AJ16,1,AL16+1)))/4))</f>
        <v>0</v>
      </c>
      <c r="AN16" s="4" t="str">
        <f aca="false">IF(AL16=15,"†","")</f>
        <v/>
      </c>
    </row>
    <row r="17" customFormat="false" ht="15" hidden="false" customHeight="false" outlineLevel="0" collapsed="false">
      <c r="A17" s="25" t="s">
        <v>34</v>
      </c>
      <c r="B17" s="6" t="n">
        <f aca="false">SUMIFS('Realpage Data'!$R$2:$R$899,'Realpage Data'!$A$2:$A$899,$A17,'Realpage Data'!$F$2:$F$899,"Rent Roll (Rev/OSF)")</f>
        <v>1.38387713635167</v>
      </c>
      <c r="C17" s="6" t="n">
        <f aca="false">SUMIFS('Realpage Data'!$O$2:$O$899,'Realpage Data'!$A$2:$A$899,$A17,'Realpage Data'!$F$2:$F$899,"Effective RPSF")</f>
        <v>1.424</v>
      </c>
      <c r="D17" s="6" t="n">
        <f aca="false">SUMIFS('Realpage Data'!$P$2:$P$899,'Realpage Data'!$A$2:$A$899,$A17,'Realpage Data'!$F$2:$F$899,"Effective RPSF")</f>
        <v>1.411</v>
      </c>
      <c r="E17" s="6" t="n">
        <f aca="false">SUMIFS('Realpage Data'!$Q$2:$Q$899,'Realpage Data'!$A$2:$A$899,$A17,'Realpage Data'!$F$2:$F$899,"Effective RPSF")</f>
        <v>1.415</v>
      </c>
      <c r="F17" s="6" t="n">
        <f aca="false">SUMIFS('Realpage Data'!$R$2:$R$899,'Realpage Data'!$A$2:$A$899,$A17,'Realpage Data'!$F$2:$F$899,"Effective RPSF")</f>
        <v>1.431</v>
      </c>
      <c r="G17" s="6" t="n">
        <f aca="false">C17*(1+SUMIFS('Realpage Data'!$S$2:$S$899,'Realpage Data'!$A$2:$A$899,$A17,'Realpage Data'!$F$2:$F$899,"YOY Effective Rent Change"))</f>
        <v>1.436816</v>
      </c>
      <c r="H17" s="6" t="n">
        <f aca="false">D17*(1+SUMIFS('Realpage Data'!$T$2:$T$899,'Realpage Data'!$A$2:$A$899,$A17,'Realpage Data'!$F$2:$F$899,"YOY Effective Rent Change"))</f>
        <v>1.436398</v>
      </c>
      <c r="I17" s="6" t="n">
        <f aca="false">E17*(1+SUMIFS('Realpage Data'!$U$2:$U$899,'Realpage Data'!$A$2:$A$899,$A17,'Realpage Data'!$F$2:$F$899,"YOY Effective Rent Change"))</f>
        <v>1.4433</v>
      </c>
      <c r="J17" s="6" t="n">
        <f aca="false">F17*(1+SUMIFS('Realpage Data'!$V$2:$V$899,'Realpage Data'!$A$2:$A$899,$A17,'Realpage Data'!$F$2:$F$899,"YOY Effective Rent Change"))</f>
        <v>1.471068</v>
      </c>
      <c r="K17" s="6" t="n">
        <f aca="false">G17*(1+SUMIFS('Realpage Data'!$W$2:$W$899,'Realpage Data'!$A$2:$A$899,$A17,'Realpage Data'!$F$2:$F$899,"YOY Effective Rent Change"))</f>
        <v>1.484230928</v>
      </c>
      <c r="L17" s="6" t="n">
        <f aca="false">H17*(1+SUMIFS('Realpage Data'!$X$2:$X$899,'Realpage Data'!$A$2:$A$899,$A17,'Realpage Data'!$F$2:$F$899,"YOY Effective Rent Change"))</f>
        <v>1.485235532</v>
      </c>
      <c r="M17" s="6" t="n">
        <f aca="false">I17*(1+SUMIFS('Realpage Data'!$Y$2:$Y$899,'Realpage Data'!$A$2:$A$899,$A17,'Realpage Data'!$F$2:$F$899,"YOY Effective Rent Change"))</f>
        <v>1.4923722</v>
      </c>
      <c r="N17" s="6" t="n">
        <f aca="false">J17*(1+SUMIFS('Realpage Data'!$Z$2:$Z$899,'Realpage Data'!$A$2:$A$899,$A17,'Realpage Data'!$F$2:$F$899,"YOY Effective Rent Change"))</f>
        <v>1.513728972</v>
      </c>
      <c r="O17" s="6" t="n">
        <f aca="false">K17*(1+SUMIFS('Realpage Data'!$AA$2:$AA$899,'Realpage Data'!$A$2:$A$899,$A17,'Realpage Data'!$F$2:$F$899,"YOY Effective Rent Change"))</f>
        <v>1.527273624912</v>
      </c>
      <c r="P17" s="6" t="n">
        <f aca="false">L17*(1+SUMIFS('Realpage Data'!$AB$2:$AB$899,'Realpage Data'!$A$2:$A$899,$A17,'Realpage Data'!$F$2:$F$899,"YOY Effective Rent Change"))</f>
        <v>1.535733540088</v>
      </c>
      <c r="Q17" s="6" t="n">
        <f aca="false">M17*(1+SUMIFS('Realpage Data'!$AC$2:$AC$899,'Realpage Data'!$A$2:$A$899,$A17,'Realpage Data'!$F$2:$F$899,"YOY Effective Rent Change"))</f>
        <v>1.544605227</v>
      </c>
      <c r="R17" s="6" t="n">
        <f aca="false">N17*(1+SUMIFS('Realpage Data'!$AD$2:$AD$899,'Realpage Data'!$A$2:$A$899,$A17,'Realpage Data'!$F$2:$F$899,"YOY Effective Rent Change"))</f>
        <v>1.55914084116</v>
      </c>
      <c r="S17" s="6" t="n">
        <f aca="false">O17*(1+SUMIFS('Realpage Data'!$AE$2:$AE$899,'Realpage Data'!$A$2:$A$899,$A17,'Realpage Data'!$F$2:$F$899,"YOY Effective Rent Change"))</f>
        <v>1.57461910728427</v>
      </c>
      <c r="T17" s="6" t="n">
        <f aca="false">P17*(1+SUMIFS('Realpage Data'!$AF$2:$AF$899,'Realpage Data'!$A$2:$A$899,$A17,'Realpage Data'!$F$2:$F$899,"YOY Effective Rent Change"))</f>
        <v>1.58794848045099</v>
      </c>
      <c r="U17" s="4"/>
      <c r="V17" s="7" t="n">
        <f aca="false">F17/$B17-1</f>
        <v>0.0340513347684632</v>
      </c>
      <c r="W17" s="7" t="n">
        <f aca="false">G17/$B17-1</f>
        <v>0.0382540199976829</v>
      </c>
      <c r="X17" s="7" t="n">
        <f aca="false">H17/$B17-1</f>
        <v>0.0379519700620203</v>
      </c>
      <c r="Y17" s="7" t="n">
        <f aca="false">I17/$B17-1</f>
        <v>0.0429394070379616</v>
      </c>
      <c r="Z17" s="7" t="n">
        <f aca="false">J17/$B17-1</f>
        <v>0.0630047721419802</v>
      </c>
      <c r="AA17" s="7" t="n">
        <f aca="false">K17/$B17-1</f>
        <v>0.0725164026576062</v>
      </c>
      <c r="AB17" s="7" t="n">
        <f aca="false">L17/$B17-1</f>
        <v>0.0732423370441291</v>
      </c>
      <c r="AC17" s="7" t="n">
        <f aca="false">M17/$B17-1</f>
        <v>0.0783993468772524</v>
      </c>
      <c r="AD17" s="7" t="n">
        <f aca="false">N17/$B17-1</f>
        <v>0.0938319105340977</v>
      </c>
      <c r="AE17" s="7" t="n">
        <f aca="false">O17/$B17-1</f>
        <v>0.103619378334677</v>
      </c>
      <c r="AF17" s="7" t="n">
        <f aca="false">P17/$B17-1</f>
        <v>0.109732576503629</v>
      </c>
      <c r="AG17" s="7" t="n">
        <f aca="false">Q17/$B17-1</f>
        <v>0.116143324017956</v>
      </c>
      <c r="AH17" s="7" t="n">
        <f aca="false">R17/$B17-1</f>
        <v>0.126646867850121</v>
      </c>
      <c r="AI17" s="7" t="n">
        <f aca="false">S17/$B17-1</f>
        <v>0.137831579063052</v>
      </c>
      <c r="AJ17" s="7" t="n">
        <f aca="false">T17/$B17-1</f>
        <v>0.147463484104753</v>
      </c>
      <c r="AK17" s="4"/>
      <c r="AL17" s="4" t="n">
        <f aca="false">SUMPRODUCT(MAX((V17:AJ17&lt;0)*$V$3:$AJ$3))</f>
        <v>0</v>
      </c>
      <c r="AM17" s="10" t="n">
        <f aca="false">IF(AL17=0,0,IF(AL17=15,3.5+IFERROR(LN($B17/T17)/LN(1+SUMIFS('Realpage Data'!$AF$2:$AF$899,'Realpage Data'!$A$2:$A$899,$A17,'Realpage Data'!$F$2:$F$899,"YOY Effective Rent Change")),99),((AL17-1)+INDEX(V17:AJ17,1,AL17)/(INDEX(V17:AJ17,1,AL17)-INDEX(V17:AJ17,1,AL17+1)))/4))</f>
        <v>0</v>
      </c>
      <c r="AN17" s="4" t="str">
        <f aca="false">IF(AL17=15,"†","")</f>
        <v/>
      </c>
    </row>
    <row r="18" customFormat="false" ht="15" hidden="false" customHeight="false" outlineLevel="0" collapsed="false">
      <c r="A18" s="25" t="s">
        <v>35</v>
      </c>
      <c r="B18" s="6" t="n">
        <f aca="false">SUMIFS('Realpage Data'!$R$2:$R$899,'Realpage Data'!$A$2:$A$899,$A18,'Realpage Data'!$F$2:$F$899,"Rent Roll (Rev/OSF)")</f>
        <v>1.51487926825002</v>
      </c>
      <c r="C18" s="6" t="n">
        <f aca="false">SUMIFS('Realpage Data'!$O$2:$O$899,'Realpage Data'!$A$2:$A$899,$A18,'Realpage Data'!$F$2:$F$899,"Effective RPSF")</f>
        <v>1.524</v>
      </c>
      <c r="D18" s="6" t="n">
        <f aca="false">SUMIFS('Realpage Data'!$P$2:$P$899,'Realpage Data'!$A$2:$A$899,$A18,'Realpage Data'!$F$2:$F$899,"Effective RPSF")</f>
        <v>1.492</v>
      </c>
      <c r="E18" s="6" t="n">
        <f aca="false">SUMIFS('Realpage Data'!$Q$2:$Q$899,'Realpage Data'!$A$2:$A$899,$A18,'Realpage Data'!$F$2:$F$899,"Effective RPSF")</f>
        <v>1.516</v>
      </c>
      <c r="F18" s="6" t="n">
        <f aca="false">SUMIFS('Realpage Data'!$R$2:$R$899,'Realpage Data'!$A$2:$A$899,$A18,'Realpage Data'!$F$2:$F$899,"Effective RPSF")</f>
        <v>1.559</v>
      </c>
      <c r="G18" s="6" t="n">
        <f aca="false">C18*(1+SUMIFS('Realpage Data'!$S$2:$S$899,'Realpage Data'!$A$2:$A$899,$A18,'Realpage Data'!$F$2:$F$899,"YOY Effective Rent Change"))</f>
        <v>1.53924</v>
      </c>
      <c r="H18" s="6" t="n">
        <f aca="false">D18*(1+SUMIFS('Realpage Data'!$T$2:$T$899,'Realpage Data'!$A$2:$A$899,$A18,'Realpage Data'!$F$2:$F$899,"YOY Effective Rent Change"))</f>
        <v>1.527808</v>
      </c>
      <c r="I18" s="6" t="n">
        <f aca="false">E18*(1+SUMIFS('Realpage Data'!$U$2:$U$899,'Realpage Data'!$A$2:$A$899,$A18,'Realpage Data'!$F$2:$F$899,"YOY Effective Rent Change"))</f>
        <v>1.54632</v>
      </c>
      <c r="J18" s="6" t="n">
        <f aca="false">F18*(1+SUMIFS('Realpage Data'!$V$2:$V$899,'Realpage Data'!$A$2:$A$899,$A18,'Realpage Data'!$F$2:$F$899,"YOY Effective Rent Change"))</f>
        <v>1.591739</v>
      </c>
      <c r="K18" s="6" t="n">
        <f aca="false">G18*(1+SUMIFS('Realpage Data'!$W$2:$W$899,'Realpage Data'!$A$2:$A$899,$A18,'Realpage Data'!$F$2:$F$899,"YOY Effective Rent Change"))</f>
        <v>1.56540708</v>
      </c>
      <c r="L18" s="6" t="n">
        <f aca="false">H18*(1+SUMIFS('Realpage Data'!$X$2:$X$899,'Realpage Data'!$A$2:$A$899,$A18,'Realpage Data'!$F$2:$F$899,"YOY Effective Rent Change"))</f>
        <v>1.570586624</v>
      </c>
      <c r="M18" s="6" t="n">
        <f aca="false">I18*(1+SUMIFS('Realpage Data'!$Y$2:$Y$899,'Realpage Data'!$A$2:$A$899,$A18,'Realpage Data'!$F$2:$F$899,"YOY Effective Rent Change"))</f>
        <v>1.58961696</v>
      </c>
      <c r="N18" s="6" t="n">
        <f aca="false">J18*(1+SUMIFS('Realpage Data'!$Z$2:$Z$899,'Realpage Data'!$A$2:$A$899,$A18,'Realpage Data'!$F$2:$F$899,"YOY Effective Rent Change"))</f>
        <v>1.636307692</v>
      </c>
      <c r="O18" s="6" t="n">
        <f aca="false">K18*(1+SUMIFS('Realpage Data'!$AA$2:$AA$899,'Realpage Data'!$A$2:$A$899,$A18,'Realpage Data'!$F$2:$F$899,"YOY Effective Rent Change"))</f>
        <v>1.62489254904</v>
      </c>
      <c r="P18" s="6" t="n">
        <f aca="false">L18*(1+SUMIFS('Realpage Data'!$AB$2:$AB$899,'Realpage Data'!$A$2:$A$899,$A18,'Realpage Data'!$F$2:$F$899,"YOY Effective Rent Change"))</f>
        <v>1.631839502336</v>
      </c>
      <c r="Q18" s="6" t="n">
        <f aca="false">M18*(1+SUMIFS('Realpage Data'!$AC$2:$AC$899,'Realpage Data'!$A$2:$A$899,$A18,'Realpage Data'!$F$2:$F$899,"YOY Effective Rent Change"))</f>
        <v>1.64366393664</v>
      </c>
      <c r="R18" s="6" t="n">
        <f aca="false">N18*(1+SUMIFS('Realpage Data'!$AD$2:$AD$899,'Realpage Data'!$A$2:$A$899,$A18,'Realpage Data'!$F$2:$F$899,"YOY Effective Rent Change"))</f>
        <v>1.687033230452</v>
      </c>
      <c r="S18" s="6" t="n">
        <f aca="false">O18*(1+SUMIFS('Realpage Data'!$AE$2:$AE$899,'Realpage Data'!$A$2:$A$899,$A18,'Realpage Data'!$F$2:$F$899,"YOY Effective Rent Change"))</f>
        <v>1.68663846590352</v>
      </c>
      <c r="T18" s="6" t="n">
        <f aca="false">P18*(1+SUMIFS('Realpage Data'!$AF$2:$AF$899,'Realpage Data'!$A$2:$A$899,$A18,'Realpage Data'!$F$2:$F$899,"YOY Effective Rent Change"))</f>
        <v>1.6954812429271</v>
      </c>
      <c r="U18" s="4"/>
      <c r="V18" s="7" t="n">
        <f aca="false">F18/$B18-1</f>
        <v>0.0291249162059917</v>
      </c>
      <c r="W18" s="7" t="n">
        <f aca="false">G18/$B18-1</f>
        <v>0.0160809724316295</v>
      </c>
      <c r="X18" s="7" t="n">
        <f aca="false">H18/$B18-1</f>
        <v>0.00853449645852722</v>
      </c>
      <c r="Y18" s="7" t="n">
        <f aca="false">I18/$B18-1</f>
        <v>0.0207546122050348</v>
      </c>
      <c r="Z18" s="7" t="n">
        <f aca="false">J18/$B18-1</f>
        <v>0.0507365394463173</v>
      </c>
      <c r="AA18" s="7" t="n">
        <f aca="false">K18/$B18-1</f>
        <v>0.0333543489629671</v>
      </c>
      <c r="AB18" s="7" t="n">
        <f aca="false">L18/$B18-1</f>
        <v>0.0367734623593659</v>
      </c>
      <c r="AC18" s="7" t="n">
        <f aca="false">M18/$B18-1</f>
        <v>0.0493357413467757</v>
      </c>
      <c r="AD18" s="7" t="n">
        <f aca="false">N18/$B18-1</f>
        <v>0.0801571625508144</v>
      </c>
      <c r="AE18" s="7" t="n">
        <f aca="false">O18/$B18-1</f>
        <v>0.07262181422356</v>
      </c>
      <c r="AF18" s="7" t="n">
        <f aca="false">P18/$B18-1</f>
        <v>0.0772076273913811</v>
      </c>
      <c r="AG18" s="7" t="n">
        <f aca="false">Q18/$B18-1</f>
        <v>0.085013156552566</v>
      </c>
      <c r="AH18" s="7" t="n">
        <f aca="false">R18/$B18-1</f>
        <v>0.113642034589889</v>
      </c>
      <c r="AI18" s="7" t="n">
        <f aca="false">S18/$B18-1</f>
        <v>0.113381443164055</v>
      </c>
      <c r="AJ18" s="7" t="n">
        <f aca="false">T18/$B18-1</f>
        <v>0.119218724859645</v>
      </c>
      <c r="AK18" s="4"/>
      <c r="AL18" s="4" t="n">
        <f aca="false">SUMPRODUCT(MAX((V18:AJ18&lt;0)*$V$3:$AJ$3))</f>
        <v>0</v>
      </c>
      <c r="AM18" s="10" t="n">
        <f aca="false">IF(AL18=0,0,IF(AL18=15,3.5+IFERROR(LN($B18/T18)/LN(1+SUMIFS('Realpage Data'!$AF$2:$AF$899,'Realpage Data'!$A$2:$A$899,$A18,'Realpage Data'!$F$2:$F$899,"YOY Effective Rent Change")),99),((AL18-1)+INDEX(V18:AJ18,1,AL18)/(INDEX(V18:AJ18,1,AL18)-INDEX(V18:AJ18,1,AL18+1)))/4))</f>
        <v>0</v>
      </c>
      <c r="AN18" s="4" t="str">
        <f aca="false">IF(AL18=15,"†","")</f>
        <v/>
      </c>
    </row>
    <row r="19" customFormat="false" ht="15" hidden="false" customHeight="false" outlineLevel="0" collapsed="false">
      <c r="A19" s="25" t="s">
        <v>36</v>
      </c>
      <c r="B19" s="6" t="n">
        <f aca="false">SUMIFS('Realpage Data'!$R$2:$R$899,'Realpage Data'!$A$2:$A$899,$A19,'Realpage Data'!$F$2:$F$899,"Rent Roll (Rev/OSF)")</f>
        <v>1.33611136636906</v>
      </c>
      <c r="C19" s="6" t="n">
        <f aca="false">SUMIFS('Realpage Data'!$O$2:$O$899,'Realpage Data'!$A$2:$A$899,$A19,'Realpage Data'!$F$2:$F$899,"Effective RPSF")</f>
        <v>1.382</v>
      </c>
      <c r="D19" s="6" t="n">
        <f aca="false">SUMIFS('Realpage Data'!$P$2:$P$899,'Realpage Data'!$A$2:$A$899,$A19,'Realpage Data'!$F$2:$F$899,"Effective RPSF")</f>
        <v>1.367</v>
      </c>
      <c r="E19" s="6" t="n">
        <f aca="false">SUMIFS('Realpage Data'!$Q$2:$Q$899,'Realpage Data'!$A$2:$A$899,$A19,'Realpage Data'!$F$2:$F$899,"Effective RPSF")</f>
        <v>1.364</v>
      </c>
      <c r="F19" s="6" t="n">
        <f aca="false">SUMIFS('Realpage Data'!$R$2:$R$899,'Realpage Data'!$A$2:$A$899,$A19,'Realpage Data'!$F$2:$F$899,"Effective RPSF")</f>
        <v>1.372</v>
      </c>
      <c r="G19" s="6" t="n">
        <f aca="false">C19*(1+SUMIFS('Realpage Data'!$S$2:$S$899,'Realpage Data'!$A$2:$A$899,$A19,'Realpage Data'!$F$2:$F$899,"YOY Effective Rent Change"))</f>
        <v>1.35436</v>
      </c>
      <c r="H19" s="6" t="n">
        <f aca="false">D19*(1+SUMIFS('Realpage Data'!$T$2:$T$899,'Realpage Data'!$A$2:$A$899,$A19,'Realpage Data'!$F$2:$F$899,"YOY Effective Rent Change"))</f>
        <v>1.345128</v>
      </c>
      <c r="I19" s="6" t="n">
        <f aca="false">E19*(1+SUMIFS('Realpage Data'!$U$2:$U$899,'Realpage Data'!$A$2:$A$899,$A19,'Realpage Data'!$F$2:$F$899,"YOY Effective Rent Change"))</f>
        <v>1.351724</v>
      </c>
      <c r="J19" s="6" t="n">
        <f aca="false">F19*(1+SUMIFS('Realpage Data'!$V$2:$V$899,'Realpage Data'!$A$2:$A$899,$A19,'Realpage Data'!$F$2:$F$899,"YOY Effective Rent Change"))</f>
        <v>1.372</v>
      </c>
      <c r="K19" s="6" t="n">
        <f aca="false">G19*(1+SUMIFS('Realpage Data'!$W$2:$W$899,'Realpage Data'!$A$2:$A$899,$A19,'Realpage Data'!$F$2:$F$899,"YOY Effective Rent Change"))</f>
        <v>1.3679036</v>
      </c>
      <c r="L19" s="6" t="n">
        <f aca="false">H19*(1+SUMIFS('Realpage Data'!$X$2:$X$899,'Realpage Data'!$A$2:$A$899,$A19,'Realpage Data'!$F$2:$F$899,"YOY Effective Rent Change"))</f>
        <v>1.376065944</v>
      </c>
      <c r="M19" s="6" t="n">
        <f aca="false">I19*(1+SUMIFS('Realpage Data'!$Y$2:$Y$899,'Realpage Data'!$A$2:$A$899,$A19,'Realpage Data'!$F$2:$F$899,"YOY Effective Rent Change"))</f>
        <v>1.3855171</v>
      </c>
      <c r="N19" s="6" t="n">
        <f aca="false">J19*(1+SUMIFS('Realpage Data'!$Z$2:$Z$899,'Realpage Data'!$A$2:$A$899,$A19,'Realpage Data'!$F$2:$F$899,"YOY Effective Rent Change"))</f>
        <v>1.404928</v>
      </c>
      <c r="O19" s="6" t="n">
        <f aca="false">K19*(1+SUMIFS('Realpage Data'!$AA$2:$AA$899,'Realpage Data'!$A$2:$A$899,$A19,'Realpage Data'!$F$2:$F$899,"YOY Effective Rent Change"))</f>
        <v>1.4034690936</v>
      </c>
      <c r="P19" s="6" t="n">
        <f aca="false">L19*(1+SUMIFS('Realpage Data'!$AB$2:$AB$899,'Realpage Data'!$A$2:$A$899,$A19,'Realpage Data'!$F$2:$F$899,"YOY Effective Rent Change"))</f>
        <v>1.4104675926</v>
      </c>
      <c r="Q19" s="6" t="n">
        <f aca="false">M19*(1+SUMIFS('Realpage Data'!$AC$2:$AC$899,'Realpage Data'!$A$2:$A$899,$A19,'Realpage Data'!$F$2:$F$899,"YOY Effective Rent Change"))</f>
        <v>1.4187695104</v>
      </c>
      <c r="R19" s="6" t="n">
        <f aca="false">N19*(1+SUMIFS('Realpage Data'!$AD$2:$AD$899,'Realpage Data'!$A$2:$A$899,$A19,'Realpage Data'!$F$2:$F$899,"YOY Effective Rent Change"))</f>
        <v>1.438646272</v>
      </c>
      <c r="S19" s="6" t="n">
        <f aca="false">O19*(1+SUMIFS('Realpage Data'!$AE$2:$AE$899,'Realpage Data'!$A$2:$A$899,$A19,'Realpage Data'!$F$2:$F$899,"YOY Effective Rent Change"))</f>
        <v>1.43855582094</v>
      </c>
      <c r="T19" s="6" t="n">
        <f aca="false">P19*(1+SUMIFS('Realpage Data'!$AF$2:$AF$899,'Realpage Data'!$A$2:$A$899,$A19,'Realpage Data'!$F$2:$F$899,"YOY Effective Rent Change"))</f>
        <v>1.4443188148224</v>
      </c>
      <c r="U19" s="4"/>
      <c r="V19" s="7" t="n">
        <f aca="false">F19/$B19-1</f>
        <v>0.0268605106836806</v>
      </c>
      <c r="W19" s="7" t="n">
        <f aca="false">G19/$B19-1</f>
        <v>0.0136580184034616</v>
      </c>
      <c r="X19" s="7" t="n">
        <f aca="false">H19/$B19-1</f>
        <v>0.00674841473390497</v>
      </c>
      <c r="Y19" s="7" t="n">
        <f aca="false">I19/$B19-1</f>
        <v>0.0116851289674837</v>
      </c>
      <c r="Z19" s="7" t="n">
        <f aca="false">J19/$B19-1</f>
        <v>0.0268605106836806</v>
      </c>
      <c r="AA19" s="7" t="n">
        <f aca="false">K19/$B19-1</f>
        <v>0.0237945985874963</v>
      </c>
      <c r="AB19" s="7" t="n">
        <f aca="false">L19/$B19-1</f>
        <v>0.0299036282727849</v>
      </c>
      <c r="AC19" s="7" t="n">
        <f aca="false">M19/$B19-1</f>
        <v>0.0369772571916707</v>
      </c>
      <c r="AD19" s="7" t="n">
        <f aca="false">N19/$B19-1</f>
        <v>0.0515051629400891</v>
      </c>
      <c r="AE19" s="7" t="n">
        <f aca="false">O19/$B19-1</f>
        <v>0.0504132581507712</v>
      </c>
      <c r="AF19" s="7" t="n">
        <f aca="false">P19/$B19-1</f>
        <v>0.0556512189796043</v>
      </c>
      <c r="AG19" s="7" t="n">
        <f aca="false">Q19/$B19-1</f>
        <v>0.0618647113642707</v>
      </c>
      <c r="AH19" s="7" t="n">
        <f aca="false">R19/$B19-1</f>
        <v>0.0767412868506512</v>
      </c>
      <c r="AI19" s="7" t="n">
        <f aca="false">S19/$B19-1</f>
        <v>0.0766735896045405</v>
      </c>
      <c r="AJ19" s="7" t="n">
        <f aca="false">T19/$B19-1</f>
        <v>0.0809868482351148</v>
      </c>
      <c r="AK19" s="4"/>
      <c r="AL19" s="4" t="n">
        <f aca="false">SUMPRODUCT(MAX((V19:AJ19&lt;0)*$V$3:$AJ$3))</f>
        <v>0</v>
      </c>
      <c r="AM19" s="10" t="n">
        <f aca="false">IF(AL19=0,0,IF(AL19=15,3.5+IFERROR(LN($B19/T19)/LN(1+SUMIFS('Realpage Data'!$AF$2:$AF$899,'Realpage Data'!$A$2:$A$899,$A19,'Realpage Data'!$F$2:$F$899,"YOY Effective Rent Change")),99),((AL19-1)+INDEX(V19:AJ19,1,AL19)/(INDEX(V19:AJ19,1,AL19)-INDEX(V19:AJ19,1,AL19+1)))/4))</f>
        <v>0</v>
      </c>
      <c r="AN19" s="4" t="str">
        <f aca="false">IF(AL19=15,"†","")</f>
        <v/>
      </c>
    </row>
    <row r="20" customFormat="false" ht="15" hidden="false" customHeight="false" outlineLevel="0" collapsed="false">
      <c r="A20" s="25" t="s">
        <v>37</v>
      </c>
      <c r="B20" s="6" t="n">
        <f aca="false">SUMIFS('Realpage Data'!$R$2:$R$899,'Realpage Data'!$A$2:$A$899,$A20,'Realpage Data'!$F$2:$F$899,"Rent Roll (Rev/OSF)")</f>
        <v>1.49825073340951</v>
      </c>
      <c r="C20" s="6" t="n">
        <f aca="false">SUMIFS('Realpage Data'!$O$2:$O$899,'Realpage Data'!$A$2:$A$899,$A20,'Realpage Data'!$F$2:$F$899,"Effective RPSF")</f>
        <v>1.622</v>
      </c>
      <c r="D20" s="6" t="n">
        <f aca="false">SUMIFS('Realpage Data'!$P$2:$P$899,'Realpage Data'!$A$2:$A$899,$A20,'Realpage Data'!$F$2:$F$899,"Effective RPSF")</f>
        <v>1.56</v>
      </c>
      <c r="E20" s="6" t="n">
        <f aca="false">SUMIFS('Realpage Data'!$Q$2:$Q$899,'Realpage Data'!$A$2:$A$899,$A20,'Realpage Data'!$F$2:$F$899,"Effective RPSF")</f>
        <v>1.551</v>
      </c>
      <c r="F20" s="6" t="n">
        <f aca="false">SUMIFS('Realpage Data'!$R$2:$R$899,'Realpage Data'!$A$2:$A$899,$A20,'Realpage Data'!$F$2:$F$899,"Effective RPSF")</f>
        <v>1.538</v>
      </c>
      <c r="G20" s="6" t="n">
        <f aca="false">C20*(1+SUMIFS('Realpage Data'!$S$2:$S$899,'Realpage Data'!$A$2:$A$899,$A20,'Realpage Data'!$F$2:$F$899,"YOY Effective Rent Change"))</f>
        <v>1.539278</v>
      </c>
      <c r="H20" s="6" t="n">
        <f aca="false">D20*(1+SUMIFS('Realpage Data'!$T$2:$T$899,'Realpage Data'!$A$2:$A$899,$A20,'Realpage Data'!$F$2:$F$899,"YOY Effective Rent Change"))</f>
        <v>1.50384</v>
      </c>
      <c r="I20" s="6" t="n">
        <f aca="false">E20*(1+SUMIFS('Realpage Data'!$U$2:$U$899,'Realpage Data'!$A$2:$A$899,$A20,'Realpage Data'!$F$2:$F$899,"YOY Effective Rent Change"))</f>
        <v>1.518429</v>
      </c>
      <c r="J20" s="6" t="n">
        <f aca="false">F20*(1+SUMIFS('Realpage Data'!$V$2:$V$899,'Realpage Data'!$A$2:$A$899,$A20,'Realpage Data'!$F$2:$F$899,"YOY Effective Rent Change"))</f>
        <v>1.544152</v>
      </c>
      <c r="K20" s="6" t="n">
        <f aca="false">G20*(1+SUMIFS('Realpage Data'!$W$2:$W$899,'Realpage Data'!$A$2:$A$899,$A20,'Realpage Data'!$F$2:$F$899,"YOY Effective Rent Change"))</f>
        <v>1.574681394</v>
      </c>
      <c r="L20" s="6" t="n">
        <f aca="false">H20*(1+SUMIFS('Realpage Data'!$X$2:$X$899,'Realpage Data'!$A$2:$A$899,$A20,'Realpage Data'!$F$2:$F$899,"YOY Effective Rent Change"))</f>
        <v>1.5489552</v>
      </c>
      <c r="M20" s="6" t="n">
        <f aca="false">I20*(1+SUMIFS('Realpage Data'!$Y$2:$Y$899,'Realpage Data'!$A$2:$A$899,$A20,'Realpage Data'!$F$2:$F$899,"YOY Effective Rent Change"))</f>
        <v>1.560945012</v>
      </c>
      <c r="N20" s="6" t="n">
        <f aca="false">J20*(1+SUMIFS('Realpage Data'!$Z$2:$Z$899,'Realpage Data'!$A$2:$A$899,$A20,'Realpage Data'!$F$2:$F$899,"YOY Effective Rent Change"))</f>
        <v>1.59047656</v>
      </c>
      <c r="O20" s="6" t="n">
        <f aca="false">K20*(1+SUMIFS('Realpage Data'!$AA$2:$AA$899,'Realpage Data'!$A$2:$A$899,$A20,'Realpage Data'!$F$2:$F$899,"YOY Effective Rent Change"))</f>
        <v>1.626645880002</v>
      </c>
      <c r="P20" s="6" t="n">
        <f aca="false">L20*(1+SUMIFS('Realpage Data'!$AB$2:$AB$899,'Realpage Data'!$A$2:$A$899,$A20,'Realpage Data'!$F$2:$F$899,"YOY Effective Rent Change"))</f>
        <v>1.6078154976</v>
      </c>
      <c r="Q20" s="6" t="n">
        <f aca="false">M20*(1+SUMIFS('Realpage Data'!$AC$2:$AC$899,'Realpage Data'!$A$2:$A$899,$A20,'Realpage Data'!$F$2:$F$899,"YOY Effective Rent Change"))</f>
        <v>1.62338281248</v>
      </c>
      <c r="R20" s="6" t="n">
        <f aca="false">N20*(1+SUMIFS('Realpage Data'!$AD$2:$AD$899,'Realpage Data'!$A$2:$A$899,$A20,'Realpage Data'!$F$2:$F$899,"YOY Effective Rent Change"))</f>
        <v>1.64932419272</v>
      </c>
      <c r="S20" s="6" t="n">
        <f aca="false">O20*(1+SUMIFS('Realpage Data'!$AE$2:$AE$899,'Realpage Data'!$A$2:$A$899,$A20,'Realpage Data'!$F$2:$F$899,"YOY Effective Rent Change"))</f>
        <v>1.68845842344208</v>
      </c>
      <c r="T20" s="6" t="n">
        <f aca="false">P20*(1+SUMIFS('Realpage Data'!$AF$2:$AF$899,'Realpage Data'!$A$2:$A$899,$A20,'Realpage Data'!$F$2:$F$899,"YOY Effective Rent Change"))</f>
        <v>1.6785593794944</v>
      </c>
      <c r="U20" s="4"/>
      <c r="V20" s="7" t="n">
        <f aca="false">F20/$B20-1</f>
        <v>0.0265304502805344</v>
      </c>
      <c r="W20" s="7" t="n">
        <f aca="false">G20/$B20-1</f>
        <v>0.0273834450240054</v>
      </c>
      <c r="X20" s="7" t="n">
        <f aca="false">H20/$B20-1</f>
        <v>0.00373052818587705</v>
      </c>
      <c r="Y20" s="7" t="n">
        <f aca="false">I20/$B20-1</f>
        <v>0.0134678836729658</v>
      </c>
      <c r="Z20" s="7" t="n">
        <f aca="false">J20/$B20-1</f>
        <v>0.0306365720816564</v>
      </c>
      <c r="AA20" s="7" t="n">
        <f aca="false">K20/$B20-1</f>
        <v>0.0510132642595573</v>
      </c>
      <c r="AB20" s="7" t="n">
        <f aca="false">L20/$B20-1</f>
        <v>0.0338424440314533</v>
      </c>
      <c r="AC20" s="7" t="n">
        <f aca="false">M20/$B20-1</f>
        <v>0.0418449844158089</v>
      </c>
      <c r="AD20" s="7" t="n">
        <f aca="false">N20/$B20-1</f>
        <v>0.0615556692441062</v>
      </c>
      <c r="AE20" s="7" t="n">
        <f aca="false">O20/$B20-1</f>
        <v>0.0856967019801227</v>
      </c>
      <c r="AF20" s="7" t="n">
        <f aca="false">P20/$B20-1</f>
        <v>0.0731284569046486</v>
      </c>
      <c r="AG20" s="7" t="n">
        <f aca="false">Q20/$B20-1</f>
        <v>0.0835187837924414</v>
      </c>
      <c r="AH20" s="7" t="n">
        <f aca="false">R20/$B20-1</f>
        <v>0.100833229006138</v>
      </c>
      <c r="AI20" s="7" t="n">
        <f aca="false">S20/$B20-1</f>
        <v>0.126953176655367</v>
      </c>
      <c r="AJ20" s="7" t="n">
        <f aca="false">T20/$B20-1</f>
        <v>0.120346109008453</v>
      </c>
      <c r="AK20" s="4"/>
      <c r="AL20" s="4" t="n">
        <f aca="false">SUMPRODUCT(MAX((V20:AJ20&lt;0)*$V$3:$AJ$3))</f>
        <v>0</v>
      </c>
      <c r="AM20" s="10" t="n">
        <f aca="false">IF(AL20=0,0,IF(AL20=15,3.5+IFERROR(LN($B20/T20)/LN(1+SUMIFS('Realpage Data'!$AF$2:$AF$899,'Realpage Data'!$A$2:$A$899,$A20,'Realpage Data'!$F$2:$F$899,"YOY Effective Rent Change")),99),((AL20-1)+INDEX(V20:AJ20,1,AL20)/(INDEX(V20:AJ20,1,AL20)-INDEX(V20:AJ20,1,AL20+1)))/4))</f>
        <v>0</v>
      </c>
      <c r="AN20" s="4" t="str">
        <f aca="false">IF(AL20=15,"†","")</f>
        <v/>
      </c>
    </row>
    <row r="21" customFormat="false" ht="15" hidden="false" customHeight="false" outlineLevel="0" collapsed="false">
      <c r="A21" s="25" t="s">
        <v>38</v>
      </c>
      <c r="B21" s="6" t="n">
        <f aca="false">SUMIFS('Realpage Data'!$R$2:$R$899,'Realpage Data'!$A$2:$A$899,$A21,'Realpage Data'!$F$2:$F$899,"Rent Roll (Rev/OSF)")</f>
        <v>1.57863297389861</v>
      </c>
      <c r="C21" s="6" t="n">
        <f aca="false">SUMIFS('Realpage Data'!$O$2:$O$899,'Realpage Data'!$A$2:$A$899,$A21,'Realpage Data'!$F$2:$F$899,"Effective RPSF")</f>
        <v>1.605</v>
      </c>
      <c r="D21" s="6" t="n">
        <f aca="false">SUMIFS('Realpage Data'!$P$2:$P$899,'Realpage Data'!$A$2:$A$899,$A21,'Realpage Data'!$F$2:$F$899,"Effective RPSF")</f>
        <v>1.589</v>
      </c>
      <c r="E21" s="6" t="n">
        <f aca="false">SUMIFS('Realpage Data'!$Q$2:$Q$899,'Realpage Data'!$A$2:$A$899,$A21,'Realpage Data'!$F$2:$F$899,"Effective RPSF")</f>
        <v>1.599</v>
      </c>
      <c r="F21" s="6" t="n">
        <f aca="false">SUMIFS('Realpage Data'!$R$2:$R$899,'Realpage Data'!$A$2:$A$899,$A21,'Realpage Data'!$F$2:$F$899,"Effective RPSF")</f>
        <v>1.619</v>
      </c>
      <c r="G21" s="6" t="n">
        <f aca="false">C21*(1+SUMIFS('Realpage Data'!$S$2:$S$899,'Realpage Data'!$A$2:$A$899,$A21,'Realpage Data'!$F$2:$F$899,"YOY Effective Rent Change"))</f>
        <v>1.629075</v>
      </c>
      <c r="H21" s="6" t="n">
        <f aca="false">D21*(1+SUMIFS('Realpage Data'!$T$2:$T$899,'Realpage Data'!$A$2:$A$899,$A21,'Realpage Data'!$F$2:$F$899,"YOY Effective Rent Change"))</f>
        <v>1.622369</v>
      </c>
      <c r="I21" s="6" t="n">
        <f aca="false">E21*(1+SUMIFS('Realpage Data'!$U$2:$U$899,'Realpage Data'!$A$2:$A$899,$A21,'Realpage Data'!$F$2:$F$899,"YOY Effective Rent Change"))</f>
        <v>1.64697</v>
      </c>
      <c r="J21" s="6" t="n">
        <f aca="false">F21*(1+SUMIFS('Realpage Data'!$V$2:$V$899,'Realpage Data'!$A$2:$A$899,$A21,'Realpage Data'!$F$2:$F$899,"YOY Effective Rent Change"))</f>
        <v>1.665951</v>
      </c>
      <c r="K21" s="6" t="n">
        <f aca="false">G21*(1+SUMIFS('Realpage Data'!$W$2:$W$899,'Realpage Data'!$A$2:$A$899,$A21,'Realpage Data'!$F$2:$F$899,"YOY Effective Rent Change"))</f>
        <v>1.67794725</v>
      </c>
      <c r="L21" s="6" t="n">
        <f aca="false">H21*(1+SUMIFS('Realpage Data'!$X$2:$X$899,'Realpage Data'!$A$2:$A$899,$A21,'Realpage Data'!$F$2:$F$899,"YOY Effective Rent Change"))</f>
        <v>1.669417701</v>
      </c>
      <c r="M21" s="6" t="n">
        <f aca="false">I21*(1+SUMIFS('Realpage Data'!$Y$2:$Y$899,'Realpage Data'!$A$2:$A$899,$A21,'Realpage Data'!$F$2:$F$899,"YOY Effective Rent Change"))</f>
        <v>1.69308516</v>
      </c>
      <c r="N21" s="6" t="n">
        <f aca="false">J21*(1+SUMIFS('Realpage Data'!$Z$2:$Z$899,'Realpage Data'!$A$2:$A$899,$A21,'Realpage Data'!$F$2:$F$899,"YOY Effective Rent Change"))</f>
        <v>1.710931677</v>
      </c>
      <c r="O21" s="6" t="n">
        <f aca="false">K21*(1+SUMIFS('Realpage Data'!$AA$2:$AA$899,'Realpage Data'!$A$2:$A$899,$A21,'Realpage Data'!$F$2:$F$899,"YOY Effective Rent Change"))</f>
        <v>1.724929773</v>
      </c>
      <c r="P21" s="6" t="n">
        <f aca="false">L21*(1+SUMIFS('Realpage Data'!$AB$2:$AB$899,'Realpage Data'!$A$2:$A$899,$A21,'Realpage Data'!$F$2:$F$899,"YOY Effective Rent Change"))</f>
        <v>1.714491978927</v>
      </c>
      <c r="Q21" s="6" t="n">
        <f aca="false">M21*(1+SUMIFS('Realpage Data'!$AC$2:$AC$899,'Realpage Data'!$A$2:$A$899,$A21,'Realpage Data'!$F$2:$F$899,"YOY Effective Rent Change"))</f>
        <v>1.73879845932</v>
      </c>
      <c r="R21" s="6" t="n">
        <f aca="false">N21*(1+SUMIFS('Realpage Data'!$AD$2:$AD$899,'Realpage Data'!$A$2:$A$899,$A21,'Realpage Data'!$F$2:$F$899,"YOY Effective Rent Change"))</f>
        <v>1.758837763956</v>
      </c>
      <c r="S21" s="6" t="n">
        <f aca="false">O21*(1+SUMIFS('Realpage Data'!$AE$2:$AE$899,'Realpage Data'!$A$2:$A$899,$A21,'Realpage Data'!$F$2:$F$899,"YOY Effective Rent Change"))</f>
        <v>1.774952736417</v>
      </c>
      <c r="T21" s="6" t="n">
        <f aca="false">P21*(1+SUMIFS('Realpage Data'!$AF$2:$AF$899,'Realpage Data'!$A$2:$A$899,$A21,'Realpage Data'!$F$2:$F$899,"YOY Effective Rent Change"))</f>
        <v>1.76592673829481</v>
      </c>
      <c r="U21" s="4"/>
      <c r="V21" s="7" t="n">
        <f aca="false">F21/$B21-1</f>
        <v>0.0255708747814258</v>
      </c>
      <c r="W21" s="7" t="n">
        <f aca="false">G21/$B21-1</f>
        <v>0.0319529788971902</v>
      </c>
      <c r="X21" s="7" t="n">
        <f aca="false">H21/$B21-1</f>
        <v>0.02770499972098</v>
      </c>
      <c r="Y21" s="7" t="n">
        <f aca="false">I21/$B21-1</f>
        <v>0.0432887360338263</v>
      </c>
      <c r="Z21" s="7" t="n">
        <f aca="false">J21/$B21-1</f>
        <v>0.0553124301500871</v>
      </c>
      <c r="AA21" s="7" t="n">
        <f aca="false">K21/$B21-1</f>
        <v>0.0629115682641059</v>
      </c>
      <c r="AB21" s="7" t="n">
        <f aca="false">L21/$B21-1</f>
        <v>0.0575084447128884</v>
      </c>
      <c r="AC21" s="7" t="n">
        <f aca="false">M21/$B21-1</f>
        <v>0.0725008206427735</v>
      </c>
      <c r="AD21" s="7" t="n">
        <f aca="false">N21/$B21-1</f>
        <v>0.0838058657641394</v>
      </c>
      <c r="AE21" s="7" t="n">
        <f aca="false">O21/$B21-1</f>
        <v>0.092673092175501</v>
      </c>
      <c r="AF21" s="7" t="n">
        <f aca="false">P21/$B21-1</f>
        <v>0.0860611727201364</v>
      </c>
      <c r="AG21" s="7" t="n">
        <f aca="false">Q21/$B21-1</f>
        <v>0.101458342800128</v>
      </c>
      <c r="AH21" s="7" t="n">
        <f aca="false">R21/$B21-1</f>
        <v>0.114152430005535</v>
      </c>
      <c r="AI21" s="7" t="n">
        <f aca="false">S21/$B21-1</f>
        <v>0.12436061184859</v>
      </c>
      <c r="AJ21" s="7" t="n">
        <f aca="false">T21/$B21-1</f>
        <v>0.11864300790174</v>
      </c>
      <c r="AK21" s="4"/>
      <c r="AL21" s="4" t="n">
        <f aca="false">SUMPRODUCT(MAX((V21:AJ21&lt;0)*$V$3:$AJ$3))</f>
        <v>0</v>
      </c>
      <c r="AM21" s="10" t="n">
        <f aca="false">IF(AL21=0,0,IF(AL21=15,3.5+IFERROR(LN($B21/T21)/LN(1+SUMIFS('Realpage Data'!$AF$2:$AF$899,'Realpage Data'!$A$2:$A$899,$A21,'Realpage Data'!$F$2:$F$899,"YOY Effective Rent Change")),99),((AL21-1)+INDEX(V21:AJ21,1,AL21)/(INDEX(V21:AJ21,1,AL21)-INDEX(V21:AJ21,1,AL21+1)))/4))</f>
        <v>0</v>
      </c>
      <c r="AN21" s="4" t="str">
        <f aca="false">IF(AL21=15,"†","")</f>
        <v/>
      </c>
    </row>
    <row r="22" customFormat="false" ht="15" hidden="false" customHeight="false" outlineLevel="0" collapsed="false">
      <c r="A22" s="25" t="s">
        <v>39</v>
      </c>
      <c r="B22" s="6" t="n">
        <f aca="false">SUMIFS('Realpage Data'!$R$2:$R$899,'Realpage Data'!$A$2:$A$899,$A22,'Realpage Data'!$F$2:$F$899,"Rent Roll (Rev/OSF)")</f>
        <v>1.36063194653437</v>
      </c>
      <c r="C22" s="6" t="n">
        <f aca="false">SUMIFS('Realpage Data'!$O$2:$O$899,'Realpage Data'!$A$2:$A$899,$A22,'Realpage Data'!$F$2:$F$899,"Effective RPSF")</f>
        <v>1.407</v>
      </c>
      <c r="D22" s="6" t="n">
        <f aca="false">SUMIFS('Realpage Data'!$P$2:$P$899,'Realpage Data'!$A$2:$A$899,$A22,'Realpage Data'!$F$2:$F$899,"Effective RPSF")</f>
        <v>1.4</v>
      </c>
      <c r="E22" s="6" t="n">
        <f aca="false">SUMIFS('Realpage Data'!$Q$2:$Q$899,'Realpage Data'!$A$2:$A$899,$A22,'Realpage Data'!$F$2:$F$899,"Effective RPSF")</f>
        <v>1.395</v>
      </c>
      <c r="F22" s="6" t="n">
        <f aca="false">SUMIFS('Realpage Data'!$R$2:$R$899,'Realpage Data'!$A$2:$A$899,$A22,'Realpage Data'!$F$2:$F$899,"Effective RPSF")</f>
        <v>1.395</v>
      </c>
      <c r="G22" s="6" t="n">
        <f aca="false">C22*(1+SUMIFS('Realpage Data'!$S$2:$S$899,'Realpage Data'!$A$2:$A$899,$A22,'Realpage Data'!$F$2:$F$899,"YOY Effective Rent Change"))</f>
        <v>1.385895</v>
      </c>
      <c r="H22" s="6" t="n">
        <f aca="false">D22*(1+SUMIFS('Realpage Data'!$T$2:$T$899,'Realpage Data'!$A$2:$A$899,$A22,'Realpage Data'!$F$2:$F$899,"YOY Effective Rent Change"))</f>
        <v>1.3916</v>
      </c>
      <c r="I22" s="6" t="n">
        <f aca="false">E22*(1+SUMIFS('Realpage Data'!$U$2:$U$899,'Realpage Data'!$A$2:$A$899,$A22,'Realpage Data'!$F$2:$F$899,"YOY Effective Rent Change"))</f>
        <v>1.40616</v>
      </c>
      <c r="J22" s="6" t="n">
        <f aca="false">F22*(1+SUMIFS('Realpage Data'!$V$2:$V$899,'Realpage Data'!$A$2:$A$899,$A22,'Realpage Data'!$F$2:$F$899,"YOY Effective Rent Change"))</f>
        <v>1.427085</v>
      </c>
      <c r="K22" s="6" t="n">
        <f aca="false">G22*(1+SUMIFS('Realpage Data'!$W$2:$W$899,'Realpage Data'!$A$2:$A$899,$A22,'Realpage Data'!$F$2:$F$899,"YOY Effective Rent Change"))</f>
        <v>1.41915648</v>
      </c>
      <c r="L22" s="6" t="n">
        <f aca="false">H22*(1+SUMIFS('Realpage Data'!$X$2:$X$899,'Realpage Data'!$A$2:$A$899,$A22,'Realpage Data'!$F$2:$F$899,"YOY Effective Rent Change"))</f>
        <v>1.42639</v>
      </c>
      <c r="M22" s="6" t="n">
        <f aca="false">I22*(1+SUMIFS('Realpage Data'!$Y$2:$Y$899,'Realpage Data'!$A$2:$A$899,$A22,'Realpage Data'!$F$2:$F$899,"YOY Effective Rent Change"))</f>
        <v>1.44272016</v>
      </c>
      <c r="N22" s="6" t="n">
        <f aca="false">J22*(1+SUMIFS('Realpage Data'!$Z$2:$Z$899,'Realpage Data'!$A$2:$A$899,$A22,'Realpage Data'!$F$2:$F$899,"YOY Effective Rent Change"))</f>
        <v>1.46418921</v>
      </c>
      <c r="O22" s="6" t="n">
        <f aca="false">K22*(1+SUMIFS('Realpage Data'!$AA$2:$AA$899,'Realpage Data'!$A$2:$A$899,$A22,'Realpage Data'!$F$2:$F$899,"YOY Effective Rent Change"))</f>
        <v>1.45321623552</v>
      </c>
      <c r="P22" s="6" t="n">
        <f aca="false">L22*(1+SUMIFS('Realpage Data'!$AB$2:$AB$899,'Realpage Data'!$A$2:$A$899,$A22,'Realpage Data'!$F$2:$F$899,"YOY Effective Rent Change"))</f>
        <v>1.45634419</v>
      </c>
      <c r="Q22" s="6" t="n">
        <f aca="false">M22*(1+SUMIFS('Realpage Data'!$AC$2:$AC$899,'Realpage Data'!$A$2:$A$899,$A22,'Realpage Data'!$F$2:$F$899,"YOY Effective Rent Change"))</f>
        <v>1.4715745632</v>
      </c>
      <c r="R22" s="6" t="n">
        <f aca="false">N22*(1+SUMIFS('Realpage Data'!$AD$2:$AD$899,'Realpage Data'!$A$2:$A$899,$A22,'Realpage Data'!$F$2:$F$899,"YOY Effective Rent Change"))</f>
        <v>1.49200880499</v>
      </c>
      <c r="S22" s="6" t="n">
        <f aca="false">O22*(1+SUMIFS('Realpage Data'!$AE$2:$AE$899,'Realpage Data'!$A$2:$A$899,$A22,'Realpage Data'!$F$2:$F$899,"YOY Effective Rent Change"))</f>
        <v>1.4822805602304</v>
      </c>
      <c r="T22" s="6" t="n">
        <f aca="false">P22*(1+SUMIFS('Realpage Data'!$AF$2:$AF$899,'Realpage Data'!$A$2:$A$899,$A22,'Realpage Data'!$F$2:$F$899,"YOY Effective Rent Change"))</f>
        <v>1.48984010637</v>
      </c>
      <c r="U22" s="4"/>
      <c r="V22" s="7" t="n">
        <f aca="false">F22/$B22-1</f>
        <v>0.0252588905862206</v>
      </c>
      <c r="W22" s="7" t="n">
        <f aca="false">G22/$B22-1</f>
        <v>0.018567147074545</v>
      </c>
      <c r="X22" s="7" t="n">
        <f aca="false">H22/$B22-1</f>
        <v>0.0227600517131072</v>
      </c>
      <c r="Y22" s="7" t="n">
        <f aca="false">I22/$B22-1</f>
        <v>0.0334609617109105</v>
      </c>
      <c r="Z22" s="7" t="n">
        <f aca="false">J22/$B22-1</f>
        <v>0.0488398450697036</v>
      </c>
      <c r="AA22" s="7" t="n">
        <f aca="false">K22/$B22-1</f>
        <v>0.0430127586043341</v>
      </c>
      <c r="AB22" s="7" t="n">
        <f aca="false">L22/$B22-1</f>
        <v>0.0483290530059348</v>
      </c>
      <c r="AC22" s="7" t="n">
        <f aca="false">M22/$B22-1</f>
        <v>0.0603309467153941</v>
      </c>
      <c r="AD22" s="7" t="n">
        <f aca="false">N22/$B22-1</f>
        <v>0.0761096810415161</v>
      </c>
      <c r="AE22" s="7" t="n">
        <f aca="false">O22/$B22-1</f>
        <v>0.0680450648108382</v>
      </c>
      <c r="AF22" s="7" t="n">
        <f aca="false">P22/$B22-1</f>
        <v>0.0703439631190592</v>
      </c>
      <c r="AG22" s="7" t="n">
        <f aca="false">Q22/$B22-1</f>
        <v>0.0815375656497019</v>
      </c>
      <c r="AH22" s="7" t="n">
        <f aca="false">R22/$B22-1</f>
        <v>0.0965557649813047</v>
      </c>
      <c r="AI22" s="7" t="n">
        <f aca="false">S22/$B22-1</f>
        <v>0.089405966107055</v>
      </c>
      <c r="AJ22" s="7" t="n">
        <f aca="false">T22/$B22-1</f>
        <v>0.0949618742707976</v>
      </c>
      <c r="AK22" s="4"/>
      <c r="AL22" s="4" t="n">
        <f aca="false">SUMPRODUCT(MAX((V22:AJ22&lt;0)*$V$3:$AJ$3))</f>
        <v>0</v>
      </c>
      <c r="AM22" s="10" t="n">
        <f aca="false">IF(AL22=0,0,IF(AL22=15,3.5+IFERROR(LN($B22/T22)/LN(1+SUMIFS('Realpage Data'!$AF$2:$AF$899,'Realpage Data'!$A$2:$A$899,$A22,'Realpage Data'!$F$2:$F$899,"YOY Effective Rent Change")),99),((AL22-1)+INDEX(V22:AJ22,1,AL22)/(INDEX(V22:AJ22,1,AL22)-INDEX(V22:AJ22,1,AL22+1)))/4))</f>
        <v>0</v>
      </c>
      <c r="AN22" s="4" t="str">
        <f aca="false">IF(AL22=15,"†","")</f>
        <v/>
      </c>
    </row>
    <row r="23" customFormat="false" ht="15" hidden="false" customHeight="false" outlineLevel="0" collapsed="false">
      <c r="A23" s="25" t="s">
        <v>40</v>
      </c>
      <c r="B23" s="6" t="n">
        <f aca="false">SUMIFS('Realpage Data'!$R$2:$R$899,'Realpage Data'!$A$2:$A$899,$A23,'Realpage Data'!$F$2:$F$899,"Rent Roll (Rev/OSF)")</f>
        <v>1.26819012269437</v>
      </c>
      <c r="C23" s="6" t="n">
        <f aca="false">SUMIFS('Realpage Data'!$O$2:$O$899,'Realpage Data'!$A$2:$A$899,$A23,'Realpage Data'!$F$2:$F$899,"Effective RPSF")</f>
        <v>1.29</v>
      </c>
      <c r="D23" s="6" t="n">
        <f aca="false">SUMIFS('Realpage Data'!$P$2:$P$899,'Realpage Data'!$A$2:$A$899,$A23,'Realpage Data'!$F$2:$F$899,"Effective RPSF")</f>
        <v>1.259</v>
      </c>
      <c r="E23" s="6" t="n">
        <f aca="false">SUMIFS('Realpage Data'!$Q$2:$Q$899,'Realpage Data'!$A$2:$A$899,$A23,'Realpage Data'!$F$2:$F$899,"Effective RPSF")</f>
        <v>1.275</v>
      </c>
      <c r="F23" s="6" t="n">
        <f aca="false">SUMIFS('Realpage Data'!$R$2:$R$899,'Realpage Data'!$A$2:$A$899,$A23,'Realpage Data'!$F$2:$F$899,"Effective RPSF")</f>
        <v>1.3</v>
      </c>
      <c r="G23" s="6" t="n">
        <f aca="false">C23*(1+SUMIFS('Realpage Data'!$S$2:$S$899,'Realpage Data'!$A$2:$A$899,$A23,'Realpage Data'!$F$2:$F$899,"YOY Effective Rent Change"))</f>
        <v>1.3029</v>
      </c>
      <c r="H23" s="6" t="n">
        <f aca="false">D23*(1+SUMIFS('Realpage Data'!$T$2:$T$899,'Realpage Data'!$A$2:$A$899,$A23,'Realpage Data'!$F$2:$F$899,"YOY Effective Rent Change"))</f>
        <v>1.280403</v>
      </c>
      <c r="I23" s="6" t="n">
        <f aca="false">E23*(1+SUMIFS('Realpage Data'!$U$2:$U$899,'Realpage Data'!$A$2:$A$899,$A23,'Realpage Data'!$F$2:$F$899,"YOY Effective Rent Change"))</f>
        <v>1.306875</v>
      </c>
      <c r="J23" s="6" t="n">
        <f aca="false">F23*(1+SUMIFS('Realpage Data'!$V$2:$V$899,'Realpage Data'!$A$2:$A$899,$A23,'Realpage Data'!$F$2:$F$899,"YOY Effective Rent Change"))</f>
        <v>1.339</v>
      </c>
      <c r="K23" s="6" t="n">
        <f aca="false">G23*(1+SUMIFS('Realpage Data'!$W$2:$W$899,'Realpage Data'!$A$2:$A$899,$A23,'Realpage Data'!$F$2:$F$899,"YOY Effective Rent Change"))</f>
        <v>1.3432899</v>
      </c>
      <c r="L23" s="6" t="n">
        <f aca="false">H23*(1+SUMIFS('Realpage Data'!$X$2:$X$899,'Realpage Data'!$A$2:$A$899,$A23,'Realpage Data'!$F$2:$F$899,"YOY Effective Rent Change"))</f>
        <v>1.316254284</v>
      </c>
      <c r="M23" s="6" t="n">
        <f aca="false">I23*(1+SUMIFS('Realpage Data'!$Y$2:$Y$899,'Realpage Data'!$A$2:$A$899,$A23,'Realpage Data'!$F$2:$F$899,"YOY Effective Rent Change"))</f>
        <v>1.339546875</v>
      </c>
      <c r="N23" s="6" t="n">
        <f aca="false">J23*(1+SUMIFS('Realpage Data'!$Z$2:$Z$899,'Realpage Data'!$A$2:$A$899,$A23,'Realpage Data'!$F$2:$F$899,"YOY Effective Rent Change"))</f>
        <v>1.369797</v>
      </c>
      <c r="O23" s="6" t="n">
        <f aca="false">K23*(1+SUMIFS('Realpage Data'!$AA$2:$AA$899,'Realpage Data'!$A$2:$A$899,$A23,'Realpage Data'!$F$2:$F$899,"YOY Effective Rent Change"))</f>
        <v>1.3728422778</v>
      </c>
      <c r="P23" s="6" t="n">
        <f aca="false">L23*(1+SUMIFS('Realpage Data'!$AB$2:$AB$899,'Realpage Data'!$A$2:$A$899,$A23,'Realpage Data'!$F$2:$F$899,"YOY Effective Rent Change"))</f>
        <v>1.343895623964</v>
      </c>
      <c r="Q23" s="6" t="n">
        <f aca="false">M23*(1+SUMIFS('Realpage Data'!$AC$2:$AC$899,'Realpage Data'!$A$2:$A$899,$A23,'Realpage Data'!$F$2:$F$899,"YOY Effective Rent Change"))</f>
        <v>1.362319171875</v>
      </c>
      <c r="R23" s="6" t="n">
        <f aca="false">N23*(1+SUMIFS('Realpage Data'!$AD$2:$AD$899,'Realpage Data'!$A$2:$A$899,$A23,'Realpage Data'!$F$2:$F$899,"YOY Effective Rent Change"))</f>
        <v>1.391713752</v>
      </c>
      <c r="S23" s="6" t="n">
        <f aca="false">O23*(1+SUMIFS('Realpage Data'!$AE$2:$AE$899,'Realpage Data'!$A$2:$A$899,$A23,'Realpage Data'!$F$2:$F$899,"YOY Effective Rent Change"))</f>
        <v>1.3961805965226</v>
      </c>
      <c r="T23" s="6" t="n">
        <f aca="false">P23*(1+SUMIFS('Realpage Data'!$AF$2:$AF$899,'Realpage Data'!$A$2:$A$899,$A23,'Realpage Data'!$F$2:$F$899,"YOY Effective Rent Change"))</f>
        <v>1.36808574519535</v>
      </c>
      <c r="U23" s="4"/>
      <c r="V23" s="7" t="n">
        <f aca="false">F23/$B23-1</f>
        <v>0.0250828931217761</v>
      </c>
      <c r="W23" s="7" t="n">
        <f aca="false">G23/$B23-1</f>
        <v>0.02736961649874</v>
      </c>
      <c r="X23" s="7" t="n">
        <f aca="false">H23/$B23-1</f>
        <v>0.00963016277061635</v>
      </c>
      <c r="Y23" s="7" t="n">
        <f aca="false">I23/$B23-1</f>
        <v>0.0305040045757854</v>
      </c>
      <c r="Z23" s="7" t="n">
        <f aca="false">J23/$B23-1</f>
        <v>0.0558353799154296</v>
      </c>
      <c r="AA23" s="7" t="n">
        <f aca="false">K23/$B23-1</f>
        <v>0.0592180746102009</v>
      </c>
      <c r="AB23" s="7" t="n">
        <f aca="false">L23/$B23-1</f>
        <v>0.0378998073281938</v>
      </c>
      <c r="AC23" s="7" t="n">
        <f aca="false">M23/$B23-1</f>
        <v>0.0562666046901799</v>
      </c>
      <c r="AD23" s="7" t="n">
        <f aca="false">N23/$B23-1</f>
        <v>0.0801195936534844</v>
      </c>
      <c r="AE23" s="7" t="n">
        <f aca="false">O23/$B23-1</f>
        <v>0.0825208722516253</v>
      </c>
      <c r="AF23" s="7" t="n">
        <f aca="false">P23/$B23-1</f>
        <v>0.0596957032820857</v>
      </c>
      <c r="AG23" s="7" t="n">
        <f aca="false">Q23/$B23-1</f>
        <v>0.0742231369699129</v>
      </c>
      <c r="AH23" s="7" t="n">
        <f aca="false">R23/$B23-1</f>
        <v>0.0974015071519403</v>
      </c>
      <c r="AI23" s="7" t="n">
        <f aca="false">S23/$B23-1</f>
        <v>0.100923727079903</v>
      </c>
      <c r="AJ23" s="7" t="n">
        <f aca="false">T23/$B23-1</f>
        <v>0.0787702259411631</v>
      </c>
      <c r="AK23" s="4"/>
      <c r="AL23" s="4" t="n">
        <f aca="false">SUMPRODUCT(MAX((V23:AJ23&lt;0)*$V$3:$AJ$3))</f>
        <v>0</v>
      </c>
      <c r="AM23" s="10" t="n">
        <f aca="false">IF(AL23=0,0,IF(AL23=15,3.5+IFERROR(LN($B23/T23)/LN(1+SUMIFS('Realpage Data'!$AF$2:$AF$899,'Realpage Data'!$A$2:$A$899,$A23,'Realpage Data'!$F$2:$F$899,"YOY Effective Rent Change")),99),((AL23-1)+INDEX(V23:AJ23,1,AL23)/(INDEX(V23:AJ23,1,AL23)-INDEX(V23:AJ23,1,AL23+1)))/4))</f>
        <v>0</v>
      </c>
      <c r="AN23" s="4" t="str">
        <f aca="false">IF(AL23=15,"†","")</f>
        <v/>
      </c>
    </row>
    <row r="24" customFormat="false" ht="15" hidden="false" customHeight="false" outlineLevel="0" collapsed="false">
      <c r="A24" s="25" t="s">
        <v>41</v>
      </c>
      <c r="B24" s="6" t="n">
        <f aca="false">SUMIFS('Realpage Data'!$R$2:$R$899,'Realpage Data'!$A$2:$A$899,$A24,'Realpage Data'!$F$2:$F$899,"Rent Roll (Rev/OSF)")</f>
        <v>1.49116256746376</v>
      </c>
      <c r="C24" s="6" t="n">
        <f aca="false">SUMIFS('Realpage Data'!$O$2:$O$899,'Realpage Data'!$A$2:$A$899,$A24,'Realpage Data'!$F$2:$F$899,"Effective RPSF")</f>
        <v>1.503</v>
      </c>
      <c r="D24" s="6" t="n">
        <f aca="false">SUMIFS('Realpage Data'!$P$2:$P$899,'Realpage Data'!$A$2:$A$899,$A24,'Realpage Data'!$F$2:$F$899,"Effective RPSF")</f>
        <v>1.477</v>
      </c>
      <c r="E24" s="6" t="n">
        <f aca="false">SUMIFS('Realpage Data'!$Q$2:$Q$899,'Realpage Data'!$A$2:$A$899,$A24,'Realpage Data'!$F$2:$F$899,"Effective RPSF")</f>
        <v>1.493</v>
      </c>
      <c r="F24" s="6" t="n">
        <f aca="false">SUMIFS('Realpage Data'!$R$2:$R$899,'Realpage Data'!$A$2:$A$899,$A24,'Realpage Data'!$F$2:$F$899,"Effective RPSF")</f>
        <v>1.523</v>
      </c>
      <c r="G24" s="6" t="n">
        <f aca="false">C24*(1+SUMIFS('Realpage Data'!$S$2:$S$899,'Realpage Data'!$A$2:$A$899,$A24,'Realpage Data'!$F$2:$F$899,"YOY Effective Rent Change"))</f>
        <v>1.527048</v>
      </c>
      <c r="H24" s="6" t="n">
        <f aca="false">D24*(1+SUMIFS('Realpage Data'!$T$2:$T$899,'Realpage Data'!$A$2:$A$899,$A24,'Realpage Data'!$F$2:$F$899,"YOY Effective Rent Change"))</f>
        <v>1.502109</v>
      </c>
      <c r="I24" s="6" t="n">
        <f aca="false">E24*(1+SUMIFS('Realpage Data'!$U$2:$U$899,'Realpage Data'!$A$2:$A$899,$A24,'Realpage Data'!$F$2:$F$899,"YOY Effective Rent Change"))</f>
        <v>1.519874</v>
      </c>
      <c r="J24" s="6" t="n">
        <f aca="false">F24*(1+SUMIFS('Realpage Data'!$V$2:$V$899,'Realpage Data'!$A$2:$A$899,$A24,'Realpage Data'!$F$2:$F$899,"YOY Effective Rent Change"))</f>
        <v>1.556506</v>
      </c>
      <c r="K24" s="6" t="n">
        <f aca="false">G24*(1+SUMIFS('Realpage Data'!$W$2:$W$899,'Realpage Data'!$A$2:$A$899,$A24,'Realpage Data'!$F$2:$F$899,"YOY Effective Rent Change"))</f>
        <v>1.566751248</v>
      </c>
      <c r="L24" s="6" t="n">
        <f aca="false">H24*(1+SUMIFS('Realpage Data'!$X$2:$X$899,'Realpage Data'!$A$2:$A$899,$A24,'Realpage Data'!$F$2:$F$899,"YOY Effective Rent Change"))</f>
        <v>1.539661725</v>
      </c>
      <c r="M24" s="6" t="n">
        <f aca="false">I24*(1+SUMIFS('Realpage Data'!$Y$2:$Y$899,'Realpage Data'!$A$2:$A$899,$A24,'Realpage Data'!$F$2:$F$899,"YOY Effective Rent Change"))</f>
        <v>1.551791354</v>
      </c>
      <c r="N24" s="6" t="n">
        <f aca="false">J24*(1+SUMIFS('Realpage Data'!$Z$2:$Z$899,'Realpage Data'!$A$2:$A$899,$A24,'Realpage Data'!$F$2:$F$899,"YOY Effective Rent Change"))</f>
        <v>1.58763612</v>
      </c>
      <c r="O24" s="6" t="n">
        <f aca="false">K24*(1+SUMIFS('Realpage Data'!$AA$2:$AA$899,'Realpage Data'!$A$2:$A$899,$A24,'Realpage Data'!$F$2:$F$899,"YOY Effective Rent Change"))</f>
        <v>1.59808627296</v>
      </c>
      <c r="P24" s="6" t="n">
        <f aca="false">L24*(1+SUMIFS('Realpage Data'!$AB$2:$AB$899,'Realpage Data'!$A$2:$A$899,$A24,'Realpage Data'!$F$2:$F$899,"YOY Effective Rent Change"))</f>
        <v>1.571994621225</v>
      </c>
      <c r="Q24" s="6" t="n">
        <f aca="false">M24*(1+SUMIFS('Realpage Data'!$AC$2:$AC$899,'Realpage Data'!$A$2:$A$899,$A24,'Realpage Data'!$F$2:$F$899,"YOY Effective Rent Change"))</f>
        <v>1.581275389726</v>
      </c>
      <c r="R24" s="6" t="n">
        <f aca="false">N24*(1+SUMIFS('Realpage Data'!$AD$2:$AD$899,'Realpage Data'!$A$2:$A$899,$A24,'Realpage Data'!$F$2:$F$899,"YOY Effective Rent Change"))</f>
        <v>1.61780120628</v>
      </c>
      <c r="S24" s="6" t="n">
        <f aca="false">O24*(1+SUMIFS('Realpage Data'!$AE$2:$AE$899,'Realpage Data'!$A$2:$A$899,$A24,'Realpage Data'!$F$2:$F$899,"YOY Effective Rent Change"))</f>
        <v>1.63164608469216</v>
      </c>
      <c r="T24" s="6" t="n">
        <f aca="false">P24*(1+SUMIFS('Realpage Data'!$AF$2:$AF$899,'Realpage Data'!$A$2:$A$899,$A24,'Realpage Data'!$F$2:$F$899,"YOY Effective Rent Change"))</f>
        <v>1.6097224921344</v>
      </c>
      <c r="U24" s="4"/>
      <c r="V24" s="7" t="n">
        <f aca="false">F24/$B24-1</f>
        <v>0.0213507455396962</v>
      </c>
      <c r="W24" s="7" t="n">
        <f aca="false">G24/$B24-1</f>
        <v>0.0240654059585701</v>
      </c>
      <c r="X24" s="7" t="n">
        <f aca="false">H24/$B24-1</f>
        <v>0.00734087132756911</v>
      </c>
      <c r="Y24" s="7" t="n">
        <f aca="false">I24/$B24-1</f>
        <v>0.0192543946332242</v>
      </c>
      <c r="Z24" s="7" t="n">
        <f aca="false">J24/$B24-1</f>
        <v>0.0438204619415696</v>
      </c>
      <c r="AA24" s="7" t="n">
        <f aca="false">K24/$B24-1</f>
        <v>0.050691106513493</v>
      </c>
      <c r="AB24" s="7" t="n">
        <f aca="false">L24/$B24-1</f>
        <v>0.0325243931107582</v>
      </c>
      <c r="AC24" s="7" t="n">
        <f aca="false">M24/$B24-1</f>
        <v>0.040658736920522</v>
      </c>
      <c r="AD24" s="7" t="n">
        <f aca="false">N24/$B24-1</f>
        <v>0.064696871180401</v>
      </c>
      <c r="AE24" s="7" t="n">
        <f aca="false">O24/$B24-1</f>
        <v>0.0717049286437628</v>
      </c>
      <c r="AF24" s="7" t="n">
        <f aca="false">P24/$B24-1</f>
        <v>0.0542074053660839</v>
      </c>
      <c r="AG24" s="7" t="n">
        <f aca="false">Q24/$B24-1</f>
        <v>0.0604312529220117</v>
      </c>
      <c r="AH24" s="7" t="n">
        <f aca="false">R24/$B24-1</f>
        <v>0.0849261117328286</v>
      </c>
      <c r="AI24" s="7" t="n">
        <f aca="false">S24/$B24-1</f>
        <v>0.0942107321452816</v>
      </c>
      <c r="AJ24" s="7" t="n">
        <f aca="false">T24/$B24-1</f>
        <v>0.07950838309487</v>
      </c>
      <c r="AK24" s="4"/>
      <c r="AL24" s="4" t="n">
        <f aca="false">SUMPRODUCT(MAX((V24:AJ24&lt;0)*$V$3:$AJ$3))</f>
        <v>0</v>
      </c>
      <c r="AM24" s="10" t="n">
        <f aca="false">IF(AL24=0,0,IF(AL24=15,3.5+IFERROR(LN($B24/T24)/LN(1+SUMIFS('Realpage Data'!$AF$2:$AF$899,'Realpage Data'!$A$2:$A$899,$A24,'Realpage Data'!$F$2:$F$899,"YOY Effective Rent Change")),99),((AL24-1)+INDEX(V24:AJ24,1,AL24)/(INDEX(V24:AJ24,1,AL24)-INDEX(V24:AJ24,1,AL24+1)))/4))</f>
        <v>0</v>
      </c>
      <c r="AN24" s="4" t="str">
        <f aca="false">IF(AL24=15,"†","")</f>
        <v/>
      </c>
    </row>
    <row r="25" customFormat="false" ht="15" hidden="false" customHeight="false" outlineLevel="0" collapsed="false">
      <c r="A25" s="25" t="s">
        <v>42</v>
      </c>
      <c r="B25" s="6" t="n">
        <f aca="false">SUMIFS('Realpage Data'!$R$2:$R$899,'Realpage Data'!$A$2:$A$899,$A25,'Realpage Data'!$F$2:$F$899,"Rent Roll (Rev/OSF)")</f>
        <v>1.85544037279929</v>
      </c>
      <c r="C25" s="6" t="n">
        <f aca="false">SUMIFS('Realpage Data'!$O$2:$O$899,'Realpage Data'!$A$2:$A$899,$A25,'Realpage Data'!$F$2:$F$899,"Effective RPSF")</f>
        <v>1.84</v>
      </c>
      <c r="D25" s="6" t="n">
        <f aca="false">SUMIFS('Realpage Data'!$P$2:$P$899,'Realpage Data'!$A$2:$A$899,$A25,'Realpage Data'!$F$2:$F$899,"Effective RPSF")</f>
        <v>1.833</v>
      </c>
      <c r="E25" s="6" t="n">
        <f aca="false">SUMIFS('Realpage Data'!$Q$2:$Q$899,'Realpage Data'!$A$2:$A$899,$A25,'Realpage Data'!$F$2:$F$899,"Effective RPSF")</f>
        <v>1.852</v>
      </c>
      <c r="F25" s="6" t="n">
        <f aca="false">SUMIFS('Realpage Data'!$R$2:$R$899,'Realpage Data'!$A$2:$A$899,$A25,'Realpage Data'!$F$2:$F$899,"Effective RPSF")</f>
        <v>1.884</v>
      </c>
      <c r="G25" s="6" t="n">
        <f aca="false">C25*(1+SUMIFS('Realpage Data'!$S$2:$S$899,'Realpage Data'!$A$2:$A$899,$A25,'Realpage Data'!$F$2:$F$899,"YOY Effective Rent Change"))</f>
        <v>1.87496</v>
      </c>
      <c r="H25" s="6" t="n">
        <f aca="false">D25*(1+SUMIFS('Realpage Data'!$T$2:$T$899,'Realpage Data'!$A$2:$A$899,$A25,'Realpage Data'!$F$2:$F$899,"YOY Effective Rent Change"))</f>
        <v>1.867827</v>
      </c>
      <c r="I25" s="6" t="n">
        <f aca="false">E25*(1+SUMIFS('Realpage Data'!$U$2:$U$899,'Realpage Data'!$A$2:$A$899,$A25,'Realpage Data'!$F$2:$F$899,"YOY Effective Rent Change"))</f>
        <v>1.885336</v>
      </c>
      <c r="J25" s="6" t="n">
        <f aca="false">F25*(1+SUMIFS('Realpage Data'!$V$2:$V$899,'Realpage Data'!$A$2:$A$899,$A25,'Realpage Data'!$F$2:$F$899,"YOY Effective Rent Change"))</f>
        <v>1.919796</v>
      </c>
      <c r="K25" s="6" t="n">
        <f aca="false">G25*(1+SUMIFS('Realpage Data'!$W$2:$W$899,'Realpage Data'!$A$2:$A$899,$A25,'Realpage Data'!$F$2:$F$899,"YOY Effective Rent Change"))</f>
        <v>1.91620912</v>
      </c>
      <c r="L25" s="6" t="n">
        <f aca="false">H25*(1+SUMIFS('Realpage Data'!$X$2:$X$899,'Realpage Data'!$A$2:$A$899,$A25,'Realpage Data'!$F$2:$F$899,"YOY Effective Rent Change"))</f>
        <v>1.908919194</v>
      </c>
      <c r="M25" s="6" t="n">
        <f aca="false">I25*(1+SUMIFS('Realpage Data'!$Y$2:$Y$899,'Realpage Data'!$A$2:$A$899,$A25,'Realpage Data'!$F$2:$F$899,"YOY Effective Rent Change"))</f>
        <v>1.92304272</v>
      </c>
      <c r="N25" s="6" t="n">
        <f aca="false">J25*(1+SUMIFS('Realpage Data'!$Z$2:$Z$899,'Realpage Data'!$A$2:$A$899,$A25,'Realpage Data'!$F$2:$F$899,"YOY Effective Rent Change"))</f>
        <v>1.960111716</v>
      </c>
      <c r="O25" s="6" t="n">
        <f aca="false">K25*(1+SUMIFS('Realpage Data'!$AA$2:$AA$899,'Realpage Data'!$A$2:$A$899,$A25,'Realpage Data'!$F$2:$F$899,"YOY Effective Rent Change"))</f>
        <v>1.96219813888</v>
      </c>
      <c r="P25" s="6" t="n">
        <f aca="false">L25*(1+SUMIFS('Realpage Data'!$AB$2:$AB$899,'Realpage Data'!$A$2:$A$899,$A25,'Realpage Data'!$F$2:$F$899,"YOY Effective Rent Change"))</f>
        <v>1.954733254656</v>
      </c>
      <c r="Q25" s="6" t="n">
        <f aca="false">M25*(1+SUMIFS('Realpage Data'!$AC$2:$AC$899,'Realpage Data'!$A$2:$A$899,$A25,'Realpage Data'!$F$2:$F$899,"YOY Effective Rent Change"))</f>
        <v>1.96342661712</v>
      </c>
      <c r="R25" s="6" t="n">
        <f aca="false">N25*(1+SUMIFS('Realpage Data'!$AD$2:$AD$899,'Realpage Data'!$A$2:$A$899,$A25,'Realpage Data'!$F$2:$F$899,"YOY Effective Rent Change"))</f>
        <v>2.001274062036</v>
      </c>
      <c r="S25" s="6" t="n">
        <f aca="false">O25*(1+SUMIFS('Realpage Data'!$AE$2:$AE$899,'Realpage Data'!$A$2:$A$899,$A25,'Realpage Data'!$F$2:$F$899,"YOY Effective Rent Change"))</f>
        <v>2.00732869607424</v>
      </c>
      <c r="T25" s="6" t="n">
        <f aca="false">P25*(1+SUMIFS('Realpage Data'!$AF$2:$AF$899,'Realpage Data'!$A$2:$A$899,$A25,'Realpage Data'!$F$2:$F$899,"YOY Effective Rent Change"))</f>
        <v>2.00164685276774</v>
      </c>
      <c r="U25" s="4"/>
      <c r="V25" s="7" t="n">
        <f aca="false">F25/$B25-1</f>
        <v>0.015392371331032</v>
      </c>
      <c r="W25" s="7" t="n">
        <f aca="false">G25/$B25-1</f>
        <v>0.0105202126065986</v>
      </c>
      <c r="X25" s="7" t="n">
        <f aca="false">H25/$B25-1</f>
        <v>0.00667584223255147</v>
      </c>
      <c r="Y25" s="7" t="n">
        <f aca="false">I25/$B25-1</f>
        <v>0.0161124160274748</v>
      </c>
      <c r="Z25" s="7" t="n">
        <f aca="false">J25/$B25-1</f>
        <v>0.0346848263863213</v>
      </c>
      <c r="AA25" s="7" t="n">
        <f aca="false">K25/$B25-1</f>
        <v>0.0327516572839437</v>
      </c>
      <c r="AB25" s="7" t="n">
        <f aca="false">L25/$B25-1</f>
        <v>0.0288227107616676</v>
      </c>
      <c r="AC25" s="7" t="n">
        <f aca="false">M25/$B25-1</f>
        <v>0.0364346643480245</v>
      </c>
      <c r="AD25" s="7" t="n">
        <f aca="false">N25/$B25-1</f>
        <v>0.056413207740434</v>
      </c>
      <c r="AE25" s="7" t="n">
        <f aca="false">O25/$B25-1</f>
        <v>0.0575376970587584</v>
      </c>
      <c r="AF25" s="7" t="n">
        <f aca="false">P25/$B25-1</f>
        <v>0.0535144558199479</v>
      </c>
      <c r="AG25" s="7" t="n">
        <f aca="false">Q25/$B25-1</f>
        <v>0.0581997922993329</v>
      </c>
      <c r="AH25" s="7" t="n">
        <f aca="false">R25/$B25-1</f>
        <v>0.0785978851029832</v>
      </c>
      <c r="AI25" s="7" t="n">
        <f aca="false">S25/$B25-1</f>
        <v>0.0818610640911097</v>
      </c>
      <c r="AJ25" s="7" t="n">
        <f aca="false">T25/$B25-1</f>
        <v>0.0787988027596265</v>
      </c>
      <c r="AK25" s="4"/>
      <c r="AL25" s="4" t="n">
        <f aca="false">SUMPRODUCT(MAX((V25:AJ25&lt;0)*$V$3:$AJ$3))</f>
        <v>0</v>
      </c>
      <c r="AM25" s="10" t="n">
        <f aca="false">IF(AL25=0,0,IF(AL25=15,3.5+IFERROR(LN($B25/T25)/LN(1+SUMIFS('Realpage Data'!$AF$2:$AF$899,'Realpage Data'!$A$2:$A$899,$A25,'Realpage Data'!$F$2:$F$899,"YOY Effective Rent Change")),99),((AL25-1)+INDEX(V25:AJ25,1,AL25)/(INDEX(V25:AJ25,1,AL25)-INDEX(V25:AJ25,1,AL25+1)))/4))</f>
        <v>0</v>
      </c>
      <c r="AN25" s="4" t="str">
        <f aca="false">IF(AL25=15,"†","")</f>
        <v/>
      </c>
    </row>
    <row r="26" customFormat="false" ht="15" hidden="false" customHeight="false" outlineLevel="0" collapsed="false">
      <c r="A26" s="25" t="s">
        <v>43</v>
      </c>
      <c r="B26" s="6" t="n">
        <f aca="false">SUMIFS('Realpage Data'!$R$2:$R$899,'Realpage Data'!$A$2:$A$899,$A26,'Realpage Data'!$F$2:$F$899,"Rent Roll (Rev/OSF)")</f>
        <v>2.43196458652125</v>
      </c>
      <c r="C26" s="6" t="n">
        <f aca="false">SUMIFS('Realpage Data'!$O$2:$O$899,'Realpage Data'!$A$2:$A$899,$A26,'Realpage Data'!$F$2:$F$899,"Effective RPSF")</f>
        <v>2.389</v>
      </c>
      <c r="D26" s="6" t="n">
        <f aca="false">SUMIFS('Realpage Data'!$P$2:$P$899,'Realpage Data'!$A$2:$A$899,$A26,'Realpage Data'!$F$2:$F$899,"Effective RPSF")</f>
        <v>2.406</v>
      </c>
      <c r="E26" s="6" t="n">
        <f aca="false">SUMIFS('Realpage Data'!$Q$2:$Q$899,'Realpage Data'!$A$2:$A$899,$A26,'Realpage Data'!$F$2:$F$899,"Effective RPSF")</f>
        <v>2.435</v>
      </c>
      <c r="F26" s="6" t="n">
        <f aca="false">SUMIFS('Realpage Data'!$R$2:$R$899,'Realpage Data'!$A$2:$A$899,$A26,'Realpage Data'!$F$2:$F$899,"Effective RPSF")</f>
        <v>2.449</v>
      </c>
      <c r="G26" s="6" t="n">
        <f aca="false">C26*(1+SUMIFS('Realpage Data'!$S$2:$S$899,'Realpage Data'!$A$2:$A$899,$A26,'Realpage Data'!$F$2:$F$899,"YOY Effective Rent Change"))</f>
        <v>2.439169</v>
      </c>
      <c r="H26" s="6" t="n">
        <f aca="false">D26*(1+SUMIFS('Realpage Data'!$T$2:$T$899,'Realpage Data'!$A$2:$A$899,$A26,'Realpage Data'!$F$2:$F$899,"YOY Effective Rent Change"))</f>
        <v>2.470962</v>
      </c>
      <c r="I26" s="6" t="n">
        <f aca="false">E26*(1+SUMIFS('Realpage Data'!$U$2:$U$899,'Realpage Data'!$A$2:$A$899,$A26,'Realpage Data'!$F$2:$F$899,"YOY Effective Rent Change"))</f>
        <v>2.495875</v>
      </c>
      <c r="J26" s="6" t="n">
        <f aca="false">F26*(1+SUMIFS('Realpage Data'!$V$2:$V$899,'Realpage Data'!$A$2:$A$899,$A26,'Realpage Data'!$F$2:$F$899,"YOY Effective Rent Change"))</f>
        <v>2.515123</v>
      </c>
      <c r="K26" s="6" t="n">
        <f aca="false">G26*(1+SUMIFS('Realpage Data'!$W$2:$W$899,'Realpage Data'!$A$2:$A$899,$A26,'Realpage Data'!$F$2:$F$899,"YOY Effective Rent Change"))</f>
        <v>2.514783239</v>
      </c>
      <c r="L26" s="6" t="n">
        <f aca="false">H26*(1+SUMIFS('Realpage Data'!$X$2:$X$899,'Realpage Data'!$A$2:$A$899,$A26,'Realpage Data'!$F$2:$F$899,"YOY Effective Rent Change"))</f>
        <v>2.542619898</v>
      </c>
      <c r="M26" s="6" t="n">
        <f aca="false">I26*(1+SUMIFS('Realpage Data'!$Y$2:$Y$899,'Realpage Data'!$A$2:$A$899,$A26,'Realpage Data'!$F$2:$F$899,"YOY Effective Rent Change"))</f>
        <v>2.573247125</v>
      </c>
      <c r="N26" s="6" t="n">
        <f aca="false">J26*(1+SUMIFS('Realpage Data'!$Z$2:$Z$899,'Realpage Data'!$A$2:$A$899,$A26,'Realpage Data'!$F$2:$F$899,"YOY Effective Rent Change"))</f>
        <v>2.593091813</v>
      </c>
      <c r="O26" s="6" t="n">
        <f aca="false">K26*(1+SUMIFS('Realpage Data'!$AA$2:$AA$899,'Realpage Data'!$A$2:$A$899,$A26,'Realpage Data'!$F$2:$F$899,"YOY Effective Rent Change"))</f>
        <v>2.602800652365</v>
      </c>
      <c r="P26" s="6" t="n">
        <f aca="false">L26*(1+SUMIFS('Realpage Data'!$AB$2:$AB$899,'Realpage Data'!$A$2:$A$899,$A26,'Realpage Data'!$F$2:$F$899,"YOY Effective Rent Change"))</f>
        <v>2.629068974532</v>
      </c>
      <c r="Q26" s="6" t="n">
        <f aca="false">M26*(1+SUMIFS('Realpage Data'!$AC$2:$AC$899,'Realpage Data'!$A$2:$A$899,$A26,'Realpage Data'!$F$2:$F$899,"YOY Effective Rent Change"))</f>
        <v>2.6658840215</v>
      </c>
      <c r="R26" s="6" t="n">
        <f aca="false">N26*(1+SUMIFS('Realpage Data'!$AD$2:$AD$899,'Realpage Data'!$A$2:$A$899,$A26,'Realpage Data'!$F$2:$F$899,"YOY Effective Rent Change"))</f>
        <v>2.686443118268</v>
      </c>
      <c r="S26" s="6" t="n">
        <f aca="false">O26*(1+SUMIFS('Realpage Data'!$AE$2:$AE$899,'Realpage Data'!$A$2:$A$899,$A26,'Realpage Data'!$F$2:$F$899,"YOY Effective Rent Change"))</f>
        <v>2.7069126784596</v>
      </c>
      <c r="T26" s="6" t="n">
        <f aca="false">P26*(1+SUMIFS('Realpage Data'!$AF$2:$AF$899,'Realpage Data'!$A$2:$A$899,$A26,'Realpage Data'!$F$2:$F$899,"YOY Effective Rent Change"))</f>
        <v>2.73160266453875</v>
      </c>
      <c r="U26" s="4"/>
      <c r="V26" s="7" t="n">
        <f aca="false">F26/$B26-1</f>
        <v>0.0070047950423171</v>
      </c>
      <c r="W26" s="7" t="n">
        <f aca="false">G26/$B26-1</f>
        <v>0.00296238420521577</v>
      </c>
      <c r="X26" s="7" t="n">
        <f aca="false">H26/$B26-1</f>
        <v>0.0160353541720515</v>
      </c>
      <c r="Y26" s="7" t="n">
        <f aca="false">I26/$B26-1</f>
        <v>0.0262793355762527</v>
      </c>
      <c r="Z26" s="7" t="n">
        <f aca="false">J26/$B26-1</f>
        <v>0.0341939245084595</v>
      </c>
      <c r="AA26" s="7" t="n">
        <f aca="false">K26/$B26-1</f>
        <v>0.0340542181155772</v>
      </c>
      <c r="AB26" s="7" t="n">
        <f aca="false">L26/$B26-1</f>
        <v>0.0455003794430409</v>
      </c>
      <c r="AC26" s="7" t="n">
        <f aca="false">M26/$B26-1</f>
        <v>0.0580939949791166</v>
      </c>
      <c r="AD26" s="7" t="n">
        <f aca="false">N26/$B26-1</f>
        <v>0.0662539361682215</v>
      </c>
      <c r="AE26" s="7" t="n">
        <f aca="false">O26/$B26-1</f>
        <v>0.0702461157496224</v>
      </c>
      <c r="AF26" s="7" t="n">
        <f aca="false">P26/$B26-1</f>
        <v>0.0810473923441044</v>
      </c>
      <c r="AG26" s="7" t="n">
        <f aca="false">Q26/$B26-1</f>
        <v>0.0961853787983649</v>
      </c>
      <c r="AH26" s="7" t="n">
        <f aca="false">R26/$B26-1</f>
        <v>0.104639077870277</v>
      </c>
      <c r="AI26" s="7" t="n">
        <f aca="false">S26/$B26-1</f>
        <v>0.113055960379607</v>
      </c>
      <c r="AJ26" s="7" t="n">
        <f aca="false">T26/$B26-1</f>
        <v>0.123208240645524</v>
      </c>
      <c r="AK26" s="4"/>
      <c r="AL26" s="4" t="n">
        <f aca="false">SUMPRODUCT(MAX((V26:AJ26&lt;0)*$V$3:$AJ$3))</f>
        <v>0</v>
      </c>
      <c r="AM26" s="10" t="n">
        <f aca="false">IF(AL26=0,0,IF(AL26=15,3.5+IFERROR(LN($B26/T26)/LN(1+SUMIFS('Realpage Data'!$AF$2:$AF$899,'Realpage Data'!$A$2:$A$899,$A26,'Realpage Data'!$F$2:$F$899,"YOY Effective Rent Change")),99),((AL26-1)+INDEX(V26:AJ26,1,AL26)/(INDEX(V26:AJ26,1,AL26)-INDEX(V26:AJ26,1,AL26+1)))/4))</f>
        <v>0</v>
      </c>
      <c r="AN26" s="4" t="str">
        <f aca="false">IF(AL26=15,"†","")</f>
        <v/>
      </c>
    </row>
    <row r="27" customFormat="false" ht="15" hidden="false" customHeight="false" outlineLevel="0" collapsed="false">
      <c r="A27" s="25" t="s">
        <v>44</v>
      </c>
      <c r="B27" s="6" t="n">
        <f aca="false">SUMIFS('Realpage Data'!$R$2:$R$899,'Realpage Data'!$A$2:$A$899,$A27,'Realpage Data'!$F$2:$F$899,"Rent Roll (Rev/OSF)")</f>
        <v>1.46088091619272</v>
      </c>
      <c r="C27" s="6" t="n">
        <f aca="false">SUMIFS('Realpage Data'!$O$2:$O$899,'Realpage Data'!$A$2:$A$899,$A27,'Realpage Data'!$F$2:$F$899,"Effective RPSF")</f>
        <v>1.462</v>
      </c>
      <c r="D27" s="6" t="n">
        <f aca="false">SUMIFS('Realpage Data'!$P$2:$P$899,'Realpage Data'!$A$2:$A$899,$A27,'Realpage Data'!$F$2:$F$899,"Effective RPSF")</f>
        <v>1.437</v>
      </c>
      <c r="E27" s="6" t="n">
        <f aca="false">SUMIFS('Realpage Data'!$Q$2:$Q$899,'Realpage Data'!$A$2:$A$899,$A27,'Realpage Data'!$F$2:$F$899,"Effective RPSF")</f>
        <v>1.443</v>
      </c>
      <c r="F27" s="6" t="n">
        <f aca="false">SUMIFS('Realpage Data'!$R$2:$R$899,'Realpage Data'!$A$2:$A$899,$A27,'Realpage Data'!$F$2:$F$899,"Effective RPSF")</f>
        <v>1.466</v>
      </c>
      <c r="G27" s="6" t="n">
        <f aca="false">C27*(1+SUMIFS('Realpage Data'!$S$2:$S$899,'Realpage Data'!$A$2:$A$899,$A27,'Realpage Data'!$F$2:$F$899,"YOY Effective Rent Change"))</f>
        <v>1.475158</v>
      </c>
      <c r="H27" s="6" t="n">
        <f aca="false">D27*(1+SUMIFS('Realpage Data'!$T$2:$T$899,'Realpage Data'!$A$2:$A$899,$A27,'Realpage Data'!$F$2:$F$899,"YOY Effective Rent Change"))</f>
        <v>1.467177</v>
      </c>
      <c r="I27" s="6" t="n">
        <f aca="false">E27*(1+SUMIFS('Realpage Data'!$U$2:$U$899,'Realpage Data'!$A$2:$A$899,$A27,'Realpage Data'!$F$2:$F$899,"YOY Effective Rent Change"))</f>
        <v>1.477632</v>
      </c>
      <c r="J27" s="6" t="n">
        <f aca="false">F27*(1+SUMIFS('Realpage Data'!$V$2:$V$899,'Realpage Data'!$A$2:$A$899,$A27,'Realpage Data'!$F$2:$F$899,"YOY Effective Rent Change"))</f>
        <v>1.489456</v>
      </c>
      <c r="K27" s="6" t="n">
        <f aca="false">G27*(1+SUMIFS('Realpage Data'!$W$2:$W$899,'Realpage Data'!$A$2:$A$899,$A27,'Realpage Data'!$F$2:$F$899,"YOY Effective Rent Change"))</f>
        <v>1.509086634</v>
      </c>
      <c r="L27" s="6" t="n">
        <f aca="false">H27*(1+SUMIFS('Realpage Data'!$X$2:$X$899,'Realpage Data'!$A$2:$A$899,$A27,'Realpage Data'!$F$2:$F$899,"YOY Effective Rent Change"))</f>
        <v>1.500922071</v>
      </c>
      <c r="M27" s="6" t="n">
        <f aca="false">I27*(1+SUMIFS('Realpage Data'!$Y$2:$Y$899,'Realpage Data'!$A$2:$A$899,$A27,'Realpage Data'!$F$2:$F$899,"YOY Effective Rent Change"))</f>
        <v>1.519005696</v>
      </c>
      <c r="N27" s="6" t="n">
        <f aca="false">J27*(1+SUMIFS('Realpage Data'!$Z$2:$Z$899,'Realpage Data'!$A$2:$A$899,$A27,'Realpage Data'!$F$2:$F$899,"YOY Effective Rent Change"))</f>
        <v>1.5266924</v>
      </c>
      <c r="O27" s="6" t="n">
        <f aca="false">K27*(1+SUMIFS('Realpage Data'!$AA$2:$AA$899,'Realpage Data'!$A$2:$A$899,$A27,'Realpage Data'!$F$2:$F$899,"YOY Effective Rent Change"))</f>
        <v>1.557377406288</v>
      </c>
      <c r="P27" s="6" t="n">
        <f aca="false">L27*(1+SUMIFS('Realpage Data'!$AB$2:$AB$899,'Realpage Data'!$A$2:$A$899,$A27,'Realpage Data'!$F$2:$F$899,"YOY Effective Rent Change"))</f>
        <v>1.551953421414</v>
      </c>
      <c r="Q27" s="6" t="n">
        <f aca="false">M27*(1+SUMIFS('Realpage Data'!$AC$2:$AC$899,'Realpage Data'!$A$2:$A$899,$A27,'Realpage Data'!$F$2:$F$899,"YOY Effective Rent Change"))</f>
        <v>1.573689901056</v>
      </c>
      <c r="R27" s="6" t="n">
        <f aca="false">N27*(1+SUMIFS('Realpage Data'!$AD$2:$AD$899,'Realpage Data'!$A$2:$A$899,$A27,'Realpage Data'!$F$2:$F$899,"YOY Effective Rent Change"))</f>
        <v>1.5755465568</v>
      </c>
      <c r="S27" s="6" t="n">
        <f aca="false">O27*(1+SUMIFS('Realpage Data'!$AE$2:$AE$899,'Realpage Data'!$A$2:$A$899,$A27,'Realpage Data'!$F$2:$F$899,"YOY Effective Rent Change"))</f>
        <v>1.6087708606955</v>
      </c>
      <c r="T27" s="6" t="n">
        <f aca="false">P27*(1+SUMIFS('Realpage Data'!$AF$2:$AF$899,'Realpage Data'!$A$2:$A$899,$A27,'Realpage Data'!$F$2:$F$899,"YOY Effective Rent Change"))</f>
        <v>1.60471983774208</v>
      </c>
      <c r="U27" s="4"/>
      <c r="V27" s="7" t="n">
        <f aca="false">F27/$B27-1</f>
        <v>0.00350410752206898</v>
      </c>
      <c r="W27" s="7" t="n">
        <f aca="false">G27/$B27-1</f>
        <v>0.00977292786087314</v>
      </c>
      <c r="X27" s="7" t="n">
        <f aca="false">H27/$B27-1</f>
        <v>0.00430978578574792</v>
      </c>
      <c r="Y27" s="7" t="n">
        <f aca="false">I27/$B27-1</f>
        <v>0.011466426607128</v>
      </c>
      <c r="Z27" s="7" t="n">
        <f aca="false">J27/$B27-1</f>
        <v>0.019560173242422</v>
      </c>
      <c r="AA27" s="7" t="n">
        <f aca="false">K27/$B27-1</f>
        <v>0.032997705201673</v>
      </c>
      <c r="AB27" s="7" t="n">
        <f aca="false">L27/$B27-1</f>
        <v>0.02740891085882</v>
      </c>
      <c r="AC27" s="7" t="n">
        <f aca="false">M27/$B27-1</f>
        <v>0.0397874865521277</v>
      </c>
      <c r="AD27" s="7" t="n">
        <f aca="false">N27/$B27-1</f>
        <v>0.0450491775734825</v>
      </c>
      <c r="AE27" s="7" t="n">
        <f aca="false">O27/$B27-1</f>
        <v>0.0660536317681266</v>
      </c>
      <c r="AF27" s="7" t="n">
        <f aca="false">P27/$B27-1</f>
        <v>0.0623408138280199</v>
      </c>
      <c r="AG27" s="7" t="n">
        <f aca="false">Q27/$B27-1</f>
        <v>0.0772198360680043</v>
      </c>
      <c r="AH27" s="7" t="n">
        <f aca="false">R27/$B27-1</f>
        <v>0.0784907512558339</v>
      </c>
      <c r="AI27" s="7" t="n">
        <f aca="false">S27/$B27-1</f>
        <v>0.101233401616475</v>
      </c>
      <c r="AJ27" s="7" t="n">
        <f aca="false">T27/$B27-1</f>
        <v>0.0984604014981727</v>
      </c>
      <c r="AK27" s="4"/>
      <c r="AL27" s="4" t="n">
        <f aca="false">SUMPRODUCT(MAX((V27:AJ27&lt;0)*$V$3:$AJ$3))</f>
        <v>0</v>
      </c>
      <c r="AM27" s="10" t="n">
        <f aca="false">IF(AL27=0,0,IF(AL27=15,3.5+IFERROR(LN($B27/T27)/LN(1+SUMIFS('Realpage Data'!$AF$2:$AF$899,'Realpage Data'!$A$2:$A$899,$A27,'Realpage Data'!$F$2:$F$899,"YOY Effective Rent Change")),99),((AL27-1)+INDEX(V27:AJ27,1,AL27)/(INDEX(V27:AJ27,1,AL27)-INDEX(V27:AJ27,1,AL27+1)))/4))</f>
        <v>0</v>
      </c>
      <c r="AN27" s="4" t="str">
        <f aca="false">IF(AL27=15,"†","")</f>
        <v/>
      </c>
    </row>
    <row r="28" customFormat="false" ht="15" hidden="false" customHeight="false" outlineLevel="0" collapsed="false">
      <c r="A28" s="25" t="s">
        <v>45</v>
      </c>
      <c r="B28" s="6" t="n">
        <f aca="false">SUMIFS('Realpage Data'!$R$2:$R$899,'Realpage Data'!$A$2:$A$899,$A28,'Realpage Data'!$F$2:$F$899,"Rent Roll (Rev/OSF)")</f>
        <v>1.48765276756357</v>
      </c>
      <c r="C28" s="6" t="n">
        <f aca="false">SUMIFS('Realpage Data'!$O$2:$O$899,'Realpage Data'!$A$2:$A$899,$A28,'Realpage Data'!$F$2:$F$899,"Effective RPSF")</f>
        <v>1.509</v>
      </c>
      <c r="D28" s="6" t="n">
        <f aca="false">SUMIFS('Realpage Data'!$P$2:$P$899,'Realpage Data'!$A$2:$A$899,$A28,'Realpage Data'!$F$2:$F$899,"Effective RPSF")</f>
        <v>1.508</v>
      </c>
      <c r="E28" s="6" t="n">
        <f aca="false">SUMIFS('Realpage Data'!$Q$2:$Q$899,'Realpage Data'!$A$2:$A$899,$A28,'Realpage Data'!$F$2:$F$899,"Effective RPSF")</f>
        <v>1.485</v>
      </c>
      <c r="F28" s="6" t="n">
        <f aca="false">SUMIFS('Realpage Data'!$R$2:$R$899,'Realpage Data'!$A$2:$A$899,$A28,'Realpage Data'!$F$2:$F$899,"Effective RPSF")</f>
        <v>1.485</v>
      </c>
      <c r="G28" s="6" t="n">
        <f aca="false">C28*(1+SUMIFS('Realpage Data'!$S$2:$S$899,'Realpage Data'!$A$2:$A$899,$A28,'Realpage Data'!$F$2:$F$899,"YOY Effective Rent Change"))</f>
        <v>1.498437</v>
      </c>
      <c r="H28" s="6" t="n">
        <f aca="false">D28*(1+SUMIFS('Realpage Data'!$T$2:$T$899,'Realpage Data'!$A$2:$A$899,$A28,'Realpage Data'!$F$2:$F$899,"YOY Effective Rent Change"))</f>
        <v>1.50046</v>
      </c>
      <c r="I28" s="6" t="n">
        <f aca="false">E28*(1+SUMIFS('Realpage Data'!$U$2:$U$899,'Realpage Data'!$A$2:$A$899,$A28,'Realpage Data'!$F$2:$F$899,"YOY Effective Rent Change"))</f>
        <v>1.501335</v>
      </c>
      <c r="J28" s="6" t="n">
        <f aca="false">F28*(1+SUMIFS('Realpage Data'!$V$2:$V$899,'Realpage Data'!$A$2:$A$899,$A28,'Realpage Data'!$F$2:$F$899,"YOY Effective Rent Change"))</f>
        <v>1.50876</v>
      </c>
      <c r="K28" s="6" t="n">
        <f aca="false">G28*(1+SUMIFS('Realpage Data'!$W$2:$W$899,'Realpage Data'!$A$2:$A$899,$A28,'Realpage Data'!$F$2:$F$899,"YOY Effective Rent Change"))</f>
        <v>1.532901051</v>
      </c>
      <c r="L28" s="6" t="n">
        <f aca="false">H28*(1+SUMIFS('Realpage Data'!$X$2:$X$899,'Realpage Data'!$A$2:$A$899,$A28,'Realpage Data'!$F$2:$F$899,"YOY Effective Rent Change"))</f>
        <v>1.53196966</v>
      </c>
      <c r="M28" s="6" t="n">
        <f aca="false">I28*(1+SUMIFS('Realpage Data'!$Y$2:$Y$899,'Realpage Data'!$A$2:$A$899,$A28,'Realpage Data'!$F$2:$F$899,"YOY Effective Rent Change"))</f>
        <v>1.53736704</v>
      </c>
      <c r="N28" s="6" t="n">
        <f aca="false">J28*(1+SUMIFS('Realpage Data'!$Z$2:$Z$899,'Realpage Data'!$A$2:$A$899,$A28,'Realpage Data'!$F$2:$F$899,"YOY Effective Rent Change"))</f>
        <v>1.5389352</v>
      </c>
      <c r="O28" s="6" t="n">
        <f aca="false">K28*(1+SUMIFS('Realpage Data'!$AA$2:$AA$899,'Realpage Data'!$A$2:$A$899,$A28,'Realpage Data'!$F$2:$F$899,"YOY Effective Rent Change"))</f>
        <v>1.568157775173</v>
      </c>
      <c r="P28" s="6" t="n">
        <f aca="false">L28*(1+SUMIFS('Realpage Data'!$AB$2:$AB$899,'Realpage Data'!$A$2:$A$899,$A28,'Realpage Data'!$F$2:$F$899,"YOY Effective Rent Change"))</f>
        <v>1.56873693184</v>
      </c>
      <c r="Q28" s="6" t="n">
        <f aca="false">M28*(1+SUMIFS('Realpage Data'!$AC$2:$AC$899,'Realpage Data'!$A$2:$A$899,$A28,'Realpage Data'!$F$2:$F$899,"YOY Effective Rent Change"))</f>
        <v>1.575801216</v>
      </c>
      <c r="R28" s="6" t="n">
        <f aca="false">N28*(1+SUMIFS('Realpage Data'!$AD$2:$AD$899,'Realpage Data'!$A$2:$A$899,$A28,'Realpage Data'!$F$2:$F$899,"YOY Effective Rent Change"))</f>
        <v>1.5712528392</v>
      </c>
      <c r="S28" s="6" t="n">
        <f aca="false">O28*(1+SUMIFS('Realpage Data'!$AE$2:$AE$899,'Realpage Data'!$A$2:$A$899,$A28,'Realpage Data'!$F$2:$F$899,"YOY Effective Rent Change"))</f>
        <v>1.60108908845163</v>
      </c>
      <c r="T28" s="6" t="n">
        <f aca="false">P28*(1+SUMIFS('Realpage Data'!$AF$2:$AF$899,'Realpage Data'!$A$2:$A$899,$A28,'Realpage Data'!$F$2:$F$899,"YOY Effective Rent Change"))</f>
        <v>1.60168040740864</v>
      </c>
      <c r="U28" s="4"/>
      <c r="V28" s="7" t="n">
        <f aca="false">F28/$B28-1</f>
        <v>-0.00178319001678962</v>
      </c>
      <c r="W28" s="7" t="n">
        <f aca="false">G28/$B28-1</f>
        <v>0.00724915966384621</v>
      </c>
      <c r="X28" s="7" t="n">
        <f aca="false">H28/$B28-1</f>
        <v>0.00860902000498842</v>
      </c>
      <c r="Y28" s="7" t="n">
        <f aca="false">I28/$B28-1</f>
        <v>0.00919719489302562</v>
      </c>
      <c r="Z28" s="7" t="n">
        <f aca="false">J28/$B28-1</f>
        <v>0.0141882789429417</v>
      </c>
      <c r="AA28" s="7" t="n">
        <f aca="false">K28/$B28-1</f>
        <v>0.0304158903361145</v>
      </c>
      <c r="AB28" s="7" t="n">
        <f aca="false">L28/$B28-1</f>
        <v>0.029789809425093</v>
      </c>
      <c r="AC28" s="7" t="n">
        <f aca="false">M28/$B28-1</f>
        <v>0.0334179275704583</v>
      </c>
      <c r="AD28" s="7" t="n">
        <f aca="false">N28/$B28-1</f>
        <v>0.0344720445218005</v>
      </c>
      <c r="AE28" s="7" t="n">
        <f aca="false">O28/$B28-1</f>
        <v>0.054115455813845</v>
      </c>
      <c r="AF28" s="7" t="n">
        <f aca="false">P28/$B28-1</f>
        <v>0.0545047648512953</v>
      </c>
      <c r="AG28" s="7" t="n">
        <f aca="false">Q28/$B28-1</f>
        <v>0.0592533757597196</v>
      </c>
      <c r="AH28" s="7" t="n">
        <f aca="false">R28/$B28-1</f>
        <v>0.0561959574567581</v>
      </c>
      <c r="AI28" s="7" t="n">
        <f aca="false">S28/$B28-1</f>
        <v>0.0762518803859356</v>
      </c>
      <c r="AJ28" s="7" t="n">
        <f aca="false">T28/$B28-1</f>
        <v>0.0766493649131723</v>
      </c>
      <c r="AK28" s="4"/>
      <c r="AL28" s="4" t="n">
        <f aca="false">SUMPRODUCT(MAX((V28:AJ28&lt;0)*$V$3:$AJ$3))</f>
        <v>1</v>
      </c>
      <c r="AM28" s="10" t="n">
        <f aca="false">IF(AL28=0,0,IF(AL28=15,3.5+IFERROR(LN($B28/T28)/LN(1+SUMIFS('Realpage Data'!$AF$2:$AF$899,'Realpage Data'!$A$2:$A$899,$A28,'Realpage Data'!$F$2:$F$899,"YOY Effective Rent Change")),99),((AL28-1)+INDEX(V28:AJ28,1,AL28)/(INDEX(V28:AJ28,1,AL28)-INDEX(V28:AJ28,1,AL28+1)))/4))</f>
        <v>0.0493556516255272</v>
      </c>
      <c r="AN28" s="4" t="str">
        <f aca="false">IF(AL28=15,"†","")</f>
        <v/>
      </c>
    </row>
    <row r="29" customFormat="false" ht="15" hidden="false" customHeight="false" outlineLevel="0" collapsed="false">
      <c r="A29" s="25" t="s">
        <v>46</v>
      </c>
      <c r="B29" s="6" t="n">
        <f aca="false">SUMIFS('Realpage Data'!$R$2:$R$899,'Realpage Data'!$A$2:$A$899,$A29,'Realpage Data'!$F$2:$F$899,"Rent Roll (Rev/OSF)")</f>
        <v>1.55595083043019</v>
      </c>
      <c r="C29" s="6" t="n">
        <f aca="false">SUMIFS('Realpage Data'!$O$2:$O$899,'Realpage Data'!$A$2:$A$899,$A29,'Realpage Data'!$F$2:$F$899,"Effective RPSF")</f>
        <v>1.54</v>
      </c>
      <c r="D29" s="6" t="n">
        <f aca="false">SUMIFS('Realpage Data'!$P$2:$P$899,'Realpage Data'!$A$2:$A$899,$A29,'Realpage Data'!$F$2:$F$899,"Effective RPSF")</f>
        <v>1.521</v>
      </c>
      <c r="E29" s="6" t="n">
        <f aca="false">SUMIFS('Realpage Data'!$Q$2:$Q$899,'Realpage Data'!$A$2:$A$899,$A29,'Realpage Data'!$F$2:$F$899,"Effective RPSF")</f>
        <v>1.53</v>
      </c>
      <c r="F29" s="6" t="n">
        <f aca="false">SUMIFS('Realpage Data'!$R$2:$R$899,'Realpage Data'!$A$2:$A$899,$A29,'Realpage Data'!$F$2:$F$899,"Effective RPSF")</f>
        <v>1.559</v>
      </c>
      <c r="G29" s="6" t="n">
        <f aca="false">C29*(1+SUMIFS('Realpage Data'!$S$2:$S$899,'Realpage Data'!$A$2:$A$899,$A29,'Realpage Data'!$F$2:$F$899,"YOY Effective Rent Change"))</f>
        <v>1.57234</v>
      </c>
      <c r="H29" s="6" t="n">
        <f aca="false">D29*(1+SUMIFS('Realpage Data'!$T$2:$T$899,'Realpage Data'!$A$2:$A$899,$A29,'Realpage Data'!$F$2:$F$899,"YOY Effective Rent Change"))</f>
        <v>1.554462</v>
      </c>
      <c r="I29" s="6" t="n">
        <f aca="false">E29*(1+SUMIFS('Realpage Data'!$U$2:$U$899,'Realpage Data'!$A$2:$A$899,$A29,'Realpage Data'!$F$2:$F$899,"YOY Effective Rent Change"))</f>
        <v>1.56519</v>
      </c>
      <c r="J29" s="6" t="n">
        <f aca="false">F29*(1+SUMIFS('Realpage Data'!$V$2:$V$899,'Realpage Data'!$A$2:$A$899,$A29,'Realpage Data'!$F$2:$F$899,"YOY Effective Rent Change"))</f>
        <v>1.594857</v>
      </c>
      <c r="K29" s="6" t="n">
        <f aca="false">G29*(1+SUMIFS('Realpage Data'!$W$2:$W$899,'Realpage Data'!$A$2:$A$899,$A29,'Realpage Data'!$F$2:$F$899,"YOY Effective Rent Change"))</f>
        <v>1.6116485</v>
      </c>
      <c r="L29" s="6" t="n">
        <f aca="false">H29*(1+SUMIFS('Realpage Data'!$X$2:$X$899,'Realpage Data'!$A$2:$A$899,$A29,'Realpage Data'!$F$2:$F$899,"YOY Effective Rent Change"))</f>
        <v>1.59332355</v>
      </c>
      <c r="M29" s="6" t="n">
        <f aca="false">I29*(1+SUMIFS('Realpage Data'!$Y$2:$Y$899,'Realpage Data'!$A$2:$A$899,$A29,'Realpage Data'!$F$2:$F$899,"YOY Effective Rent Change"))</f>
        <v>1.60275456</v>
      </c>
      <c r="N29" s="6" t="n">
        <f aca="false">J29*(1+SUMIFS('Realpage Data'!$Z$2:$Z$899,'Realpage Data'!$A$2:$A$899,$A29,'Realpage Data'!$F$2:$F$899,"YOY Effective Rent Change"))</f>
        <v>1.631538711</v>
      </c>
      <c r="O29" s="6" t="n">
        <f aca="false">K29*(1+SUMIFS('Realpage Data'!$AA$2:$AA$899,'Realpage Data'!$A$2:$A$899,$A29,'Realpage Data'!$F$2:$F$899,"YOY Effective Rent Change"))</f>
        <v>1.6487164155</v>
      </c>
      <c r="P29" s="6" t="n">
        <f aca="false">L29*(1+SUMIFS('Realpage Data'!$AB$2:$AB$899,'Realpage Data'!$A$2:$A$899,$A29,'Realpage Data'!$F$2:$F$899,"YOY Effective Rent Change"))</f>
        <v>1.62996999165</v>
      </c>
      <c r="Q29" s="6" t="n">
        <f aca="false">M29*(1+SUMIFS('Realpage Data'!$AC$2:$AC$899,'Realpage Data'!$A$2:$A$899,$A29,'Realpage Data'!$F$2:$F$899,"YOY Effective Rent Change"))</f>
        <v>1.642823424</v>
      </c>
      <c r="R29" s="6" t="n">
        <f aca="false">N29*(1+SUMIFS('Realpage Data'!$AD$2:$AD$899,'Realpage Data'!$A$2:$A$899,$A29,'Realpage Data'!$F$2:$F$899,"YOY Effective Rent Change"))</f>
        <v>1.672327178775</v>
      </c>
      <c r="S29" s="6" t="n">
        <f aca="false">O29*(1+SUMIFS('Realpage Data'!$AE$2:$AE$899,'Realpage Data'!$A$2:$A$899,$A29,'Realpage Data'!$F$2:$F$899,"YOY Effective Rent Change"))</f>
        <v>1.691583042303</v>
      </c>
      <c r="T29" s="6" t="n">
        <f aca="false">P29*(1+SUMIFS('Realpage Data'!$AF$2:$AF$899,'Realpage Data'!$A$2:$A$899,$A29,'Realpage Data'!$F$2:$F$899,"YOY Effective Rent Change"))</f>
        <v>1.67397918142455</v>
      </c>
      <c r="U29" s="4"/>
      <c r="V29" s="7" t="n">
        <f aca="false">F29/$B29-1</f>
        <v>0.00195968247207712</v>
      </c>
      <c r="W29" s="7" t="n">
        <f aca="false">G29/$B29-1</f>
        <v>0.01053321817713</v>
      </c>
      <c r="X29" s="7" t="n">
        <f aca="false">H29/$B29-1</f>
        <v>-0.000956862132835079</v>
      </c>
      <c r="Y29" s="7" t="n">
        <f aca="false">I29/$B29-1</f>
        <v>0.0059379572857412</v>
      </c>
      <c r="Z29" s="7" t="n">
        <f aca="false">J29/$B29-1</f>
        <v>0.025004755168935</v>
      </c>
      <c r="AA29" s="7" t="n">
        <f aca="false">K29/$B29-1</f>
        <v>0.0357965486315581</v>
      </c>
      <c r="AB29" s="7" t="n">
        <f aca="false">L29/$B29-1</f>
        <v>0.024019216313844</v>
      </c>
      <c r="AC29" s="7" t="n">
        <f aca="false">M29/$B29-1</f>
        <v>0.0300804682605991</v>
      </c>
      <c r="AD29" s="7" t="n">
        <f aca="false">N29/$B29-1</f>
        <v>0.0485798645378204</v>
      </c>
      <c r="AE29" s="7" t="n">
        <f aca="false">O29/$B29-1</f>
        <v>0.0596198692500838</v>
      </c>
      <c r="AF29" s="7" t="n">
        <f aca="false">P29/$B29-1</f>
        <v>0.0475716582890622</v>
      </c>
      <c r="AG29" s="7" t="n">
        <f aca="false">Q29/$B29-1</f>
        <v>0.0558324799671139</v>
      </c>
      <c r="AH29" s="7" t="n">
        <f aca="false">R29/$B29-1</f>
        <v>0.0747943611512658</v>
      </c>
      <c r="AI29" s="7" t="n">
        <f aca="false">S29/$B29-1</f>
        <v>0.0871699858505861</v>
      </c>
      <c r="AJ29" s="7" t="n">
        <f aca="false">T29/$B29-1</f>
        <v>0.0758560930628669</v>
      </c>
      <c r="AK29" s="4"/>
      <c r="AL29" s="4" t="n">
        <f aca="false">SUMPRODUCT(MAX((V29:AJ29&lt;0)*$V$3:$AJ$3))</f>
        <v>3</v>
      </c>
      <c r="AM29" s="10" t="n">
        <f aca="false">IF(AL29=0,0,IF(AL29=15,3.5+IFERROR(LN($B29/T29)/LN(1+SUMIFS('Realpage Data'!$AF$2:$AF$899,'Realpage Data'!$A$2:$A$899,$A29,'Realpage Data'!$F$2:$F$899,"YOY Effective Rent Change")),99),((AL29-1)+INDEX(V29:AJ29,1,AL29)/(INDEX(V29:AJ29,1,AL29)-INDEX(V29:AJ29,1,AL29+1)))/4))</f>
        <v>0.534694967146531</v>
      </c>
      <c r="AN29" s="4" t="str">
        <f aca="false">IF(AL29=15,"†","")</f>
        <v/>
      </c>
    </row>
    <row r="30" customFormat="false" ht="15" hidden="false" customHeight="false" outlineLevel="0" collapsed="false">
      <c r="A30" s="25" t="s">
        <v>47</v>
      </c>
      <c r="B30" s="6" t="n">
        <f aca="false">SUMIFS('Realpage Data'!$R$2:$R$899,'Realpage Data'!$A$2:$A$899,$A30,'Realpage Data'!$F$2:$F$899,"Rent Roll (Rev/OSF)")</f>
        <v>1.31735643350318</v>
      </c>
      <c r="C30" s="6" t="n">
        <f aca="false">SUMIFS('Realpage Data'!$O$2:$O$899,'Realpage Data'!$A$2:$A$899,$A30,'Realpage Data'!$F$2:$F$899,"Effective RPSF")</f>
        <v>1.326</v>
      </c>
      <c r="D30" s="6" t="n">
        <f aca="false">SUMIFS('Realpage Data'!$P$2:$P$899,'Realpage Data'!$A$2:$A$899,$A30,'Realpage Data'!$F$2:$F$899,"Effective RPSF")</f>
        <v>1.305</v>
      </c>
      <c r="E30" s="6" t="n">
        <f aca="false">SUMIFS('Realpage Data'!$Q$2:$Q$899,'Realpage Data'!$A$2:$A$899,$A30,'Realpage Data'!$F$2:$F$899,"Effective RPSF")</f>
        <v>1.307</v>
      </c>
      <c r="F30" s="6" t="n">
        <f aca="false">SUMIFS('Realpage Data'!$R$2:$R$899,'Realpage Data'!$A$2:$A$899,$A30,'Realpage Data'!$F$2:$F$899,"Effective RPSF")</f>
        <v>1.323</v>
      </c>
      <c r="G30" s="6" t="n">
        <f aca="false">C30*(1+SUMIFS('Realpage Data'!$S$2:$S$899,'Realpage Data'!$A$2:$A$899,$A30,'Realpage Data'!$F$2:$F$899,"YOY Effective Rent Change"))</f>
        <v>1.323348</v>
      </c>
      <c r="H30" s="6" t="n">
        <f aca="false">D30*(1+SUMIFS('Realpage Data'!$T$2:$T$899,'Realpage Data'!$A$2:$A$899,$A30,'Realpage Data'!$F$2:$F$899,"YOY Effective Rent Change"))</f>
        <v>1.311525</v>
      </c>
      <c r="I30" s="6" t="n">
        <f aca="false">E30*(1+SUMIFS('Realpage Data'!$U$2:$U$899,'Realpage Data'!$A$2:$A$899,$A30,'Realpage Data'!$F$2:$F$899,"YOY Effective Rent Change"))</f>
        <v>1.325298</v>
      </c>
      <c r="J30" s="6" t="n">
        <f aca="false">F30*(1+SUMIFS('Realpage Data'!$V$2:$V$899,'Realpage Data'!$A$2:$A$899,$A30,'Realpage Data'!$F$2:$F$899,"YOY Effective Rent Change"))</f>
        <v>1.357398</v>
      </c>
      <c r="K30" s="6" t="n">
        <f aca="false">G30*(1+SUMIFS('Realpage Data'!$W$2:$W$899,'Realpage Data'!$A$2:$A$899,$A30,'Realpage Data'!$F$2:$F$899,"YOY Effective Rent Change"))</f>
        <v>1.361725092</v>
      </c>
      <c r="L30" s="6" t="n">
        <f aca="false">H30*(1+SUMIFS('Realpage Data'!$X$2:$X$899,'Realpage Data'!$A$2:$A$899,$A30,'Realpage Data'!$F$2:$F$899,"YOY Effective Rent Change"))</f>
        <v>1.35087075</v>
      </c>
      <c r="M30" s="6" t="n">
        <f aca="false">I30*(1+SUMIFS('Realpage Data'!$Y$2:$Y$899,'Realpage Data'!$A$2:$A$899,$A30,'Realpage Data'!$F$2:$F$899,"YOY Effective Rent Change"))</f>
        <v>1.363731642</v>
      </c>
      <c r="N30" s="6" t="n">
        <f aca="false">J30*(1+SUMIFS('Realpage Data'!$Z$2:$Z$899,'Realpage Data'!$A$2:$A$899,$A30,'Realpage Data'!$F$2:$F$899,"YOY Effective Rent Change"))</f>
        <v>1.395405144</v>
      </c>
      <c r="O30" s="6" t="n">
        <f aca="false">K30*(1+SUMIFS('Realpage Data'!$AA$2:$AA$899,'Realpage Data'!$A$2:$A$899,$A30,'Realpage Data'!$F$2:$F$899,"YOY Effective Rent Change"))</f>
        <v>1.401215119668</v>
      </c>
      <c r="P30" s="6" t="n">
        <f aca="false">L30*(1+SUMIFS('Realpage Data'!$AB$2:$AB$899,'Realpage Data'!$A$2:$A$899,$A30,'Realpage Data'!$F$2:$F$899,"YOY Effective Rent Change"))</f>
        <v>1.388695131</v>
      </c>
      <c r="Q30" s="6" t="n">
        <f aca="false">M30*(1+SUMIFS('Realpage Data'!$AC$2:$AC$899,'Realpage Data'!$A$2:$A$899,$A30,'Realpage Data'!$F$2:$F$899,"YOY Effective Rent Change"))</f>
        <v>1.401916127976</v>
      </c>
      <c r="R30" s="6" t="n">
        <f aca="false">N30*(1+SUMIFS('Realpage Data'!$AD$2:$AD$899,'Realpage Data'!$A$2:$A$899,$A30,'Realpage Data'!$F$2:$F$899,"YOY Effective Rent Change"))</f>
        <v>1.433081082888</v>
      </c>
      <c r="S30" s="6" t="n">
        <f aca="false">O30*(1+SUMIFS('Realpage Data'!$AE$2:$AE$899,'Realpage Data'!$A$2:$A$899,$A30,'Realpage Data'!$F$2:$F$899,"YOY Effective Rent Change"))</f>
        <v>1.43904792789904</v>
      </c>
      <c r="T30" s="6" t="n">
        <f aca="false">P30*(1+SUMIFS('Realpage Data'!$AF$2:$AF$899,'Realpage Data'!$A$2:$A$899,$A30,'Realpage Data'!$F$2:$F$899,"YOY Effective Rent Change"))</f>
        <v>1.427578594668</v>
      </c>
      <c r="U30" s="4"/>
      <c r="V30" s="7" t="n">
        <f aca="false">F30/$B30-1</f>
        <v>0.0042840087566971</v>
      </c>
      <c r="W30" s="7" t="n">
        <f aca="false">G30/$B30-1</f>
        <v>0.00454817416489606</v>
      </c>
      <c r="X30" s="7" t="n">
        <f aca="false">H30/$B30-1</f>
        <v>-0.0044266178498662</v>
      </c>
      <c r="Y30" s="7" t="n">
        <f aca="false">I30/$B30-1</f>
        <v>0.0060284113660114</v>
      </c>
      <c r="Z30" s="7" t="n">
        <f aca="false">J30/$B30-1</f>
        <v>0.0303953929843712</v>
      </c>
      <c r="AA30" s="7" t="n">
        <f aca="false">K30/$B30-1</f>
        <v>0.0336800712156782</v>
      </c>
      <c r="AB30" s="7" t="n">
        <f aca="false">L30/$B30-1</f>
        <v>0.0254405836146379</v>
      </c>
      <c r="AC30" s="7" t="n">
        <f aca="false">M30/$B30-1</f>
        <v>0.0352032352956257</v>
      </c>
      <c r="AD30" s="7" t="n">
        <f aca="false">N30/$B30-1</f>
        <v>0.0592464639879335</v>
      </c>
      <c r="AE30" s="7" t="n">
        <f aca="false">O30/$B30-1</f>
        <v>0.0636567932809327</v>
      </c>
      <c r="AF30" s="7" t="n">
        <f aca="false">P30/$B30-1</f>
        <v>0.0541529199558477</v>
      </c>
      <c r="AG30" s="7" t="n">
        <f aca="false">Q30/$B30-1</f>
        <v>0.0641889258839032</v>
      </c>
      <c r="AH30" s="7" t="n">
        <f aca="false">R30/$B30-1</f>
        <v>0.0878461185156076</v>
      </c>
      <c r="AI30" s="7" t="n">
        <f aca="false">S30/$B30-1</f>
        <v>0.0923755266995179</v>
      </c>
      <c r="AJ30" s="7" t="n">
        <f aca="false">T30/$B30-1</f>
        <v>0.0836692017146115</v>
      </c>
      <c r="AK30" s="4"/>
      <c r="AL30" s="4" t="n">
        <f aca="false">SUMPRODUCT(MAX((V30:AJ30&lt;0)*$V$3:$AJ$3))</f>
        <v>3</v>
      </c>
      <c r="AM30" s="10" t="n">
        <f aca="false">IF(AL30=0,0,IF(AL30=15,3.5+IFERROR(LN($B30/T30)/LN(1+SUMIFS('Realpage Data'!$AF$2:$AF$899,'Realpage Data'!$A$2:$A$899,$A30,'Realpage Data'!$F$2:$F$899,"YOY Effective Rent Change")),99),((AL30-1)+INDEX(V30:AJ30,1,AL30)/(INDEX(V30:AJ30,1,AL30)-INDEX(V30:AJ30,1,AL30+1)))/4))</f>
        <v>0.605849007173115</v>
      </c>
      <c r="AN30" s="4" t="str">
        <f aca="false">IF(AL30=15,"†","")</f>
        <v/>
      </c>
    </row>
    <row r="31" customFormat="false" ht="15" hidden="false" customHeight="false" outlineLevel="0" collapsed="false">
      <c r="A31" s="25" t="s">
        <v>48</v>
      </c>
      <c r="B31" s="6" t="n">
        <f aca="false">SUMIFS('Realpage Data'!$R$2:$R$899,'Realpage Data'!$A$2:$A$899,$A31,'Realpage Data'!$F$2:$F$899,"Rent Roll (Rev/OSF)")</f>
        <v>1.81987165732411</v>
      </c>
      <c r="C31" s="6" t="n">
        <f aca="false">SUMIFS('Realpage Data'!$O$2:$O$899,'Realpage Data'!$A$2:$A$899,$A31,'Realpage Data'!$F$2:$F$899,"Effective RPSF")</f>
        <v>1.797</v>
      </c>
      <c r="D31" s="6" t="n">
        <f aca="false">SUMIFS('Realpage Data'!$P$2:$P$899,'Realpage Data'!$A$2:$A$899,$A31,'Realpage Data'!$F$2:$F$899,"Effective RPSF")</f>
        <v>1.775</v>
      </c>
      <c r="E31" s="6" t="n">
        <f aca="false">SUMIFS('Realpage Data'!$Q$2:$Q$899,'Realpage Data'!$A$2:$A$899,$A31,'Realpage Data'!$F$2:$F$899,"Effective RPSF")</f>
        <v>1.795</v>
      </c>
      <c r="F31" s="6" t="n">
        <f aca="false">SUMIFS('Realpage Data'!$R$2:$R$899,'Realpage Data'!$A$2:$A$899,$A31,'Realpage Data'!$F$2:$F$899,"Effective RPSF")</f>
        <v>1.83</v>
      </c>
      <c r="G31" s="6" t="n">
        <f aca="false">C31*(1+SUMIFS('Realpage Data'!$S$2:$S$899,'Realpage Data'!$A$2:$A$899,$A31,'Realpage Data'!$F$2:$F$899,"YOY Effective Rent Change"))</f>
        <v>1.81497</v>
      </c>
      <c r="H31" s="6" t="n">
        <f aca="false">D31*(1+SUMIFS('Realpage Data'!$T$2:$T$899,'Realpage Data'!$A$2:$A$899,$A31,'Realpage Data'!$F$2:$F$899,"YOY Effective Rent Change"))</f>
        <v>1.8034</v>
      </c>
      <c r="I31" s="6" t="n">
        <f aca="false">E31*(1+SUMIFS('Realpage Data'!$U$2:$U$899,'Realpage Data'!$A$2:$A$899,$A31,'Realpage Data'!$F$2:$F$899,"YOY Effective Rent Change"))</f>
        <v>1.839875</v>
      </c>
      <c r="J31" s="6" t="n">
        <f aca="false">F31*(1+SUMIFS('Realpage Data'!$V$2:$V$899,'Realpage Data'!$A$2:$A$899,$A31,'Realpage Data'!$F$2:$F$899,"YOY Effective Rent Change"))</f>
        <v>1.87575</v>
      </c>
      <c r="K31" s="6" t="n">
        <f aca="false">G31*(1+SUMIFS('Realpage Data'!$W$2:$W$899,'Realpage Data'!$A$2:$A$899,$A31,'Realpage Data'!$F$2:$F$899,"YOY Effective Rent Change"))</f>
        <v>1.86215922</v>
      </c>
      <c r="L31" s="6" t="n">
        <f aca="false">H31*(1+SUMIFS('Realpage Data'!$X$2:$X$899,'Realpage Data'!$A$2:$A$899,$A31,'Realpage Data'!$F$2:$F$899,"YOY Effective Rent Change"))</f>
        <v>1.8502884</v>
      </c>
      <c r="M31" s="6" t="n">
        <f aca="false">I31*(1+SUMIFS('Realpage Data'!$Y$2:$Y$899,'Realpage Data'!$A$2:$A$899,$A31,'Realpage Data'!$F$2:$F$899,"YOY Effective Rent Change"))</f>
        <v>1.885871875</v>
      </c>
      <c r="N31" s="6" t="n">
        <f aca="false">J31*(1+SUMIFS('Realpage Data'!$Z$2:$Z$899,'Realpage Data'!$A$2:$A$899,$A31,'Realpage Data'!$F$2:$F$899,"YOY Effective Rent Change"))</f>
        <v>1.920768</v>
      </c>
      <c r="O31" s="6" t="n">
        <f aca="false">K31*(1+SUMIFS('Realpage Data'!$AA$2:$AA$899,'Realpage Data'!$A$2:$A$899,$A31,'Realpage Data'!$F$2:$F$899,"YOY Effective Rent Change"))</f>
        <v>1.9087132005</v>
      </c>
      <c r="P31" s="6" t="n">
        <f aca="false">L31*(1+SUMIFS('Realpage Data'!$AB$2:$AB$899,'Realpage Data'!$A$2:$A$899,$A31,'Realpage Data'!$F$2:$F$899,"YOY Effective Rent Change"))</f>
        <v>1.8928450332</v>
      </c>
      <c r="Q31" s="6" t="n">
        <f aca="false">M31*(1+SUMIFS('Realpage Data'!$AC$2:$AC$899,'Realpage Data'!$A$2:$A$899,$A31,'Realpage Data'!$F$2:$F$899,"YOY Effective Rent Change"))</f>
        <v>1.92736105625</v>
      </c>
      <c r="R31" s="6" t="n">
        <f aca="false">N31*(1+SUMIFS('Realpage Data'!$AD$2:$AD$899,'Realpage Data'!$A$2:$A$899,$A31,'Realpage Data'!$F$2:$F$899,"YOY Effective Rent Change"))</f>
        <v>1.963024896</v>
      </c>
      <c r="S31" s="6" t="n">
        <f aca="false">O31*(1+SUMIFS('Realpage Data'!$AE$2:$AE$899,'Realpage Data'!$A$2:$A$899,$A31,'Realpage Data'!$F$2:$F$899,"YOY Effective Rent Change"))</f>
        <v>1.950704890911</v>
      </c>
      <c r="T31" s="6" t="n">
        <f aca="false">P31*(1+SUMIFS('Realpage Data'!$AF$2:$AF$899,'Realpage Data'!$A$2:$A$899,$A31,'Realpage Data'!$F$2:$F$899,"YOY Effective Rent Change"))</f>
        <v>1.9344876239304</v>
      </c>
      <c r="U31" s="4"/>
      <c r="V31" s="7" t="n">
        <f aca="false">F31/$B31-1</f>
        <v>0.00556541591003312</v>
      </c>
      <c r="W31" s="7" t="n">
        <f aca="false">G31/$B31-1</f>
        <v>-0.00269340824358866</v>
      </c>
      <c r="X31" s="7" t="n">
        <f aca="false">H31/$B31-1</f>
        <v>-0.00905099942505261</v>
      </c>
      <c r="Y31" s="7" t="n">
        <f aca="false">I31/$B31-1</f>
        <v>0.0109916227308589</v>
      </c>
      <c r="Z31" s="7" t="n">
        <f aca="false">J31/$B31-1</f>
        <v>0.0307045513077839</v>
      </c>
      <c r="AA31" s="7" t="n">
        <f aca="false">K31/$B31-1</f>
        <v>0.0232365631420781</v>
      </c>
      <c r="AB31" s="7" t="n">
        <f aca="false">L31/$B31-1</f>
        <v>0.0167136745898959</v>
      </c>
      <c r="AC31" s="7" t="n">
        <f aca="false">M31/$B31-1</f>
        <v>0.0362664132991304</v>
      </c>
      <c r="AD31" s="7" t="n">
        <f aca="false">N31/$B31-1</f>
        <v>0.0554414605391707</v>
      </c>
      <c r="AE31" s="7" t="n">
        <f aca="false">O31/$B31-1</f>
        <v>0.04881747722063</v>
      </c>
      <c r="AF31" s="7" t="n">
        <f aca="false">P31/$B31-1</f>
        <v>0.0400980891054634</v>
      </c>
      <c r="AG31" s="7" t="n">
        <f aca="false">Q31/$B31-1</f>
        <v>0.0590642743917114</v>
      </c>
      <c r="AH31" s="7" t="n">
        <f aca="false">R31/$B31-1</f>
        <v>0.0786611726710325</v>
      </c>
      <c r="AI31" s="7" t="n">
        <f aca="false">S31/$B31-1</f>
        <v>0.0718914617194839</v>
      </c>
      <c r="AJ31" s="7" t="n">
        <f aca="false">T31/$B31-1</f>
        <v>0.0629802470657839</v>
      </c>
      <c r="AK31" s="4"/>
      <c r="AL31" s="4" t="n">
        <f aca="false">SUMPRODUCT(MAX((V31:AJ31&lt;0)*$V$3:$AJ$3))</f>
        <v>3</v>
      </c>
      <c r="AM31" s="10" t="n">
        <f aca="false">IF(AL31=0,0,IF(AL31=15,3.5+IFERROR(LN($B31/T31)/LN(1+SUMIFS('Realpage Data'!$AF$2:$AF$899,'Realpage Data'!$A$2:$A$899,$A31,'Realpage Data'!$F$2:$F$899,"YOY Effective Rent Change")),99),((AL31-1)+INDEX(V31:AJ31,1,AL31)/(INDEX(V31:AJ31,1,AL31)-INDEX(V31:AJ31,1,AL31+1)))/4))</f>
        <v>0.612896897355108</v>
      </c>
      <c r="AN31" s="4" t="str">
        <f aca="false">IF(AL31=15,"†","")</f>
        <v/>
      </c>
    </row>
    <row r="32" customFormat="false" ht="15" hidden="false" customHeight="false" outlineLevel="0" collapsed="false">
      <c r="A32" s="25" t="s">
        <v>49</v>
      </c>
      <c r="B32" s="6" t="n">
        <f aca="false">SUMIFS('Realpage Data'!$R$2:$R$899,'Realpage Data'!$A$2:$A$899,$A32,'Realpage Data'!$F$2:$F$899,"Rent Roll (Rev/OSF)")</f>
        <v>1.91999554539251</v>
      </c>
      <c r="C32" s="6" t="n">
        <f aca="false">SUMIFS('Realpage Data'!$O$2:$O$899,'Realpage Data'!$A$2:$A$899,$A32,'Realpage Data'!$F$2:$F$899,"Effective RPSF")</f>
        <v>1.999</v>
      </c>
      <c r="D32" s="6" t="n">
        <f aca="false">SUMIFS('Realpage Data'!$P$2:$P$899,'Realpage Data'!$A$2:$A$899,$A32,'Realpage Data'!$F$2:$F$899,"Effective RPSF")</f>
        <v>1.884</v>
      </c>
      <c r="E32" s="6" t="n">
        <f aca="false">SUMIFS('Realpage Data'!$Q$2:$Q$899,'Realpage Data'!$A$2:$A$899,$A32,'Realpage Data'!$F$2:$F$899,"Effective RPSF")</f>
        <v>1.924</v>
      </c>
      <c r="F32" s="6" t="n">
        <f aca="false">SUMIFS('Realpage Data'!$R$2:$R$899,'Realpage Data'!$A$2:$A$899,$A32,'Realpage Data'!$F$2:$F$899,"Effective RPSF")</f>
        <v>2.024</v>
      </c>
      <c r="G32" s="6" t="n">
        <f aca="false">C32*(1+SUMIFS('Realpage Data'!$S$2:$S$899,'Realpage Data'!$A$2:$A$899,$A32,'Realpage Data'!$F$2:$F$899,"YOY Effective Rent Change"))</f>
        <v>1.997001</v>
      </c>
      <c r="H32" s="6" t="n">
        <f aca="false">D32*(1+SUMIFS('Realpage Data'!$T$2:$T$899,'Realpage Data'!$A$2:$A$899,$A32,'Realpage Data'!$F$2:$F$899,"YOY Effective Rent Change"))</f>
        <v>1.895304</v>
      </c>
      <c r="I32" s="6" t="n">
        <f aca="false">E32*(1+SUMIFS('Realpage Data'!$U$2:$U$899,'Realpage Data'!$A$2:$A$899,$A32,'Realpage Data'!$F$2:$F$899,"YOY Effective Rent Change"))</f>
        <v>1.94324</v>
      </c>
      <c r="J32" s="6" t="n">
        <f aca="false">F32*(1+SUMIFS('Realpage Data'!$V$2:$V$899,'Realpage Data'!$A$2:$A$899,$A32,'Realpage Data'!$F$2:$F$899,"YOY Effective Rent Change"))</f>
        <v>2.05436</v>
      </c>
      <c r="K32" s="6" t="n">
        <f aca="false">G32*(1+SUMIFS('Realpage Data'!$W$2:$W$899,'Realpage Data'!$A$2:$A$899,$A32,'Realpage Data'!$F$2:$F$899,"YOY Effective Rent Change"))</f>
        <v>2.040935022</v>
      </c>
      <c r="L32" s="6" t="n">
        <f aca="false">H32*(1+SUMIFS('Realpage Data'!$X$2:$X$899,'Realpage Data'!$A$2:$A$899,$A32,'Realpage Data'!$F$2:$F$899,"YOY Effective Rent Change"))</f>
        <v>1.940791296</v>
      </c>
      <c r="M32" s="6" t="n">
        <f aca="false">I32*(1+SUMIFS('Realpage Data'!$Y$2:$Y$899,'Realpage Data'!$A$2:$A$899,$A32,'Realpage Data'!$F$2:$F$899,"YOY Effective Rent Change"))</f>
        <v>1.98016156</v>
      </c>
      <c r="N32" s="6" t="n">
        <f aca="false">J32*(1+SUMIFS('Realpage Data'!$Z$2:$Z$899,'Realpage Data'!$A$2:$A$899,$A32,'Realpage Data'!$F$2:$F$899,"YOY Effective Rent Change"))</f>
        <v>2.09133848</v>
      </c>
      <c r="O32" s="6" t="n">
        <f aca="false">K32*(1+SUMIFS('Realpage Data'!$AA$2:$AA$899,'Realpage Data'!$A$2:$A$899,$A32,'Realpage Data'!$F$2:$F$899,"YOY Effective Rent Change"))</f>
        <v>2.09195839755</v>
      </c>
      <c r="P32" s="6" t="n">
        <f aca="false">L32*(1+SUMIFS('Realpage Data'!$AB$2:$AB$899,'Realpage Data'!$A$2:$A$899,$A32,'Realpage Data'!$F$2:$F$899,"YOY Effective Rent Change"))</f>
        <v>1.991251869696</v>
      </c>
      <c r="Q32" s="6" t="n">
        <f aca="false">M32*(1+SUMIFS('Realpage Data'!$AC$2:$AC$899,'Realpage Data'!$A$2:$A$899,$A32,'Realpage Data'!$F$2:$F$899,"YOY Effective Rent Change"))</f>
        <v>2.0197647912</v>
      </c>
      <c r="R32" s="6" t="n">
        <f aca="false">N32*(1+SUMIFS('Realpage Data'!$AD$2:$AD$899,'Realpage Data'!$A$2:$A$899,$A32,'Realpage Data'!$F$2:$F$899,"YOY Effective Rent Change"))</f>
        <v>2.13107391112</v>
      </c>
      <c r="S32" s="6" t="n">
        <f aca="false">O32*(1+SUMIFS('Realpage Data'!$AE$2:$AE$899,'Realpage Data'!$A$2:$A$899,$A32,'Realpage Data'!$F$2:$F$899,"YOY Effective Rent Change"))</f>
        <v>2.1421653990912</v>
      </c>
      <c r="T32" s="6" t="n">
        <f aca="false">P32*(1+SUMIFS('Realpage Data'!$AF$2:$AF$899,'Realpage Data'!$A$2:$A$899,$A32,'Realpage Data'!$F$2:$F$899,"YOY Effective Rent Change"))</f>
        <v>2.0410331664384</v>
      </c>
      <c r="U32" s="4"/>
      <c r="V32" s="7" t="n">
        <f aca="false">F32/$B32-1</f>
        <v>0.0541691124529282</v>
      </c>
      <c r="W32" s="7" t="n">
        <f aca="false">G32/$B32-1</f>
        <v>0.0401071006608744</v>
      </c>
      <c r="X32" s="7" t="n">
        <f aca="false">H32/$B32-1</f>
        <v>-0.0128602097290097</v>
      </c>
      <c r="Y32" s="7" t="n">
        <f aca="false">I32/$B32-1</f>
        <v>0.0121065148631561</v>
      </c>
      <c r="Z32" s="7" t="n">
        <f aca="false">J32/$B32-1</f>
        <v>0.0699816491397221</v>
      </c>
      <c r="AA32" s="7" t="n">
        <f aca="false">K32/$B32-1</f>
        <v>0.0629894568754139</v>
      </c>
      <c r="AB32" s="7" t="n">
        <f aca="false">L32/$B32-1</f>
        <v>0.0108311452374941</v>
      </c>
      <c r="AC32" s="7" t="n">
        <f aca="false">M32/$B32-1</f>
        <v>0.031336538645556</v>
      </c>
      <c r="AD32" s="7" t="n">
        <f aca="false">N32/$B32-1</f>
        <v>0.0892413188242371</v>
      </c>
      <c r="AE32" s="7" t="n">
        <f aca="false">O32/$B32-1</f>
        <v>0.089564193297299</v>
      </c>
      <c r="AF32" s="7" t="n">
        <f aca="false">P32/$B32-1</f>
        <v>0.037112755013669</v>
      </c>
      <c r="AG32" s="7" t="n">
        <f aca="false">Q32/$B32-1</f>
        <v>0.0519632694184671</v>
      </c>
      <c r="AH32" s="7" t="n">
        <f aca="false">R32/$B32-1</f>
        <v>0.109936903881898</v>
      </c>
      <c r="AI32" s="7" t="n">
        <f aca="false">S32/$B32-1</f>
        <v>0.115713733936434</v>
      </c>
      <c r="AJ32" s="7" t="n">
        <f aca="false">T32/$B32-1</f>
        <v>0.0630405738890105</v>
      </c>
      <c r="AK32" s="4"/>
      <c r="AL32" s="4" t="n">
        <f aca="false">SUMPRODUCT(MAX((V32:AJ32&lt;0)*$V$3:$AJ$3))</f>
        <v>3</v>
      </c>
      <c r="AM32" s="10" t="n">
        <f aca="false">IF(AL32=0,0,IF(AL32=15,3.5+IFERROR(LN($B32/T32)/LN(1+SUMIFS('Realpage Data'!$AF$2:$AF$899,'Realpage Data'!$A$2:$A$899,$A32,'Realpage Data'!$F$2:$F$899,"YOY Effective Rent Change")),99),((AL32-1)+INDEX(V32:AJ32,1,AL32)/(INDEX(V32:AJ32,1,AL32)-INDEX(V32:AJ32,1,AL32+1)))/4))</f>
        <v>0.628773496915221</v>
      </c>
      <c r="AN32" s="4" t="str">
        <f aca="false">IF(AL32=15,"†","")</f>
        <v/>
      </c>
    </row>
    <row r="33" customFormat="false" ht="15" hidden="false" customHeight="false" outlineLevel="0" collapsed="false">
      <c r="A33" s="25" t="s">
        <v>50</v>
      </c>
      <c r="B33" s="6" t="n">
        <f aca="false">SUMIFS('Realpage Data'!$R$2:$R$899,'Realpage Data'!$A$2:$A$899,$A33,'Realpage Data'!$F$2:$F$899,"Rent Roll (Rev/OSF)")</f>
        <v>1.32464330772284</v>
      </c>
      <c r="C33" s="6" t="n">
        <f aca="false">SUMIFS('Realpage Data'!$O$2:$O$899,'Realpage Data'!$A$2:$A$899,$A33,'Realpage Data'!$F$2:$F$899,"Effective RPSF")</f>
        <v>1.328</v>
      </c>
      <c r="D33" s="6" t="n">
        <f aca="false">SUMIFS('Realpage Data'!$P$2:$P$899,'Realpage Data'!$A$2:$A$899,$A33,'Realpage Data'!$F$2:$F$899,"Effective RPSF")</f>
        <v>1.31</v>
      </c>
      <c r="E33" s="6" t="n">
        <f aca="false">SUMIFS('Realpage Data'!$Q$2:$Q$899,'Realpage Data'!$A$2:$A$899,$A33,'Realpage Data'!$F$2:$F$899,"Effective RPSF")</f>
        <v>1.32</v>
      </c>
      <c r="F33" s="6" t="n">
        <f aca="false">SUMIFS('Realpage Data'!$R$2:$R$899,'Realpage Data'!$A$2:$A$899,$A33,'Realpage Data'!$F$2:$F$899,"Effective RPSF")</f>
        <v>1.335</v>
      </c>
      <c r="G33" s="6" t="n">
        <f aca="false">C33*(1+SUMIFS('Realpage Data'!$S$2:$S$899,'Realpage Data'!$A$2:$A$899,$A33,'Realpage Data'!$F$2:$F$899,"YOY Effective Rent Change"))</f>
        <v>1.329328</v>
      </c>
      <c r="H33" s="6" t="n">
        <f aca="false">D33*(1+SUMIFS('Realpage Data'!$T$2:$T$899,'Realpage Data'!$A$2:$A$899,$A33,'Realpage Data'!$F$2:$F$899,"YOY Effective Rent Change"))</f>
        <v>1.31655</v>
      </c>
      <c r="I33" s="6" t="n">
        <f aca="false">E33*(1+SUMIFS('Realpage Data'!$U$2:$U$899,'Realpage Data'!$A$2:$A$899,$A33,'Realpage Data'!$F$2:$F$899,"YOY Effective Rent Change"))</f>
        <v>1.32924</v>
      </c>
      <c r="J33" s="6" t="n">
        <f aca="false">F33*(1+SUMIFS('Realpage Data'!$V$2:$V$899,'Realpage Data'!$A$2:$A$899,$A33,'Realpage Data'!$F$2:$F$899,"YOY Effective Rent Change"))</f>
        <v>1.355025</v>
      </c>
      <c r="K33" s="6" t="n">
        <f aca="false">G33*(1+SUMIFS('Realpage Data'!$W$2:$W$899,'Realpage Data'!$A$2:$A$899,$A33,'Realpage Data'!$F$2:$F$899,"YOY Effective Rent Change"))</f>
        <v>1.357243888</v>
      </c>
      <c r="L33" s="6" t="n">
        <f aca="false">H33*(1+SUMIFS('Realpage Data'!$X$2:$X$899,'Realpage Data'!$A$2:$A$899,$A33,'Realpage Data'!$F$2:$F$899,"YOY Effective Rent Change"))</f>
        <v>1.34419755</v>
      </c>
      <c r="M33" s="6" t="n">
        <f aca="false">I33*(1+SUMIFS('Realpage Data'!$Y$2:$Y$899,'Realpage Data'!$A$2:$A$899,$A33,'Realpage Data'!$F$2:$F$899,"YOY Effective Rent Change"))</f>
        <v>1.35050784</v>
      </c>
      <c r="N33" s="6" t="n">
        <f aca="false">J33*(1+SUMIFS('Realpage Data'!$Z$2:$Z$899,'Realpage Data'!$A$2:$A$899,$A33,'Realpage Data'!$F$2:$F$899,"YOY Effective Rent Change"))</f>
        <v>1.3767054</v>
      </c>
      <c r="O33" s="6" t="n">
        <f aca="false">K33*(1+SUMIFS('Realpage Data'!$AA$2:$AA$899,'Realpage Data'!$A$2:$A$899,$A33,'Realpage Data'!$F$2:$F$899,"YOY Effective Rent Change"))</f>
        <v>1.385746009648</v>
      </c>
      <c r="P33" s="6" t="n">
        <f aca="false">L33*(1+SUMIFS('Realpage Data'!$AB$2:$AB$899,'Realpage Data'!$A$2:$A$899,$A33,'Realpage Data'!$F$2:$F$899,"YOY Effective Rent Change"))</f>
        <v>1.37242569855</v>
      </c>
      <c r="Q33" s="6" t="n">
        <f aca="false">M33*(1+SUMIFS('Realpage Data'!$AC$2:$AC$899,'Realpage Data'!$A$2:$A$899,$A33,'Realpage Data'!$F$2:$F$899,"YOY Effective Rent Change"))</f>
        <v>1.37886850464</v>
      </c>
      <c r="R33" s="6" t="n">
        <f aca="false">N33*(1+SUMIFS('Realpage Data'!$AD$2:$AD$899,'Realpage Data'!$A$2:$A$899,$A33,'Realpage Data'!$F$2:$F$899,"YOY Effective Rent Change"))</f>
        <v>1.4001093918</v>
      </c>
      <c r="S33" s="6" t="n">
        <f aca="false">O33*(1+SUMIFS('Realpage Data'!$AE$2:$AE$899,'Realpage Data'!$A$2:$A$899,$A33,'Realpage Data'!$F$2:$F$899,"YOY Effective Rent Change"))</f>
        <v>1.41623242186026</v>
      </c>
      <c r="T33" s="6" t="n">
        <f aca="false">P33*(1+SUMIFS('Realpage Data'!$AF$2:$AF$899,'Realpage Data'!$A$2:$A$899,$A33,'Realpage Data'!$F$2:$F$899,"YOY Effective Rent Change"))</f>
        <v>1.4026190639181</v>
      </c>
      <c r="U33" s="4"/>
      <c r="V33" s="7" t="n">
        <f aca="false">F33/$B33-1</f>
        <v>0.00781847627718668</v>
      </c>
      <c r="W33" s="7" t="n">
        <f aca="false">G33/$B33-1</f>
        <v>0.00353656886337062</v>
      </c>
      <c r="X33" s="7" t="n">
        <f aca="false">H33/$B33-1</f>
        <v>-0.00610980154102625</v>
      </c>
      <c r="Y33" s="7" t="n">
        <f aca="false">I33/$B33-1</f>
        <v>0.00347013588515921</v>
      </c>
      <c r="Z33" s="7" t="n">
        <f aca="false">J33/$B33-1</f>
        <v>0.0229357534213444</v>
      </c>
      <c r="AA33" s="7" t="n">
        <f aca="false">K33/$B33-1</f>
        <v>0.0246108368095013</v>
      </c>
      <c r="AB33" s="7" t="n">
        <f aca="false">L33/$B33-1</f>
        <v>0.0147618926266122</v>
      </c>
      <c r="AC33" s="7" t="n">
        <f aca="false">M33/$B33-1</f>
        <v>0.0195256580593217</v>
      </c>
      <c r="AD33" s="7" t="n">
        <f aca="false">N33/$B33-1</f>
        <v>0.0393027254760858</v>
      </c>
      <c r="AE33" s="7" t="n">
        <f aca="false">O33/$B33-1</f>
        <v>0.0461276643825008</v>
      </c>
      <c r="AF33" s="7" t="n">
        <f aca="false">P33/$B33-1</f>
        <v>0.0360718923717709</v>
      </c>
      <c r="AG33" s="7" t="n">
        <f aca="false">Q33/$B33-1</f>
        <v>0.0409356968785672</v>
      </c>
      <c r="AH33" s="7" t="n">
        <f aca="false">R33/$B33-1</f>
        <v>0.0569708718091793</v>
      </c>
      <c r="AI33" s="7" t="n">
        <f aca="false">S33/$B33-1</f>
        <v>0.0691424729989159</v>
      </c>
      <c r="AJ33" s="7" t="n">
        <f aca="false">T33/$B33-1</f>
        <v>0.0588654740039498</v>
      </c>
      <c r="AK33" s="4"/>
      <c r="AL33" s="4" t="n">
        <f aca="false">SUMPRODUCT(MAX((V33:AJ33&lt;0)*$V$3:$AJ$3))</f>
        <v>3</v>
      </c>
      <c r="AM33" s="10" t="n">
        <f aca="false">IF(AL33=0,0,IF(AL33=15,3.5+IFERROR(LN($B33/T33)/LN(1+SUMIFS('Realpage Data'!$AF$2:$AF$899,'Realpage Data'!$A$2:$A$899,$A33,'Realpage Data'!$F$2:$F$899,"YOY Effective Rent Change")),99),((AL33-1)+INDEX(V33:AJ33,1,AL33)/(INDEX(V33:AJ33,1,AL33)-INDEX(V33:AJ33,1,AL33+1)))/4))</f>
        <v>0.659442626533393</v>
      </c>
      <c r="AN33" s="4" t="str">
        <f aca="false">IF(AL33=15,"†","")</f>
        <v/>
      </c>
    </row>
    <row r="34" customFormat="false" ht="15" hidden="false" customHeight="false" outlineLevel="0" collapsed="false">
      <c r="A34" s="25" t="s">
        <v>51</v>
      </c>
      <c r="B34" s="6" t="n">
        <f aca="false">SUMIFS('Realpage Data'!$R$2:$R$899,'Realpage Data'!$A$2:$A$899,$A34,'Realpage Data'!$F$2:$F$899,"Rent Roll (Rev/OSF)")</f>
        <v>1.35488193683636</v>
      </c>
      <c r="C34" s="6" t="n">
        <f aca="false">SUMIFS('Realpage Data'!$O$2:$O$899,'Realpage Data'!$A$2:$A$899,$A34,'Realpage Data'!$F$2:$F$899,"Effective RPSF")</f>
        <v>1.366</v>
      </c>
      <c r="D34" s="6" t="n">
        <f aca="false">SUMIFS('Realpage Data'!$P$2:$P$899,'Realpage Data'!$A$2:$A$899,$A34,'Realpage Data'!$F$2:$F$899,"Effective RPSF")</f>
        <v>1.355</v>
      </c>
      <c r="E34" s="6" t="n">
        <f aca="false">SUMIFS('Realpage Data'!$Q$2:$Q$899,'Realpage Data'!$A$2:$A$899,$A34,'Realpage Data'!$F$2:$F$899,"Effective RPSF")</f>
        <v>1.344</v>
      </c>
      <c r="F34" s="6" t="n">
        <f aca="false">SUMIFS('Realpage Data'!$R$2:$R$899,'Realpage Data'!$A$2:$A$899,$A34,'Realpage Data'!$F$2:$F$899,"Effective RPSF")</f>
        <v>1.364</v>
      </c>
      <c r="G34" s="6" t="n">
        <f aca="false">C34*(1+SUMIFS('Realpage Data'!$S$2:$S$899,'Realpage Data'!$A$2:$A$899,$A34,'Realpage Data'!$F$2:$F$899,"YOY Effective Rent Change"))</f>
        <v>1.375562</v>
      </c>
      <c r="H34" s="6" t="n">
        <f aca="false">D34*(1+SUMIFS('Realpage Data'!$T$2:$T$899,'Realpage Data'!$A$2:$A$899,$A34,'Realpage Data'!$F$2:$F$899,"YOY Effective Rent Change"))</f>
        <v>1.35771</v>
      </c>
      <c r="I34" s="6" t="n">
        <f aca="false">E34*(1+SUMIFS('Realpage Data'!$U$2:$U$899,'Realpage Data'!$A$2:$A$899,$A34,'Realpage Data'!$F$2:$F$899,"YOY Effective Rent Change"))</f>
        <v>1.354752</v>
      </c>
      <c r="J34" s="6" t="n">
        <f aca="false">F34*(1+SUMIFS('Realpage Data'!$V$2:$V$899,'Realpage Data'!$A$2:$A$899,$A34,'Realpage Data'!$F$2:$F$899,"YOY Effective Rent Change"))</f>
        <v>1.37082</v>
      </c>
      <c r="K34" s="6" t="n">
        <f aca="false">G34*(1+SUMIFS('Realpage Data'!$W$2:$W$899,'Realpage Data'!$A$2:$A$899,$A34,'Realpage Data'!$F$2:$F$899,"YOY Effective Rent Change"))</f>
        <v>1.385190934</v>
      </c>
      <c r="L34" s="6" t="n">
        <f aca="false">H34*(1+SUMIFS('Realpage Data'!$X$2:$X$899,'Realpage Data'!$A$2:$A$899,$A34,'Realpage Data'!$F$2:$F$899,"YOY Effective Rent Change"))</f>
        <v>1.37943336</v>
      </c>
      <c r="M34" s="6" t="n">
        <f aca="false">I34*(1+SUMIFS('Realpage Data'!$Y$2:$Y$899,'Realpage Data'!$A$2:$A$899,$A34,'Realpage Data'!$F$2:$F$899,"YOY Effective Rent Change"))</f>
        <v>1.380492288</v>
      </c>
      <c r="N34" s="6" t="n">
        <f aca="false">J34*(1+SUMIFS('Realpage Data'!$Z$2:$Z$899,'Realpage Data'!$A$2:$A$899,$A34,'Realpage Data'!$F$2:$F$899,"YOY Effective Rent Change"))</f>
        <v>1.39412394</v>
      </c>
      <c r="O34" s="6" t="n">
        <f aca="false">K34*(1+SUMIFS('Realpage Data'!$AA$2:$AA$899,'Realpage Data'!$A$2:$A$899,$A34,'Realpage Data'!$F$2:$F$899,"YOY Effective Rent Change"))</f>
        <v>1.41289475268</v>
      </c>
      <c r="P34" s="6" t="n">
        <f aca="false">L34*(1+SUMIFS('Realpage Data'!$AB$2:$AB$899,'Realpage Data'!$A$2:$A$899,$A34,'Realpage Data'!$F$2:$F$899,"YOY Effective Rent Change"))</f>
        <v>1.41253976064</v>
      </c>
      <c r="Q34" s="6" t="n">
        <f aca="false">M34*(1+SUMIFS('Realpage Data'!$AC$2:$AC$899,'Realpage Data'!$A$2:$A$899,$A34,'Realpage Data'!$F$2:$F$899,"YOY Effective Rent Change"))</f>
        <v>1.416385087488</v>
      </c>
      <c r="R34" s="6" t="n">
        <f aca="false">N34*(1+SUMIFS('Realpage Data'!$AD$2:$AD$899,'Realpage Data'!$A$2:$A$899,$A34,'Realpage Data'!$F$2:$F$899,"YOY Effective Rent Change"))</f>
        <v>1.42618879062</v>
      </c>
      <c r="S34" s="6" t="n">
        <f aca="false">O34*(1+SUMIFS('Realpage Data'!$AE$2:$AE$899,'Realpage Data'!$A$2:$A$899,$A34,'Realpage Data'!$F$2:$F$899,"YOY Effective Rent Change"))</f>
        <v>1.44397843723896</v>
      </c>
      <c r="T34" s="6" t="n">
        <f aca="false">P34*(1+SUMIFS('Realpage Data'!$AF$2:$AF$899,'Realpage Data'!$A$2:$A$899,$A34,'Realpage Data'!$F$2:$F$899,"YOY Effective Rent Change"))</f>
        <v>1.44361563537408</v>
      </c>
      <c r="U34" s="4"/>
      <c r="V34" s="7" t="n">
        <f aca="false">F34/$B34-1</f>
        <v>0.00672978428284887</v>
      </c>
      <c r="W34" s="7" t="n">
        <f aca="false">G34/$B34-1</f>
        <v>0.0152633691551936</v>
      </c>
      <c r="X34" s="7" t="n">
        <f aca="false">H34/$B34-1</f>
        <v>0.0020873133567938</v>
      </c>
      <c r="Y34" s="7" t="n">
        <f aca="false">I34/$B34-1</f>
        <v>-9.59027003240021E-005</v>
      </c>
      <c r="Z34" s="7" t="n">
        <f aca="false">J34/$B34-1</f>
        <v>0.0117634332042629</v>
      </c>
      <c r="AA34" s="7" t="n">
        <f aca="false">K34/$B34-1</f>
        <v>0.0223702127392798</v>
      </c>
      <c r="AB34" s="7" t="n">
        <f aca="false">L34/$B34-1</f>
        <v>0.0181207103705023</v>
      </c>
      <c r="AC34" s="7" t="n">
        <f aca="false">M34/$B34-1</f>
        <v>0.0189022751483698</v>
      </c>
      <c r="AD34" s="7" t="n">
        <f aca="false">N34/$B34-1</f>
        <v>0.0289634115687354</v>
      </c>
      <c r="AE34" s="7" t="n">
        <f aca="false">O34/$B34-1</f>
        <v>0.0428176169940653</v>
      </c>
      <c r="AF34" s="7" t="n">
        <f aca="false">P34/$B34-1</f>
        <v>0.0425556074193945</v>
      </c>
      <c r="AG34" s="7" t="n">
        <f aca="false">Q34/$B34-1</f>
        <v>0.0453937343022275</v>
      </c>
      <c r="AH34" s="7" t="n">
        <f aca="false">R34/$B34-1</f>
        <v>0.0526295700348163</v>
      </c>
      <c r="AI34" s="7" t="n">
        <f aca="false">S34/$B34-1</f>
        <v>0.0657596045679347</v>
      </c>
      <c r="AJ34" s="7" t="n">
        <f aca="false">T34/$B34-1</f>
        <v>0.0654918307826211</v>
      </c>
      <c r="AK34" s="4"/>
      <c r="AL34" s="4" t="n">
        <f aca="false">SUMPRODUCT(MAX((V34:AJ34&lt;0)*$V$3:$AJ$3))</f>
        <v>4</v>
      </c>
      <c r="AM34" s="10" t="n">
        <f aca="false">IF(AL34=0,0,IF(AL34=15,3.5+IFERROR(LN($B34/T34)/LN(1+SUMIFS('Realpage Data'!$AF$2:$AF$899,'Realpage Data'!$A$2:$A$899,$A34,'Realpage Data'!$F$2:$F$899,"YOY Effective Rent Change")),99),((AL34-1)+INDEX(V34:AJ34,1,AL34)/(INDEX(V34:AJ34,1,AL34)-INDEX(V34:AJ34,1,AL34+1)))/4))</f>
        <v>0.752021670966561</v>
      </c>
      <c r="AN34" s="4" t="str">
        <f aca="false">IF(AL34=15,"†","")</f>
        <v/>
      </c>
    </row>
    <row r="35" customFormat="false" ht="15" hidden="false" customHeight="false" outlineLevel="0" collapsed="false">
      <c r="A35" s="25" t="s">
        <v>52</v>
      </c>
      <c r="B35" s="6" t="n">
        <f aca="false">SUMIFS('Realpage Data'!$R$2:$R$899,'Realpage Data'!$A$2:$A$899,$A35,'Realpage Data'!$F$2:$F$899,"Rent Roll (Rev/OSF)")</f>
        <v>1.68552299010675</v>
      </c>
      <c r="C35" s="6" t="n">
        <f aca="false">SUMIFS('Realpage Data'!$O$2:$O$899,'Realpage Data'!$A$2:$A$899,$A35,'Realpage Data'!$F$2:$F$899,"Effective RPSF")</f>
        <v>1.708</v>
      </c>
      <c r="D35" s="6" t="n">
        <f aca="false">SUMIFS('Realpage Data'!$P$2:$P$899,'Realpage Data'!$A$2:$A$899,$A35,'Realpage Data'!$F$2:$F$899,"Effective RPSF")</f>
        <v>1.674</v>
      </c>
      <c r="E35" s="6" t="n">
        <f aca="false">SUMIFS('Realpage Data'!$Q$2:$Q$899,'Realpage Data'!$A$2:$A$899,$A35,'Realpage Data'!$F$2:$F$899,"Effective RPSF")</f>
        <v>1.675</v>
      </c>
      <c r="F35" s="6" t="n">
        <f aca="false">SUMIFS('Realpage Data'!$R$2:$R$899,'Realpage Data'!$A$2:$A$899,$A35,'Realpage Data'!$F$2:$F$899,"Effective RPSF")</f>
        <v>1.693</v>
      </c>
      <c r="G35" s="6" t="n">
        <f aca="false">C35*(1+SUMIFS('Realpage Data'!$S$2:$S$899,'Realpage Data'!$A$2:$A$899,$A35,'Realpage Data'!$F$2:$F$899,"YOY Effective Rent Change"))</f>
        <v>1.678964</v>
      </c>
      <c r="H35" s="6" t="n">
        <f aca="false">D35*(1+SUMIFS('Realpage Data'!$T$2:$T$899,'Realpage Data'!$A$2:$A$899,$A35,'Realpage Data'!$F$2:$F$899,"YOY Effective Rent Change"))</f>
        <v>1.660608</v>
      </c>
      <c r="I35" s="6" t="n">
        <f aca="false">E35*(1+SUMIFS('Realpage Data'!$U$2:$U$899,'Realpage Data'!$A$2:$A$899,$A35,'Realpage Data'!$F$2:$F$899,"YOY Effective Rent Change"))</f>
        <v>1.683375</v>
      </c>
      <c r="J35" s="6" t="n">
        <f aca="false">F35*(1+SUMIFS('Realpage Data'!$V$2:$V$899,'Realpage Data'!$A$2:$A$899,$A35,'Realpage Data'!$F$2:$F$899,"YOY Effective Rent Change"))</f>
        <v>1.731939</v>
      </c>
      <c r="K35" s="6" t="n">
        <f aca="false">G35*(1+SUMIFS('Realpage Data'!$W$2:$W$899,'Realpage Data'!$A$2:$A$899,$A35,'Realpage Data'!$F$2:$F$899,"YOY Effective Rent Change"))</f>
        <v>1.724296028</v>
      </c>
      <c r="L35" s="6" t="n">
        <f aca="false">H35*(1+SUMIFS('Realpage Data'!$X$2:$X$899,'Realpage Data'!$A$2:$A$899,$A35,'Realpage Data'!$F$2:$F$899,"YOY Effective Rent Change"))</f>
        <v>1.708765632</v>
      </c>
      <c r="M35" s="6" t="n">
        <f aca="false">I35*(1+SUMIFS('Realpage Data'!$Y$2:$Y$899,'Realpage Data'!$A$2:$A$899,$A35,'Realpage Data'!$F$2:$F$899,"YOY Effective Rent Change"))</f>
        <v>1.728826125</v>
      </c>
      <c r="N35" s="6" t="n">
        <f aca="false">J35*(1+SUMIFS('Realpage Data'!$Z$2:$Z$899,'Realpage Data'!$A$2:$A$899,$A35,'Realpage Data'!$F$2:$F$899,"YOY Effective Rent Change"))</f>
        <v>1.778701353</v>
      </c>
      <c r="O35" s="6" t="n">
        <f aca="false">K35*(1+SUMIFS('Realpage Data'!$AA$2:$AA$899,'Realpage Data'!$A$2:$A$899,$A35,'Realpage Data'!$F$2:$F$899,"YOY Effective Rent Change"))</f>
        <v>1.774300612812</v>
      </c>
      <c r="P35" s="6" t="n">
        <f aca="false">L35*(1+SUMIFS('Realpage Data'!$AB$2:$AB$899,'Realpage Data'!$A$2:$A$899,$A35,'Realpage Data'!$F$2:$F$899,"YOY Effective Rent Change"))</f>
        <v>1.758319835328</v>
      </c>
      <c r="Q35" s="6" t="n">
        <f aca="false">M35*(1+SUMIFS('Realpage Data'!$AC$2:$AC$899,'Realpage Data'!$A$2:$A$899,$A35,'Realpage Data'!$F$2:$F$899,"YOY Effective Rent Change"))</f>
        <v>1.778962082625</v>
      </c>
      <c r="R35" s="6" t="n">
        <f aca="false">N35*(1+SUMIFS('Realpage Data'!$AD$2:$AD$899,'Realpage Data'!$A$2:$A$899,$A35,'Realpage Data'!$F$2:$F$899,"YOY Effective Rent Change"))</f>
        <v>1.830283692237</v>
      </c>
      <c r="S35" s="6" t="n">
        <f aca="false">O35*(1+SUMIFS('Realpage Data'!$AE$2:$AE$899,'Realpage Data'!$A$2:$A$899,$A35,'Realpage Data'!$F$2:$F$899,"YOY Effective Rent Change"))</f>
        <v>1.82930393180917</v>
      </c>
      <c r="T35" s="6" t="n">
        <f aca="false">P35*(1+SUMIFS('Realpage Data'!$AF$2:$AF$899,'Realpage Data'!$A$2:$A$899,$A35,'Realpage Data'!$F$2:$F$899,"YOY Effective Rent Change"))</f>
        <v>1.81282775022317</v>
      </c>
      <c r="U35" s="4"/>
      <c r="V35" s="7" t="n">
        <f aca="false">F35/$B35-1</f>
        <v>0.00443601774472358</v>
      </c>
      <c r="W35" s="7" t="n">
        <f aca="false">G35/$B35-1</f>
        <v>-0.00389136792867573</v>
      </c>
      <c r="X35" s="7" t="n">
        <f aca="false">H35/$B35-1</f>
        <v>-0.0147817563171708</v>
      </c>
      <c r="Y35" s="7" t="n">
        <f aca="false">I35/$B35-1</f>
        <v>-0.00127437603601666</v>
      </c>
      <c r="Z35" s="7" t="n">
        <f aca="false">J35/$B35-1</f>
        <v>0.027538046152852</v>
      </c>
      <c r="AA35" s="7" t="n">
        <f aca="false">K35/$B35-1</f>
        <v>0.0230035651372498</v>
      </c>
      <c r="AB35" s="7" t="n">
        <f aca="false">L35/$B35-1</f>
        <v>0.0137895727496311</v>
      </c>
      <c r="AC35" s="7" t="n">
        <f aca="false">M35/$B35-1</f>
        <v>0.0256912158110107</v>
      </c>
      <c r="AD35" s="7" t="n">
        <f aca="false">N35/$B35-1</f>
        <v>0.0552815733989791</v>
      </c>
      <c r="AE35" s="7" t="n">
        <f aca="false">O35/$B35-1</f>
        <v>0.0526706685262302</v>
      </c>
      <c r="AF35" s="7" t="n">
        <f aca="false">P35/$B35-1</f>
        <v>0.0431894703593703</v>
      </c>
      <c r="AG35" s="7" t="n">
        <f aca="false">Q35/$B35-1</f>
        <v>0.05543626106953</v>
      </c>
      <c r="AH35" s="7" t="n">
        <f aca="false">R35/$B35-1</f>
        <v>0.0858847390275495</v>
      </c>
      <c r="AI35" s="7" t="n">
        <f aca="false">S35/$B35-1</f>
        <v>0.0853034592505431</v>
      </c>
      <c r="AJ35" s="7" t="n">
        <f aca="false">T35/$B35-1</f>
        <v>0.0755283439405108</v>
      </c>
      <c r="AK35" s="4"/>
      <c r="AL35" s="4" t="n">
        <f aca="false">SUMPRODUCT(MAX((V35:AJ35&lt;0)*$V$3:$AJ$3))</f>
        <v>4</v>
      </c>
      <c r="AM35" s="10" t="n">
        <f aca="false">IF(AL35=0,0,IF(AL35=15,3.5+IFERROR(LN($B35/T35)/LN(1+SUMIFS('Realpage Data'!$AF$2:$AF$899,'Realpage Data'!$A$2:$A$899,$A35,'Realpage Data'!$F$2:$F$899,"YOY Effective Rent Change")),99),((AL35-1)+INDEX(V35:AJ35,1,AL35)/(INDEX(V35:AJ35,1,AL35)-INDEX(V35:AJ35,1,AL35+1)))/4))</f>
        <v>0.7610575225823</v>
      </c>
      <c r="AN35" s="4" t="str">
        <f aca="false">IF(AL35=15,"†","")</f>
        <v/>
      </c>
    </row>
    <row r="36" customFormat="false" ht="15" hidden="false" customHeight="false" outlineLevel="0" collapsed="false">
      <c r="A36" s="25" t="s">
        <v>53</v>
      </c>
      <c r="B36" s="6" t="n">
        <f aca="false">SUMIFS('Realpage Data'!$R$2:$R$899,'Realpage Data'!$A$2:$A$899,$A36,'Realpage Data'!$F$2:$F$899,"Rent Roll (Rev/OSF)")</f>
        <v>1.26711214909089</v>
      </c>
      <c r="C36" s="6" t="n">
        <f aca="false">SUMIFS('Realpage Data'!$O$2:$O$899,'Realpage Data'!$A$2:$A$899,$A36,'Realpage Data'!$F$2:$F$899,"Effective RPSF")</f>
        <v>1.266</v>
      </c>
      <c r="D36" s="6" t="n">
        <f aca="false">SUMIFS('Realpage Data'!$P$2:$P$899,'Realpage Data'!$A$2:$A$899,$A36,'Realpage Data'!$F$2:$F$899,"Effective RPSF")</f>
        <v>1.249</v>
      </c>
      <c r="E36" s="6" t="n">
        <f aca="false">SUMIFS('Realpage Data'!$Q$2:$Q$899,'Realpage Data'!$A$2:$A$899,$A36,'Realpage Data'!$F$2:$F$899,"Effective RPSF")</f>
        <v>1.259</v>
      </c>
      <c r="F36" s="6" t="n">
        <f aca="false">SUMIFS('Realpage Data'!$R$2:$R$899,'Realpage Data'!$A$2:$A$899,$A36,'Realpage Data'!$F$2:$F$899,"Effective RPSF")</f>
        <v>1.273</v>
      </c>
      <c r="G36" s="6" t="n">
        <f aca="false">C36*(1+SUMIFS('Realpage Data'!$S$2:$S$899,'Realpage Data'!$A$2:$A$899,$A36,'Realpage Data'!$F$2:$F$899,"YOY Effective Rent Change"))</f>
        <v>1.260936</v>
      </c>
      <c r="H36" s="6" t="n">
        <f aca="false">D36*(1+SUMIFS('Realpage Data'!$T$2:$T$899,'Realpage Data'!$A$2:$A$899,$A36,'Realpage Data'!$F$2:$F$899,"YOY Effective Rent Change"))</f>
        <v>1.247751</v>
      </c>
      <c r="I36" s="6" t="n">
        <f aca="false">E36*(1+SUMIFS('Realpage Data'!$U$2:$U$899,'Realpage Data'!$A$2:$A$899,$A36,'Realpage Data'!$F$2:$F$899,"YOY Effective Rent Change"))</f>
        <v>1.265295</v>
      </c>
      <c r="J36" s="6" t="n">
        <f aca="false">F36*(1+SUMIFS('Realpage Data'!$V$2:$V$899,'Realpage Data'!$A$2:$A$899,$A36,'Realpage Data'!$F$2:$F$899,"YOY Effective Rent Change"))</f>
        <v>1.288276</v>
      </c>
      <c r="K36" s="6" t="n">
        <f aca="false">G36*(1+SUMIFS('Realpage Data'!$W$2:$W$899,'Realpage Data'!$A$2:$A$899,$A36,'Realpage Data'!$F$2:$F$899,"YOY Effective Rent Change"))</f>
        <v>1.287415656</v>
      </c>
      <c r="L36" s="6" t="n">
        <f aca="false">H36*(1+SUMIFS('Realpage Data'!$X$2:$X$899,'Realpage Data'!$A$2:$A$899,$A36,'Realpage Data'!$F$2:$F$899,"YOY Effective Rent Change"))</f>
        <v>1.288926783</v>
      </c>
      <c r="M36" s="6" t="n">
        <f aca="false">I36*(1+SUMIFS('Realpage Data'!$Y$2:$Y$899,'Realpage Data'!$A$2:$A$899,$A36,'Realpage Data'!$F$2:$F$899,"YOY Effective Rent Change"))</f>
        <v>1.30578444</v>
      </c>
      <c r="N36" s="6" t="n">
        <f aca="false">J36*(1+SUMIFS('Realpage Data'!$Z$2:$Z$899,'Realpage Data'!$A$2:$A$899,$A36,'Realpage Data'!$F$2:$F$899,"YOY Effective Rent Change"))</f>
        <v>1.325636004</v>
      </c>
      <c r="O36" s="6" t="n">
        <f aca="false">K36*(1+SUMIFS('Realpage Data'!$AA$2:$AA$899,'Realpage Data'!$A$2:$A$899,$A36,'Realpage Data'!$F$2:$F$899,"YOY Effective Rent Change"))</f>
        <v>1.322175878712</v>
      </c>
      <c r="P36" s="6" t="n">
        <f aca="false">L36*(1+SUMIFS('Realpage Data'!$AB$2:$AB$899,'Realpage Data'!$A$2:$A$899,$A36,'Realpage Data'!$F$2:$F$899,"YOY Effective Rent Change"))</f>
        <v>1.321149952575</v>
      </c>
      <c r="Q36" s="6" t="n">
        <f aca="false">M36*(1+SUMIFS('Realpage Data'!$AC$2:$AC$899,'Realpage Data'!$A$2:$A$899,$A36,'Realpage Data'!$F$2:$F$899,"YOY Effective Rent Change"))</f>
        <v>1.33581748212</v>
      </c>
      <c r="R36" s="6" t="n">
        <f aca="false">N36*(1+SUMIFS('Realpage Data'!$AD$2:$AD$899,'Realpage Data'!$A$2:$A$899,$A36,'Realpage Data'!$F$2:$F$899,"YOY Effective Rent Change"))</f>
        <v>1.354799996088</v>
      </c>
      <c r="S36" s="6" t="n">
        <f aca="false">O36*(1+SUMIFS('Realpage Data'!$AE$2:$AE$899,'Realpage Data'!$A$2:$A$899,$A36,'Realpage Data'!$F$2:$F$899,"YOY Effective Rent Change"))</f>
        <v>1.34994157216495</v>
      </c>
      <c r="T36" s="6" t="n">
        <f aca="false">P36*(1+SUMIFS('Realpage Data'!$AF$2:$AF$899,'Realpage Data'!$A$2:$A$899,$A36,'Realpage Data'!$F$2:$F$899,"YOY Effective Rent Change"))</f>
        <v>1.34889410157907</v>
      </c>
      <c r="U36" s="4"/>
      <c r="V36" s="7" t="n">
        <f aca="false">F36/$B36-1</f>
        <v>0.00464666913132605</v>
      </c>
      <c r="W36" s="7" t="n">
        <f aca="false">G36/$B36-1</f>
        <v>-0.00487419293968738</v>
      </c>
      <c r="X36" s="7" t="n">
        <f aca="false">H36/$B36-1</f>
        <v>-0.0152797438685928</v>
      </c>
      <c r="Y36" s="7" t="n">
        <f aca="false">I36/$B36-1</f>
        <v>-0.00143408702394254</v>
      </c>
      <c r="Z36" s="7" t="n">
        <f aca="false">J36/$B36-1</f>
        <v>0.0167024291609021</v>
      </c>
      <c r="AA36" s="7" t="n">
        <f aca="false">K36/$B36-1</f>
        <v>0.0160234490085791</v>
      </c>
      <c r="AB36" s="7" t="n">
        <f aca="false">L36/$B36-1</f>
        <v>0.0172160245837436</v>
      </c>
      <c r="AC36" s="7" t="n">
        <f aca="false">M36/$B36-1</f>
        <v>0.0305200221912914</v>
      </c>
      <c r="AD36" s="7" t="n">
        <f aca="false">N36/$B36-1</f>
        <v>0.0461867996065681</v>
      </c>
      <c r="AE36" s="7" t="n">
        <f aca="false">O36/$B36-1</f>
        <v>0.0434560821318106</v>
      </c>
      <c r="AF36" s="7" t="n">
        <f aca="false">P36/$B36-1</f>
        <v>0.0426464251983372</v>
      </c>
      <c r="AG36" s="7" t="n">
        <f aca="false">Q36/$B36-1</f>
        <v>0.054221982701691</v>
      </c>
      <c r="AH36" s="7" t="n">
        <f aca="false">R36/$B36-1</f>
        <v>0.0692029091979127</v>
      </c>
      <c r="AI36" s="7" t="n">
        <f aca="false">S36/$B36-1</f>
        <v>0.0653686598565784</v>
      </c>
      <c r="AJ36" s="7" t="n">
        <f aca="false">T36/$B36-1</f>
        <v>0.0645420001275021</v>
      </c>
      <c r="AK36" s="4"/>
      <c r="AL36" s="4" t="n">
        <f aca="false">SUMPRODUCT(MAX((V36:AJ36&lt;0)*$V$3:$AJ$3))</f>
        <v>4</v>
      </c>
      <c r="AM36" s="10" t="n">
        <f aca="false">IF(AL36=0,0,IF(AL36=15,3.5+IFERROR(LN($B36/T36)/LN(1+SUMIFS('Realpage Data'!$AF$2:$AF$899,'Realpage Data'!$A$2:$A$899,$A36,'Realpage Data'!$F$2:$F$899,"YOY Effective Rent Change")),99),((AL36-1)+INDEX(V36:AJ36,1,AL36)/(INDEX(V36:AJ36,1,AL36)-INDEX(V36:AJ36,1,AL36+1)))/4))</f>
        <v>0.769767950599312</v>
      </c>
      <c r="AN36" s="4" t="str">
        <f aca="false">IF(AL36=15,"†","")</f>
        <v/>
      </c>
    </row>
    <row r="37" customFormat="false" ht="15" hidden="false" customHeight="false" outlineLevel="0" collapsed="false">
      <c r="A37" s="25" t="s">
        <v>54</v>
      </c>
      <c r="B37" s="6" t="n">
        <f aca="false">SUMIFS('Realpage Data'!$R$2:$R$899,'Realpage Data'!$A$2:$A$899,$A37,'Realpage Data'!$F$2:$F$899,"Rent Roll (Rev/OSF)")</f>
        <v>2.44790670860986</v>
      </c>
      <c r="C37" s="6" t="n">
        <f aca="false">SUMIFS('Realpage Data'!$O$2:$O$899,'Realpage Data'!$A$2:$A$899,$A37,'Realpage Data'!$F$2:$F$899,"Effective RPSF")</f>
        <v>2.417</v>
      </c>
      <c r="D37" s="6" t="n">
        <f aca="false">SUMIFS('Realpage Data'!$P$2:$P$899,'Realpage Data'!$A$2:$A$899,$A37,'Realpage Data'!$F$2:$F$899,"Effective RPSF")</f>
        <v>2.389</v>
      </c>
      <c r="E37" s="6" t="n">
        <f aca="false">SUMIFS('Realpage Data'!$Q$2:$Q$899,'Realpage Data'!$A$2:$A$899,$A37,'Realpage Data'!$F$2:$F$899,"Effective RPSF")</f>
        <v>2.408</v>
      </c>
      <c r="F37" s="6" t="n">
        <f aca="false">SUMIFS('Realpage Data'!$R$2:$R$899,'Realpage Data'!$A$2:$A$899,$A37,'Realpage Data'!$F$2:$F$899,"Effective RPSF")</f>
        <v>2.43</v>
      </c>
      <c r="G37" s="6" t="n">
        <f aca="false">C37*(1+SUMIFS('Realpage Data'!$S$2:$S$899,'Realpage Data'!$A$2:$A$899,$A37,'Realpage Data'!$F$2:$F$899,"YOY Effective Rent Change"))</f>
        <v>2.407332</v>
      </c>
      <c r="H37" s="6" t="n">
        <f aca="false">D37*(1+SUMIFS('Realpage Data'!$T$2:$T$899,'Realpage Data'!$A$2:$A$899,$A37,'Realpage Data'!$F$2:$F$899,"YOY Effective Rent Change"))</f>
        <v>2.398556</v>
      </c>
      <c r="I37" s="6" t="n">
        <f aca="false">E37*(1+SUMIFS('Realpage Data'!$U$2:$U$899,'Realpage Data'!$A$2:$A$899,$A37,'Realpage Data'!$F$2:$F$899,"YOY Effective Rent Change"))</f>
        <v>2.439304</v>
      </c>
      <c r="J37" s="6" t="n">
        <f aca="false">F37*(1+SUMIFS('Realpage Data'!$V$2:$V$899,'Realpage Data'!$A$2:$A$899,$A37,'Realpage Data'!$F$2:$F$899,"YOY Effective Rent Change"))</f>
        <v>2.49804</v>
      </c>
      <c r="K37" s="6" t="n">
        <f aca="false">G37*(1+SUMIFS('Realpage Data'!$W$2:$W$899,'Realpage Data'!$A$2:$A$899,$A37,'Realpage Data'!$F$2:$F$899,"YOY Effective Rent Change"))</f>
        <v>2.481959292</v>
      </c>
      <c r="L37" s="6" t="n">
        <f aca="false">H37*(1+SUMIFS('Realpage Data'!$X$2:$X$899,'Realpage Data'!$A$2:$A$899,$A37,'Realpage Data'!$F$2:$F$899,"YOY Effective Rent Change"))</f>
        <v>2.47051268</v>
      </c>
      <c r="M37" s="6" t="n">
        <f aca="false">I37*(1+SUMIFS('Realpage Data'!$Y$2:$Y$899,'Realpage Data'!$A$2:$A$899,$A37,'Realpage Data'!$F$2:$F$899,"YOY Effective Rent Change"))</f>
        <v>2.505165208</v>
      </c>
      <c r="N37" s="6" t="n">
        <f aca="false">J37*(1+SUMIFS('Realpage Data'!$Z$2:$Z$899,'Realpage Data'!$A$2:$A$899,$A37,'Realpage Data'!$F$2:$F$899,"YOY Effective Rent Change"))</f>
        <v>2.56298904</v>
      </c>
      <c r="O37" s="6" t="n">
        <f aca="false">K37*(1+SUMIFS('Realpage Data'!$AA$2:$AA$899,'Realpage Data'!$A$2:$A$899,$A37,'Realpage Data'!$F$2:$F$899,"YOY Effective Rent Change"))</f>
        <v>2.546490233592</v>
      </c>
      <c r="P37" s="6" t="n">
        <f aca="false">L37*(1+SUMIFS('Realpage Data'!$AB$2:$AB$899,'Realpage Data'!$A$2:$A$899,$A37,'Realpage Data'!$F$2:$F$899,"YOY Effective Rent Change"))</f>
        <v>2.532275497</v>
      </c>
      <c r="Q37" s="6" t="n">
        <f aca="false">M37*(1+SUMIFS('Realpage Data'!$AC$2:$AC$899,'Realpage Data'!$A$2:$A$899,$A37,'Realpage Data'!$F$2:$F$899,"YOY Effective Rent Change"))</f>
        <v>2.557773677368</v>
      </c>
      <c r="R37" s="6" t="n">
        <f aca="false">N37*(1+SUMIFS('Realpage Data'!$AD$2:$AD$899,'Realpage Data'!$A$2:$A$899,$A37,'Realpage Data'!$F$2:$F$899,"YOY Effective Rent Change"))</f>
        <v>2.6142488208</v>
      </c>
      <c r="S37" s="6" t="n">
        <f aca="false">O37*(1+SUMIFS('Realpage Data'!$AE$2:$AE$899,'Realpage Data'!$A$2:$A$899,$A37,'Realpage Data'!$F$2:$F$899,"YOY Effective Rent Change"))</f>
        <v>2.60505950896462</v>
      </c>
      <c r="T37" s="6" t="n">
        <f aca="false">P37*(1+SUMIFS('Realpage Data'!$AF$2:$AF$899,'Realpage Data'!$A$2:$A$899,$A37,'Realpage Data'!$F$2:$F$899,"YOY Effective Rent Change"))</f>
        <v>2.590517833431</v>
      </c>
      <c r="U37" s="4"/>
      <c r="V37" s="7" t="n">
        <f aca="false">F37/$B37-1</f>
        <v>-0.00731511072169333</v>
      </c>
      <c r="W37" s="7" t="n">
        <f aca="false">G37/$B37-1</f>
        <v>-0.0165752675406896</v>
      </c>
      <c r="X37" s="7" t="n">
        <f aca="false">H37/$B37-1</f>
        <v>-0.0201603714864947</v>
      </c>
      <c r="Y37" s="7" t="n">
        <f aca="false">I37/$B37-1</f>
        <v>-0.00351431228142807</v>
      </c>
      <c r="Z37" s="7" t="n">
        <f aca="false">J37/$B37-1</f>
        <v>0.0204800661780993</v>
      </c>
      <c r="AA37" s="7" t="n">
        <f aca="false">K37/$B37-1</f>
        <v>0.013910899165549</v>
      </c>
      <c r="AB37" s="7" t="n">
        <f aca="false">L37/$B37-1</f>
        <v>0.0092348173689103</v>
      </c>
      <c r="AC37" s="7" t="n">
        <f aca="false">M37/$B37-1</f>
        <v>0.0233908012869735</v>
      </c>
      <c r="AD37" s="7" t="n">
        <f aca="false">N37/$B37-1</f>
        <v>0.0470125478987298</v>
      </c>
      <c r="AE37" s="7" t="n">
        <f aca="false">O37/$B37-1</f>
        <v>0.040272582543853</v>
      </c>
      <c r="AF37" s="7" t="n">
        <f aca="false">P37/$B37-1</f>
        <v>0.0344656878031331</v>
      </c>
      <c r="AG37" s="7" t="n">
        <f aca="false">Q37/$B37-1</f>
        <v>0.0448820081139998</v>
      </c>
      <c r="AH37" s="7" t="n">
        <f aca="false">R37/$B37-1</f>
        <v>0.0679527988567046</v>
      </c>
      <c r="AI37" s="7" t="n">
        <f aca="false">S37/$B37-1</f>
        <v>0.0641988519423615</v>
      </c>
      <c r="AJ37" s="7" t="n">
        <f aca="false">T37/$B37-1</f>
        <v>0.0582583986226051</v>
      </c>
      <c r="AK37" s="4"/>
      <c r="AL37" s="4" t="n">
        <f aca="false">SUMPRODUCT(MAX((V37:AJ37&lt;0)*$V$3:$AJ$3))</f>
        <v>4</v>
      </c>
      <c r="AM37" s="10" t="n">
        <f aca="false">IF(AL37=0,0,IF(AL37=15,3.5+IFERROR(LN($B37/T37)/LN(1+SUMIFS('Realpage Data'!$AF$2:$AF$899,'Realpage Data'!$A$2:$A$899,$A37,'Realpage Data'!$F$2:$F$899,"YOY Effective Rent Change")),99),((AL37-1)+INDEX(V37:AJ37,1,AL37)/(INDEX(V37:AJ37,1,AL37)-INDEX(V37:AJ37,1,AL37+1)))/4))</f>
        <v>0.786615996194232</v>
      </c>
      <c r="AN37" s="4" t="str">
        <f aca="false">IF(AL37=15,"†","")</f>
        <v/>
      </c>
    </row>
    <row r="38" customFormat="false" ht="15" hidden="false" customHeight="false" outlineLevel="0" collapsed="false">
      <c r="A38" s="25" t="s">
        <v>55</v>
      </c>
      <c r="B38" s="6" t="n">
        <f aca="false">SUMIFS('Realpage Data'!$R$2:$R$899,'Realpage Data'!$A$2:$A$899,$A38,'Realpage Data'!$F$2:$F$899,"Rent Roll (Rev/OSF)")</f>
        <v>1.47139286153313</v>
      </c>
      <c r="C38" s="6" t="n">
        <f aca="false">SUMIFS('Realpage Data'!$O$2:$O$899,'Realpage Data'!$A$2:$A$899,$A38,'Realpage Data'!$F$2:$F$899,"Effective RPSF")</f>
        <v>1.491</v>
      </c>
      <c r="D38" s="6" t="n">
        <f aca="false">SUMIFS('Realpage Data'!$P$2:$P$899,'Realpage Data'!$A$2:$A$899,$A38,'Realpage Data'!$F$2:$F$899,"Effective RPSF")</f>
        <v>1.452</v>
      </c>
      <c r="E38" s="6" t="n">
        <f aca="false">SUMIFS('Realpage Data'!$Q$2:$Q$899,'Realpage Data'!$A$2:$A$899,$A38,'Realpage Data'!$F$2:$F$899,"Effective RPSF")</f>
        <v>1.445</v>
      </c>
      <c r="F38" s="6" t="n">
        <f aca="false">SUMIFS('Realpage Data'!$R$2:$R$899,'Realpage Data'!$A$2:$A$899,$A38,'Realpage Data'!$F$2:$F$899,"Effective RPSF")</f>
        <v>1.474</v>
      </c>
      <c r="G38" s="6" t="n">
        <f aca="false">C38*(1+SUMIFS('Realpage Data'!$S$2:$S$899,'Realpage Data'!$A$2:$A$899,$A38,'Realpage Data'!$F$2:$F$899,"YOY Effective Rent Change"))</f>
        <v>1.462671</v>
      </c>
      <c r="H38" s="6" t="n">
        <f aca="false">D38*(1+SUMIFS('Realpage Data'!$T$2:$T$899,'Realpage Data'!$A$2:$A$899,$A38,'Realpage Data'!$F$2:$F$899,"YOY Effective Rent Change"))</f>
        <v>1.440384</v>
      </c>
      <c r="I38" s="6" t="n">
        <f aca="false">E38*(1+SUMIFS('Realpage Data'!$U$2:$U$899,'Realpage Data'!$A$2:$A$899,$A38,'Realpage Data'!$F$2:$F$899,"YOY Effective Rent Change"))</f>
        <v>1.452225</v>
      </c>
      <c r="J38" s="6" t="n">
        <f aca="false">F38*(1+SUMIFS('Realpage Data'!$V$2:$V$899,'Realpage Data'!$A$2:$A$899,$A38,'Realpage Data'!$F$2:$F$899,"YOY Effective Rent Change"))</f>
        <v>1.516746</v>
      </c>
      <c r="K38" s="6" t="n">
        <f aca="false">G38*(1+SUMIFS('Realpage Data'!$W$2:$W$899,'Realpage Data'!$A$2:$A$899,$A38,'Realpage Data'!$F$2:$F$899,"YOY Effective Rent Change"))</f>
        <v>1.525565853</v>
      </c>
      <c r="L38" s="6" t="n">
        <f aca="false">H38*(1+SUMIFS('Realpage Data'!$X$2:$X$899,'Realpage Data'!$A$2:$A$899,$A38,'Realpage Data'!$F$2:$F$899,"YOY Effective Rent Change"))</f>
        <v>1.503760896</v>
      </c>
      <c r="M38" s="6" t="n">
        <f aca="false">I38*(1+SUMIFS('Realpage Data'!$Y$2:$Y$899,'Realpage Data'!$A$2:$A$899,$A38,'Realpage Data'!$F$2:$F$899,"YOY Effective Rent Change"))</f>
        <v>1.514670675</v>
      </c>
      <c r="N38" s="6" t="n">
        <f aca="false">J38*(1+SUMIFS('Realpage Data'!$Z$2:$Z$899,'Realpage Data'!$A$2:$A$899,$A38,'Realpage Data'!$F$2:$F$899,"YOY Effective Rent Change"))</f>
        <v>1.575899094</v>
      </c>
      <c r="O38" s="6" t="n">
        <f aca="false">K38*(1+SUMIFS('Realpage Data'!$AA$2:$AA$899,'Realpage Data'!$A$2:$A$899,$A38,'Realpage Data'!$F$2:$F$899,"YOY Effective Rent Change"))</f>
        <v>1.591165184679</v>
      </c>
      <c r="P38" s="6" t="n">
        <f aca="false">L38*(1+SUMIFS('Realpage Data'!$AB$2:$AB$899,'Realpage Data'!$A$2:$A$899,$A38,'Realpage Data'!$F$2:$F$899,"YOY Effective Rent Change"))</f>
        <v>1.569926375424</v>
      </c>
      <c r="Q38" s="6" t="n">
        <f aca="false">M38*(1+SUMIFS('Realpage Data'!$AC$2:$AC$899,'Realpage Data'!$A$2:$A$899,$A38,'Realpage Data'!$F$2:$F$899,"YOY Effective Rent Change"))</f>
        <v>1.58434552605</v>
      </c>
      <c r="R38" s="6" t="n">
        <f aca="false">N38*(1+SUMIFS('Realpage Data'!$AD$2:$AD$899,'Realpage Data'!$A$2:$A$899,$A38,'Realpage Data'!$F$2:$F$899,"YOY Effective Rent Change"))</f>
        <v>1.637359158666</v>
      </c>
      <c r="S38" s="6" t="n">
        <f aca="false">O38*(1+SUMIFS('Realpage Data'!$AE$2:$AE$899,'Realpage Data'!$A$2:$A$899,$A38,'Realpage Data'!$F$2:$F$899,"YOY Effective Rent Change"))</f>
        <v>1.65481179206616</v>
      </c>
      <c r="T38" s="6" t="n">
        <f aca="false">P38*(1+SUMIFS('Realpage Data'!$AF$2:$AF$899,'Realpage Data'!$A$2:$A$899,$A38,'Realpage Data'!$F$2:$F$899,"YOY Effective Rent Change"))</f>
        <v>1.63743320956723</v>
      </c>
      <c r="U38" s="4"/>
      <c r="V38" s="7" t="n">
        <f aca="false">F38/$B38-1</f>
        <v>0.00177188467813982</v>
      </c>
      <c r="W38" s="7" t="n">
        <f aca="false">G38/$B38-1</f>
        <v>-0.00592762256848067</v>
      </c>
      <c r="X38" s="7" t="n">
        <f aca="false">H38/$B38-1</f>
        <v>-0.0210744950201915</v>
      </c>
      <c r="Y38" s="7" t="n">
        <f aca="false">I38/$B38-1</f>
        <v>-0.0130270181636963</v>
      </c>
      <c r="Z38" s="7" t="n">
        <f aca="false">J38/$B38-1</f>
        <v>0.030823269333806</v>
      </c>
      <c r="AA38" s="7" t="n">
        <f aca="false">K38/$B38-1</f>
        <v>0.0368174896610747</v>
      </c>
      <c r="AB38" s="7" t="n">
        <f aca="false">L38/$B38-1</f>
        <v>0.0219982271989201</v>
      </c>
      <c r="AC38" s="7" t="n">
        <f aca="false">M38/$B38-1</f>
        <v>0.0294128200552646</v>
      </c>
      <c r="AD38" s="7" t="n">
        <f aca="false">N38/$B38-1</f>
        <v>0.0710253768378242</v>
      </c>
      <c r="AE38" s="7" t="n">
        <f aca="false">O38/$B38-1</f>
        <v>0.0814006417165007</v>
      </c>
      <c r="AF38" s="7" t="n">
        <f aca="false">P38/$B38-1</f>
        <v>0.0669661491956726</v>
      </c>
      <c r="AG38" s="7" t="n">
        <f aca="false">Q38/$B38-1</f>
        <v>0.0767658097778068</v>
      </c>
      <c r="AH38" s="7" t="n">
        <f aca="false">R38/$B38-1</f>
        <v>0.112795366534499</v>
      </c>
      <c r="AI38" s="7" t="n">
        <f aca="false">S38/$B38-1</f>
        <v>0.124656667385161</v>
      </c>
      <c r="AJ38" s="7" t="n">
        <f aca="false">T38/$B38-1</f>
        <v>0.112845693611086</v>
      </c>
      <c r="AK38" s="4"/>
      <c r="AL38" s="4" t="n">
        <f aca="false">SUMPRODUCT(MAX((V38:AJ38&lt;0)*$V$3:$AJ$3))</f>
        <v>4</v>
      </c>
      <c r="AM38" s="10" t="n">
        <f aca="false">IF(AL38=0,0,IF(AL38=15,3.5+IFERROR(LN($B38/T38)/LN(1+SUMIFS('Realpage Data'!$AF$2:$AF$899,'Realpage Data'!$A$2:$A$899,$A38,'Realpage Data'!$F$2:$F$899,"YOY Effective Rent Change")),99),((AL38-1)+INDEX(V38:AJ38,1,AL38)/(INDEX(V38:AJ38,1,AL38)-INDEX(V38:AJ38,1,AL38+1)))/4))</f>
        <v>0.824269856066727</v>
      </c>
      <c r="AN38" s="4" t="str">
        <f aca="false">IF(AL38=15,"†","")</f>
        <v/>
      </c>
    </row>
    <row r="39" customFormat="false" ht="15" hidden="false" customHeight="false" outlineLevel="0" collapsed="false">
      <c r="A39" s="25" t="s">
        <v>56</v>
      </c>
      <c r="B39" s="6" t="n">
        <f aca="false">SUMIFS('Realpage Data'!$R$2:$R$899,'Realpage Data'!$A$2:$A$899,$A39,'Realpage Data'!$F$2:$F$899,"Rent Roll (Rev/OSF)")</f>
        <v>1.62799800912372</v>
      </c>
      <c r="C39" s="6" t="n">
        <f aca="false">SUMIFS('Realpage Data'!$O$2:$O$899,'Realpage Data'!$A$2:$A$899,$A39,'Realpage Data'!$F$2:$F$899,"Effective RPSF")</f>
        <v>1.612</v>
      </c>
      <c r="D39" s="6" t="n">
        <f aca="false">SUMIFS('Realpage Data'!$P$2:$P$899,'Realpage Data'!$A$2:$A$899,$A39,'Realpage Data'!$F$2:$F$899,"Effective RPSF")</f>
        <v>1.583</v>
      </c>
      <c r="E39" s="6" t="n">
        <f aca="false">SUMIFS('Realpage Data'!$Q$2:$Q$899,'Realpage Data'!$A$2:$A$899,$A39,'Realpage Data'!$F$2:$F$899,"Effective RPSF")</f>
        <v>1.584</v>
      </c>
      <c r="F39" s="6" t="n">
        <f aca="false">SUMIFS('Realpage Data'!$R$2:$R$899,'Realpage Data'!$A$2:$A$899,$A39,'Realpage Data'!$F$2:$F$899,"Effective RPSF")</f>
        <v>1.612</v>
      </c>
      <c r="G39" s="6" t="n">
        <f aca="false">C39*(1+SUMIFS('Realpage Data'!$S$2:$S$899,'Realpage Data'!$A$2:$A$899,$A39,'Realpage Data'!$F$2:$F$899,"YOY Effective Rent Change"))</f>
        <v>1.605552</v>
      </c>
      <c r="H39" s="6" t="n">
        <f aca="false">D39*(1+SUMIFS('Realpage Data'!$T$2:$T$899,'Realpage Data'!$A$2:$A$899,$A39,'Realpage Data'!$F$2:$F$899,"YOY Effective Rent Change"))</f>
        <v>1.584583</v>
      </c>
      <c r="I39" s="6" t="n">
        <f aca="false">E39*(1+SUMIFS('Realpage Data'!$U$2:$U$899,'Realpage Data'!$A$2:$A$899,$A39,'Realpage Data'!$F$2:$F$899,"YOY Effective Rent Change"))</f>
        <v>1.596672</v>
      </c>
      <c r="J39" s="6" t="n">
        <f aca="false">F39*(1+SUMIFS('Realpage Data'!$V$2:$V$899,'Realpage Data'!$A$2:$A$899,$A39,'Realpage Data'!$F$2:$F$899,"YOY Effective Rent Change"))</f>
        <v>1.641016</v>
      </c>
      <c r="K39" s="6" t="n">
        <f aca="false">G39*(1+SUMIFS('Realpage Data'!$W$2:$W$899,'Realpage Data'!$A$2:$A$899,$A39,'Realpage Data'!$F$2:$F$899,"YOY Effective Rent Change"))</f>
        <v>1.655324112</v>
      </c>
      <c r="L39" s="6" t="n">
        <f aca="false">H39*(1+SUMIFS('Realpage Data'!$X$2:$X$899,'Realpage Data'!$A$2:$A$899,$A39,'Realpage Data'!$F$2:$F$899,"YOY Effective Rent Change"))</f>
        <v>1.636874239</v>
      </c>
      <c r="M39" s="6" t="n">
        <f aca="false">I39*(1+SUMIFS('Realpage Data'!$Y$2:$Y$899,'Realpage Data'!$A$2:$A$899,$A39,'Realpage Data'!$F$2:$F$899,"YOY Effective Rent Change"))</f>
        <v>1.650958848</v>
      </c>
      <c r="N39" s="6" t="n">
        <f aca="false">J39*(1+SUMIFS('Realpage Data'!$Z$2:$Z$899,'Realpage Data'!$A$2:$A$899,$A39,'Realpage Data'!$F$2:$F$899,"YOY Effective Rent Change"))</f>
        <v>1.700092576</v>
      </c>
      <c r="O39" s="6" t="n">
        <f aca="false">K39*(1+SUMIFS('Realpage Data'!$AA$2:$AA$899,'Realpage Data'!$A$2:$A$899,$A39,'Realpage Data'!$F$2:$F$899,"YOY Effective Rent Change"))</f>
        <v>1.718226428256</v>
      </c>
      <c r="P39" s="6" t="n">
        <f aca="false">L39*(1+SUMIFS('Realpage Data'!$AB$2:$AB$899,'Realpage Data'!$A$2:$A$899,$A39,'Realpage Data'!$F$2:$F$899,"YOY Effective Rent Change"))</f>
        <v>1.700712334321</v>
      </c>
      <c r="Q39" s="6" t="n">
        <f aca="false">M39*(1+SUMIFS('Realpage Data'!$AC$2:$AC$899,'Realpage Data'!$A$2:$A$899,$A39,'Realpage Data'!$F$2:$F$899,"YOY Effective Rent Change"))</f>
        <v>1.713695284224</v>
      </c>
      <c r="R39" s="6" t="n">
        <f aca="false">N39*(1+SUMIFS('Realpage Data'!$AD$2:$AD$899,'Realpage Data'!$A$2:$A$899,$A39,'Realpage Data'!$F$2:$F$899,"YOY Effective Rent Change"))</f>
        <v>1.762996001312</v>
      </c>
      <c r="S39" s="6" t="n">
        <f aca="false">O39*(1+SUMIFS('Realpage Data'!$AE$2:$AE$899,'Realpage Data'!$A$2:$A$899,$A39,'Realpage Data'!$F$2:$F$899,"YOY Effective Rent Change"))</f>
        <v>1.77836435324496</v>
      </c>
      <c r="T39" s="6" t="n">
        <f aca="false">P39*(1+SUMIFS('Realpage Data'!$AF$2:$AF$899,'Realpage Data'!$A$2:$A$899,$A39,'Realpage Data'!$F$2:$F$899,"YOY Effective Rent Change"))</f>
        <v>1.75853655368791</v>
      </c>
      <c r="U39" s="4"/>
      <c r="V39" s="7" t="n">
        <f aca="false">F39/$B39-1</f>
        <v>-0.0098267989481946</v>
      </c>
      <c r="W39" s="7" t="n">
        <f aca="false">G39/$B39-1</f>
        <v>-0.0137874917524019</v>
      </c>
      <c r="X39" s="7" t="n">
        <f aca="false">H39/$B39-1</f>
        <v>-0.0266677286338259</v>
      </c>
      <c r="Y39" s="7" t="n">
        <f aca="false">I39/$B39-1</f>
        <v>-0.0192420438773027</v>
      </c>
      <c r="Z39" s="7" t="n">
        <f aca="false">J39/$B39-1</f>
        <v>0.00799631867073791</v>
      </c>
      <c r="AA39" s="7" t="n">
        <f aca="false">K39/$B39-1</f>
        <v>0.0167850960032736</v>
      </c>
      <c r="AB39" s="7" t="n">
        <f aca="false">L39/$B39-1</f>
        <v>0.00545223632125769</v>
      </c>
      <c r="AC39" s="7" t="n">
        <f aca="false">M39/$B39-1</f>
        <v>0.014103726630869</v>
      </c>
      <c r="AD39" s="7" t="n">
        <f aca="false">N39/$B39-1</f>
        <v>0.0442841861428844</v>
      </c>
      <c r="AE39" s="7" t="n">
        <f aca="false">O39/$B39-1</f>
        <v>0.0554229296513979</v>
      </c>
      <c r="AF39" s="7" t="n">
        <f aca="false">P39/$B39-1</f>
        <v>0.0446648735377868</v>
      </c>
      <c r="AG39" s="7" t="n">
        <f aca="false">Q39/$B39-1</f>
        <v>0.0526396682428423</v>
      </c>
      <c r="AH39" s="7" t="n">
        <f aca="false">R39/$B39-1</f>
        <v>0.082922701030171</v>
      </c>
      <c r="AI39" s="7" t="n">
        <f aca="false">S39/$B39-1</f>
        <v>0.0923627321891969</v>
      </c>
      <c r="AJ39" s="7" t="n">
        <f aca="false">T39/$B39-1</f>
        <v>0.0801834792380716</v>
      </c>
      <c r="AK39" s="4"/>
      <c r="AL39" s="4" t="n">
        <f aca="false">SUMPRODUCT(MAX((V39:AJ39&lt;0)*$V$3:$AJ$3))</f>
        <v>4</v>
      </c>
      <c r="AM39" s="10" t="n">
        <f aca="false">IF(AL39=0,0,IF(AL39=15,3.5+IFERROR(LN($B39/T39)/LN(1+SUMIFS('Realpage Data'!$AF$2:$AF$899,'Realpage Data'!$A$2:$A$899,$A39,'Realpage Data'!$F$2:$F$899,"YOY Effective Rent Change")),99),((AL39-1)+INDEX(V39:AJ39,1,AL39)/(INDEX(V39:AJ39,1,AL39)-INDEX(V39:AJ39,1,AL39+1)))/4))</f>
        <v>0.9266079352546</v>
      </c>
      <c r="AN39" s="4" t="str">
        <f aca="false">IF(AL39=15,"†","")</f>
        <v/>
      </c>
    </row>
    <row r="40" customFormat="false" ht="15" hidden="false" customHeight="false" outlineLevel="0" collapsed="false">
      <c r="A40" s="25" t="s">
        <v>57</v>
      </c>
      <c r="B40" s="6" t="n">
        <f aca="false">SUMIFS('Realpage Data'!$R$2:$R$899,'Realpage Data'!$A$2:$A$899,$A40,'Realpage Data'!$F$2:$F$899,"Rent Roll (Rev/OSF)")</f>
        <v>1.46555798365679</v>
      </c>
      <c r="C40" s="6" t="n">
        <f aca="false">SUMIFS('Realpage Data'!$O$2:$O$899,'Realpage Data'!$A$2:$A$899,$A40,'Realpage Data'!$F$2:$F$899,"Effective RPSF")</f>
        <v>1.429</v>
      </c>
      <c r="D40" s="6" t="n">
        <f aca="false">SUMIFS('Realpage Data'!$P$2:$P$899,'Realpage Data'!$A$2:$A$899,$A40,'Realpage Data'!$F$2:$F$899,"Effective RPSF")</f>
        <v>1.408</v>
      </c>
      <c r="E40" s="6" t="n">
        <f aca="false">SUMIFS('Realpage Data'!$Q$2:$Q$899,'Realpage Data'!$A$2:$A$899,$A40,'Realpage Data'!$F$2:$F$899,"Effective RPSF")</f>
        <v>1.417</v>
      </c>
      <c r="F40" s="6" t="n">
        <f aca="false">SUMIFS('Realpage Data'!$R$2:$R$899,'Realpage Data'!$A$2:$A$899,$A40,'Realpage Data'!$F$2:$F$899,"Effective RPSF")</f>
        <v>1.435</v>
      </c>
      <c r="G40" s="6" t="n">
        <f aca="false">C40*(1+SUMIFS('Realpage Data'!$S$2:$S$899,'Realpage Data'!$A$2:$A$899,$A40,'Realpage Data'!$F$2:$F$899,"YOY Effective Rent Change"))</f>
        <v>1.434716</v>
      </c>
      <c r="H40" s="6" t="n">
        <f aca="false">D40*(1+SUMIFS('Realpage Data'!$T$2:$T$899,'Realpage Data'!$A$2:$A$899,$A40,'Realpage Data'!$F$2:$F$899,"YOY Effective Rent Change"))</f>
        <v>1.420672</v>
      </c>
      <c r="I40" s="6" t="n">
        <f aca="false">E40*(1+SUMIFS('Realpage Data'!$U$2:$U$899,'Realpage Data'!$A$2:$A$899,$A40,'Realpage Data'!$F$2:$F$899,"YOY Effective Rent Change"))</f>
        <v>1.441089</v>
      </c>
      <c r="J40" s="6" t="n">
        <f aca="false">F40*(1+SUMIFS('Realpage Data'!$V$2:$V$899,'Realpage Data'!$A$2:$A$899,$A40,'Realpage Data'!$F$2:$F$899,"YOY Effective Rent Change"))</f>
        <v>1.47518</v>
      </c>
      <c r="K40" s="6" t="n">
        <f aca="false">G40*(1+SUMIFS('Realpage Data'!$W$2:$W$899,'Realpage Data'!$A$2:$A$899,$A40,'Realpage Data'!$F$2:$F$899,"YOY Effective Rent Change"))</f>
        <v>1.479192196</v>
      </c>
      <c r="L40" s="6" t="n">
        <f aca="false">H40*(1+SUMIFS('Realpage Data'!$X$2:$X$899,'Realpage Data'!$A$2:$A$899,$A40,'Realpage Data'!$F$2:$F$899,"YOY Effective Rent Change"))</f>
        <v>1.466133504</v>
      </c>
      <c r="M40" s="6" t="n">
        <f aca="false">I40*(1+SUMIFS('Realpage Data'!$Y$2:$Y$899,'Realpage Data'!$A$2:$A$899,$A40,'Realpage Data'!$F$2:$F$899,"YOY Effective Rent Change"))</f>
        <v>1.485762759</v>
      </c>
      <c r="N40" s="6" t="n">
        <f aca="false">J40*(1+SUMIFS('Realpage Data'!$Z$2:$Z$899,'Realpage Data'!$A$2:$A$899,$A40,'Realpage Data'!$F$2:$F$899,"YOY Effective Rent Change"))</f>
        <v>1.52091058</v>
      </c>
      <c r="O40" s="6" t="n">
        <f aca="false">K40*(1+SUMIFS('Realpage Data'!$AA$2:$AA$899,'Realpage Data'!$A$2:$A$899,$A40,'Realpage Data'!$F$2:$F$899,"YOY Effective Rent Change"))</f>
        <v>1.526526346272</v>
      </c>
      <c r="P40" s="6" t="n">
        <f aca="false">L40*(1+SUMIFS('Realpage Data'!$AB$2:$AB$899,'Realpage Data'!$A$2:$A$899,$A40,'Realpage Data'!$F$2:$F$899,"YOY Effective Rent Change"))</f>
        <v>1.513049776128</v>
      </c>
      <c r="Q40" s="6" t="n">
        <f aca="false">M40*(1+SUMIFS('Realpage Data'!$AC$2:$AC$899,'Realpage Data'!$A$2:$A$899,$A40,'Realpage Data'!$F$2:$F$899,"YOY Effective Rent Change"))</f>
        <v>1.533307167288</v>
      </c>
      <c r="R40" s="6" t="n">
        <f aca="false">N40*(1+SUMIFS('Realpage Data'!$AD$2:$AD$899,'Realpage Data'!$A$2:$A$899,$A40,'Realpage Data'!$F$2:$F$899,"YOY Effective Rent Change"))</f>
        <v>1.56957971856</v>
      </c>
      <c r="S40" s="6" t="n">
        <f aca="false">O40*(1+SUMIFS('Realpage Data'!$AE$2:$AE$899,'Realpage Data'!$A$2:$A$899,$A40,'Realpage Data'!$F$2:$F$899,"YOY Effective Rent Change"))</f>
        <v>1.57690171569898</v>
      </c>
      <c r="T40" s="6" t="n">
        <f aca="false">P40*(1+SUMIFS('Realpage Data'!$AF$2:$AF$899,'Realpage Data'!$A$2:$A$899,$A40,'Realpage Data'!$F$2:$F$899,"YOY Effective Rent Change"))</f>
        <v>1.56298041874022</v>
      </c>
      <c r="U40" s="4"/>
      <c r="V40" s="7" t="n">
        <f aca="false">F40/$B40-1</f>
        <v>-0.0208507503609957</v>
      </c>
      <c r="W40" s="7" t="n">
        <f aca="false">G40/$B40-1</f>
        <v>-0.0210445332090078</v>
      </c>
      <c r="X40" s="7" t="n">
        <f aca="false">H40/$B40-1</f>
        <v>-0.0306272315100047</v>
      </c>
      <c r="Y40" s="7" t="n">
        <f aca="false">I40/$B40-1</f>
        <v>-0.0166960188062558</v>
      </c>
      <c r="Z40" s="7" t="n">
        <f aca="false">J40/$B40-1</f>
        <v>0.00656542862889653</v>
      </c>
      <c r="AA40" s="7" t="n">
        <f aca="false">K40/$B40-1</f>
        <v>0.00930308626151288</v>
      </c>
      <c r="AB40" s="7" t="n">
        <f aca="false">L40/$B40-1</f>
        <v>0.000392697081674998</v>
      </c>
      <c r="AC40" s="7" t="n">
        <f aca="false">M40/$B40-1</f>
        <v>0.0137864046107501</v>
      </c>
      <c r="AD40" s="7" t="n">
        <f aca="false">N40/$B40-1</f>
        <v>0.0377689569163922</v>
      </c>
      <c r="AE40" s="7" t="n">
        <f aca="false">O40/$B40-1</f>
        <v>0.0416007850218814</v>
      </c>
      <c r="AF40" s="7" t="n">
        <f aca="false">P40/$B40-1</f>
        <v>0.0324052633882888</v>
      </c>
      <c r="AG40" s="7" t="n">
        <f aca="false">Q40/$B40-1</f>
        <v>0.0462275695582943</v>
      </c>
      <c r="AH40" s="7" t="n">
        <f aca="false">R40/$B40-1</f>
        <v>0.0709775635377168</v>
      </c>
      <c r="AI40" s="7" t="n">
        <f aca="false">S40/$B40-1</f>
        <v>0.0759736109276032</v>
      </c>
      <c r="AJ40" s="7" t="n">
        <f aca="false">T40/$B40-1</f>
        <v>0.0664746370801022</v>
      </c>
      <c r="AK40" s="4"/>
      <c r="AL40" s="4" t="n">
        <f aca="false">SUMPRODUCT(MAX((V40:AJ40&lt;0)*$V$3:$AJ$3))</f>
        <v>4</v>
      </c>
      <c r="AM40" s="10" t="n">
        <f aca="false">IF(AL40=0,0,IF(AL40=15,3.5+IFERROR(LN($B40/T40)/LN(1+SUMIFS('Realpage Data'!$AF$2:$AF$899,'Realpage Data'!$A$2:$A$899,$A40,'Realpage Data'!$F$2:$F$899,"YOY Effective Rent Change")),99),((AL40-1)+INDEX(V40:AJ40,1,AL40)/(INDEX(V40:AJ40,1,AL40)-INDEX(V40:AJ40,1,AL40+1)))/4))</f>
        <v>0.929438734979847</v>
      </c>
      <c r="AN40" s="4" t="str">
        <f aca="false">IF(AL40=15,"†","")</f>
        <v/>
      </c>
    </row>
    <row r="41" customFormat="false" ht="15" hidden="false" customHeight="false" outlineLevel="0" collapsed="false">
      <c r="A41" s="25" t="s">
        <v>58</v>
      </c>
      <c r="B41" s="6" t="n">
        <f aca="false">SUMIFS('Realpage Data'!$R$2:$R$899,'Realpage Data'!$A$2:$A$899,$A41,'Realpage Data'!$F$2:$F$899,"Rent Roll (Rev/OSF)")</f>
        <v>1.27461304398897</v>
      </c>
      <c r="C41" s="6" t="n">
        <f aca="false">SUMIFS('Realpage Data'!$O$2:$O$899,'Realpage Data'!$A$2:$A$899,$A41,'Realpage Data'!$F$2:$F$899,"Effective RPSF")</f>
        <v>1.227</v>
      </c>
      <c r="D41" s="6" t="n">
        <f aca="false">SUMIFS('Realpage Data'!$P$2:$P$899,'Realpage Data'!$A$2:$A$899,$A41,'Realpage Data'!$F$2:$F$899,"Effective RPSF")</f>
        <v>1.22</v>
      </c>
      <c r="E41" s="6" t="n">
        <f aca="false">SUMIFS('Realpage Data'!$Q$2:$Q$899,'Realpage Data'!$A$2:$A$899,$A41,'Realpage Data'!$F$2:$F$899,"Effective RPSF")</f>
        <v>1.224</v>
      </c>
      <c r="F41" s="6" t="n">
        <f aca="false">SUMIFS('Realpage Data'!$R$2:$R$899,'Realpage Data'!$A$2:$A$899,$A41,'Realpage Data'!$F$2:$F$899,"Effective RPSF")</f>
        <v>1.232</v>
      </c>
      <c r="G41" s="6" t="n">
        <f aca="false">C41*(1+SUMIFS('Realpage Data'!$S$2:$S$899,'Realpage Data'!$A$2:$A$899,$A41,'Realpage Data'!$F$2:$F$899,"YOY Effective Rent Change"))</f>
        <v>1.23927</v>
      </c>
      <c r="H41" s="6" t="n">
        <f aca="false">D41*(1+SUMIFS('Realpage Data'!$T$2:$T$899,'Realpage Data'!$A$2:$A$899,$A41,'Realpage Data'!$F$2:$F$899,"YOY Effective Rent Change"))</f>
        <v>1.23952</v>
      </c>
      <c r="I41" s="6" t="n">
        <f aca="false">E41*(1+SUMIFS('Realpage Data'!$U$2:$U$899,'Realpage Data'!$A$2:$A$899,$A41,'Realpage Data'!$F$2:$F$899,"YOY Effective Rent Change"))</f>
        <v>1.250928</v>
      </c>
      <c r="J41" s="6" t="n">
        <f aca="false">F41*(1+SUMIFS('Realpage Data'!$V$2:$V$899,'Realpage Data'!$A$2:$A$899,$A41,'Realpage Data'!$F$2:$F$899,"YOY Effective Rent Change"))</f>
        <v>1.271424</v>
      </c>
      <c r="K41" s="6" t="n">
        <f aca="false">G41*(1+SUMIFS('Realpage Data'!$W$2:$W$899,'Realpage Data'!$A$2:$A$899,$A41,'Realpage Data'!$F$2:$F$899,"YOY Effective Rent Change"))</f>
        <v>1.28760153</v>
      </c>
      <c r="L41" s="6" t="n">
        <f aca="false">H41*(1+SUMIFS('Realpage Data'!$X$2:$X$899,'Realpage Data'!$A$2:$A$899,$A41,'Realpage Data'!$F$2:$F$899,"YOY Effective Rent Change"))</f>
        <v>1.28538224</v>
      </c>
      <c r="M41" s="6" t="n">
        <f aca="false">I41*(1+SUMIFS('Realpage Data'!$Y$2:$Y$899,'Realpage Data'!$A$2:$A$899,$A41,'Realpage Data'!$F$2:$F$899,"YOY Effective Rent Change"))</f>
        <v>1.293459552</v>
      </c>
      <c r="N41" s="6" t="n">
        <f aca="false">J41*(1+SUMIFS('Realpage Data'!$Z$2:$Z$899,'Realpage Data'!$A$2:$A$899,$A41,'Realpage Data'!$F$2:$F$899,"YOY Effective Rent Change"))</f>
        <v>1.314652416</v>
      </c>
      <c r="O41" s="6" t="n">
        <f aca="false">K41*(1+SUMIFS('Realpage Data'!$AA$2:$AA$899,'Realpage Data'!$A$2:$A$899,$A41,'Realpage Data'!$F$2:$F$899,"YOY Effective Rent Change"))</f>
        <v>1.33524278661</v>
      </c>
      <c r="P41" s="6" t="n">
        <f aca="false">L41*(1+SUMIFS('Realpage Data'!$AB$2:$AB$899,'Realpage Data'!$A$2:$A$899,$A41,'Realpage Data'!$F$2:$F$899,"YOY Effective Rent Change"))</f>
        <v>1.33808291184</v>
      </c>
      <c r="Q41" s="6" t="n">
        <f aca="false">M41*(1+SUMIFS('Realpage Data'!$AC$2:$AC$899,'Realpage Data'!$A$2:$A$899,$A41,'Realpage Data'!$F$2:$F$899,"YOY Effective Rent Change"))</f>
        <v>1.346491393632</v>
      </c>
      <c r="R41" s="6" t="n">
        <f aca="false">N41*(1+SUMIFS('Realpage Data'!$AD$2:$AD$899,'Realpage Data'!$A$2:$A$899,$A41,'Realpage Data'!$F$2:$F$899,"YOY Effective Rent Change"))</f>
        <v>1.363294555392</v>
      </c>
      <c r="S41" s="6" t="n">
        <f aca="false">O41*(1+SUMIFS('Realpage Data'!$AE$2:$AE$899,'Realpage Data'!$A$2:$A$899,$A41,'Realpage Data'!$F$2:$F$899,"YOY Effective Rent Change"))</f>
        <v>1.38331152692796</v>
      </c>
      <c r="T41" s="6" t="n">
        <f aca="false">P41*(1+SUMIFS('Realpage Data'!$AF$2:$AF$899,'Realpage Data'!$A$2:$A$899,$A41,'Realpage Data'!$F$2:$F$899,"YOY Effective Rent Change"))</f>
        <v>1.3916062283136</v>
      </c>
      <c r="U41" s="4"/>
      <c r="V41" s="7" t="n">
        <f aca="false">F41/$B41-1</f>
        <v>-0.0334321417703434</v>
      </c>
      <c r="W41" s="7" t="n">
        <f aca="false">G41/$B41-1</f>
        <v>-0.0277284499445887</v>
      </c>
      <c r="X41" s="7" t="n">
        <f aca="false">H41/$B41-1</f>
        <v>-0.0275323119863441</v>
      </c>
      <c r="Y41" s="7" t="n">
        <f aca="false">I41/$B41-1</f>
        <v>-0.0185821446757241</v>
      </c>
      <c r="Z41" s="7" t="n">
        <f aca="false">J41/$B41-1</f>
        <v>-0.00250197030699417</v>
      </c>
      <c r="AA41" s="7" t="n">
        <f aca="false">K41/$B41-1</f>
        <v>0.0101901405075724</v>
      </c>
      <c r="AB41" s="7" t="n">
        <f aca="false">L41/$B41-1</f>
        <v>0.00844899247016118</v>
      </c>
      <c r="AC41" s="7" t="n">
        <f aca="false">M41/$B41-1</f>
        <v>0.0147860624053013</v>
      </c>
      <c r="AD41" s="7" t="n">
        <f aca="false">N41/$B41-1</f>
        <v>0.0314129627025681</v>
      </c>
      <c r="AE41" s="7" t="n">
        <f aca="false">O41/$B41-1</f>
        <v>0.0475671757063525</v>
      </c>
      <c r="AF41" s="7" t="n">
        <f aca="false">P41/$B41-1</f>
        <v>0.0497954011614374</v>
      </c>
      <c r="AG41" s="7" t="n">
        <f aca="false">Q41/$B41-1</f>
        <v>0.0563922909639187</v>
      </c>
      <c r="AH41" s="7" t="n">
        <f aca="false">R41/$B41-1</f>
        <v>0.0695752423225629</v>
      </c>
      <c r="AI41" s="7" t="n">
        <f aca="false">S41/$B41-1</f>
        <v>0.0852795940317812</v>
      </c>
      <c r="AJ41" s="7" t="n">
        <f aca="false">T41/$B41-1</f>
        <v>0.0917872172078951</v>
      </c>
      <c r="AK41" s="4"/>
      <c r="AL41" s="4" t="n">
        <f aca="false">SUMPRODUCT(MAX((V41:AJ41&lt;0)*$V$3:$AJ$3))</f>
        <v>5</v>
      </c>
      <c r="AM41" s="10" t="n">
        <f aca="false">IF(AL41=0,0,IF(AL41=15,3.5+IFERROR(LN($B41/T41)/LN(1+SUMIFS('Realpage Data'!$AF$2:$AF$899,'Realpage Data'!$A$2:$A$899,$A41,'Realpage Data'!$F$2:$F$899,"YOY Effective Rent Change")),99),((AL41-1)+INDEX(V41:AJ41,1,AL41)/(INDEX(V41:AJ41,1,AL41)-INDEX(V41:AJ41,1,AL41+1)))/4))</f>
        <v>1.04928199776121</v>
      </c>
      <c r="AN41" s="4" t="str">
        <f aca="false">IF(AL41=15,"†","")</f>
        <v/>
      </c>
    </row>
    <row r="42" customFormat="false" ht="15" hidden="false" customHeight="false" outlineLevel="0" collapsed="false">
      <c r="A42" s="25" t="s">
        <v>59</v>
      </c>
      <c r="B42" s="6" t="n">
        <f aca="false">SUMIFS('Realpage Data'!$R$2:$R$899,'Realpage Data'!$A$2:$A$899,$A42,'Realpage Data'!$F$2:$F$899,"Rent Roll (Rev/OSF)")</f>
        <v>1.92601239694968</v>
      </c>
      <c r="C42" s="6" t="n">
        <f aca="false">SUMIFS('Realpage Data'!$O$2:$O$899,'Realpage Data'!$A$2:$A$899,$A42,'Realpage Data'!$F$2:$F$899,"Effective RPSF")</f>
        <v>1.975</v>
      </c>
      <c r="D42" s="6" t="n">
        <f aca="false">SUMIFS('Realpage Data'!$P$2:$P$899,'Realpage Data'!$A$2:$A$899,$A42,'Realpage Data'!$F$2:$F$899,"Effective RPSF")</f>
        <v>1.942</v>
      </c>
      <c r="E42" s="6" t="n">
        <f aca="false">SUMIFS('Realpage Data'!$Q$2:$Q$899,'Realpage Data'!$A$2:$A$899,$A42,'Realpage Data'!$F$2:$F$899,"Effective RPSF")</f>
        <v>1.949</v>
      </c>
      <c r="F42" s="6" t="n">
        <f aca="false">SUMIFS('Realpage Data'!$R$2:$R$899,'Realpage Data'!$A$2:$A$899,$A42,'Realpage Data'!$F$2:$F$899,"Effective RPSF")</f>
        <v>1.899</v>
      </c>
      <c r="G42" s="6" t="n">
        <f aca="false">C42*(1+SUMIFS('Realpage Data'!$S$2:$S$899,'Realpage Data'!$A$2:$A$899,$A42,'Realpage Data'!$F$2:$F$899,"YOY Effective Rent Change"))</f>
        <v>1.86045</v>
      </c>
      <c r="H42" s="6" t="n">
        <f aca="false">D42*(1+SUMIFS('Realpage Data'!$T$2:$T$899,'Realpage Data'!$A$2:$A$899,$A42,'Realpage Data'!$F$2:$F$899,"YOY Effective Rent Change"))</f>
        <v>1.895392</v>
      </c>
      <c r="I42" s="6" t="n">
        <f aca="false">E42*(1+SUMIFS('Realpage Data'!$U$2:$U$899,'Realpage Data'!$A$2:$A$899,$A42,'Realpage Data'!$F$2:$F$899,"YOY Effective Rent Change"))</f>
        <v>1.976286</v>
      </c>
      <c r="J42" s="6" t="n">
        <f aca="false">F42*(1+SUMIFS('Realpage Data'!$V$2:$V$899,'Realpage Data'!$A$2:$A$899,$A42,'Realpage Data'!$F$2:$F$899,"YOY Effective Rent Change"))</f>
        <v>1.931283</v>
      </c>
      <c r="K42" s="6" t="n">
        <f aca="false">G42*(1+SUMIFS('Realpage Data'!$W$2:$W$899,'Realpage Data'!$A$2:$A$899,$A42,'Realpage Data'!$F$2:$F$899,"YOY Effective Rent Change"))</f>
        <v>1.89951945</v>
      </c>
      <c r="L42" s="6" t="n">
        <f aca="false">H42*(1+SUMIFS('Realpage Data'!$X$2:$X$899,'Realpage Data'!$A$2:$A$899,$A42,'Realpage Data'!$F$2:$F$899,"YOY Effective Rent Change"))</f>
        <v>1.940881408</v>
      </c>
      <c r="M42" s="6" t="n">
        <f aca="false">I42*(1+SUMIFS('Realpage Data'!$Y$2:$Y$899,'Realpage Data'!$A$2:$A$899,$A42,'Realpage Data'!$F$2:$F$899,"YOY Effective Rent Change"))</f>
        <v>2.027669436</v>
      </c>
      <c r="N42" s="6" t="n">
        <f aca="false">J42*(1+SUMIFS('Realpage Data'!$Z$2:$Z$899,'Realpage Data'!$A$2:$A$899,$A42,'Realpage Data'!$F$2:$F$899,"YOY Effective Rent Change"))</f>
        <v>1.981496358</v>
      </c>
      <c r="O42" s="6" t="n">
        <f aca="false">K42*(1+SUMIFS('Realpage Data'!$AA$2:$AA$899,'Realpage Data'!$A$2:$A$899,$A42,'Realpage Data'!$F$2:$F$899,"YOY Effective Rent Change"))</f>
        <v>1.95080647515</v>
      </c>
      <c r="P42" s="6" t="n">
        <f aca="false">L42*(1+SUMIFS('Realpage Data'!$AB$2:$AB$899,'Realpage Data'!$A$2:$A$899,$A42,'Realpage Data'!$F$2:$F$899,"YOY Effective Rent Change"))</f>
        <v>1.997166968832</v>
      </c>
      <c r="Q42" s="6" t="n">
        <f aca="false">M42*(1+SUMIFS('Realpage Data'!$AC$2:$AC$899,'Realpage Data'!$A$2:$A$899,$A42,'Realpage Data'!$F$2:$F$899,"YOY Effective Rent Change"))</f>
        <v>2.08849951908</v>
      </c>
      <c r="R42" s="6" t="n">
        <f aca="false">N42*(1+SUMIFS('Realpage Data'!$AD$2:$AD$899,'Realpage Data'!$A$2:$A$899,$A42,'Realpage Data'!$F$2:$F$899,"YOY Effective Rent Change"))</f>
        <v>2.04094124874</v>
      </c>
      <c r="S42" s="6" t="n">
        <f aca="false">O42*(1+SUMIFS('Realpage Data'!$AE$2:$AE$899,'Realpage Data'!$A$2:$A$899,$A42,'Realpage Data'!$F$2:$F$899,"YOY Effective Rent Change"))</f>
        <v>2.01128147587965</v>
      </c>
      <c r="T42" s="6" t="n">
        <f aca="false">P42*(1+SUMIFS('Realpage Data'!$AF$2:$AF$899,'Realpage Data'!$A$2:$A$899,$A42,'Realpage Data'!$F$2:$F$899,"YOY Effective Rent Change"))</f>
        <v>2.06507064577229</v>
      </c>
      <c r="U42" s="4"/>
      <c r="V42" s="7" t="n">
        <f aca="false">F42/$B42-1</f>
        <v>-0.0140250379449581</v>
      </c>
      <c r="W42" s="7" t="n">
        <f aca="false">G42/$B42-1</f>
        <v>-0.0340404854369127</v>
      </c>
      <c r="X42" s="7" t="n">
        <f aca="false">H42/$B42-1</f>
        <v>-0.015898338452117</v>
      </c>
      <c r="Y42" s="7" t="n">
        <f aca="false">I42/$B42-1</f>
        <v>0.0261024296260719</v>
      </c>
      <c r="Z42" s="7" t="n">
        <f aca="false">J42/$B42-1</f>
        <v>0.00273653640997762</v>
      </c>
      <c r="AA42" s="7" t="n">
        <f aca="false">K42/$B42-1</f>
        <v>-0.0137553356310881</v>
      </c>
      <c r="AB42" s="7" t="n">
        <f aca="false">L42/$B42-1</f>
        <v>0.00772010142503232</v>
      </c>
      <c r="AC42" s="7" t="n">
        <f aca="false">M42/$B42-1</f>
        <v>0.0527810927963497</v>
      </c>
      <c r="AD42" s="7" t="n">
        <f aca="false">N42/$B42-1</f>
        <v>0.0288076863566369</v>
      </c>
      <c r="AE42" s="7" t="n">
        <f aca="false">O42/$B42-1</f>
        <v>0.0128732703068724</v>
      </c>
      <c r="AF42" s="7" t="n">
        <f aca="false">P42/$B42-1</f>
        <v>0.0369439843663582</v>
      </c>
      <c r="AG42" s="7" t="n">
        <f aca="false">Q42/$B42-1</f>
        <v>0.0843645255802403</v>
      </c>
      <c r="AH42" s="7" t="n">
        <f aca="false">R42/$B42-1</f>
        <v>0.0596719169473361</v>
      </c>
      <c r="AI42" s="7" t="n">
        <f aca="false">S42/$B42-1</f>
        <v>0.0442723416863855</v>
      </c>
      <c r="AJ42" s="7" t="n">
        <f aca="false">T42/$B42-1</f>
        <v>0.0722000798348144</v>
      </c>
      <c r="AK42" s="4"/>
      <c r="AL42" s="4" t="n">
        <f aca="false">SUMPRODUCT(MAX((V42:AJ42&lt;0)*$V$3:$AJ$3))</f>
        <v>6</v>
      </c>
      <c r="AM42" s="10" t="n">
        <f aca="false">IF(AL42=0,0,IF(AL42=15,3.5+IFERROR(LN($B42/T42)/LN(1+SUMIFS('Realpage Data'!$AF$2:$AF$899,'Realpage Data'!$A$2:$A$899,$A42,'Realpage Data'!$F$2:$F$899,"YOY Effective Rent Change")),99),((AL42-1)+INDEX(V42:AJ42,1,AL42)/(INDEX(V42:AJ42,1,AL42)-INDEX(V42:AJ42,1,AL42+1)))/4))</f>
        <v>1.41012870419287</v>
      </c>
      <c r="AN42" s="4" t="str">
        <f aca="false">IF(AL42=15,"†","")</f>
        <v/>
      </c>
    </row>
    <row r="43" customFormat="false" ht="15" hidden="false" customHeight="false" outlineLevel="0" collapsed="false">
      <c r="A43" s="25" t="s">
        <v>60</v>
      </c>
      <c r="B43" s="6" t="n">
        <f aca="false">SUMIFS('Realpage Data'!$R$2:$R$899,'Realpage Data'!$A$2:$A$899,$A43,'Realpage Data'!$F$2:$F$899,"Rent Roll (Rev/OSF)")</f>
        <v>1.16079665760795</v>
      </c>
      <c r="C43" s="6" t="n">
        <f aca="false">SUMIFS('Realpage Data'!$O$2:$O$899,'Realpage Data'!$A$2:$A$899,$A43,'Realpage Data'!$F$2:$F$899,"Effective RPSF")</f>
        <v>1.182</v>
      </c>
      <c r="D43" s="6" t="n">
        <f aca="false">SUMIFS('Realpage Data'!$P$2:$P$899,'Realpage Data'!$A$2:$A$899,$A43,'Realpage Data'!$F$2:$F$899,"Effective RPSF")</f>
        <v>1.147</v>
      </c>
      <c r="E43" s="6" t="n">
        <f aca="false">SUMIFS('Realpage Data'!$Q$2:$Q$899,'Realpage Data'!$A$2:$A$899,$A43,'Realpage Data'!$F$2:$F$899,"Effective RPSF")</f>
        <v>1.16</v>
      </c>
      <c r="F43" s="6" t="n">
        <f aca="false">SUMIFS('Realpage Data'!$R$2:$R$899,'Realpage Data'!$A$2:$A$899,$A43,'Realpage Data'!$F$2:$F$899,"Effective RPSF")</f>
        <v>1.175</v>
      </c>
      <c r="G43" s="6" t="n">
        <f aca="false">C43*(1+SUMIFS('Realpage Data'!$S$2:$S$899,'Realpage Data'!$A$2:$A$899,$A43,'Realpage Data'!$F$2:$F$899,"YOY Effective Rent Change"))</f>
        <v>1.148904</v>
      </c>
      <c r="H43" s="6" t="n">
        <f aca="false">D43*(1+SUMIFS('Realpage Data'!$T$2:$T$899,'Realpage Data'!$A$2:$A$899,$A43,'Realpage Data'!$F$2:$F$899,"YOY Effective Rent Change"))</f>
        <v>1.127501</v>
      </c>
      <c r="I43" s="6" t="n">
        <f aca="false">E43*(1+SUMIFS('Realpage Data'!$U$2:$U$899,'Realpage Data'!$A$2:$A$899,$A43,'Realpage Data'!$F$2:$F$899,"YOY Effective Rent Change"))</f>
        <v>1.15652</v>
      </c>
      <c r="J43" s="6" t="n">
        <f aca="false">F43*(1+SUMIFS('Realpage Data'!$V$2:$V$899,'Realpage Data'!$A$2:$A$899,$A43,'Realpage Data'!$F$2:$F$899,"YOY Effective Rent Change"))</f>
        <v>1.199675</v>
      </c>
      <c r="K43" s="6" t="n">
        <f aca="false">G43*(1+SUMIFS('Realpage Data'!$W$2:$W$899,'Realpage Data'!$A$2:$A$899,$A43,'Realpage Data'!$F$2:$F$899,"YOY Effective Rent Change"))</f>
        <v>1.178775504</v>
      </c>
      <c r="L43" s="6" t="n">
        <f aca="false">H43*(1+SUMIFS('Realpage Data'!$X$2:$X$899,'Realpage Data'!$A$2:$A$899,$A43,'Realpage Data'!$F$2:$F$899,"YOY Effective Rent Change"))</f>
        <v>1.160198529</v>
      </c>
      <c r="M43" s="6" t="n">
        <f aca="false">I43*(1+SUMIFS('Realpage Data'!$Y$2:$Y$899,'Realpage Data'!$A$2:$A$899,$A43,'Realpage Data'!$F$2:$F$899,"YOY Effective Rent Change"))</f>
        <v>1.185433</v>
      </c>
      <c r="N43" s="6" t="n">
        <f aca="false">J43*(1+SUMIFS('Realpage Data'!$Z$2:$Z$899,'Realpage Data'!$A$2:$A$899,$A43,'Realpage Data'!$F$2:$F$899,"YOY Effective Rent Change"))</f>
        <v>1.23086655</v>
      </c>
      <c r="O43" s="6" t="n">
        <f aca="false">K43*(1+SUMIFS('Realpage Data'!$AA$2:$AA$899,'Realpage Data'!$A$2:$A$899,$A43,'Realpage Data'!$F$2:$F$899,"YOY Effective Rent Change"))</f>
        <v>1.21413876912</v>
      </c>
      <c r="P43" s="6" t="n">
        <f aca="false">L43*(1+SUMIFS('Realpage Data'!$AB$2:$AB$899,'Realpage Data'!$A$2:$A$899,$A43,'Realpage Data'!$F$2:$F$899,"YOY Effective Rent Change"))</f>
        <v>1.192684087812</v>
      </c>
      <c r="Q43" s="6" t="n">
        <f aca="false">M43*(1+SUMIFS('Realpage Data'!$AC$2:$AC$899,'Realpage Data'!$A$2:$A$899,$A43,'Realpage Data'!$F$2:$F$899,"YOY Effective Rent Change"))</f>
        <v>1.211512526</v>
      </c>
      <c r="R43" s="6" t="n">
        <f aca="false">N43*(1+SUMIFS('Realpage Data'!$AD$2:$AD$899,'Realpage Data'!$A$2:$A$899,$A43,'Realpage Data'!$F$2:$F$899,"YOY Effective Rent Change"))</f>
        <v>1.25671474755</v>
      </c>
      <c r="S43" s="6" t="n">
        <f aca="false">O43*(1+SUMIFS('Realpage Data'!$AE$2:$AE$899,'Realpage Data'!$A$2:$A$899,$A43,'Realpage Data'!$F$2:$F$899,"YOY Effective Rent Change"))</f>
        <v>1.24206396080976</v>
      </c>
      <c r="T43" s="6" t="n">
        <f aca="false">P43*(1+SUMIFS('Realpage Data'!$AF$2:$AF$899,'Realpage Data'!$A$2:$A$899,$A43,'Realpage Data'!$F$2:$F$899,"YOY Effective Rent Change"))</f>
        <v>1.21892313774386</v>
      </c>
      <c r="U43" s="4"/>
      <c r="V43" s="7" t="n">
        <f aca="false">F43/$B43-1</f>
        <v>0.0122358574165098</v>
      </c>
      <c r="W43" s="7" t="n">
        <f aca="false">G43/$B43-1</f>
        <v>-0.0102452548687169</v>
      </c>
      <c r="X43" s="7" t="n">
        <f aca="false">H43/$B43-1</f>
        <v>-0.0286834540655555</v>
      </c>
      <c r="Y43" s="7" t="n">
        <f aca="false">I43/$B43-1</f>
        <v>-0.00368424355800689</v>
      </c>
      <c r="Z43" s="7" t="n">
        <f aca="false">J43/$B43-1</f>
        <v>0.0334928104222565</v>
      </c>
      <c r="AA43" s="7" t="n">
        <f aca="false">K43/$B43-1</f>
        <v>0.0154883685046965</v>
      </c>
      <c r="AB43" s="7" t="n">
        <f aca="false">L43/$B43-1</f>
        <v>-0.000515274233456653</v>
      </c>
      <c r="AC43" s="7" t="n">
        <f aca="false">M43/$B43-1</f>
        <v>0.021223650353043</v>
      </c>
      <c r="AD43" s="7" t="n">
        <f aca="false">N43/$B43-1</f>
        <v>0.0603636234932352</v>
      </c>
      <c r="AE43" s="7" t="n">
        <f aca="false">O43/$B43-1</f>
        <v>0.0459530195598372</v>
      </c>
      <c r="AF43" s="7" t="n">
        <f aca="false">P43/$B43-1</f>
        <v>0.0274702980880066</v>
      </c>
      <c r="AG43" s="7" t="n">
        <f aca="false">Q43/$B43-1</f>
        <v>0.0436905706608097</v>
      </c>
      <c r="AH43" s="7" t="n">
        <f aca="false">R43/$B43-1</f>
        <v>0.082631259586593</v>
      </c>
      <c r="AI43" s="7" t="n">
        <f aca="false">S43/$B43-1</f>
        <v>0.0700099390097135</v>
      </c>
      <c r="AJ43" s="7" t="n">
        <f aca="false">T43/$B43-1</f>
        <v>0.0500746446459428</v>
      </c>
      <c r="AK43" s="4"/>
      <c r="AL43" s="4" t="n">
        <f aca="false">SUMPRODUCT(MAX((V43:AJ43&lt;0)*$V$3:$AJ$3))</f>
        <v>7</v>
      </c>
      <c r="AM43" s="10" t="n">
        <f aca="false">IF(AL43=0,0,IF(AL43=15,3.5+IFERROR(LN($B43/T43)/LN(1+SUMIFS('Realpage Data'!$AF$2:$AF$899,'Realpage Data'!$A$2:$A$899,$A43,'Realpage Data'!$F$2:$F$899,"YOY Effective Rent Change")),99),((AL43-1)+INDEX(V43:AJ43,1,AL43)/(INDEX(V43:AJ43,1,AL43)-INDEX(V43:AJ43,1,AL43+1)))/4))</f>
        <v>1.50592570979542</v>
      </c>
      <c r="AN43" s="4" t="str">
        <f aca="false">IF(AL43=15,"†","")</f>
        <v/>
      </c>
    </row>
    <row r="44" customFormat="false" ht="15" hidden="false" customHeight="false" outlineLevel="0" collapsed="false">
      <c r="A44" s="25" t="s">
        <v>61</v>
      </c>
      <c r="B44" s="6" t="n">
        <f aca="false">SUMIFS('Realpage Data'!$R$2:$R$899,'Realpage Data'!$A$2:$A$899,$A44,'Realpage Data'!$F$2:$F$899,"Rent Roll (Rev/OSF)")</f>
        <v>1.63322688103979</v>
      </c>
      <c r="C44" s="6" t="n">
        <f aca="false">SUMIFS('Realpage Data'!$O$2:$O$899,'Realpage Data'!$A$2:$A$899,$A44,'Realpage Data'!$F$2:$F$899,"Effective RPSF")</f>
        <v>1.553</v>
      </c>
      <c r="D44" s="6" t="n">
        <f aca="false">SUMIFS('Realpage Data'!$P$2:$P$899,'Realpage Data'!$A$2:$A$899,$A44,'Realpage Data'!$F$2:$F$899,"Effective RPSF")</f>
        <v>1.537</v>
      </c>
      <c r="E44" s="6" t="n">
        <f aca="false">SUMIFS('Realpage Data'!$Q$2:$Q$899,'Realpage Data'!$A$2:$A$899,$A44,'Realpage Data'!$F$2:$F$899,"Effective RPSF")</f>
        <v>1.554</v>
      </c>
      <c r="F44" s="6" t="n">
        <f aca="false">SUMIFS('Realpage Data'!$R$2:$R$899,'Realpage Data'!$A$2:$A$899,$A44,'Realpage Data'!$F$2:$F$899,"Effective RPSF")</f>
        <v>1.562</v>
      </c>
      <c r="G44" s="6" t="n">
        <f aca="false">C44*(1+SUMIFS('Realpage Data'!$S$2:$S$899,'Realpage Data'!$A$2:$A$899,$A44,'Realpage Data'!$F$2:$F$899,"YOY Effective Rent Change"))</f>
        <v>1.560765</v>
      </c>
      <c r="H44" s="6" t="n">
        <f aca="false">D44*(1+SUMIFS('Realpage Data'!$T$2:$T$899,'Realpage Data'!$A$2:$A$899,$A44,'Realpage Data'!$F$2:$F$899,"YOY Effective Rent Change"))</f>
        <v>1.561592</v>
      </c>
      <c r="I44" s="6" t="n">
        <f aca="false">E44*(1+SUMIFS('Realpage Data'!$U$2:$U$899,'Realpage Data'!$A$2:$A$899,$A44,'Realpage Data'!$F$2:$F$899,"YOY Effective Rent Change"))</f>
        <v>1.594404</v>
      </c>
      <c r="J44" s="6" t="n">
        <f aca="false">F44*(1+SUMIFS('Realpage Data'!$V$2:$V$899,'Realpage Data'!$A$2:$A$899,$A44,'Realpage Data'!$F$2:$F$899,"YOY Effective Rent Change"))</f>
        <v>1.602612</v>
      </c>
      <c r="K44" s="6" t="n">
        <f aca="false">G44*(1+SUMIFS('Realpage Data'!$W$2:$W$899,'Realpage Data'!$A$2:$A$899,$A44,'Realpage Data'!$F$2:$F$899,"YOY Effective Rent Change"))</f>
        <v>1.60758795</v>
      </c>
      <c r="L44" s="6" t="n">
        <f aca="false">H44*(1+SUMIFS('Realpage Data'!$X$2:$X$899,'Realpage Data'!$A$2:$A$899,$A44,'Realpage Data'!$F$2:$F$899,"YOY Effective Rent Change"))</f>
        <v>1.60843976</v>
      </c>
      <c r="M44" s="6" t="n">
        <f aca="false">I44*(1+SUMIFS('Realpage Data'!$Y$2:$Y$899,'Realpage Data'!$A$2:$A$899,$A44,'Realpage Data'!$F$2:$F$899,"YOY Effective Rent Change"))</f>
        <v>1.6342641</v>
      </c>
      <c r="N44" s="6" t="n">
        <f aca="false">J44*(1+SUMIFS('Realpage Data'!$Z$2:$Z$899,'Realpage Data'!$A$2:$A$899,$A44,'Realpage Data'!$F$2:$F$899,"YOY Effective Rent Change"))</f>
        <v>1.644279912</v>
      </c>
      <c r="O44" s="6" t="n">
        <f aca="false">K44*(1+SUMIFS('Realpage Data'!$AA$2:$AA$899,'Realpage Data'!$A$2:$A$899,$A44,'Realpage Data'!$F$2:$F$899,"YOY Effective Rent Change"))</f>
        <v>1.65420800055</v>
      </c>
      <c r="P44" s="6" t="n">
        <f aca="false">L44*(1+SUMIFS('Realpage Data'!$AB$2:$AB$899,'Realpage Data'!$A$2:$A$899,$A44,'Realpage Data'!$F$2:$F$899,"YOY Effective Rent Change"))</f>
        <v>1.65830139256</v>
      </c>
      <c r="Q44" s="6" t="n">
        <f aca="false">M44*(1+SUMIFS('Realpage Data'!$AC$2:$AC$899,'Realpage Data'!$A$2:$A$899,$A44,'Realpage Data'!$F$2:$F$899,"YOY Effective Rent Change"))</f>
        <v>1.6767549666</v>
      </c>
      <c r="R44" s="6" t="n">
        <f aca="false">N44*(1+SUMIFS('Realpage Data'!$AD$2:$AD$899,'Realpage Data'!$A$2:$A$899,$A44,'Realpage Data'!$F$2:$F$899,"YOY Effective Rent Change"))</f>
        <v>1.687031189712</v>
      </c>
      <c r="S44" s="6" t="n">
        <f aca="false">O44*(1+SUMIFS('Realpage Data'!$AE$2:$AE$899,'Realpage Data'!$A$2:$A$899,$A44,'Realpage Data'!$F$2:$F$899,"YOY Effective Rent Change"))</f>
        <v>1.6972174085643</v>
      </c>
      <c r="T44" s="6" t="n">
        <f aca="false">P44*(1+SUMIFS('Realpage Data'!$AF$2:$AF$899,'Realpage Data'!$A$2:$A$899,$A44,'Realpage Data'!$F$2:$F$899,"YOY Effective Rent Change"))</f>
        <v>1.70970873572936</v>
      </c>
      <c r="U44" s="4"/>
      <c r="V44" s="7" t="n">
        <f aca="false">F44/$B44-1</f>
        <v>-0.0436111368644898</v>
      </c>
      <c r="W44" s="7" t="n">
        <f aca="false">G44/$B44-1</f>
        <v>-0.0443673085968667</v>
      </c>
      <c r="X44" s="7" t="n">
        <f aca="false">H44/$B44-1</f>
        <v>-0.0438609490643358</v>
      </c>
      <c r="Y44" s="7" t="n">
        <f aca="false">I44/$B44-1</f>
        <v>-0.0237706600904545</v>
      </c>
      <c r="Z44" s="7" t="n">
        <f aca="false">J44/$B44-1</f>
        <v>-0.0187450264229665</v>
      </c>
      <c r="AA44" s="7" t="n">
        <f aca="false">K44/$B44-1</f>
        <v>-0.0156983278547725</v>
      </c>
      <c r="AB44" s="7" t="n">
        <f aca="false">L44/$B44-1</f>
        <v>-0.0151767775362658</v>
      </c>
      <c r="AC44" s="7" t="n">
        <f aca="false">M44/$B44-1</f>
        <v>0.000635073407284192</v>
      </c>
      <c r="AD44" s="7" t="n">
        <f aca="false">N44/$B44-1</f>
        <v>0.00676760289003653</v>
      </c>
      <c r="AE44" s="7" t="n">
        <f aca="false">O44/$B44-1</f>
        <v>0.012846420637439</v>
      </c>
      <c r="AF44" s="7" t="n">
        <f aca="false">P44/$B44-1</f>
        <v>0.0153527423601099</v>
      </c>
      <c r="AG44" s="7" t="n">
        <f aca="false">Q44/$B44-1</f>
        <v>0.0266515853158735</v>
      </c>
      <c r="AH44" s="7" t="n">
        <f aca="false">R44/$B44-1</f>
        <v>0.0329435605651776</v>
      </c>
      <c r="AI44" s="7" t="n">
        <f aca="false">S44/$B44-1</f>
        <v>0.0391804275740124</v>
      </c>
      <c r="AJ44" s="7" t="n">
        <f aca="false">T44/$B44-1</f>
        <v>0.0468286773732731</v>
      </c>
      <c r="AK44" s="4"/>
      <c r="AL44" s="4" t="n">
        <f aca="false">SUMPRODUCT(MAX((V44:AJ44&lt;0)*$V$3:$AJ$3))</f>
        <v>7</v>
      </c>
      <c r="AM44" s="10" t="n">
        <f aca="false">IF(AL44=0,0,IF(AL44=15,3.5+IFERROR(LN($B44/T44)/LN(1+SUMIFS('Realpage Data'!$AF$2:$AF$899,'Realpage Data'!$A$2:$A$899,$A44,'Realpage Data'!$F$2:$F$899,"YOY Effective Rent Change")),99),((AL44-1)+INDEX(V44:AJ44,1,AL44)/(INDEX(V44:AJ44,1,AL44)-INDEX(V44:AJ44,1,AL44+1)))/4))</f>
        <v>1.73995890156138</v>
      </c>
      <c r="AN44" s="4" t="str">
        <f aca="false">IF(AL44=15,"†","")</f>
        <v/>
      </c>
    </row>
    <row r="45" customFormat="false" ht="15" hidden="false" customHeight="false" outlineLevel="0" collapsed="false">
      <c r="A45" s="25" t="s">
        <v>62</v>
      </c>
      <c r="B45" s="6" t="n">
        <f aca="false">SUMIFS('Realpage Data'!$R$2:$R$899,'Realpage Data'!$A$2:$A$899,$A45,'Realpage Data'!$F$2:$F$899,"Rent Roll (Rev/OSF)")</f>
        <v>1.49205073471381</v>
      </c>
      <c r="C45" s="6" t="n">
        <f aca="false">SUMIFS('Realpage Data'!$O$2:$O$899,'Realpage Data'!$A$2:$A$899,$A45,'Realpage Data'!$F$2:$F$899,"Effective RPSF")</f>
        <v>1.452</v>
      </c>
      <c r="D45" s="6" t="n">
        <f aca="false">SUMIFS('Realpage Data'!$P$2:$P$899,'Realpage Data'!$A$2:$A$899,$A45,'Realpage Data'!$F$2:$F$899,"Effective RPSF")</f>
        <v>1.425</v>
      </c>
      <c r="E45" s="6" t="n">
        <f aca="false">SUMIFS('Realpage Data'!$Q$2:$Q$899,'Realpage Data'!$A$2:$A$899,$A45,'Realpage Data'!$F$2:$F$899,"Effective RPSF")</f>
        <v>1.439</v>
      </c>
      <c r="F45" s="6" t="n">
        <f aca="false">SUMIFS('Realpage Data'!$R$2:$R$899,'Realpage Data'!$A$2:$A$899,$A45,'Realpage Data'!$F$2:$F$899,"Effective RPSF")</f>
        <v>1.464</v>
      </c>
      <c r="G45" s="6" t="n">
        <f aca="false">C45*(1+SUMIFS('Realpage Data'!$S$2:$S$899,'Realpage Data'!$A$2:$A$899,$A45,'Realpage Data'!$F$2:$F$899,"YOY Effective Rent Change"))</f>
        <v>1.446192</v>
      </c>
      <c r="H45" s="6" t="n">
        <f aca="false">D45*(1+SUMIFS('Realpage Data'!$T$2:$T$899,'Realpage Data'!$A$2:$A$899,$A45,'Realpage Data'!$F$2:$F$899,"YOY Effective Rent Change"))</f>
        <v>1.429275</v>
      </c>
      <c r="I45" s="6" t="n">
        <f aca="false">E45*(1+SUMIFS('Realpage Data'!$U$2:$U$899,'Realpage Data'!$A$2:$A$899,$A45,'Realpage Data'!$F$2:$F$899,"YOY Effective Rent Change"))</f>
        <v>1.450512</v>
      </c>
      <c r="J45" s="6" t="n">
        <f aca="false">F45*(1+SUMIFS('Realpage Data'!$V$2:$V$899,'Realpage Data'!$A$2:$A$899,$A45,'Realpage Data'!$F$2:$F$899,"YOY Effective Rent Change"))</f>
        <v>1.47864</v>
      </c>
      <c r="K45" s="6" t="n">
        <f aca="false">G45*(1+SUMIFS('Realpage Data'!$W$2:$W$899,'Realpage Data'!$A$2:$A$899,$A45,'Realpage Data'!$F$2:$F$899,"YOY Effective Rent Change"))</f>
        <v>1.47511584</v>
      </c>
      <c r="L45" s="6" t="n">
        <f aca="false">H45*(1+SUMIFS('Realpage Data'!$X$2:$X$899,'Realpage Data'!$A$2:$A$899,$A45,'Realpage Data'!$F$2:$F$899,"YOY Effective Rent Change"))</f>
        <v>1.465006875</v>
      </c>
      <c r="M45" s="6" t="n">
        <f aca="false">I45*(1+SUMIFS('Realpage Data'!$Y$2:$Y$899,'Realpage Data'!$A$2:$A$899,$A45,'Realpage Data'!$F$2:$F$899,"YOY Effective Rent Change"))</f>
        <v>1.4867748</v>
      </c>
      <c r="N45" s="6" t="n">
        <f aca="false">J45*(1+SUMIFS('Realpage Data'!$Z$2:$Z$899,'Realpage Data'!$A$2:$A$899,$A45,'Realpage Data'!$F$2:$F$899,"YOY Effective Rent Change"))</f>
        <v>1.5229992</v>
      </c>
      <c r="O45" s="6" t="n">
        <f aca="false">K45*(1+SUMIFS('Realpage Data'!$AA$2:$AA$899,'Realpage Data'!$A$2:$A$899,$A45,'Realpage Data'!$F$2:$F$899,"YOY Effective Rent Change"))</f>
        <v>1.53117024192</v>
      </c>
      <c r="P45" s="6" t="n">
        <f aca="false">L45*(1+SUMIFS('Realpage Data'!$AB$2:$AB$899,'Realpage Data'!$A$2:$A$899,$A45,'Realpage Data'!$F$2:$F$899,"YOY Effective Rent Change"))</f>
        <v>1.522142143125</v>
      </c>
      <c r="Q45" s="6" t="n">
        <f aca="false">M45*(1+SUMIFS('Realpage Data'!$AC$2:$AC$899,'Realpage Data'!$A$2:$A$899,$A45,'Realpage Data'!$F$2:$F$899,"YOY Effective Rent Change"))</f>
        <v>1.538811918</v>
      </c>
      <c r="R45" s="6" t="n">
        <f aca="false">N45*(1+SUMIFS('Realpage Data'!$AD$2:$AD$899,'Realpage Data'!$A$2:$A$899,$A45,'Realpage Data'!$F$2:$F$899,"YOY Effective Rent Change"))</f>
        <v>1.576304172</v>
      </c>
      <c r="S45" s="6" t="n">
        <f aca="false">O45*(1+SUMIFS('Realpage Data'!$AE$2:$AE$899,'Realpage Data'!$A$2:$A$899,$A45,'Realpage Data'!$F$2:$F$899,"YOY Effective Rent Change"))</f>
        <v>1.5924170515968</v>
      </c>
      <c r="T45" s="6" t="n">
        <f aca="false">P45*(1+SUMIFS('Realpage Data'!$AF$2:$AF$899,'Realpage Data'!$A$2:$A$899,$A45,'Realpage Data'!$F$2:$F$899,"YOY Effective Rent Change"))</f>
        <v>1.58607211313625</v>
      </c>
      <c r="U45" s="4"/>
      <c r="V45" s="7" t="n">
        <f aca="false">F45/$B45-1</f>
        <v>-0.0188001212433245</v>
      </c>
      <c r="W45" s="7" t="n">
        <f aca="false">G45/$B45-1</f>
        <v>-0.0307353722275451</v>
      </c>
      <c r="X45" s="7" t="n">
        <f aca="false">H45/$B45-1</f>
        <v>-0.0420734585314568</v>
      </c>
      <c r="Y45" s="7" t="n">
        <f aca="false">I45/$B45-1</f>
        <v>-0.0278400283230171</v>
      </c>
      <c r="Z45" s="7" t="n">
        <f aca="false">J45/$B45-1</f>
        <v>-0.00898812245575775</v>
      </c>
      <c r="AA45" s="7" t="n">
        <f aca="false">K45/$B45-1</f>
        <v>-0.0113500796720959</v>
      </c>
      <c r="AB45" s="7" t="n">
        <f aca="false">L45/$B45-1</f>
        <v>-0.0181252949947432</v>
      </c>
      <c r="AC45" s="7" t="n">
        <f aca="false">M45/$B45-1</f>
        <v>-0.00353602903109262</v>
      </c>
      <c r="AD45" s="7" t="n">
        <f aca="false">N45/$B45-1</f>
        <v>0.0207422338705694</v>
      </c>
      <c r="AE45" s="7" t="n">
        <f aca="false">O45/$B45-1</f>
        <v>0.0262186173003645</v>
      </c>
      <c r="AF45" s="7" t="n">
        <f aca="false">P45/$B45-1</f>
        <v>0.0201678185004617</v>
      </c>
      <c r="AG45" s="7" t="n">
        <f aca="false">Q45/$B45-1</f>
        <v>0.0313402099528191</v>
      </c>
      <c r="AH45" s="7" t="n">
        <f aca="false">R45/$B45-1</f>
        <v>0.0564682120560394</v>
      </c>
      <c r="AI45" s="7" t="n">
        <f aca="false">S45/$B45-1</f>
        <v>0.0672673619923789</v>
      </c>
      <c r="AJ45" s="7" t="n">
        <f aca="false">T45/$B45-1</f>
        <v>0.0630148668774813</v>
      </c>
      <c r="AK45" s="4"/>
      <c r="AL45" s="4" t="n">
        <f aca="false">SUMPRODUCT(MAX((V45:AJ45&lt;0)*$V$3:$AJ$3))</f>
        <v>8</v>
      </c>
      <c r="AM45" s="10" t="n">
        <f aca="false">IF(AL45=0,0,IF(AL45=15,3.5+IFERROR(LN($B45/T45)/LN(1+SUMIFS('Realpage Data'!$AF$2:$AF$899,'Realpage Data'!$A$2:$A$899,$A45,'Realpage Data'!$F$2:$F$899,"YOY Effective Rent Change")),99),((AL45-1)+INDEX(V45:AJ45,1,AL45)/(INDEX(V45:AJ45,1,AL45)-INDEX(V45:AJ45,1,AL45+1)))/4))</f>
        <v>1.78641147067868</v>
      </c>
      <c r="AN45" s="4" t="str">
        <f aca="false">IF(AL45=15,"†","")</f>
        <v/>
      </c>
    </row>
    <row r="46" customFormat="false" ht="15" hidden="false" customHeight="false" outlineLevel="0" collapsed="false">
      <c r="A46" s="25" t="s">
        <v>63</v>
      </c>
      <c r="B46" s="6" t="n">
        <f aca="false">SUMIFS('Realpage Data'!$R$2:$R$899,'Realpage Data'!$A$2:$A$899,$A46,'Realpage Data'!$F$2:$F$899,"Rent Roll (Rev/OSF)")</f>
        <v>1.59385839724802</v>
      </c>
      <c r="C46" s="6" t="n">
        <f aca="false">SUMIFS('Realpage Data'!$O$2:$O$899,'Realpage Data'!$A$2:$A$899,$A46,'Realpage Data'!$F$2:$F$899,"Effective RPSF")</f>
        <v>1.545</v>
      </c>
      <c r="D46" s="6" t="n">
        <f aca="false">SUMIFS('Realpage Data'!$P$2:$P$899,'Realpage Data'!$A$2:$A$899,$A46,'Realpage Data'!$F$2:$F$899,"Effective RPSF")</f>
        <v>1.522</v>
      </c>
      <c r="E46" s="6" t="n">
        <f aca="false">SUMIFS('Realpage Data'!$Q$2:$Q$899,'Realpage Data'!$A$2:$A$899,$A46,'Realpage Data'!$F$2:$F$899,"Effective RPSF")</f>
        <v>1.533</v>
      </c>
      <c r="F46" s="6" t="n">
        <f aca="false">SUMIFS('Realpage Data'!$R$2:$R$899,'Realpage Data'!$A$2:$A$899,$A46,'Realpage Data'!$F$2:$F$899,"Effective RPSF")</f>
        <v>1.541</v>
      </c>
      <c r="G46" s="6" t="n">
        <f aca="false">C46*(1+SUMIFS('Realpage Data'!$S$2:$S$899,'Realpage Data'!$A$2:$A$899,$A46,'Realpage Data'!$F$2:$F$899,"YOY Effective Rent Change"))</f>
        <v>1.515645</v>
      </c>
      <c r="H46" s="6" t="n">
        <f aca="false">D46*(1+SUMIFS('Realpage Data'!$T$2:$T$899,'Realpage Data'!$A$2:$A$899,$A46,'Realpage Data'!$F$2:$F$899,"YOY Effective Rent Change"))</f>
        <v>1.512868</v>
      </c>
      <c r="I46" s="6" t="n">
        <f aca="false">E46*(1+SUMIFS('Realpage Data'!$U$2:$U$899,'Realpage Data'!$A$2:$A$899,$A46,'Realpage Data'!$F$2:$F$899,"YOY Effective Rent Change"))</f>
        <v>1.54833</v>
      </c>
      <c r="J46" s="6" t="n">
        <f aca="false">F46*(1+SUMIFS('Realpage Data'!$V$2:$V$899,'Realpage Data'!$A$2:$A$899,$A46,'Realpage Data'!$F$2:$F$899,"YOY Effective Rent Change"))</f>
        <v>1.581066</v>
      </c>
      <c r="K46" s="6" t="n">
        <f aca="false">G46*(1+SUMIFS('Realpage Data'!$W$2:$W$899,'Realpage Data'!$A$2:$A$899,$A46,'Realpage Data'!$F$2:$F$899,"YOY Effective Rent Change"))</f>
        <v>1.559598705</v>
      </c>
      <c r="L46" s="6" t="n">
        <f aca="false">H46*(1+SUMIFS('Realpage Data'!$X$2:$X$899,'Realpage Data'!$A$2:$A$899,$A46,'Realpage Data'!$F$2:$F$899,"YOY Effective Rent Change"))</f>
        <v>1.555228304</v>
      </c>
      <c r="M46" s="6" t="n">
        <f aca="false">I46*(1+SUMIFS('Realpage Data'!$Y$2:$Y$899,'Realpage Data'!$A$2:$A$899,$A46,'Realpage Data'!$F$2:$F$899,"YOY Effective Rent Change"))</f>
        <v>1.58703825</v>
      </c>
      <c r="N46" s="6" t="n">
        <f aca="false">J46*(1+SUMIFS('Realpage Data'!$Z$2:$Z$899,'Realpage Data'!$A$2:$A$899,$A46,'Realpage Data'!$F$2:$F$899,"YOY Effective Rent Change"))</f>
        <v>1.62059265</v>
      </c>
      <c r="O46" s="6" t="n">
        <f aca="false">K46*(1+SUMIFS('Realpage Data'!$AA$2:$AA$899,'Realpage Data'!$A$2:$A$899,$A46,'Realpage Data'!$F$2:$F$899,"YOY Effective Rent Change"))</f>
        <v>1.60326746874</v>
      </c>
      <c r="P46" s="6" t="n">
        <f aca="false">L46*(1+SUMIFS('Realpage Data'!$AB$2:$AB$899,'Realpage Data'!$A$2:$A$899,$A46,'Realpage Data'!$F$2:$F$899,"YOY Effective Rent Change"))</f>
        <v>1.598774696512</v>
      </c>
      <c r="Q46" s="6" t="n">
        <f aca="false">M46*(1+SUMIFS('Realpage Data'!$AC$2:$AC$899,'Realpage Data'!$A$2:$A$899,$A46,'Realpage Data'!$F$2:$F$899,"YOY Effective Rent Change"))</f>
        <v>1.6283012445</v>
      </c>
      <c r="R46" s="6" t="n">
        <f aca="false">N46*(1+SUMIFS('Realpage Data'!$AD$2:$AD$899,'Realpage Data'!$A$2:$A$899,$A46,'Realpage Data'!$F$2:$F$899,"YOY Effective Rent Change"))</f>
        <v>1.66434865155</v>
      </c>
      <c r="S46" s="6" t="n">
        <f aca="false">O46*(1+SUMIFS('Realpage Data'!$AE$2:$AE$899,'Realpage Data'!$A$2:$A$899,$A46,'Realpage Data'!$F$2:$F$899,"YOY Effective Rent Change"))</f>
        <v>1.6513654928022</v>
      </c>
      <c r="T46" s="6" t="n">
        <f aca="false">P46*(1+SUMIFS('Realpage Data'!$AF$2:$AF$899,'Realpage Data'!$A$2:$A$899,$A46,'Realpage Data'!$F$2:$F$899,"YOY Effective Rent Change"))</f>
        <v>1.64993548680038</v>
      </c>
      <c r="U46" s="4"/>
      <c r="V46" s="7" t="n">
        <f aca="false">F46/$B46-1</f>
        <v>-0.0331637975740443</v>
      </c>
      <c r="W46" s="7" t="n">
        <f aca="false">G46/$B46-1</f>
        <v>-0.0490717352200599</v>
      </c>
      <c r="X46" s="7" t="n">
        <f aca="false">H46/$B46-1</f>
        <v>-0.0508140480910118</v>
      </c>
      <c r="Y46" s="7" t="n">
        <f aca="false">I46/$B46-1</f>
        <v>-0.0285648946773653</v>
      </c>
      <c r="Z46" s="7" t="n">
        <f aca="false">J46/$B46-1</f>
        <v>-0.00802605631096942</v>
      </c>
      <c r="AA46" s="7" t="n">
        <f aca="false">K46/$B46-1</f>
        <v>-0.0214948155414417</v>
      </c>
      <c r="AB46" s="7" t="n">
        <f aca="false">L46/$B46-1</f>
        <v>-0.02423684143756</v>
      </c>
      <c r="AC46" s="7" t="n">
        <f aca="false">M46/$B46-1</f>
        <v>-0.00427901704429956</v>
      </c>
      <c r="AD46" s="7" t="n">
        <f aca="false">N46/$B46-1</f>
        <v>0.0167732922812562</v>
      </c>
      <c r="AE46" s="7" t="n">
        <f aca="false">O46/$B46-1</f>
        <v>0.0059033296233979</v>
      </c>
      <c r="AF46" s="7" t="n">
        <f aca="false">P46/$B46-1</f>
        <v>0.00308452700218842</v>
      </c>
      <c r="AG46" s="7" t="n">
        <f aca="false">Q46/$B46-1</f>
        <v>0.0216097285125487</v>
      </c>
      <c r="AH46" s="7" t="n">
        <f aca="false">R46/$B46-1</f>
        <v>0.04422617117285</v>
      </c>
      <c r="AI46" s="7" t="n">
        <f aca="false">S46/$B46-1</f>
        <v>0.0360804295120998</v>
      </c>
      <c r="AJ46" s="7" t="n">
        <f aca="false">T46/$B46-1</f>
        <v>0.0351832318662584</v>
      </c>
      <c r="AK46" s="4"/>
      <c r="AL46" s="4" t="n">
        <f aca="false">SUMPRODUCT(MAX((V46:AJ46&lt;0)*$V$3:$AJ$3))</f>
        <v>8</v>
      </c>
      <c r="AM46" s="10" t="n">
        <f aca="false">IF(AL46=0,0,IF(AL46=15,3.5+IFERROR(LN($B46/T46)/LN(1+SUMIFS('Realpage Data'!$AF$2:$AF$899,'Realpage Data'!$A$2:$A$899,$A46,'Realpage Data'!$F$2:$F$899,"YOY Effective Rent Change")),99),((AL46-1)+INDEX(V46:AJ46,1,AL46)/(INDEX(V46:AJ46,1,AL46)-INDEX(V46:AJ46,1,AL46+1)))/4))</f>
        <v>1.8008141052144</v>
      </c>
      <c r="AN46" s="4" t="str">
        <f aca="false">IF(AL46=15,"†","")</f>
        <v/>
      </c>
    </row>
    <row r="47" customFormat="false" ht="15" hidden="false" customHeight="false" outlineLevel="0" collapsed="false">
      <c r="A47" s="25" t="s">
        <v>64</v>
      </c>
      <c r="B47" s="6" t="n">
        <f aca="false">SUMIFS('Realpage Data'!$R$2:$R$899,'Realpage Data'!$A$2:$A$899,$A47,'Realpage Data'!$F$2:$F$899,"Rent Roll (Rev/OSF)")</f>
        <v>1.56648100010992</v>
      </c>
      <c r="C47" s="6" t="n">
        <f aca="false">SUMIFS('Realpage Data'!$O$2:$O$899,'Realpage Data'!$A$2:$A$899,$A47,'Realpage Data'!$F$2:$F$899,"Effective RPSF")</f>
        <v>1.551</v>
      </c>
      <c r="D47" s="6" t="n">
        <f aca="false">SUMIFS('Realpage Data'!$P$2:$P$899,'Realpage Data'!$A$2:$A$899,$A47,'Realpage Data'!$F$2:$F$899,"Effective RPSF")</f>
        <v>1.549</v>
      </c>
      <c r="E47" s="6" t="n">
        <f aca="false">SUMIFS('Realpage Data'!$Q$2:$Q$899,'Realpage Data'!$A$2:$A$899,$A47,'Realpage Data'!$F$2:$F$899,"Effective RPSF")</f>
        <v>1.537</v>
      </c>
      <c r="F47" s="6" t="n">
        <f aca="false">SUMIFS('Realpage Data'!$R$2:$R$899,'Realpage Data'!$A$2:$A$899,$A47,'Realpage Data'!$F$2:$F$899,"Effective RPSF")</f>
        <v>1.513</v>
      </c>
      <c r="G47" s="6" t="n">
        <f aca="false">C47*(1+SUMIFS('Realpage Data'!$S$2:$S$899,'Realpage Data'!$A$2:$A$899,$A47,'Realpage Data'!$F$2:$F$899,"YOY Effective Rent Change"))</f>
        <v>1.476552</v>
      </c>
      <c r="H47" s="6" t="n">
        <f aca="false">D47*(1+SUMIFS('Realpage Data'!$T$2:$T$899,'Realpage Data'!$A$2:$A$899,$A47,'Realpage Data'!$F$2:$F$899,"YOY Effective Rent Change"))</f>
        <v>1.488589</v>
      </c>
      <c r="I47" s="6" t="n">
        <f aca="false">E47*(1+SUMIFS('Realpage Data'!$U$2:$U$899,'Realpage Data'!$A$2:$A$899,$A47,'Realpage Data'!$F$2:$F$899,"YOY Effective Rent Change"))</f>
        <v>1.507797</v>
      </c>
      <c r="J47" s="6" t="n">
        <f aca="false">F47*(1+SUMIFS('Realpage Data'!$V$2:$V$899,'Realpage Data'!$A$2:$A$899,$A47,'Realpage Data'!$F$2:$F$899,"YOY Effective Rent Change"))</f>
        <v>1.525104</v>
      </c>
      <c r="K47" s="6" t="n">
        <f aca="false">G47*(1+SUMIFS('Realpage Data'!$W$2:$W$899,'Realpage Data'!$A$2:$A$899,$A47,'Realpage Data'!$F$2:$F$899,"YOY Effective Rent Change"))</f>
        <v>1.534137528</v>
      </c>
      <c r="L47" s="6" t="n">
        <f aca="false">H47*(1+SUMIFS('Realpage Data'!$X$2:$X$899,'Realpage Data'!$A$2:$A$899,$A47,'Realpage Data'!$F$2:$F$899,"YOY Effective Rent Change"))</f>
        <v>1.54813256</v>
      </c>
      <c r="M47" s="6" t="n">
        <f aca="false">I47*(1+SUMIFS('Realpage Data'!$Y$2:$Y$899,'Realpage Data'!$A$2:$A$899,$A47,'Realpage Data'!$F$2:$F$899,"YOY Effective Rent Change"))</f>
        <v>1.563585489</v>
      </c>
      <c r="N47" s="6" t="n">
        <f aca="false">J47*(1+SUMIFS('Realpage Data'!$Z$2:$Z$899,'Realpage Data'!$A$2:$A$899,$A47,'Realpage Data'!$F$2:$F$899,"YOY Effective Rent Change"))</f>
        <v>1.575432432</v>
      </c>
      <c r="O47" s="6" t="n">
        <f aca="false">K47*(1+SUMIFS('Realpage Data'!$AA$2:$AA$899,'Realpage Data'!$A$2:$A$899,$A47,'Realpage Data'!$F$2:$F$899,"YOY Effective Rent Change"))</f>
        <v>1.586298203952</v>
      </c>
      <c r="P47" s="6" t="n">
        <f aca="false">L47*(1+SUMIFS('Realpage Data'!$AB$2:$AB$899,'Realpage Data'!$A$2:$A$899,$A47,'Realpage Data'!$F$2:$F$899,"YOY Effective Rent Change"))</f>
        <v>1.60541346472</v>
      </c>
      <c r="Q47" s="6" t="n">
        <f aca="false">M47*(1+SUMIFS('Realpage Data'!$AC$2:$AC$899,'Realpage Data'!$A$2:$A$899,$A47,'Realpage Data'!$F$2:$F$899,"YOY Effective Rent Change"))</f>
        <v>1.619874566604</v>
      </c>
      <c r="R47" s="6" t="n">
        <f aca="false">N47*(1+SUMIFS('Realpage Data'!$AD$2:$AD$899,'Realpage Data'!$A$2:$A$899,$A47,'Realpage Data'!$F$2:$F$899,"YOY Effective Rent Change"))</f>
        <v>1.632147999552</v>
      </c>
      <c r="S47" s="6" t="n">
        <f aca="false">O47*(1+SUMIFS('Realpage Data'!$AE$2:$AE$899,'Realpage Data'!$A$2:$A$899,$A47,'Realpage Data'!$F$2:$F$899,"YOY Effective Rent Change"))</f>
        <v>1.64340493929427</v>
      </c>
      <c r="T47" s="6" t="n">
        <f aca="false">P47*(1+SUMIFS('Realpage Data'!$AF$2:$AF$899,'Realpage Data'!$A$2:$A$899,$A47,'Realpage Data'!$F$2:$F$899,"YOY Effective Rent Change"))</f>
        <v>1.6616029359852</v>
      </c>
      <c r="U47" s="4"/>
      <c r="V47" s="7" t="n">
        <f aca="false">F47/$B47-1</f>
        <v>-0.0341408546328811</v>
      </c>
      <c r="W47" s="7" t="n">
        <f aca="false">G47/$B47-1</f>
        <v>-0.0574082929212756</v>
      </c>
      <c r="X47" s="7" t="n">
        <f aca="false">H47/$B47-1</f>
        <v>-0.049724190784604</v>
      </c>
      <c r="Y47" s="7" t="n">
        <f aca="false">I47/$B47-1</f>
        <v>-0.0374623120904787</v>
      </c>
      <c r="Z47" s="7" t="n">
        <f aca="false">J47/$B47-1</f>
        <v>-0.0264139814699441</v>
      </c>
      <c r="AA47" s="7" t="n">
        <f aca="false">K47/$B47-1</f>
        <v>-0.0206472163452053</v>
      </c>
      <c r="AB47" s="7" t="n">
        <f aca="false">L47/$B47-1</f>
        <v>-0.0117131584159881</v>
      </c>
      <c r="AC47" s="7" t="n">
        <f aca="false">M47/$B47-1</f>
        <v>-0.00184841763782651</v>
      </c>
      <c r="AD47" s="7" t="n">
        <f aca="false">N47/$B47-1</f>
        <v>0.00571435714154767</v>
      </c>
      <c r="AE47" s="7" t="n">
        <f aca="false">O47/$B47-1</f>
        <v>0.0126507782990577</v>
      </c>
      <c r="AF47" s="7" t="n">
        <f aca="false">P47/$B47-1</f>
        <v>0.0248534547226202</v>
      </c>
      <c r="AG47" s="7" t="n">
        <f aca="false">Q47/$B47-1</f>
        <v>0.0340850393272116</v>
      </c>
      <c r="AH47" s="7" t="n">
        <f aca="false">R47/$B47-1</f>
        <v>0.0419200739986436</v>
      </c>
      <c r="AI47" s="7" t="n">
        <f aca="false">S47/$B47-1</f>
        <v>0.049106206317824</v>
      </c>
      <c r="AJ47" s="7" t="n">
        <f aca="false">T47/$B47-1</f>
        <v>0.0607233256379118</v>
      </c>
      <c r="AK47" s="4"/>
      <c r="AL47" s="4" t="n">
        <f aca="false">SUMPRODUCT(MAX((V47:AJ47&lt;0)*$V$3:$AJ$3))</f>
        <v>8</v>
      </c>
      <c r="AM47" s="10" t="n">
        <f aca="false">IF(AL47=0,0,IF(AL47=15,3.5+IFERROR(LN($B47/T47)/LN(1+SUMIFS('Realpage Data'!$AF$2:$AF$899,'Realpage Data'!$A$2:$A$899,$A47,'Realpage Data'!$F$2:$F$899,"YOY Effective Rent Change")),99),((AL47-1)+INDEX(V47:AJ47,1,AL47)/(INDEX(V47:AJ47,1,AL47)-INDEX(V47:AJ47,1,AL47+1)))/4))</f>
        <v>1.81110249517372</v>
      </c>
      <c r="AN47" s="4" t="str">
        <f aca="false">IF(AL47=15,"†","")</f>
        <v/>
      </c>
    </row>
    <row r="48" customFormat="false" ht="15" hidden="false" customHeight="false" outlineLevel="0" collapsed="false">
      <c r="A48" s="25" t="s">
        <v>65</v>
      </c>
      <c r="B48" s="6" t="n">
        <f aca="false">SUMIFS('Realpage Data'!$R$2:$R$899,'Realpage Data'!$A$2:$A$899,$A48,'Realpage Data'!$F$2:$F$899,"Rent Roll (Rev/OSF)")</f>
        <v>1.81163277224696</v>
      </c>
      <c r="C48" s="6" t="n">
        <f aca="false">SUMIFS('Realpage Data'!$O$2:$O$899,'Realpage Data'!$A$2:$A$899,$A48,'Realpage Data'!$F$2:$F$899,"Effective RPSF")</f>
        <v>1.783</v>
      </c>
      <c r="D48" s="6" t="n">
        <f aca="false">SUMIFS('Realpage Data'!$P$2:$P$899,'Realpage Data'!$A$2:$A$899,$A48,'Realpage Data'!$F$2:$F$899,"Effective RPSF")</f>
        <v>1.745</v>
      </c>
      <c r="E48" s="6" t="n">
        <f aca="false">SUMIFS('Realpage Data'!$Q$2:$Q$899,'Realpage Data'!$A$2:$A$899,$A48,'Realpage Data'!$F$2:$F$899,"Effective RPSF")</f>
        <v>1.756</v>
      </c>
      <c r="F48" s="6" t="n">
        <f aca="false">SUMIFS('Realpage Data'!$R$2:$R$899,'Realpage Data'!$A$2:$A$899,$A48,'Realpage Data'!$F$2:$F$899,"Effective RPSF")</f>
        <v>1.776</v>
      </c>
      <c r="G48" s="6" t="n">
        <f aca="false">C48*(1+SUMIFS('Realpage Data'!$S$2:$S$899,'Realpage Data'!$A$2:$A$899,$A48,'Realpage Data'!$F$2:$F$899,"YOY Effective Rent Change"))</f>
        <v>1.756255</v>
      </c>
      <c r="H48" s="6" t="n">
        <f aca="false">D48*(1+SUMIFS('Realpage Data'!$T$2:$T$899,'Realpage Data'!$A$2:$A$899,$A48,'Realpage Data'!$F$2:$F$899,"YOY Effective Rent Change"))</f>
        <v>1.732785</v>
      </c>
      <c r="I48" s="6" t="n">
        <f aca="false">E48*(1+SUMIFS('Realpage Data'!$U$2:$U$899,'Realpage Data'!$A$2:$A$899,$A48,'Realpage Data'!$F$2:$F$899,"YOY Effective Rent Change"))</f>
        <v>1.756</v>
      </c>
      <c r="J48" s="6" t="n">
        <f aca="false">F48*(1+SUMIFS('Realpage Data'!$V$2:$V$899,'Realpage Data'!$A$2:$A$899,$A48,'Realpage Data'!$F$2:$F$899,"YOY Effective Rent Change"))</f>
        <v>1.80264</v>
      </c>
      <c r="K48" s="6" t="n">
        <f aca="false">G48*(1+SUMIFS('Realpage Data'!$W$2:$W$899,'Realpage Data'!$A$2:$A$899,$A48,'Realpage Data'!$F$2:$F$899,"YOY Effective Rent Change"))</f>
        <v>1.803673885</v>
      </c>
      <c r="L48" s="6" t="n">
        <f aca="false">H48*(1+SUMIFS('Realpage Data'!$X$2:$X$899,'Realpage Data'!$A$2:$A$899,$A48,'Realpage Data'!$F$2:$F$899,"YOY Effective Rent Change"))</f>
        <v>1.776104625</v>
      </c>
      <c r="M48" s="6" t="n">
        <f aca="false">I48*(1+SUMIFS('Realpage Data'!$Y$2:$Y$899,'Realpage Data'!$A$2:$A$899,$A48,'Realpage Data'!$F$2:$F$899,"YOY Effective Rent Change"))</f>
        <v>1.794632</v>
      </c>
      <c r="N48" s="6" t="n">
        <f aca="false">J48*(1+SUMIFS('Realpage Data'!$Z$2:$Z$899,'Realpage Data'!$A$2:$A$899,$A48,'Realpage Data'!$F$2:$F$899,"YOY Effective Rent Change"))</f>
        <v>1.84410072</v>
      </c>
      <c r="O48" s="6" t="n">
        <f aca="false">K48*(1+SUMIFS('Realpage Data'!$AA$2:$AA$899,'Realpage Data'!$A$2:$A$899,$A48,'Realpage Data'!$F$2:$F$899,"YOY Effective Rent Change"))</f>
        <v>1.859587775435</v>
      </c>
      <c r="P48" s="6" t="n">
        <f aca="false">L48*(1+SUMIFS('Realpage Data'!$AB$2:$AB$899,'Realpage Data'!$A$2:$A$899,$A48,'Realpage Data'!$F$2:$F$899,"YOY Effective Rent Change"))</f>
        <v>1.832939973</v>
      </c>
      <c r="Q48" s="6" t="n">
        <f aca="false">M48*(1+SUMIFS('Realpage Data'!$AC$2:$AC$899,'Realpage Data'!$A$2:$A$899,$A48,'Realpage Data'!$F$2:$F$899,"YOY Effective Rent Change"))</f>
        <v>1.852060224</v>
      </c>
      <c r="R48" s="6" t="n">
        <f aca="false">N48*(1+SUMIFS('Realpage Data'!$AD$2:$AD$899,'Realpage Data'!$A$2:$A$899,$A48,'Realpage Data'!$F$2:$F$899,"YOY Effective Rent Change"))</f>
        <v>1.8994237416</v>
      </c>
      <c r="S48" s="6" t="n">
        <f aca="false">O48*(1+SUMIFS('Realpage Data'!$AE$2:$AE$899,'Realpage Data'!$A$2:$A$899,$A48,'Realpage Data'!$F$2:$F$899,"YOY Effective Rent Change"))</f>
        <v>1.92095417202435</v>
      </c>
      <c r="T48" s="6" t="n">
        <f aca="false">P48*(1+SUMIFS('Realpage Data'!$AF$2:$AF$899,'Realpage Data'!$A$2:$A$899,$A48,'Realpage Data'!$F$2:$F$899,"YOY Effective Rent Change"))</f>
        <v>1.902591691974</v>
      </c>
      <c r="U48" s="4"/>
      <c r="V48" s="7" t="n">
        <f aca="false">F48/$B48-1</f>
        <v>-0.019668871524534</v>
      </c>
      <c r="W48" s="7" t="n">
        <f aca="false">G48/$B48-1</f>
        <v>-0.0305678794815994</v>
      </c>
      <c r="X48" s="7" t="n">
        <f aca="false">H48/$B48-1</f>
        <v>-0.0435230436625224</v>
      </c>
      <c r="Y48" s="7" t="n">
        <f aca="false">I48/$B48-1</f>
        <v>-0.0307086364848433</v>
      </c>
      <c r="Z48" s="7" t="n">
        <f aca="false">J48/$B48-1</f>
        <v>-0.00496390459740215</v>
      </c>
      <c r="AA48" s="7" t="n">
        <f aca="false">K48/$B48-1</f>
        <v>-0.00439321222760269</v>
      </c>
      <c r="AB48" s="7" t="n">
        <f aca="false">L48/$B48-1</f>
        <v>-0.0196111197540855</v>
      </c>
      <c r="AC48" s="7" t="n">
        <f aca="false">M48/$B48-1</f>
        <v>-0.00938422648750992</v>
      </c>
      <c r="AD48" s="7" t="n">
        <f aca="false">N48/$B48-1</f>
        <v>0.0179219255968575</v>
      </c>
      <c r="AE48" s="7" t="n">
        <f aca="false">O48/$B48-1</f>
        <v>0.0264705981933415</v>
      </c>
      <c r="AF48" s="7" t="n">
        <f aca="false">P48/$B48-1</f>
        <v>0.0117613244137837</v>
      </c>
      <c r="AG48" s="7" t="n">
        <f aca="false">Q48/$B48-1</f>
        <v>0.0223154782648898</v>
      </c>
      <c r="AH48" s="7" t="n">
        <f aca="false">R48/$B48-1</f>
        <v>0.0484595833647632</v>
      </c>
      <c r="AI48" s="7" t="n">
        <f aca="false">S48/$B48-1</f>
        <v>0.0603441279337218</v>
      </c>
      <c r="AJ48" s="7" t="n">
        <f aca="false">T48/$B48-1</f>
        <v>0.0502082547415077</v>
      </c>
      <c r="AK48" s="4"/>
      <c r="AL48" s="4" t="n">
        <f aca="false">SUMPRODUCT(MAX((V48:AJ48&lt;0)*$V$3:$AJ$3))</f>
        <v>8</v>
      </c>
      <c r="AM48" s="10" t="n">
        <f aca="false">IF(AL48=0,0,IF(AL48=15,3.5+IFERROR(LN($B48/T48)/LN(1+SUMIFS('Realpage Data'!$AF$2:$AF$899,'Realpage Data'!$A$2:$A$899,$A48,'Realpage Data'!$F$2:$F$899,"YOY Effective Rent Change")),99),((AL48-1)+INDEX(V48:AJ48,1,AL48)/(INDEX(V48:AJ48,1,AL48)-INDEX(V48:AJ48,1,AL48+1)))/4))</f>
        <v>1.83591677855704</v>
      </c>
      <c r="AN48" s="4" t="str">
        <f aca="false">IF(AL48=15,"†","")</f>
        <v/>
      </c>
    </row>
    <row r="49" customFormat="false" ht="15" hidden="false" customHeight="false" outlineLevel="0" collapsed="false">
      <c r="A49" s="25" t="s">
        <v>66</v>
      </c>
      <c r="B49" s="6" t="n">
        <f aca="false">SUMIFS('Realpage Data'!$R$2:$R$899,'Realpage Data'!$A$2:$A$899,$A49,'Realpage Data'!$F$2:$F$899,"Rent Roll (Rev/OSF)")</f>
        <v>1.5906892696677</v>
      </c>
      <c r="C49" s="6" t="n">
        <f aca="false">SUMIFS('Realpage Data'!$O$2:$O$899,'Realpage Data'!$A$2:$A$899,$A49,'Realpage Data'!$F$2:$F$899,"Effective RPSF")</f>
        <v>1.56</v>
      </c>
      <c r="D49" s="6" t="n">
        <f aca="false">SUMIFS('Realpage Data'!$P$2:$P$899,'Realpage Data'!$A$2:$A$899,$A49,'Realpage Data'!$F$2:$F$899,"Effective RPSF")</f>
        <v>1.517</v>
      </c>
      <c r="E49" s="6" t="n">
        <f aca="false">SUMIFS('Realpage Data'!$Q$2:$Q$899,'Realpage Data'!$A$2:$A$899,$A49,'Realpage Data'!$F$2:$F$899,"Effective RPSF")</f>
        <v>1.517</v>
      </c>
      <c r="F49" s="6" t="n">
        <f aca="false">SUMIFS('Realpage Data'!$R$2:$R$899,'Realpage Data'!$A$2:$A$899,$A49,'Realpage Data'!$F$2:$F$899,"Effective RPSF")</f>
        <v>1.534</v>
      </c>
      <c r="G49" s="6" t="n">
        <f aca="false">C49*(1+SUMIFS('Realpage Data'!$S$2:$S$899,'Realpage Data'!$A$2:$A$899,$A49,'Realpage Data'!$F$2:$F$899,"YOY Effective Rent Change"))</f>
        <v>1.5288</v>
      </c>
      <c r="H49" s="6" t="n">
        <f aca="false">D49*(1+SUMIFS('Realpage Data'!$T$2:$T$899,'Realpage Data'!$A$2:$A$899,$A49,'Realpage Data'!$F$2:$F$899,"YOY Effective Rent Change"))</f>
        <v>1.500313</v>
      </c>
      <c r="I49" s="6" t="n">
        <f aca="false">E49*(1+SUMIFS('Realpage Data'!$U$2:$U$899,'Realpage Data'!$A$2:$A$899,$A49,'Realpage Data'!$F$2:$F$899,"YOY Effective Rent Change"))</f>
        <v>1.513966</v>
      </c>
      <c r="J49" s="6" t="n">
        <f aca="false">F49*(1+SUMIFS('Realpage Data'!$V$2:$V$899,'Realpage Data'!$A$2:$A$899,$A49,'Realpage Data'!$F$2:$F$899,"YOY Effective Rent Change"))</f>
        <v>1.558544</v>
      </c>
      <c r="K49" s="6" t="n">
        <f aca="false">G49*(1+SUMIFS('Realpage Data'!$W$2:$W$899,'Realpage Data'!$A$2:$A$899,$A49,'Realpage Data'!$F$2:$F$899,"YOY Effective Rent Change"))</f>
        <v>1.5761928</v>
      </c>
      <c r="L49" s="6" t="n">
        <f aca="false">H49*(1+SUMIFS('Realpage Data'!$X$2:$X$899,'Realpage Data'!$A$2:$A$899,$A49,'Realpage Data'!$F$2:$F$899,"YOY Effective Rent Change"))</f>
        <v>1.554324268</v>
      </c>
      <c r="M49" s="6" t="n">
        <f aca="false">I49*(1+SUMIFS('Realpage Data'!$Y$2:$Y$899,'Realpage Data'!$A$2:$A$899,$A49,'Realpage Data'!$F$2:$F$899,"YOY Effective Rent Change"))</f>
        <v>1.56695481</v>
      </c>
      <c r="N49" s="6" t="n">
        <f aca="false">J49*(1+SUMIFS('Realpage Data'!$Z$2:$Z$899,'Realpage Data'!$A$2:$A$899,$A49,'Realpage Data'!$F$2:$F$899,"YOY Effective Rent Change"))</f>
        <v>1.611534496</v>
      </c>
      <c r="O49" s="6" t="n">
        <f aca="false">K49*(1+SUMIFS('Realpage Data'!$AA$2:$AA$899,'Realpage Data'!$A$2:$A$899,$A49,'Realpage Data'!$F$2:$F$899,"YOY Effective Rent Change"))</f>
        <v>1.631359548</v>
      </c>
      <c r="P49" s="6" t="n">
        <f aca="false">L49*(1+SUMIFS('Realpage Data'!$AB$2:$AB$899,'Realpage Data'!$A$2:$A$899,$A49,'Realpage Data'!$F$2:$F$899,"YOY Effective Rent Change"))</f>
        <v>1.61649723872</v>
      </c>
      <c r="Q49" s="6" t="n">
        <f aca="false">M49*(1+SUMIFS('Realpage Data'!$AC$2:$AC$899,'Realpage Data'!$A$2:$A$899,$A49,'Realpage Data'!$F$2:$F$899,"YOY Effective Rent Change"))</f>
        <v>1.63119995721</v>
      </c>
      <c r="R49" s="6" t="n">
        <f aca="false">N49*(1+SUMIFS('Realpage Data'!$AD$2:$AD$899,'Realpage Data'!$A$2:$A$899,$A49,'Realpage Data'!$F$2:$F$899,"YOY Effective Rent Change"))</f>
        <v>1.669549737856</v>
      </c>
      <c r="S49" s="6" t="n">
        <f aca="false">O49*(1+SUMIFS('Realpage Data'!$AE$2:$AE$899,'Realpage Data'!$A$2:$A$899,$A49,'Realpage Data'!$F$2:$F$899,"YOY Effective Rent Change"))</f>
        <v>1.691719851276</v>
      </c>
      <c r="T49" s="6" t="n">
        <f aca="false">P49*(1+SUMIFS('Realpage Data'!$AF$2:$AF$899,'Realpage Data'!$A$2:$A$899,$A49,'Realpage Data'!$F$2:$F$899,"YOY Effective Rent Change"))</f>
        <v>1.68439012274624</v>
      </c>
      <c r="U49" s="4"/>
      <c r="V49" s="7" t="n">
        <f aca="false">F49/$B49-1</f>
        <v>-0.035638179466406</v>
      </c>
      <c r="W49" s="7" t="n">
        <f aca="false">G49/$B49-1</f>
        <v>-0.038907202586859</v>
      </c>
      <c r="X49" s="7" t="n">
        <f aca="false">H49/$B49-1</f>
        <v>-0.0568157913623092</v>
      </c>
      <c r="Y49" s="7" t="n">
        <f aca="false">I49/$B49-1</f>
        <v>-0.0482327196962431</v>
      </c>
      <c r="Z49" s="7" t="n">
        <f aca="false">J49/$B49-1</f>
        <v>-0.0202083903378685</v>
      </c>
      <c r="AA49" s="7" t="n">
        <f aca="false">K49/$B49-1</f>
        <v>-0.0091133258670516</v>
      </c>
      <c r="AB49" s="7" t="n">
        <f aca="false">L49/$B49-1</f>
        <v>-0.0228611598513523</v>
      </c>
      <c r="AC49" s="7" t="n">
        <f aca="false">M49/$B49-1</f>
        <v>-0.0149208648856117</v>
      </c>
      <c r="AD49" s="7" t="n">
        <f aca="false">N49/$B49-1</f>
        <v>0.013104524390644</v>
      </c>
      <c r="AE49" s="7" t="n">
        <f aca="false">O49/$B49-1</f>
        <v>0.0255677077276015</v>
      </c>
      <c r="AF49" s="7" t="n">
        <f aca="false">P49/$B49-1</f>
        <v>0.0162243937545936</v>
      </c>
      <c r="AG49" s="7" t="n">
        <f aca="false">Q49/$B49-1</f>
        <v>0.0254673796540781</v>
      </c>
      <c r="AH49" s="7" t="n">
        <f aca="false">R49/$B49-1</f>
        <v>0.0495762872687073</v>
      </c>
      <c r="AI49" s="7" t="n">
        <f aca="false">S49/$B49-1</f>
        <v>0.0635137129135226</v>
      </c>
      <c r="AJ49" s="7" t="n">
        <f aca="false">T49/$B49-1</f>
        <v>0.0589058182922866</v>
      </c>
      <c r="AK49" s="4"/>
      <c r="AL49" s="4" t="n">
        <f aca="false">SUMPRODUCT(MAX((V49:AJ49&lt;0)*$V$3:$AJ$3))</f>
        <v>8</v>
      </c>
      <c r="AM49" s="10" t="n">
        <f aca="false">IF(AL49=0,0,IF(AL49=15,3.5+IFERROR(LN($B49/T49)/LN(1+SUMIFS('Realpage Data'!$AF$2:$AF$899,'Realpage Data'!$A$2:$A$899,$A49,'Realpage Data'!$F$2:$F$899,"YOY Effective Rent Change")),99),((AL49-1)+INDEX(V49:AJ49,1,AL49)/(INDEX(V49:AJ49,1,AL49)-INDEX(V49:AJ49,1,AL49+1)))/4))</f>
        <v>1.88310131697487</v>
      </c>
      <c r="AN49" s="4" t="str">
        <f aca="false">IF(AL49=15,"†","")</f>
        <v/>
      </c>
    </row>
    <row r="50" customFormat="false" ht="15" hidden="false" customHeight="false" outlineLevel="0" collapsed="false">
      <c r="A50" s="25" t="s">
        <v>67</v>
      </c>
      <c r="B50" s="6" t="n">
        <f aca="false">SUMIFS('Realpage Data'!$R$2:$R$899,'Realpage Data'!$A$2:$A$899,$A50,'Realpage Data'!$F$2:$F$899,"Rent Roll (Rev/OSF)")</f>
        <v>2.60369078145546</v>
      </c>
      <c r="C50" s="6" t="n">
        <f aca="false">SUMIFS('Realpage Data'!$O$2:$O$899,'Realpage Data'!$A$2:$A$899,$A50,'Realpage Data'!$F$2:$F$899,"Effective RPSF")</f>
        <v>2.543</v>
      </c>
      <c r="D50" s="6" t="n">
        <f aca="false">SUMIFS('Realpage Data'!$P$2:$P$899,'Realpage Data'!$A$2:$A$899,$A50,'Realpage Data'!$F$2:$F$899,"Effective RPSF")</f>
        <v>2.501</v>
      </c>
      <c r="E50" s="6" t="n">
        <f aca="false">SUMIFS('Realpage Data'!$Q$2:$Q$899,'Realpage Data'!$A$2:$A$899,$A50,'Realpage Data'!$F$2:$F$899,"Effective RPSF")</f>
        <v>2.51</v>
      </c>
      <c r="F50" s="6" t="n">
        <f aca="false">SUMIFS('Realpage Data'!$R$2:$R$899,'Realpage Data'!$A$2:$A$899,$A50,'Realpage Data'!$F$2:$F$899,"Effective RPSF")</f>
        <v>2.531</v>
      </c>
      <c r="G50" s="6" t="n">
        <f aca="false">C50*(1+SUMIFS('Realpage Data'!$S$2:$S$899,'Realpage Data'!$A$2:$A$899,$A50,'Realpage Data'!$F$2:$F$899,"YOY Effective Rent Change"))</f>
        <v>2.502312</v>
      </c>
      <c r="H50" s="6" t="n">
        <f aca="false">D50*(1+SUMIFS('Realpage Data'!$T$2:$T$899,'Realpage Data'!$A$2:$A$899,$A50,'Realpage Data'!$F$2:$F$899,"YOY Effective Rent Change"))</f>
        <v>2.478491</v>
      </c>
      <c r="I50" s="6" t="n">
        <f aca="false">E50*(1+SUMIFS('Realpage Data'!$U$2:$U$899,'Realpage Data'!$A$2:$A$899,$A50,'Realpage Data'!$F$2:$F$899,"YOY Effective Rent Change"))</f>
        <v>2.50749</v>
      </c>
      <c r="J50" s="6" t="n">
        <f aca="false">F50*(1+SUMIFS('Realpage Data'!$V$2:$V$899,'Realpage Data'!$A$2:$A$899,$A50,'Realpage Data'!$F$2:$F$899,"YOY Effective Rent Change"))</f>
        <v>2.558841</v>
      </c>
      <c r="K50" s="6" t="n">
        <f aca="false">G50*(1+SUMIFS('Realpage Data'!$W$2:$W$899,'Realpage Data'!$A$2:$A$899,$A50,'Realpage Data'!$F$2:$F$899,"YOY Effective Rent Change"))</f>
        <v>2.55235824</v>
      </c>
      <c r="L50" s="6" t="n">
        <f aca="false">H50*(1+SUMIFS('Realpage Data'!$X$2:$X$899,'Realpage Data'!$A$2:$A$899,$A50,'Realpage Data'!$F$2:$F$899,"YOY Effective Rent Change"))</f>
        <v>2.537974784</v>
      </c>
      <c r="M50" s="6" t="n">
        <f aca="false">I50*(1+SUMIFS('Realpage Data'!$Y$2:$Y$899,'Realpage Data'!$A$2:$A$899,$A50,'Realpage Data'!$F$2:$F$899,"YOY Effective Rent Change"))</f>
        <v>2.57519223</v>
      </c>
      <c r="N50" s="6" t="n">
        <f aca="false">J50*(1+SUMIFS('Realpage Data'!$Z$2:$Z$899,'Realpage Data'!$A$2:$A$899,$A50,'Realpage Data'!$F$2:$F$899,"YOY Effective Rent Change"))</f>
        <v>2.625370866</v>
      </c>
      <c r="O50" s="6" t="n">
        <f aca="false">K50*(1+SUMIFS('Realpage Data'!$AA$2:$AA$899,'Realpage Data'!$A$2:$A$899,$A50,'Realpage Data'!$F$2:$F$899,"YOY Effective Rent Change"))</f>
        <v>2.62382427072</v>
      </c>
      <c r="P50" s="6" t="n">
        <f aca="false">L50*(1+SUMIFS('Realpage Data'!$AB$2:$AB$899,'Realpage Data'!$A$2:$A$899,$A50,'Realpage Data'!$F$2:$F$899,"YOY Effective Rent Change"))</f>
        <v>2.609038077952</v>
      </c>
      <c r="Q50" s="6" t="n">
        <f aca="false">M50*(1+SUMIFS('Realpage Data'!$AC$2:$AC$899,'Realpage Data'!$A$2:$A$899,$A50,'Realpage Data'!$F$2:$F$899,"YOY Effective Rent Change"))</f>
        <v>2.64214722798</v>
      </c>
      <c r="R50" s="6" t="n">
        <f aca="false">N50*(1+SUMIFS('Realpage Data'!$AD$2:$AD$899,'Realpage Data'!$A$2:$A$899,$A50,'Realpage Data'!$F$2:$F$899,"YOY Effective Rent Change"))</f>
        <v>2.69100513765</v>
      </c>
      <c r="S50" s="6" t="n">
        <f aca="false">O50*(1+SUMIFS('Realpage Data'!$AE$2:$AE$899,'Realpage Data'!$A$2:$A$899,$A50,'Realpage Data'!$F$2:$F$899,"YOY Effective Rent Change"))</f>
        <v>2.69729135030016</v>
      </c>
      <c r="T50" s="6" t="n">
        <f aca="false">P50*(1+SUMIFS('Realpage Data'!$AF$2:$AF$899,'Realpage Data'!$A$2:$A$899,$A50,'Realpage Data'!$F$2:$F$899,"YOY Effective Rent Change"))</f>
        <v>2.68209114413466</v>
      </c>
      <c r="U50" s="4"/>
      <c r="V50" s="7" t="n">
        <f aca="false">F50/$B50-1</f>
        <v>-0.0279183618781425</v>
      </c>
      <c r="W50" s="7" t="n">
        <f aca="false">G50/$B50-1</f>
        <v>-0.03893656734414</v>
      </c>
      <c r="X50" s="7" t="n">
        <f aca="false">H50/$B50-1</f>
        <v>-0.0480855032199602</v>
      </c>
      <c r="Y50" s="7" t="n">
        <f aca="false">I50/$B50-1</f>
        <v>-0.0369478519264416</v>
      </c>
      <c r="Z50" s="7" t="n">
        <f aca="false">J50/$B50-1</f>
        <v>-0.0172254638588022</v>
      </c>
      <c r="AA50" s="7" t="n">
        <f aca="false">K50/$B50-1</f>
        <v>-0.0197152986910227</v>
      </c>
      <c r="AB50" s="7" t="n">
        <f aca="false">L50/$B50-1</f>
        <v>-0.0252395552972392</v>
      </c>
      <c r="AC50" s="7" t="n">
        <f aca="false">M50/$B50-1</f>
        <v>-0.0109454439284556</v>
      </c>
      <c r="AD50" s="7" t="n">
        <f aca="false">N50/$B50-1</f>
        <v>0.00832667408086896</v>
      </c>
      <c r="AE50" s="7" t="n">
        <f aca="false">O50/$B50-1</f>
        <v>0.00773267294562863</v>
      </c>
      <c r="AF50" s="7" t="n">
        <f aca="false">P50/$B50-1</f>
        <v>0.00205373715443824</v>
      </c>
      <c r="AG50" s="7" t="n">
        <f aca="false">Q50/$B50-1</f>
        <v>0.0147699745294045</v>
      </c>
      <c r="AH50" s="7" t="n">
        <f aca="false">R50/$B50-1</f>
        <v>0.0335348409328906</v>
      </c>
      <c r="AI50" s="7" t="n">
        <f aca="false">S50/$B50-1</f>
        <v>0.0359491877881062</v>
      </c>
      <c r="AJ50" s="7" t="n">
        <f aca="false">T50/$B50-1</f>
        <v>0.0301112417947624</v>
      </c>
      <c r="AK50" s="4"/>
      <c r="AL50" s="4" t="n">
        <f aca="false">SUMPRODUCT(MAX((V50:AJ50&lt;0)*$V$3:$AJ$3))</f>
        <v>8</v>
      </c>
      <c r="AM50" s="10" t="n">
        <f aca="false">IF(AL50=0,0,IF(AL50=15,3.5+IFERROR(LN($B50/T50)/LN(1+SUMIFS('Realpage Data'!$AF$2:$AF$899,'Realpage Data'!$A$2:$A$899,$A50,'Realpage Data'!$F$2:$F$899,"YOY Effective Rent Change")),99),((AL50-1)+INDEX(V50:AJ50,1,AL50)/(INDEX(V50:AJ50,1,AL50)-INDEX(V50:AJ50,1,AL50+1)))/4))</f>
        <v>1.89198548290281</v>
      </c>
      <c r="AN50" s="4" t="str">
        <f aca="false">IF(AL50=15,"†","")</f>
        <v/>
      </c>
    </row>
    <row r="51" customFormat="false" ht="15" hidden="false" customHeight="false" outlineLevel="0" collapsed="false">
      <c r="A51" s="25" t="s">
        <v>68</v>
      </c>
      <c r="B51" s="6" t="n">
        <f aca="false">SUMIFS('Realpage Data'!$R$2:$R$899,'Realpage Data'!$A$2:$A$899,$A51,'Realpage Data'!$F$2:$F$899,"Rent Roll (Rev/OSF)")</f>
        <v>1.66057800708159</v>
      </c>
      <c r="C51" s="6" t="n">
        <f aca="false">SUMIFS('Realpage Data'!$O$2:$O$899,'Realpage Data'!$A$2:$A$899,$A51,'Realpage Data'!$F$2:$F$899,"Effective RPSF")</f>
        <v>1.605</v>
      </c>
      <c r="D51" s="6" t="n">
        <f aca="false">SUMIFS('Realpage Data'!$P$2:$P$899,'Realpage Data'!$A$2:$A$899,$A51,'Realpage Data'!$F$2:$F$899,"Effective RPSF")</f>
        <v>1.566</v>
      </c>
      <c r="E51" s="6" t="n">
        <f aca="false">SUMIFS('Realpage Data'!$Q$2:$Q$899,'Realpage Data'!$A$2:$A$899,$A51,'Realpage Data'!$F$2:$F$899,"Effective RPSF")</f>
        <v>1.564</v>
      </c>
      <c r="F51" s="6" t="n">
        <f aca="false">SUMIFS('Realpage Data'!$R$2:$R$899,'Realpage Data'!$A$2:$A$899,$A51,'Realpage Data'!$F$2:$F$899,"Effective RPSF")</f>
        <v>1.585</v>
      </c>
      <c r="G51" s="6" t="n">
        <f aca="false">C51*(1+SUMIFS('Realpage Data'!$S$2:$S$899,'Realpage Data'!$A$2:$A$899,$A51,'Realpage Data'!$F$2:$F$899,"YOY Effective Rent Change"))</f>
        <v>1.56648</v>
      </c>
      <c r="H51" s="6" t="n">
        <f aca="false">D51*(1+SUMIFS('Realpage Data'!$T$2:$T$899,'Realpage Data'!$A$2:$A$899,$A51,'Realpage Data'!$F$2:$F$899,"YOY Effective Rent Change"))</f>
        <v>1.544076</v>
      </c>
      <c r="I51" s="6" t="n">
        <f aca="false">E51*(1+SUMIFS('Realpage Data'!$U$2:$U$899,'Realpage Data'!$A$2:$A$899,$A51,'Realpage Data'!$F$2:$F$899,"YOY Effective Rent Change"))</f>
        <v>1.562436</v>
      </c>
      <c r="J51" s="6" t="n">
        <f aca="false">F51*(1+SUMIFS('Realpage Data'!$V$2:$V$899,'Realpage Data'!$A$2:$A$899,$A51,'Realpage Data'!$F$2:$F$899,"YOY Effective Rent Change"))</f>
        <v>1.615115</v>
      </c>
      <c r="K51" s="6" t="n">
        <f aca="false">G51*(1+SUMIFS('Realpage Data'!$W$2:$W$899,'Realpage Data'!$A$2:$A$899,$A51,'Realpage Data'!$F$2:$F$899,"YOY Effective Rent Change"))</f>
        <v>1.61974032</v>
      </c>
      <c r="L51" s="6" t="n">
        <f aca="false">H51*(1+SUMIFS('Realpage Data'!$X$2:$X$899,'Realpage Data'!$A$2:$A$899,$A51,'Realpage Data'!$F$2:$F$899,"YOY Effective Rent Change"))</f>
        <v>1.601206812</v>
      </c>
      <c r="M51" s="6" t="n">
        <f aca="false">I51*(1+SUMIFS('Realpage Data'!$Y$2:$Y$899,'Realpage Data'!$A$2:$A$899,$A51,'Realpage Data'!$F$2:$F$899,"YOY Effective Rent Change"))</f>
        <v>1.618683696</v>
      </c>
      <c r="N51" s="6" t="n">
        <f aca="false">J51*(1+SUMIFS('Realpage Data'!$Z$2:$Z$899,'Realpage Data'!$A$2:$A$899,$A51,'Realpage Data'!$F$2:$F$899,"YOY Effective Rent Change"))</f>
        <v>1.674874255</v>
      </c>
      <c r="O51" s="6" t="n">
        <f aca="false">K51*(1+SUMIFS('Realpage Data'!$AA$2:$AA$899,'Realpage Data'!$A$2:$A$899,$A51,'Realpage Data'!$F$2:$F$899,"YOY Effective Rent Change"))</f>
        <v>1.68938915376</v>
      </c>
      <c r="P51" s="6" t="n">
        <f aca="false">L51*(1+SUMIFS('Realpage Data'!$AB$2:$AB$899,'Realpage Data'!$A$2:$A$899,$A51,'Realpage Data'!$F$2:$F$899,"YOY Effective Rent Change"))</f>
        <v>1.67326111854</v>
      </c>
      <c r="Q51" s="6" t="n">
        <f aca="false">M51*(1+SUMIFS('Realpage Data'!$AC$2:$AC$899,'Realpage Data'!$A$2:$A$899,$A51,'Realpage Data'!$F$2:$F$899,"YOY Effective Rent Change"))</f>
        <v>1.69152446232</v>
      </c>
      <c r="R51" s="6" t="n">
        <f aca="false">N51*(1+SUMIFS('Realpage Data'!$AD$2:$AD$899,'Realpage Data'!$A$2:$A$899,$A51,'Realpage Data'!$F$2:$F$899,"YOY Effective Rent Change"))</f>
        <v>1.750243596475</v>
      </c>
      <c r="S51" s="6" t="n">
        <f aca="false">O51*(1+SUMIFS('Realpage Data'!$AE$2:$AE$899,'Realpage Data'!$A$2:$A$899,$A51,'Realpage Data'!$F$2:$F$899,"YOY Effective Rent Change"))</f>
        <v>1.77047983314048</v>
      </c>
      <c r="T51" s="6" t="n">
        <f aca="false">P51*(1+SUMIFS('Realpage Data'!$AF$2:$AF$899,'Realpage Data'!$A$2:$A$899,$A51,'Realpage Data'!$F$2:$F$899,"YOY Effective Rent Change"))</f>
        <v>1.75525091334846</v>
      </c>
      <c r="U51" s="4"/>
      <c r="V51" s="7" t="n">
        <f aca="false">F51/$B51-1</f>
        <v>-0.0455130724117027</v>
      </c>
      <c r="W51" s="7" t="n">
        <f aca="false">G51/$B51-1</f>
        <v>-0.056665815565605</v>
      </c>
      <c r="X51" s="7" t="n">
        <f aca="false">H51/$B51-1</f>
        <v>-0.0701575033420644</v>
      </c>
      <c r="Y51" s="7" t="n">
        <f aca="false">I51/$B51-1</f>
        <v>-0.0591011121808522</v>
      </c>
      <c r="Z51" s="7" t="n">
        <f aca="false">J51/$B51-1</f>
        <v>-0.027377820787525</v>
      </c>
      <c r="AA51" s="7" t="n">
        <f aca="false">K51/$B51-1</f>
        <v>-0.0245924532948355</v>
      </c>
      <c r="AB51" s="7" t="n">
        <f aca="false">L51/$B51-1</f>
        <v>-0.035753330965721</v>
      </c>
      <c r="AC51" s="7" t="n">
        <f aca="false">M51/$B51-1</f>
        <v>-0.0252287522193629</v>
      </c>
      <c r="AD51" s="7" t="n">
        <f aca="false">N51/$B51-1</f>
        <v>0.00860919984333641</v>
      </c>
      <c r="AE51" s="7" t="n">
        <f aca="false">O51/$B51-1</f>
        <v>0.0173500712134864</v>
      </c>
      <c r="AF51" s="7" t="n">
        <f aca="false">P51/$B51-1</f>
        <v>0.00763776914082159</v>
      </c>
      <c r="AG51" s="7" t="n">
        <f aca="false">Q51/$B51-1</f>
        <v>0.0186359539307657</v>
      </c>
      <c r="AH51" s="7" t="n">
        <f aca="false">R51/$B51-1</f>
        <v>0.0539966138362866</v>
      </c>
      <c r="AI51" s="7" t="n">
        <f aca="false">S51/$B51-1</f>
        <v>0.0661828746317339</v>
      </c>
      <c r="AJ51" s="7" t="n">
        <f aca="false">T51/$B51-1</f>
        <v>0.0570120198287216</v>
      </c>
      <c r="AK51" s="4"/>
      <c r="AL51" s="4" t="n">
        <f aca="false">SUMPRODUCT(MAX((V51:AJ51&lt;0)*$V$3:$AJ$3))</f>
        <v>8</v>
      </c>
      <c r="AM51" s="10" t="n">
        <f aca="false">IF(AL51=0,0,IF(AL51=15,3.5+IFERROR(LN($B51/T51)/LN(1+SUMIFS('Realpage Data'!$AF$2:$AF$899,'Realpage Data'!$A$2:$A$899,$A51,'Realpage Data'!$F$2:$F$899,"YOY Effective Rent Change")),99),((AL51-1)+INDEX(V51:AJ51,1,AL51)/(INDEX(V51:AJ51,1,AL51)-INDEX(V51:AJ51,1,AL51+1)))/4))</f>
        <v>1.93639390596553</v>
      </c>
      <c r="AN51" s="4" t="str">
        <f aca="false">IF(AL51=15,"†","")</f>
        <v/>
      </c>
    </row>
    <row r="52" customFormat="false" ht="15" hidden="false" customHeight="false" outlineLevel="0" collapsed="false">
      <c r="A52" s="25" t="s">
        <v>69</v>
      </c>
      <c r="B52" s="6" t="n">
        <f aca="false">SUMIFS('Realpage Data'!$R$2:$R$899,'Realpage Data'!$A$2:$A$899,$A52,'Realpage Data'!$F$2:$F$899,"Rent Roll (Rev/OSF)")</f>
        <v>1.66829754025293</v>
      </c>
      <c r="C52" s="6" t="n">
        <f aca="false">SUMIFS('Realpage Data'!$O$2:$O$899,'Realpage Data'!$A$2:$A$899,$A52,'Realpage Data'!$F$2:$F$899,"Effective RPSF")</f>
        <v>1.636</v>
      </c>
      <c r="D52" s="6" t="n">
        <f aca="false">SUMIFS('Realpage Data'!$P$2:$P$899,'Realpage Data'!$A$2:$A$899,$A52,'Realpage Data'!$F$2:$F$899,"Effective RPSF")</f>
        <v>1.623</v>
      </c>
      <c r="E52" s="6" t="n">
        <f aca="false">SUMIFS('Realpage Data'!$Q$2:$Q$899,'Realpage Data'!$A$2:$A$899,$A52,'Realpage Data'!$F$2:$F$899,"Effective RPSF")</f>
        <v>1.628</v>
      </c>
      <c r="F52" s="6" t="n">
        <f aca="false">SUMIFS('Realpage Data'!$R$2:$R$899,'Realpage Data'!$A$2:$A$899,$A52,'Realpage Data'!$F$2:$F$899,"Effective RPSF")</f>
        <v>1.612</v>
      </c>
      <c r="G52" s="6" t="n">
        <f aca="false">C52*(1+SUMIFS('Realpage Data'!$S$2:$S$899,'Realpage Data'!$A$2:$A$899,$A52,'Realpage Data'!$F$2:$F$899,"YOY Effective Rent Change"))</f>
        <v>1.600008</v>
      </c>
      <c r="H52" s="6" t="n">
        <f aca="false">D52*(1+SUMIFS('Realpage Data'!$T$2:$T$899,'Realpage Data'!$A$2:$A$899,$A52,'Realpage Data'!$F$2:$F$899,"YOY Effective Rent Change"))</f>
        <v>1.598655</v>
      </c>
      <c r="I52" s="6" t="n">
        <f aca="false">E52*(1+SUMIFS('Realpage Data'!$U$2:$U$899,'Realpage Data'!$A$2:$A$899,$A52,'Realpage Data'!$F$2:$F$899,"YOY Effective Rent Change"))</f>
        <v>1.618232</v>
      </c>
      <c r="J52" s="6" t="n">
        <f aca="false">F52*(1+SUMIFS('Realpage Data'!$V$2:$V$899,'Realpage Data'!$A$2:$A$899,$A52,'Realpage Data'!$F$2:$F$899,"YOY Effective Rent Change"))</f>
        <v>1.623284</v>
      </c>
      <c r="K52" s="6" t="n">
        <f aca="false">G52*(1+SUMIFS('Realpage Data'!$W$2:$W$899,'Realpage Data'!$A$2:$A$899,$A52,'Realpage Data'!$F$2:$F$899,"YOY Effective Rent Change"))</f>
        <v>1.630408152</v>
      </c>
      <c r="L52" s="6" t="n">
        <f aca="false">H52*(1+SUMIFS('Realpage Data'!$X$2:$X$899,'Realpage Data'!$A$2:$A$899,$A52,'Realpage Data'!$F$2:$F$899,"YOY Effective Rent Change"))</f>
        <v>1.632226755</v>
      </c>
      <c r="M52" s="6" t="n">
        <f aca="false">I52*(1+SUMIFS('Realpage Data'!$Y$2:$Y$899,'Realpage Data'!$A$2:$A$899,$A52,'Realpage Data'!$F$2:$F$899,"YOY Effective Rent Change"))</f>
        <v>1.6586878</v>
      </c>
      <c r="N52" s="6" t="n">
        <f aca="false">J52*(1+SUMIFS('Realpage Data'!$Z$2:$Z$899,'Realpage Data'!$A$2:$A$899,$A52,'Realpage Data'!$F$2:$F$899,"YOY Effective Rent Change"))</f>
        <v>1.670359236</v>
      </c>
      <c r="O52" s="6" t="n">
        <f aca="false">K52*(1+SUMIFS('Realpage Data'!$AA$2:$AA$899,'Realpage Data'!$A$2:$A$899,$A52,'Realpage Data'!$F$2:$F$899,"YOY Effective Rent Change"))</f>
        <v>1.684211621016</v>
      </c>
      <c r="P52" s="6" t="n">
        <f aca="false">L52*(1+SUMIFS('Realpage Data'!$AB$2:$AB$899,'Realpage Data'!$A$2:$A$899,$A52,'Realpage Data'!$F$2:$F$899,"YOY Effective Rent Change"))</f>
        <v>1.69098691818</v>
      </c>
      <c r="Q52" s="6" t="n">
        <f aca="false">M52*(1+SUMIFS('Realpage Data'!$AC$2:$AC$899,'Realpage Data'!$A$2:$A$899,$A52,'Realpage Data'!$F$2:$F$899,"YOY Effective Rent Change"))</f>
        <v>1.7200592486</v>
      </c>
      <c r="R52" s="6" t="n">
        <f aca="false">N52*(1+SUMIFS('Realpage Data'!$AD$2:$AD$899,'Realpage Data'!$A$2:$A$899,$A52,'Realpage Data'!$F$2:$F$899,"YOY Effective Rent Change"))</f>
        <v>1.732162527732</v>
      </c>
      <c r="S52" s="6" t="n">
        <f aca="false">O52*(1+SUMIFS('Realpage Data'!$AE$2:$AE$899,'Realpage Data'!$A$2:$A$899,$A52,'Realpage Data'!$F$2:$F$899,"YOY Effective Rent Change"))</f>
        <v>1.74821166261461</v>
      </c>
      <c r="T52" s="6" t="n">
        <f aca="false">P52*(1+SUMIFS('Realpage Data'!$AF$2:$AF$899,'Realpage Data'!$A$2:$A$899,$A52,'Realpage Data'!$F$2:$F$899,"YOY Effective Rent Change"))</f>
        <v>1.75693540798902</v>
      </c>
      <c r="U52" s="4"/>
      <c r="V52" s="7" t="n">
        <f aca="false">F52/$B52-1</f>
        <v>-0.0337455033617053</v>
      </c>
      <c r="W52" s="7" t="n">
        <f aca="false">G52/$B52-1</f>
        <v>-0.0409336695674662</v>
      </c>
      <c r="X52" s="7" t="n">
        <f aca="false">H52/$B52-1</f>
        <v>-0.0417446759781062</v>
      </c>
      <c r="Y52" s="7" t="n">
        <f aca="false">I52/$B52-1</f>
        <v>-0.0300099586823941</v>
      </c>
      <c r="Z52" s="7" t="n">
        <f aca="false">J52/$B52-1</f>
        <v>-0.0269817218852374</v>
      </c>
      <c r="AA52" s="7" t="n">
        <f aca="false">K52/$B52-1</f>
        <v>-0.0227114092892482</v>
      </c>
      <c r="AB52" s="7" t="n">
        <f aca="false">L52/$B52-1</f>
        <v>-0.0216213141736465</v>
      </c>
      <c r="AC52" s="7" t="n">
        <f aca="false">M52/$B52-1</f>
        <v>-0.00576020764945406</v>
      </c>
      <c r="AD52" s="7" t="n">
        <f aca="false">N52/$B52-1</f>
        <v>0.00123580818009073</v>
      </c>
      <c r="AE52" s="7" t="n">
        <f aca="false">O52/$B52-1</f>
        <v>0.0095391142042065</v>
      </c>
      <c r="AF52" s="7" t="n">
        <f aca="false">P52/$B52-1</f>
        <v>0.0136003185161022</v>
      </c>
      <c r="AG52" s="7" t="n">
        <f aca="false">Q52/$B52-1</f>
        <v>0.0310266646675161</v>
      </c>
      <c r="AH52" s="7" t="n">
        <f aca="false">R52/$B52-1</f>
        <v>0.0382815330827542</v>
      </c>
      <c r="AI52" s="7" t="n">
        <f aca="false">S52/$B52-1</f>
        <v>0.0479016005439663</v>
      </c>
      <c r="AJ52" s="7" t="n">
        <f aca="false">T52/$B52-1</f>
        <v>0.0531307309382303</v>
      </c>
      <c r="AK52" s="4"/>
      <c r="AL52" s="4" t="n">
        <f aca="false">SUMPRODUCT(MAX((V52:AJ52&lt;0)*$V$3:$AJ$3))</f>
        <v>8</v>
      </c>
      <c r="AM52" s="10" t="n">
        <f aca="false">IF(AL52=0,0,IF(AL52=15,3.5+IFERROR(LN($B52/T52)/LN(1+SUMIFS('Realpage Data'!$AF$2:$AF$899,'Realpage Data'!$A$2:$A$899,$A52,'Realpage Data'!$F$2:$F$899,"YOY Effective Rent Change")),99),((AL52-1)+INDEX(V52:AJ52,1,AL52)/(INDEX(V52:AJ52,1,AL52)-INDEX(V52:AJ52,1,AL52+1)))/4))</f>
        <v>1.95583885849458</v>
      </c>
      <c r="AN52" s="4" t="str">
        <f aca="false">IF(AL52=15,"†","")</f>
        <v/>
      </c>
    </row>
    <row r="53" customFormat="false" ht="15" hidden="false" customHeight="false" outlineLevel="0" collapsed="false">
      <c r="A53" s="25" t="s">
        <v>70</v>
      </c>
      <c r="B53" s="6" t="n">
        <f aca="false">SUMIFS('Realpage Data'!$R$2:$R$899,'Realpage Data'!$A$2:$A$899,$A53,'Realpage Data'!$F$2:$F$899,"Rent Roll (Rev/OSF)")</f>
        <v>1.39998118153695</v>
      </c>
      <c r="C53" s="6" t="n">
        <f aca="false">SUMIFS('Realpage Data'!$O$2:$O$899,'Realpage Data'!$A$2:$A$899,$A53,'Realpage Data'!$F$2:$F$899,"Effective RPSF")</f>
        <v>1.373</v>
      </c>
      <c r="D53" s="6" t="n">
        <f aca="false">SUMIFS('Realpage Data'!$P$2:$P$899,'Realpage Data'!$A$2:$A$899,$A53,'Realpage Data'!$F$2:$F$899,"Effective RPSF")</f>
        <v>1.365</v>
      </c>
      <c r="E53" s="6" t="n">
        <f aca="false">SUMIFS('Realpage Data'!$Q$2:$Q$899,'Realpage Data'!$A$2:$A$899,$A53,'Realpage Data'!$F$2:$F$899,"Effective RPSF")</f>
        <v>1.363</v>
      </c>
      <c r="F53" s="6" t="n">
        <f aca="false">SUMIFS('Realpage Data'!$R$2:$R$899,'Realpage Data'!$A$2:$A$899,$A53,'Realpage Data'!$F$2:$F$899,"Effective RPSF")</f>
        <v>1.358</v>
      </c>
      <c r="G53" s="6" t="n">
        <f aca="false">C53*(1+SUMIFS('Realpage Data'!$S$2:$S$899,'Realpage Data'!$A$2:$A$899,$A53,'Realpage Data'!$F$2:$F$899,"YOY Effective Rent Change"))</f>
        <v>1.363389</v>
      </c>
      <c r="H53" s="6" t="n">
        <f aca="false">D53*(1+SUMIFS('Realpage Data'!$T$2:$T$899,'Realpage Data'!$A$2:$A$899,$A53,'Realpage Data'!$F$2:$F$899,"YOY Effective Rent Change"))</f>
        <v>1.369095</v>
      </c>
      <c r="I53" s="6" t="n">
        <f aca="false">E53*(1+SUMIFS('Realpage Data'!$U$2:$U$899,'Realpage Data'!$A$2:$A$899,$A53,'Realpage Data'!$F$2:$F$899,"YOY Effective Rent Change"))</f>
        <v>1.382082</v>
      </c>
      <c r="J53" s="6" t="n">
        <f aca="false">F53*(1+SUMIFS('Realpage Data'!$V$2:$V$899,'Realpage Data'!$A$2:$A$899,$A53,'Realpage Data'!$F$2:$F$899,"YOY Effective Rent Change"))</f>
        <v>1.377012</v>
      </c>
      <c r="K53" s="6" t="n">
        <f aca="false">G53*(1+SUMIFS('Realpage Data'!$W$2:$W$899,'Realpage Data'!$A$2:$A$899,$A53,'Realpage Data'!$F$2:$F$899,"YOY Effective Rent Change"))</f>
        <v>1.385203224</v>
      </c>
      <c r="L53" s="6" t="n">
        <f aca="false">H53*(1+SUMIFS('Realpage Data'!$X$2:$X$899,'Realpage Data'!$A$2:$A$899,$A53,'Realpage Data'!$F$2:$F$899,"YOY Effective Rent Change"))</f>
        <v>1.392369615</v>
      </c>
      <c r="M53" s="6" t="n">
        <f aca="false">I53*(1+SUMIFS('Realpage Data'!$Y$2:$Y$899,'Realpage Data'!$A$2:$A$899,$A53,'Realpage Data'!$F$2:$F$899,"YOY Effective Rent Change"))</f>
        <v>1.404195312</v>
      </c>
      <c r="N53" s="6" t="n">
        <f aca="false">J53*(1+SUMIFS('Realpage Data'!$Z$2:$Z$899,'Realpage Data'!$A$2:$A$899,$A53,'Realpage Data'!$F$2:$F$899,"YOY Effective Rent Change"))</f>
        <v>1.399044192</v>
      </c>
      <c r="O53" s="6" t="n">
        <f aca="false">K53*(1+SUMIFS('Realpage Data'!$AA$2:$AA$899,'Realpage Data'!$A$2:$A$899,$A53,'Realpage Data'!$F$2:$F$899,"YOY Effective Rent Change"))</f>
        <v>1.408751678808</v>
      </c>
      <c r="P53" s="6" t="n">
        <f aca="false">L53*(1+SUMIFS('Realpage Data'!$AB$2:$AB$899,'Realpage Data'!$A$2:$A$899,$A53,'Realpage Data'!$F$2:$F$899,"YOY Effective Rent Change"))</f>
        <v>1.416039898455</v>
      </c>
      <c r="Q53" s="6" t="n">
        <f aca="false">M53*(1+SUMIFS('Realpage Data'!$AC$2:$AC$899,'Realpage Data'!$A$2:$A$899,$A53,'Realpage Data'!$F$2:$F$899,"YOY Effective Rent Change"))</f>
        <v>1.428066632304</v>
      </c>
      <c r="R53" s="6" t="n">
        <f aca="false">N53*(1+SUMIFS('Realpage Data'!$AD$2:$AD$899,'Realpage Data'!$A$2:$A$899,$A53,'Realpage Data'!$F$2:$F$899,"YOY Effective Rent Change"))</f>
        <v>1.422827943264</v>
      </c>
      <c r="S53" s="6" t="n">
        <f aca="false">O53*(1+SUMIFS('Realpage Data'!$AE$2:$AE$899,'Realpage Data'!$A$2:$A$899,$A53,'Realpage Data'!$F$2:$F$899,"YOY Effective Rent Change"))</f>
        <v>1.43270045734774</v>
      </c>
      <c r="T53" s="6" t="n">
        <f aca="false">P53*(1+SUMIFS('Realpage Data'!$AF$2:$AF$899,'Realpage Data'!$A$2:$A$899,$A53,'Realpage Data'!$F$2:$F$899,"YOY Effective Rent Change"))</f>
        <v>1.44011257672873</v>
      </c>
      <c r="U53" s="4"/>
      <c r="V53" s="7" t="n">
        <f aca="false">F53/$B53-1</f>
        <v>-0.0299869613181973</v>
      </c>
      <c r="W53" s="7" t="n">
        <f aca="false">G53/$B53-1</f>
        <v>-0.0261376238620441</v>
      </c>
      <c r="X53" s="7" t="n">
        <f aca="false">H53/$B53-1</f>
        <v>-0.0220618547908229</v>
      </c>
      <c r="Y53" s="7" t="n">
        <f aca="false">I53/$B53-1</f>
        <v>-0.0127853015261981</v>
      </c>
      <c r="Z53" s="7" t="n">
        <f aca="false">J53/$B53-1</f>
        <v>-0.0164067787766521</v>
      </c>
      <c r="AA53" s="7" t="n">
        <f aca="false">K53/$B53-1</f>
        <v>-0.0105558258438367</v>
      </c>
      <c r="AB53" s="7" t="n">
        <f aca="false">L53/$B53-1</f>
        <v>-0.00543690632226701</v>
      </c>
      <c r="AC53" s="7" t="n">
        <f aca="false">M53/$B53-1</f>
        <v>0.00301013364938285</v>
      </c>
      <c r="AD53" s="7" t="n">
        <f aca="false">N53/$B53-1</f>
        <v>-0.000669287237078597</v>
      </c>
      <c r="AE53" s="7" t="n">
        <f aca="false">O53/$B53-1</f>
        <v>0.00626472511681797</v>
      </c>
      <c r="AF53" s="7" t="n">
        <f aca="false">P53/$B53-1</f>
        <v>0.0114706662702542</v>
      </c>
      <c r="AG53" s="7" t="n">
        <f aca="false">Q53/$B53-1</f>
        <v>0.0200613059214223</v>
      </c>
      <c r="AH53" s="7" t="n">
        <f aca="false">R53/$B53-1</f>
        <v>0.0163193348798909</v>
      </c>
      <c r="AI53" s="7" t="n">
        <f aca="false">S53/$B53-1</f>
        <v>0.0233712254438037</v>
      </c>
      <c r="AJ53" s="7" t="n">
        <f aca="false">T53/$B53-1</f>
        <v>0.0286656675968484</v>
      </c>
      <c r="AK53" s="4"/>
      <c r="AL53" s="4" t="n">
        <f aca="false">SUMPRODUCT(MAX((V53:AJ53&lt;0)*$V$3:$AJ$3))</f>
        <v>9</v>
      </c>
      <c r="AM53" s="10" t="n">
        <f aca="false">IF(AL53=0,0,IF(AL53=15,3.5+IFERROR(LN($B53/T53)/LN(1+SUMIFS('Realpage Data'!$AF$2:$AF$899,'Realpage Data'!$A$2:$A$899,$A53,'Realpage Data'!$F$2:$F$899,"YOY Effective Rent Change")),99),((AL53-1)+INDEX(V53:AJ53,1,AL53)/(INDEX(V53:AJ53,1,AL53)-INDEX(V53:AJ53,1,AL53+1)))/4))</f>
        <v>2.02413059001483</v>
      </c>
      <c r="AN53" s="4" t="str">
        <f aca="false">IF(AL53=15,"†","")</f>
        <v/>
      </c>
    </row>
    <row r="54" customFormat="false" ht="15" hidden="false" customHeight="false" outlineLevel="0" collapsed="false">
      <c r="A54" s="25" t="s">
        <v>71</v>
      </c>
      <c r="B54" s="6" t="n">
        <f aca="false">SUMIFS('Realpage Data'!$R$2:$R$899,'Realpage Data'!$A$2:$A$899,$A54,'Realpage Data'!$F$2:$F$899,"Rent Roll (Rev/OSF)")</f>
        <v>1.62785877365975</v>
      </c>
      <c r="C54" s="6" t="n">
        <f aca="false">SUMIFS('Realpage Data'!$O$2:$O$899,'Realpage Data'!$A$2:$A$899,$A54,'Realpage Data'!$F$2:$F$899,"Effective RPSF")</f>
        <v>1.592</v>
      </c>
      <c r="D54" s="6" t="n">
        <f aca="false">SUMIFS('Realpage Data'!$P$2:$P$899,'Realpage Data'!$A$2:$A$899,$A54,'Realpage Data'!$F$2:$F$899,"Effective RPSF")</f>
        <v>1.56</v>
      </c>
      <c r="E54" s="6" t="n">
        <f aca="false">SUMIFS('Realpage Data'!$Q$2:$Q$899,'Realpage Data'!$A$2:$A$899,$A54,'Realpage Data'!$F$2:$F$899,"Effective RPSF")</f>
        <v>1.554</v>
      </c>
      <c r="F54" s="6" t="n">
        <f aca="false">SUMIFS('Realpage Data'!$R$2:$R$899,'Realpage Data'!$A$2:$A$899,$A54,'Realpage Data'!$F$2:$F$899,"Effective RPSF")</f>
        <v>1.566</v>
      </c>
      <c r="G54" s="6" t="n">
        <f aca="false">C54*(1+SUMIFS('Realpage Data'!$S$2:$S$899,'Realpage Data'!$A$2:$A$899,$A54,'Realpage Data'!$F$2:$F$899,"YOY Effective Rent Change"))</f>
        <v>1.56016</v>
      </c>
      <c r="H54" s="6" t="n">
        <f aca="false">D54*(1+SUMIFS('Realpage Data'!$T$2:$T$899,'Realpage Data'!$A$2:$A$899,$A54,'Realpage Data'!$F$2:$F$899,"YOY Effective Rent Change"))</f>
        <v>1.5366</v>
      </c>
      <c r="I54" s="6" t="n">
        <f aca="false">E54*(1+SUMIFS('Realpage Data'!$U$2:$U$899,'Realpage Data'!$A$2:$A$899,$A54,'Realpage Data'!$F$2:$F$899,"YOY Effective Rent Change"))</f>
        <v>1.53846</v>
      </c>
      <c r="J54" s="6" t="n">
        <f aca="false">F54*(1+SUMIFS('Realpage Data'!$V$2:$V$899,'Realpage Data'!$A$2:$A$899,$A54,'Realpage Data'!$F$2:$F$899,"YOY Effective Rent Change"))</f>
        <v>1.567566</v>
      </c>
      <c r="K54" s="6" t="n">
        <f aca="false">G54*(1+SUMIFS('Realpage Data'!$W$2:$W$899,'Realpage Data'!$A$2:$A$899,$A54,'Realpage Data'!$F$2:$F$899,"YOY Effective Rent Change"))</f>
        <v>1.58200224</v>
      </c>
      <c r="L54" s="6" t="n">
        <f aca="false">H54*(1+SUMIFS('Realpage Data'!$X$2:$X$899,'Realpage Data'!$A$2:$A$899,$A54,'Realpage Data'!$F$2:$F$899,"YOY Effective Rent Change"))</f>
        <v>1.582698</v>
      </c>
      <c r="M54" s="6" t="n">
        <f aca="false">I54*(1+SUMIFS('Realpage Data'!$Y$2:$Y$899,'Realpage Data'!$A$2:$A$899,$A54,'Realpage Data'!$F$2:$F$899,"YOY Effective Rent Change"))</f>
        <v>1.58769072</v>
      </c>
      <c r="N54" s="6" t="n">
        <f aca="false">J54*(1+SUMIFS('Realpage Data'!$Z$2:$Z$899,'Realpage Data'!$A$2:$A$899,$A54,'Realpage Data'!$F$2:$F$899,"YOY Effective Rent Change"))</f>
        <v>1.61459298</v>
      </c>
      <c r="O54" s="6" t="n">
        <f aca="false">K54*(1+SUMIFS('Realpage Data'!$AA$2:$AA$899,'Realpage Data'!$A$2:$A$899,$A54,'Realpage Data'!$F$2:$F$899,"YOY Effective Rent Change"))</f>
        <v>1.63420831392</v>
      </c>
      <c r="P54" s="6" t="n">
        <f aca="false">L54*(1+SUMIFS('Realpage Data'!$AB$2:$AB$899,'Realpage Data'!$A$2:$A$899,$A54,'Realpage Data'!$F$2:$F$899,"YOY Effective Rent Change"))</f>
        <v>1.634927034</v>
      </c>
      <c r="Q54" s="6" t="n">
        <f aca="false">M54*(1+SUMIFS('Realpage Data'!$AC$2:$AC$899,'Realpage Data'!$A$2:$A$899,$A54,'Realpage Data'!$F$2:$F$899,"YOY Effective Rent Change"))</f>
        <v>1.63849682304</v>
      </c>
      <c r="R54" s="6" t="n">
        <f aca="false">N54*(1+SUMIFS('Realpage Data'!$AD$2:$AD$899,'Realpage Data'!$A$2:$A$899,$A54,'Realpage Data'!$F$2:$F$899,"YOY Effective Rent Change"))</f>
        <v>1.6630307694</v>
      </c>
      <c r="S54" s="6" t="n">
        <f aca="false">O54*(1+SUMIFS('Realpage Data'!$AE$2:$AE$899,'Realpage Data'!$A$2:$A$899,$A54,'Realpage Data'!$F$2:$F$899,"YOY Effective Rent Change"))</f>
        <v>1.6832345633376</v>
      </c>
      <c r="T54" s="6" t="n">
        <f aca="false">P54*(1+SUMIFS('Realpage Data'!$AF$2:$AF$899,'Realpage Data'!$A$2:$A$899,$A54,'Realpage Data'!$F$2:$F$899,"YOY Effective Rent Change"))</f>
        <v>1.685609772054</v>
      </c>
      <c r="U54" s="4"/>
      <c r="V54" s="7" t="n">
        <f aca="false">F54/$B54-1</f>
        <v>-0.0380000861626811</v>
      </c>
      <c r="W54" s="7" t="n">
        <f aca="false">G54/$B54-1</f>
        <v>-0.0415876209626875</v>
      </c>
      <c r="X54" s="7" t="n">
        <f aca="false">H54/$B54-1</f>
        <v>-0.0560606209435351</v>
      </c>
      <c r="Y54" s="7" t="n">
        <f aca="false">I54/$B54-1</f>
        <v>-0.0549180156818893</v>
      </c>
      <c r="Z54" s="7" t="n">
        <f aca="false">J54/$B54-1</f>
        <v>-0.037038086248844</v>
      </c>
      <c r="AA54" s="7" t="n">
        <f aca="false">K54/$B54-1</f>
        <v>-0.0281698476561651</v>
      </c>
      <c r="AB54" s="7" t="n">
        <f aca="false">L54/$B54-1</f>
        <v>-0.0277424395718412</v>
      </c>
      <c r="AC54" s="7" t="n">
        <f aca="false">M54/$B54-1</f>
        <v>-0.0246753921837097</v>
      </c>
      <c r="AD54" s="7" t="n">
        <f aca="false">N54/$B54-1</f>
        <v>-0.00814922883630931</v>
      </c>
      <c r="AE54" s="7" t="n">
        <f aca="false">O54/$B54-1</f>
        <v>0.00390054737118128</v>
      </c>
      <c r="AF54" s="7" t="n">
        <f aca="false">P54/$B54-1</f>
        <v>0.00434205992228787</v>
      </c>
      <c r="AG54" s="7" t="n">
        <f aca="false">Q54/$B54-1</f>
        <v>0.00653499526641155</v>
      </c>
      <c r="AH54" s="7" t="n">
        <f aca="false">R54/$B54-1</f>
        <v>0.0216062942986015</v>
      </c>
      <c r="AI54" s="7" t="n">
        <f aca="false">S54/$B54-1</f>
        <v>0.0340175637923168</v>
      </c>
      <c r="AJ54" s="7" t="n">
        <f aca="false">T54/$B54-1</f>
        <v>0.0354766637798787</v>
      </c>
      <c r="AK54" s="4"/>
      <c r="AL54" s="4" t="n">
        <f aca="false">SUMPRODUCT(MAX((V54:AJ54&lt;0)*$V$3:$AJ$3))</f>
        <v>9</v>
      </c>
      <c r="AM54" s="10" t="n">
        <f aca="false">IF(AL54=0,0,IF(AL54=15,3.5+IFERROR(LN($B54/T54)/LN(1+SUMIFS('Realpage Data'!$AF$2:$AF$899,'Realpage Data'!$A$2:$A$899,$A54,'Realpage Data'!$F$2:$F$899,"YOY Effective Rent Change")),99),((AL54-1)+INDEX(V54:AJ54,1,AL54)/(INDEX(V54:AJ54,1,AL54)-INDEX(V54:AJ54,1,AL54+1)))/4))</f>
        <v>2.16907427772898</v>
      </c>
      <c r="AN54" s="4" t="str">
        <f aca="false">IF(AL54=15,"†","")</f>
        <v/>
      </c>
    </row>
    <row r="55" customFormat="false" ht="15" hidden="false" customHeight="false" outlineLevel="0" collapsed="false">
      <c r="A55" s="25" t="s">
        <v>72</v>
      </c>
      <c r="B55" s="6" t="n">
        <f aca="false">SUMIFS('Realpage Data'!$R$2:$R$899,'Realpage Data'!$A$2:$A$899,$A55,'Realpage Data'!$F$2:$F$899,"Rent Roll (Rev/OSF)")</f>
        <v>1.71887327527392</v>
      </c>
      <c r="C55" s="6" t="n">
        <f aca="false">SUMIFS('Realpage Data'!$O$2:$O$899,'Realpage Data'!$A$2:$A$899,$A55,'Realpage Data'!$F$2:$F$899,"Effective RPSF")</f>
        <v>1.68</v>
      </c>
      <c r="D55" s="6" t="n">
        <f aca="false">SUMIFS('Realpage Data'!$P$2:$P$899,'Realpage Data'!$A$2:$A$899,$A55,'Realpage Data'!$F$2:$F$899,"Effective RPSF")</f>
        <v>1.633</v>
      </c>
      <c r="E55" s="6" t="n">
        <f aca="false">SUMIFS('Realpage Data'!$Q$2:$Q$899,'Realpage Data'!$A$2:$A$899,$A55,'Realpage Data'!$F$2:$F$899,"Effective RPSF")</f>
        <v>1.651</v>
      </c>
      <c r="F55" s="6" t="n">
        <f aca="false">SUMIFS('Realpage Data'!$R$2:$R$899,'Realpage Data'!$A$2:$A$899,$A55,'Realpage Data'!$F$2:$F$899,"Effective RPSF")</f>
        <v>1.682</v>
      </c>
      <c r="G55" s="6" t="n">
        <f aca="false">C55*(1+SUMIFS('Realpage Data'!$S$2:$S$899,'Realpage Data'!$A$2:$A$899,$A55,'Realpage Data'!$F$2:$F$899,"YOY Effective Rent Change"))</f>
        <v>1.65144</v>
      </c>
      <c r="H55" s="6" t="n">
        <f aca="false">D55*(1+SUMIFS('Realpage Data'!$T$2:$T$899,'Realpage Data'!$A$2:$A$899,$A55,'Realpage Data'!$F$2:$F$899,"YOY Effective Rent Change"))</f>
        <v>1.631367</v>
      </c>
      <c r="I55" s="6" t="n">
        <f aca="false">E55*(1+SUMIFS('Realpage Data'!$U$2:$U$899,'Realpage Data'!$A$2:$A$899,$A55,'Realpage Data'!$F$2:$F$899,"YOY Effective Rent Change"))</f>
        <v>1.682369</v>
      </c>
      <c r="J55" s="6" t="n">
        <f aca="false">F55*(1+SUMIFS('Realpage Data'!$V$2:$V$899,'Realpage Data'!$A$2:$A$899,$A55,'Realpage Data'!$F$2:$F$899,"YOY Effective Rent Change"))</f>
        <v>1.717322</v>
      </c>
      <c r="K55" s="6" t="n">
        <f aca="false">G55*(1+SUMIFS('Realpage Data'!$W$2:$W$899,'Realpage Data'!$A$2:$A$899,$A55,'Realpage Data'!$F$2:$F$899,"YOY Effective Rent Change"))</f>
        <v>1.69437744</v>
      </c>
      <c r="L55" s="6" t="n">
        <f aca="false">H55*(1+SUMIFS('Realpage Data'!$X$2:$X$899,'Realpage Data'!$A$2:$A$899,$A55,'Realpage Data'!$F$2:$F$899,"YOY Effective Rent Change"))</f>
        <v>1.673782542</v>
      </c>
      <c r="M55" s="6" t="n">
        <f aca="false">I55*(1+SUMIFS('Realpage Data'!$Y$2:$Y$899,'Realpage Data'!$A$2:$A$899,$A55,'Realpage Data'!$F$2:$F$899,"YOY Effective Rent Change"))</f>
        <v>1.717698749</v>
      </c>
      <c r="N55" s="6" t="n">
        <f aca="false">J55*(1+SUMIFS('Realpage Data'!$Z$2:$Z$899,'Realpage Data'!$A$2:$A$899,$A55,'Realpage Data'!$F$2:$F$899,"YOY Effective Rent Change"))</f>
        <v>1.75166844</v>
      </c>
      <c r="O55" s="6" t="n">
        <f aca="false">K55*(1+SUMIFS('Realpage Data'!$AA$2:$AA$899,'Realpage Data'!$A$2:$A$899,$A55,'Realpage Data'!$F$2:$F$899,"YOY Effective Rent Change"))</f>
        <v>1.736736876</v>
      </c>
      <c r="P55" s="6" t="n">
        <f aca="false">L55*(1+SUMIFS('Realpage Data'!$AB$2:$AB$899,'Realpage Data'!$A$2:$A$899,$A55,'Realpage Data'!$F$2:$F$899,"YOY Effective Rent Change"))</f>
        <v>1.713953323008</v>
      </c>
      <c r="Q55" s="6" t="n">
        <f aca="false">M55*(1+SUMIFS('Realpage Data'!$AC$2:$AC$899,'Realpage Data'!$A$2:$A$899,$A55,'Realpage Data'!$F$2:$F$899,"YOY Effective Rent Change"))</f>
        <v>1.748617326482</v>
      </c>
      <c r="R55" s="6" t="n">
        <f aca="false">N55*(1+SUMIFS('Realpage Data'!$AD$2:$AD$899,'Realpage Data'!$A$2:$A$899,$A55,'Realpage Data'!$F$2:$F$899,"YOY Effective Rent Change"))</f>
        <v>1.78144680348</v>
      </c>
      <c r="S55" s="6" t="n">
        <f aca="false">O55*(1+SUMIFS('Realpage Data'!$AE$2:$AE$899,'Realpage Data'!$A$2:$A$899,$A55,'Realpage Data'!$F$2:$F$899,"YOY Effective Rent Change"))</f>
        <v>1.774945087272</v>
      </c>
      <c r="T55" s="6" t="n">
        <f aca="false">P55*(1+SUMIFS('Realpage Data'!$AF$2:$AF$899,'Realpage Data'!$A$2:$A$899,$A55,'Realpage Data'!$F$2:$F$899,"YOY Effective Rent Change"))</f>
        <v>1.75166029611418</v>
      </c>
      <c r="U55" s="4"/>
      <c r="V55" s="7" t="n">
        <f aca="false">F55/$B55-1</f>
        <v>-0.0214520033584442</v>
      </c>
      <c r="W55" s="7" t="n">
        <f aca="false">G55/$B55-1</f>
        <v>-0.0392310918110993</v>
      </c>
      <c r="X55" s="7" t="n">
        <f aca="false">H55/$B55-1</f>
        <v>-0.0509090905843371</v>
      </c>
      <c r="Y55" s="7" t="n">
        <f aca="false">I55/$B55-1</f>
        <v>-0.021237327846696</v>
      </c>
      <c r="Z55" s="7" t="n">
        <f aca="false">J55/$B55-1</f>
        <v>-0.000902495428971584</v>
      </c>
      <c r="AA55" s="7" t="n">
        <f aca="false">K55/$B55-1</f>
        <v>-0.0142511001981879</v>
      </c>
      <c r="AB55" s="7" t="n">
        <f aca="false">L55/$B55-1</f>
        <v>-0.0262327269395298</v>
      </c>
      <c r="AC55" s="7" t="n">
        <f aca="false">M55/$B55-1</f>
        <v>-0.000683311731476732</v>
      </c>
      <c r="AD55" s="7" t="n">
        <f aca="false">N55/$B55-1</f>
        <v>0.0190794546624489</v>
      </c>
      <c r="AE55" s="7" t="n">
        <f aca="false">O55/$B55-1</f>
        <v>0.0103926222968573</v>
      </c>
      <c r="AF55" s="7" t="n">
        <f aca="false">P55/$B55-1</f>
        <v>-0.00286231238607848</v>
      </c>
      <c r="AG55" s="7" t="n">
        <f aca="false">Q55/$B55-1</f>
        <v>0.0173043886573567</v>
      </c>
      <c r="AH55" s="7" t="n">
        <f aca="false">R55/$B55-1</f>
        <v>0.0364038053917104</v>
      </c>
      <c r="AI55" s="7" t="n">
        <f aca="false">S55/$B55-1</f>
        <v>0.0326212599873883</v>
      </c>
      <c r="AJ55" s="7" t="n">
        <f aca="false">T55/$B55-1</f>
        <v>0.0190747167414278</v>
      </c>
      <c r="AK55" s="4"/>
      <c r="AL55" s="4" t="n">
        <f aca="false">SUMPRODUCT(MAX((V55:AJ55&lt;0)*$V$3:$AJ$3))</f>
        <v>11</v>
      </c>
      <c r="AM55" s="10" t="n">
        <f aca="false">IF(AL55=0,0,IF(AL55=15,3.5+IFERROR(LN($B55/T55)/LN(1+SUMIFS('Realpage Data'!$AF$2:$AF$899,'Realpage Data'!$A$2:$A$899,$A55,'Realpage Data'!$F$2:$F$899,"YOY Effective Rent Change")),99),((AL55-1)+INDEX(V55:AJ55,1,AL55)/(INDEX(V55:AJ55,1,AL55)-INDEX(V55:AJ55,1,AL55+1)))/4))</f>
        <v>2.53548315091191</v>
      </c>
      <c r="AN55" s="4" t="str">
        <f aca="false">IF(AL55=15,"†","")</f>
        <v/>
      </c>
    </row>
    <row r="56" customFormat="false" ht="15" hidden="false" customHeight="false" outlineLevel="0" collapsed="false">
      <c r="A56" s="25" t="s">
        <v>73</v>
      </c>
      <c r="B56" s="6" t="n">
        <f aca="false">SUMIFS('Realpage Data'!$R$2:$R$899,'Realpage Data'!$A$2:$A$899,$A56,'Realpage Data'!$F$2:$F$899,"Rent Roll (Rev/OSF)")</f>
        <v>1.5706469805598</v>
      </c>
      <c r="C56" s="6" t="n">
        <f aca="false">SUMIFS('Realpage Data'!$O$2:$O$899,'Realpage Data'!$A$2:$A$899,$A56,'Realpage Data'!$F$2:$F$899,"Effective RPSF")</f>
        <v>1.531</v>
      </c>
      <c r="D56" s="6" t="n">
        <f aca="false">SUMIFS('Realpage Data'!$P$2:$P$899,'Realpage Data'!$A$2:$A$899,$A56,'Realpage Data'!$F$2:$F$899,"Effective RPSF")</f>
        <v>1.489</v>
      </c>
      <c r="E56" s="6" t="n">
        <f aca="false">SUMIFS('Realpage Data'!$Q$2:$Q$899,'Realpage Data'!$A$2:$A$899,$A56,'Realpage Data'!$F$2:$F$899,"Effective RPSF")</f>
        <v>1.497</v>
      </c>
      <c r="F56" s="6" t="n">
        <f aca="false">SUMIFS('Realpage Data'!$R$2:$R$899,'Realpage Data'!$A$2:$A$899,$A56,'Realpage Data'!$F$2:$F$899,"Effective RPSF")</f>
        <v>1.526</v>
      </c>
      <c r="G56" s="6" t="n">
        <f aca="false">C56*(1+SUMIFS('Realpage Data'!$S$2:$S$899,'Realpage Data'!$A$2:$A$899,$A56,'Realpage Data'!$F$2:$F$899,"YOY Effective Rent Change"))</f>
        <v>1.506504</v>
      </c>
      <c r="H56" s="6" t="n">
        <f aca="false">D56*(1+SUMIFS('Realpage Data'!$T$2:$T$899,'Realpage Data'!$A$2:$A$899,$A56,'Realpage Data'!$F$2:$F$899,"YOY Effective Rent Change"))</f>
        <v>1.478577</v>
      </c>
      <c r="I56" s="6" t="n">
        <f aca="false">E56*(1+SUMIFS('Realpage Data'!$U$2:$U$899,'Realpage Data'!$A$2:$A$899,$A56,'Realpage Data'!$F$2:$F$899,"YOY Effective Rent Change"))</f>
        <v>1.504485</v>
      </c>
      <c r="J56" s="6" t="n">
        <f aca="false">F56*(1+SUMIFS('Realpage Data'!$V$2:$V$899,'Realpage Data'!$A$2:$A$899,$A56,'Realpage Data'!$F$2:$F$899,"YOY Effective Rent Change"))</f>
        <v>1.55652</v>
      </c>
      <c r="K56" s="6" t="n">
        <f aca="false">G56*(1+SUMIFS('Realpage Data'!$W$2:$W$899,'Realpage Data'!$A$2:$A$899,$A56,'Realpage Data'!$F$2:$F$899,"YOY Effective Rent Change"))</f>
        <v>1.547179608</v>
      </c>
      <c r="L56" s="6" t="n">
        <f aca="false">H56*(1+SUMIFS('Realpage Data'!$X$2:$X$899,'Realpage Data'!$A$2:$A$899,$A56,'Realpage Data'!$F$2:$F$899,"YOY Effective Rent Change"))</f>
        <v>1.521455733</v>
      </c>
      <c r="M56" s="6" t="n">
        <f aca="false">I56*(1+SUMIFS('Realpage Data'!$Y$2:$Y$899,'Realpage Data'!$A$2:$A$899,$A56,'Realpage Data'!$F$2:$F$899,"YOY Effective Rent Change"))</f>
        <v>1.545106095</v>
      </c>
      <c r="N56" s="6" t="n">
        <f aca="false">J56*(1+SUMIFS('Realpage Data'!$Z$2:$Z$899,'Realpage Data'!$A$2:$A$899,$A56,'Realpage Data'!$F$2:$F$899,"YOY Effective Rent Change"))</f>
        <v>1.59854604</v>
      </c>
      <c r="O56" s="6" t="n">
        <f aca="false">K56*(1+SUMIFS('Realpage Data'!$AA$2:$AA$899,'Realpage Data'!$A$2:$A$899,$A56,'Realpage Data'!$F$2:$F$899,"YOY Effective Rent Change"))</f>
        <v>1.595142175848</v>
      </c>
      <c r="P56" s="6" t="n">
        <f aca="false">L56*(1+SUMIFS('Realpage Data'!$AB$2:$AB$899,'Realpage Data'!$A$2:$A$899,$A56,'Realpage Data'!$F$2:$F$899,"YOY Effective Rent Change"))</f>
        <v>1.56709940499</v>
      </c>
      <c r="Q56" s="6" t="n">
        <f aca="false">M56*(1+SUMIFS('Realpage Data'!$AC$2:$AC$899,'Realpage Data'!$A$2:$A$899,$A56,'Realpage Data'!$F$2:$F$899,"YOY Effective Rent Change"))</f>
        <v>1.59145927785</v>
      </c>
      <c r="R56" s="6" t="n">
        <f aca="false">N56*(1+SUMIFS('Realpage Data'!$AD$2:$AD$899,'Realpage Data'!$A$2:$A$899,$A56,'Realpage Data'!$F$2:$F$899,"YOY Effective Rent Change"))</f>
        <v>1.64490387516</v>
      </c>
      <c r="S56" s="6" t="n">
        <f aca="false">O56*(1+SUMIFS('Realpage Data'!$AE$2:$AE$899,'Realpage Data'!$A$2:$A$899,$A56,'Realpage Data'!$F$2:$F$899,"YOY Effective Rent Change"))</f>
        <v>1.64618672547514</v>
      </c>
      <c r="T56" s="6" t="n">
        <f aca="false">P56*(1+SUMIFS('Realpage Data'!$AF$2:$AF$899,'Realpage Data'!$A$2:$A$899,$A56,'Realpage Data'!$F$2:$F$899,"YOY Effective Rent Change"))</f>
        <v>1.61881368535467</v>
      </c>
      <c r="U56" s="4"/>
      <c r="V56" s="7" t="n">
        <f aca="false">F56/$B56-1</f>
        <v>-0.02842585323908</v>
      </c>
      <c r="W56" s="7" t="n">
        <f aca="false">G56/$B56-1</f>
        <v>-0.0408385724823638</v>
      </c>
      <c r="X56" s="7" t="n">
        <f aca="false">H56/$B56-1</f>
        <v>-0.0586191433844555</v>
      </c>
      <c r="Y56" s="7" t="n">
        <f aca="false">I56/$B56-1</f>
        <v>-0.0421240300199197</v>
      </c>
      <c r="Z56" s="7" t="n">
        <f aca="false">J56/$B56-1</f>
        <v>-0.00899437030386152</v>
      </c>
      <c r="AA56" s="7" t="n">
        <f aca="false">K56/$B56-1</f>
        <v>-0.0149412139393876</v>
      </c>
      <c r="AB56" s="7" t="n">
        <f aca="false">L56/$B56-1</f>
        <v>-0.0313190985426048</v>
      </c>
      <c r="AC56" s="7" t="n">
        <f aca="false">M56/$B56-1</f>
        <v>-0.0162613788304575</v>
      </c>
      <c r="AD56" s="7" t="n">
        <f aca="false">N56/$B56-1</f>
        <v>0.0177627816979342</v>
      </c>
      <c r="AE56" s="7" t="n">
        <f aca="false">O56/$B56-1</f>
        <v>0.0155956084284912</v>
      </c>
      <c r="AF56" s="7" t="n">
        <f aca="false">P56/$B56-1</f>
        <v>-0.00225867149888304</v>
      </c>
      <c r="AG56" s="7" t="n">
        <f aca="false">Q56/$B56-1</f>
        <v>0.0132507798046289</v>
      </c>
      <c r="AH56" s="7" t="n">
        <f aca="false">R56/$B56-1</f>
        <v>0.0472779023671741</v>
      </c>
      <c r="AI56" s="7" t="n">
        <f aca="false">S56/$B56-1</f>
        <v>0.0480946678982031</v>
      </c>
      <c r="AJ56" s="7" t="n">
        <f aca="false">T56/$B56-1</f>
        <v>0.0306667923416537</v>
      </c>
      <c r="AK56" s="4"/>
      <c r="AL56" s="4" t="n">
        <f aca="false">SUMPRODUCT(MAX((V56:AJ56&lt;0)*$V$3:$AJ$3))</f>
        <v>11</v>
      </c>
      <c r="AM56" s="10" t="n">
        <f aca="false">IF(AL56=0,0,IF(AL56=15,3.5+IFERROR(LN($B56/T56)/LN(1+SUMIFS('Realpage Data'!$AF$2:$AF$899,'Realpage Data'!$A$2:$A$899,$A56,'Realpage Data'!$F$2:$F$899,"YOY Effective Rent Change")),99),((AL56-1)+INDEX(V56:AJ56,1,AL56)/(INDEX(V56:AJ56,1,AL56)-INDEX(V56:AJ56,1,AL56+1)))/4))</f>
        <v>2.53640798527753</v>
      </c>
      <c r="AN56" s="4" t="str">
        <f aca="false">IF(AL56=15,"†","")</f>
        <v/>
      </c>
    </row>
    <row r="57" customFormat="false" ht="15" hidden="false" customHeight="false" outlineLevel="0" collapsed="false">
      <c r="A57" s="25" t="s">
        <v>74</v>
      </c>
      <c r="B57" s="6" t="n">
        <f aca="false">SUMIFS('Realpage Data'!$R$2:$R$899,'Realpage Data'!$A$2:$A$899,$A57,'Realpage Data'!$F$2:$F$899,"Rent Roll (Rev/OSF)")</f>
        <v>1.30107974412754</v>
      </c>
      <c r="C57" s="6" t="n">
        <f aca="false">SUMIFS('Realpage Data'!$O$2:$O$899,'Realpage Data'!$A$2:$A$899,$A57,'Realpage Data'!$F$2:$F$899,"Effective RPSF")</f>
        <v>1.22</v>
      </c>
      <c r="D57" s="6" t="n">
        <f aca="false">SUMIFS('Realpage Data'!$P$2:$P$899,'Realpage Data'!$A$2:$A$899,$A57,'Realpage Data'!$F$2:$F$899,"Effective RPSF")</f>
        <v>1.218</v>
      </c>
      <c r="E57" s="6" t="n">
        <f aca="false">SUMIFS('Realpage Data'!$Q$2:$Q$899,'Realpage Data'!$A$2:$A$899,$A57,'Realpage Data'!$F$2:$F$899,"Effective RPSF")</f>
        <v>1.224</v>
      </c>
      <c r="F57" s="6" t="n">
        <f aca="false">SUMIFS('Realpage Data'!$R$2:$R$899,'Realpage Data'!$A$2:$A$899,$A57,'Realpage Data'!$F$2:$F$899,"Effective RPSF")</f>
        <v>1.235</v>
      </c>
      <c r="G57" s="6" t="n">
        <f aca="false">C57*(1+SUMIFS('Realpage Data'!$S$2:$S$899,'Realpage Data'!$A$2:$A$899,$A57,'Realpage Data'!$F$2:$F$899,"YOY Effective Rent Change"))</f>
        <v>1.23464</v>
      </c>
      <c r="H57" s="6" t="n">
        <f aca="false">D57*(1+SUMIFS('Realpage Data'!$T$2:$T$899,'Realpage Data'!$A$2:$A$899,$A57,'Realpage Data'!$F$2:$F$899,"YOY Effective Rent Change"))</f>
        <v>1.239924</v>
      </c>
      <c r="I57" s="6" t="n">
        <f aca="false">E57*(1+SUMIFS('Realpage Data'!$U$2:$U$899,'Realpage Data'!$A$2:$A$899,$A57,'Realpage Data'!$F$2:$F$899,"YOY Effective Rent Change"))</f>
        <v>1.259496</v>
      </c>
      <c r="J57" s="6" t="n">
        <f aca="false">F57*(1+SUMIFS('Realpage Data'!$V$2:$V$899,'Realpage Data'!$A$2:$A$899,$A57,'Realpage Data'!$F$2:$F$899,"YOY Effective Rent Change"))</f>
        <v>1.270815</v>
      </c>
      <c r="K57" s="6" t="n">
        <f aca="false">G57*(1+SUMIFS('Realpage Data'!$W$2:$W$899,'Realpage Data'!$A$2:$A$899,$A57,'Realpage Data'!$F$2:$F$899,"YOY Effective Rent Change"))</f>
        <v>1.26797528</v>
      </c>
      <c r="L57" s="6" t="n">
        <f aca="false">H57*(1+SUMIFS('Realpage Data'!$X$2:$X$899,'Realpage Data'!$A$2:$A$899,$A57,'Realpage Data'!$F$2:$F$899,"YOY Effective Rent Change"))</f>
        <v>1.272162024</v>
      </c>
      <c r="M57" s="6" t="n">
        <f aca="false">I57*(1+SUMIFS('Realpage Data'!$Y$2:$Y$899,'Realpage Data'!$A$2:$A$899,$A57,'Realpage Data'!$F$2:$F$899,"YOY Effective Rent Change"))</f>
        <v>1.289723904</v>
      </c>
      <c r="N57" s="6" t="n">
        <f aca="false">J57*(1+SUMIFS('Realpage Data'!$Z$2:$Z$899,'Realpage Data'!$A$2:$A$899,$A57,'Realpage Data'!$F$2:$F$899,"YOY Effective Rent Change"))</f>
        <v>1.300043745</v>
      </c>
      <c r="O57" s="6" t="n">
        <f aca="false">K57*(1+SUMIFS('Realpage Data'!$AA$2:$AA$899,'Realpage Data'!$A$2:$A$899,$A57,'Realpage Data'!$F$2:$F$899,"YOY Effective Rent Change"))</f>
        <v>1.29587073616</v>
      </c>
      <c r="P57" s="6" t="n">
        <f aca="false">L57*(1+SUMIFS('Realpage Data'!$AB$2:$AB$899,'Realpage Data'!$A$2:$A$899,$A57,'Realpage Data'!$F$2:$F$899,"YOY Effective Rent Change"))</f>
        <v>1.29760526448</v>
      </c>
      <c r="Q57" s="6" t="n">
        <f aca="false">M57*(1+SUMIFS('Realpage Data'!$AC$2:$AC$899,'Realpage Data'!$A$2:$A$899,$A57,'Realpage Data'!$F$2:$F$899,"YOY Effective Rent Change"))</f>
        <v>1.31551838208</v>
      </c>
      <c r="R57" s="6" t="n">
        <f aca="false">N57*(1+SUMIFS('Realpage Data'!$AD$2:$AD$899,'Realpage Data'!$A$2:$A$899,$A57,'Realpage Data'!$F$2:$F$899,"YOY Effective Rent Change"))</f>
        <v>1.324744576155</v>
      </c>
      <c r="S57" s="6" t="n">
        <f aca="false">O57*(1+SUMIFS('Realpage Data'!$AE$2:$AE$899,'Realpage Data'!$A$2:$A$899,$A57,'Realpage Data'!$F$2:$F$899,"YOY Effective Rent Change"))</f>
        <v>1.32049228014704</v>
      </c>
      <c r="T57" s="6" t="n">
        <f aca="false">P57*(1+SUMIFS('Realpage Data'!$AF$2:$AF$899,'Realpage Data'!$A$2:$A$899,$A57,'Realpage Data'!$F$2:$F$899,"YOY Effective Rent Change"))</f>
        <v>1.3235573697696</v>
      </c>
      <c r="U57" s="4"/>
      <c r="V57" s="7" t="n">
        <f aca="false">F57/$B57-1</f>
        <v>-0.0507883889713882</v>
      </c>
      <c r="W57" s="7" t="n">
        <f aca="false">G57/$B57-1</f>
        <v>-0.0510650822345221</v>
      </c>
      <c r="X57" s="7" t="n">
        <f aca="false">H57/$B57-1</f>
        <v>-0.0470038400056352</v>
      </c>
      <c r="Y57" s="7" t="n">
        <f aca="false">I57/$B57-1</f>
        <v>-0.0319609495999251</v>
      </c>
      <c r="Z57" s="7" t="n">
        <f aca="false">J57/$B57-1</f>
        <v>-0.0232612522515584</v>
      </c>
      <c r="AA57" s="7" t="n">
        <f aca="false">K57/$B57-1</f>
        <v>-0.0254438394548542</v>
      </c>
      <c r="AB57" s="7" t="n">
        <f aca="false">L57/$B57-1</f>
        <v>-0.0222259398457817</v>
      </c>
      <c r="AC57" s="7" t="n">
        <f aca="false">M57/$B57-1</f>
        <v>-0.00872801239032339</v>
      </c>
      <c r="AD57" s="7" t="n">
        <f aca="false">N57/$B57-1</f>
        <v>-0.000796261053344294</v>
      </c>
      <c r="AE57" s="7" t="n">
        <f aca="false">O57/$B57-1</f>
        <v>-0.00400360392286092</v>
      </c>
      <c r="AF57" s="7" t="n">
        <f aca="false">P57/$B57-1</f>
        <v>-0.00267045864269733</v>
      </c>
      <c r="AG57" s="7" t="n">
        <f aca="false">Q57/$B57-1</f>
        <v>0.0110974273618702</v>
      </c>
      <c r="AH57" s="7" t="n">
        <f aca="false">R57/$B57-1</f>
        <v>0.018188609986642</v>
      </c>
      <c r="AI57" s="7" t="n">
        <f aca="false">S57/$B57-1</f>
        <v>0.0149203276026046</v>
      </c>
      <c r="AJ57" s="7" t="n">
        <f aca="false">T57/$B57-1</f>
        <v>0.0172761321844488</v>
      </c>
      <c r="AK57" s="4"/>
      <c r="AL57" s="4" t="n">
        <f aca="false">SUMPRODUCT(MAX((V57:AJ57&lt;0)*$V$3:$AJ$3))</f>
        <v>11</v>
      </c>
      <c r="AM57" s="10" t="n">
        <f aca="false">IF(AL57=0,0,IF(AL57=15,3.5+IFERROR(LN($B57/T57)/LN(1+SUMIFS('Realpage Data'!$AF$2:$AF$899,'Realpage Data'!$A$2:$A$899,$A57,'Realpage Data'!$F$2:$F$899,"YOY Effective Rent Change")),99),((AL57-1)+INDEX(V57:AJ57,1,AL57)/(INDEX(V57:AJ57,1,AL57)-INDEX(V57:AJ57,1,AL57+1)))/4))</f>
        <v>2.54849071676311</v>
      </c>
      <c r="AN57" s="4" t="str">
        <f aca="false">IF(AL57=15,"†","")</f>
        <v/>
      </c>
    </row>
    <row r="58" customFormat="false" ht="15" hidden="false" customHeight="false" outlineLevel="0" collapsed="false">
      <c r="A58" s="25" t="s">
        <v>75</v>
      </c>
      <c r="B58" s="6" t="n">
        <f aca="false">SUMIFS('Realpage Data'!$R$2:$R$899,'Realpage Data'!$A$2:$A$899,$A58,'Realpage Data'!$F$2:$F$899,"Rent Roll (Rev/OSF)")</f>
        <v>1.73984624480331</v>
      </c>
      <c r="C58" s="6" t="n">
        <f aca="false">SUMIFS('Realpage Data'!$O$2:$O$899,'Realpage Data'!$A$2:$A$899,$A58,'Realpage Data'!$F$2:$F$899,"Effective RPSF")</f>
        <v>1.705</v>
      </c>
      <c r="D58" s="6" t="n">
        <f aca="false">SUMIFS('Realpage Data'!$P$2:$P$899,'Realpage Data'!$A$2:$A$899,$A58,'Realpage Data'!$F$2:$F$899,"Effective RPSF")</f>
        <v>1.658</v>
      </c>
      <c r="E58" s="6" t="n">
        <f aca="false">SUMIFS('Realpage Data'!$Q$2:$Q$899,'Realpage Data'!$A$2:$A$899,$A58,'Realpage Data'!$F$2:$F$899,"Effective RPSF")</f>
        <v>1.665</v>
      </c>
      <c r="F58" s="6" t="n">
        <f aca="false">SUMIFS('Realpage Data'!$R$2:$R$899,'Realpage Data'!$A$2:$A$899,$A58,'Realpage Data'!$F$2:$F$899,"Effective RPSF")</f>
        <v>1.677</v>
      </c>
      <c r="G58" s="6" t="n">
        <f aca="false">C58*(1+SUMIFS('Realpage Data'!$S$2:$S$899,'Realpage Data'!$A$2:$A$899,$A58,'Realpage Data'!$F$2:$F$899,"YOY Effective Rent Change"))</f>
        <v>1.65044</v>
      </c>
      <c r="H58" s="6" t="n">
        <f aca="false">D58*(1+SUMIFS('Realpage Data'!$T$2:$T$899,'Realpage Data'!$A$2:$A$899,$A58,'Realpage Data'!$F$2:$F$899,"YOY Effective Rent Change"))</f>
        <v>1.623182</v>
      </c>
      <c r="I58" s="6" t="n">
        <f aca="false">E58*(1+SUMIFS('Realpage Data'!$U$2:$U$899,'Realpage Data'!$A$2:$A$899,$A58,'Realpage Data'!$F$2:$F$899,"YOY Effective Rent Change"))</f>
        <v>1.64835</v>
      </c>
      <c r="J58" s="6" t="n">
        <f aca="false">F58*(1+SUMIFS('Realpage Data'!$V$2:$V$899,'Realpage Data'!$A$2:$A$899,$A58,'Realpage Data'!$F$2:$F$899,"YOY Effective Rent Change"))</f>
        <v>1.695447</v>
      </c>
      <c r="K58" s="6" t="n">
        <f aca="false">G58*(1+SUMIFS('Realpage Data'!$W$2:$W$899,'Realpage Data'!$A$2:$A$899,$A58,'Realpage Data'!$F$2:$F$899,"YOY Effective Rent Change"))</f>
        <v>1.70325408</v>
      </c>
      <c r="L58" s="6" t="n">
        <f aca="false">H58*(1+SUMIFS('Realpage Data'!$X$2:$X$899,'Realpage Data'!$A$2:$A$899,$A58,'Realpage Data'!$F$2:$F$899,"YOY Effective Rent Change"))</f>
        <v>1.670254278</v>
      </c>
      <c r="M58" s="6" t="n">
        <f aca="false">I58*(1+SUMIFS('Realpage Data'!$Y$2:$Y$899,'Realpage Data'!$A$2:$A$899,$A58,'Realpage Data'!$F$2:$F$899,"YOY Effective Rent Change"))</f>
        <v>1.69285545</v>
      </c>
      <c r="N58" s="6" t="n">
        <f aca="false">J58*(1+SUMIFS('Realpage Data'!$Z$2:$Z$899,'Realpage Data'!$A$2:$A$899,$A58,'Realpage Data'!$F$2:$F$899,"YOY Effective Rent Change"))</f>
        <v>1.744614963</v>
      </c>
      <c r="O58" s="6" t="n">
        <f aca="false">K58*(1+SUMIFS('Realpage Data'!$AA$2:$AA$899,'Realpage Data'!$A$2:$A$899,$A58,'Realpage Data'!$F$2:$F$899,"YOY Effective Rent Change"))</f>
        <v>1.76627448096</v>
      </c>
      <c r="P58" s="6" t="n">
        <f aca="false">L58*(1+SUMIFS('Realpage Data'!$AB$2:$AB$899,'Realpage Data'!$A$2:$A$899,$A58,'Realpage Data'!$F$2:$F$899,"YOY Effective Rent Change"))</f>
        <v>1.735394194842</v>
      </c>
      <c r="Q58" s="6" t="n">
        <f aca="false">M58*(1+SUMIFS('Realpage Data'!$AC$2:$AC$899,'Realpage Data'!$A$2:$A$899,$A58,'Realpage Data'!$F$2:$F$899,"YOY Effective Rent Change"))</f>
        <v>1.7537982462</v>
      </c>
      <c r="R58" s="6" t="n">
        <f aca="false">N58*(1+SUMIFS('Realpage Data'!$AD$2:$AD$899,'Realpage Data'!$A$2:$A$899,$A58,'Realpage Data'!$F$2:$F$899,"YOY Effective Rent Change"))</f>
        <v>1.807421101668</v>
      </c>
      <c r="S58" s="6" t="n">
        <f aca="false">O58*(1+SUMIFS('Realpage Data'!$AE$2:$AE$899,'Realpage Data'!$A$2:$A$899,$A58,'Realpage Data'!$F$2:$F$899,"YOY Effective Rent Change"))</f>
        <v>1.8369254601984</v>
      </c>
      <c r="T58" s="6" t="n">
        <f aca="false">P58*(1+SUMIFS('Realpage Data'!$AF$2:$AF$899,'Realpage Data'!$A$2:$A$899,$A58,'Realpage Data'!$F$2:$F$899,"YOY Effective Rent Change"))</f>
        <v>1.80828075102536</v>
      </c>
      <c r="U58" s="4"/>
      <c r="V58" s="7" t="n">
        <f aca="false">F58/$B58-1</f>
        <v>-0.0361217233942474</v>
      </c>
      <c r="W58" s="7" t="n">
        <f aca="false">G58/$B58-1</f>
        <v>-0.0513874401662502</v>
      </c>
      <c r="X58" s="7" t="n">
        <f aca="false">H58/$B58-1</f>
        <v>-0.0670543418142644</v>
      </c>
      <c r="Y58" s="7" t="n">
        <f aca="false">I58/$B58-1</f>
        <v>-0.0525886957405531</v>
      </c>
      <c r="Z58" s="7" t="n">
        <f aca="false">J58/$B58-1</f>
        <v>-0.0255190623515841</v>
      </c>
      <c r="AA58" s="7" t="n">
        <f aca="false">K58/$B58-1</f>
        <v>-0.0210318382515701</v>
      </c>
      <c r="AB58" s="7" t="n">
        <f aca="false">L58/$B58-1</f>
        <v>-0.039998917726878</v>
      </c>
      <c r="AC58" s="7" t="n">
        <f aca="false">M58/$B58-1</f>
        <v>-0.0270085905255482</v>
      </c>
      <c r="AD58" s="7" t="n">
        <f aca="false">N58/$B58-1</f>
        <v>0.00274088484021995</v>
      </c>
      <c r="AE58" s="7" t="n">
        <f aca="false">O58/$B58-1</f>
        <v>0.0151899837331217</v>
      </c>
      <c r="AF58" s="7" t="n">
        <f aca="false">P58/$B58-1</f>
        <v>-0.00255887551822631</v>
      </c>
      <c r="AG58" s="7" t="n">
        <f aca="false">Q58/$B58-1</f>
        <v>0.00801910021553209</v>
      </c>
      <c r="AH58" s="7" t="n">
        <f aca="false">R58/$B58-1</f>
        <v>0.0388395566944679</v>
      </c>
      <c r="AI58" s="7" t="n">
        <f aca="false">S58/$B58-1</f>
        <v>0.0557975830824466</v>
      </c>
      <c r="AJ58" s="7" t="n">
        <f aca="false">T58/$B58-1</f>
        <v>0.0393336517100082</v>
      </c>
      <c r="AK58" s="4"/>
      <c r="AL58" s="4" t="n">
        <f aca="false">SUMPRODUCT(MAX((V58:AJ58&lt;0)*$V$3:$AJ$3))</f>
        <v>11</v>
      </c>
      <c r="AM58" s="10" t="n">
        <f aca="false">IF(AL58=0,0,IF(AL58=15,3.5+IFERROR(LN($B58/T58)/LN(1+SUMIFS('Realpage Data'!$AF$2:$AF$899,'Realpage Data'!$A$2:$A$899,$A58,'Realpage Data'!$F$2:$F$899,"YOY Effective Rent Change")),99),((AL58-1)+INDEX(V58:AJ58,1,AL58)/(INDEX(V58:AJ58,1,AL58)-INDEX(V58:AJ58,1,AL58+1)))/4))</f>
        <v>2.56047649339136</v>
      </c>
      <c r="AN58" s="4" t="str">
        <f aca="false">IF(AL58=15,"†","")</f>
        <v/>
      </c>
    </row>
    <row r="59" customFormat="false" ht="15" hidden="false" customHeight="false" outlineLevel="0" collapsed="false">
      <c r="A59" s="25" t="s">
        <v>76</v>
      </c>
      <c r="B59" s="6" t="n">
        <f aca="false">SUMIFS('Realpage Data'!$R$2:$R$899,'Realpage Data'!$A$2:$A$899,$A59,'Realpage Data'!$F$2:$F$899,"Rent Roll (Rev/OSF)")</f>
        <v>1.32820557815482</v>
      </c>
      <c r="C59" s="6" t="n">
        <f aca="false">SUMIFS('Realpage Data'!$O$2:$O$899,'Realpage Data'!$A$2:$A$899,$A59,'Realpage Data'!$F$2:$F$899,"Effective RPSF")</f>
        <v>1.286</v>
      </c>
      <c r="D59" s="6" t="n">
        <f aca="false">SUMIFS('Realpage Data'!$P$2:$P$899,'Realpage Data'!$A$2:$A$899,$A59,'Realpage Data'!$F$2:$F$899,"Effective RPSF")</f>
        <v>1.253</v>
      </c>
      <c r="E59" s="6" t="n">
        <f aca="false">SUMIFS('Realpage Data'!$Q$2:$Q$899,'Realpage Data'!$A$2:$A$899,$A59,'Realpage Data'!$F$2:$F$899,"Effective RPSF")</f>
        <v>1.272</v>
      </c>
      <c r="F59" s="6" t="n">
        <f aca="false">SUMIFS('Realpage Data'!$R$2:$R$899,'Realpage Data'!$A$2:$A$899,$A59,'Realpage Data'!$F$2:$F$899,"Effective RPSF")</f>
        <v>1.297</v>
      </c>
      <c r="G59" s="6" t="n">
        <f aca="false">C59*(1+SUMIFS('Realpage Data'!$S$2:$S$899,'Realpage Data'!$A$2:$A$899,$A59,'Realpage Data'!$F$2:$F$899,"YOY Effective Rent Change"))</f>
        <v>1.278284</v>
      </c>
      <c r="H59" s="6" t="n">
        <f aca="false">D59*(1+SUMIFS('Realpage Data'!$T$2:$T$899,'Realpage Data'!$A$2:$A$899,$A59,'Realpage Data'!$F$2:$F$899,"YOY Effective Rent Change"))</f>
        <v>1.253</v>
      </c>
      <c r="I59" s="6" t="n">
        <f aca="false">E59*(1+SUMIFS('Realpage Data'!$U$2:$U$899,'Realpage Data'!$A$2:$A$899,$A59,'Realpage Data'!$F$2:$F$899,"YOY Effective Rent Change"))</f>
        <v>1.283448</v>
      </c>
      <c r="J59" s="6" t="n">
        <f aca="false">F59*(1+SUMIFS('Realpage Data'!$V$2:$V$899,'Realpage Data'!$A$2:$A$899,$A59,'Realpage Data'!$F$2:$F$899,"YOY Effective Rent Change"))</f>
        <v>1.324237</v>
      </c>
      <c r="K59" s="6" t="n">
        <f aca="false">G59*(1+SUMIFS('Realpage Data'!$W$2:$W$899,'Realpage Data'!$A$2:$A$899,$A59,'Realpage Data'!$F$2:$F$899,"YOY Effective Rent Change"))</f>
        <v>1.311519384</v>
      </c>
      <c r="L59" s="6" t="n">
        <f aca="false">H59*(1+SUMIFS('Realpage Data'!$X$2:$X$899,'Realpage Data'!$A$2:$A$899,$A59,'Realpage Data'!$F$2:$F$899,"YOY Effective Rent Change"))</f>
        <v>1.283072</v>
      </c>
      <c r="M59" s="6" t="n">
        <f aca="false">I59*(1+SUMIFS('Realpage Data'!$Y$2:$Y$899,'Realpage Data'!$A$2:$A$899,$A59,'Realpage Data'!$F$2:$F$899,"YOY Effective Rent Change"))</f>
        <v>1.312967304</v>
      </c>
      <c r="N59" s="6" t="n">
        <f aca="false">J59*(1+SUMIFS('Realpage Data'!$Z$2:$Z$899,'Realpage Data'!$A$2:$A$899,$A59,'Realpage Data'!$F$2:$F$899,"YOY Effective Rent Change"))</f>
        <v>1.356018688</v>
      </c>
      <c r="O59" s="6" t="n">
        <f aca="false">K59*(1+SUMIFS('Realpage Data'!$AA$2:$AA$899,'Realpage Data'!$A$2:$A$899,$A59,'Realpage Data'!$F$2:$F$899,"YOY Effective Rent Change"))</f>
        <v>1.3443073686</v>
      </c>
      <c r="P59" s="6" t="n">
        <f aca="false">L59*(1+SUMIFS('Realpage Data'!$AB$2:$AB$899,'Realpage Data'!$A$2:$A$899,$A59,'Realpage Data'!$F$2:$F$899,"YOY Effective Rent Change"))</f>
        <v>1.316431872</v>
      </c>
      <c r="Q59" s="6" t="n">
        <f aca="false">M59*(1+SUMIFS('Realpage Data'!$AC$2:$AC$899,'Realpage Data'!$A$2:$A$899,$A59,'Realpage Data'!$F$2:$F$899,"YOY Effective Rent Change"))</f>
        <v>1.3457914866</v>
      </c>
      <c r="R59" s="6" t="n">
        <f aca="false">N59*(1+SUMIFS('Realpage Data'!$AD$2:$AD$899,'Realpage Data'!$A$2:$A$899,$A59,'Realpage Data'!$F$2:$F$899,"YOY Effective Rent Change"))</f>
        <v>1.3899191552</v>
      </c>
      <c r="S59" s="6" t="n">
        <f aca="false">O59*(1+SUMIFS('Realpage Data'!$AE$2:$AE$899,'Realpage Data'!$A$2:$A$899,$A59,'Realpage Data'!$F$2:$F$899,"YOY Effective Rent Change"))</f>
        <v>1.3792593601836</v>
      </c>
      <c r="T59" s="6" t="n">
        <f aca="false">P59*(1+SUMIFS('Realpage Data'!$AF$2:$AF$899,'Realpage Data'!$A$2:$A$899,$A59,'Realpage Data'!$F$2:$F$899,"YOY Effective Rent Change"))</f>
        <v>1.351975532544</v>
      </c>
      <c r="U59" s="4"/>
      <c r="V59" s="7" t="n">
        <f aca="false">F59/$B59-1</f>
        <v>-0.0234945393002866</v>
      </c>
      <c r="W59" s="7" t="n">
        <f aca="false">G59/$B59-1</f>
        <v>-0.0375857314378777</v>
      </c>
      <c r="X59" s="7" t="n">
        <f aca="false">H59/$B59-1</f>
        <v>-0.0566219412052884</v>
      </c>
      <c r="Y59" s="7" t="n">
        <f aca="false">I59/$B59-1</f>
        <v>-0.0336977790870271</v>
      </c>
      <c r="Z59" s="7" t="n">
        <f aca="false">J59/$B59-1</f>
        <v>-0.00298792462559261</v>
      </c>
      <c r="AA59" s="7" t="n">
        <f aca="false">K59/$B59-1</f>
        <v>-0.0125629604552626</v>
      </c>
      <c r="AB59" s="7" t="n">
        <f aca="false">L59/$B59-1</f>
        <v>-0.0339808677942153</v>
      </c>
      <c r="AC59" s="7" t="n">
        <f aca="false">M59/$B59-1</f>
        <v>-0.0114728280060288</v>
      </c>
      <c r="AD59" s="7" t="n">
        <f aca="false">N59/$B59-1</f>
        <v>0.020940365183393</v>
      </c>
      <c r="AE59" s="7" t="n">
        <f aca="false">O59/$B59-1</f>
        <v>0.0121229655333557</v>
      </c>
      <c r="AF59" s="7" t="n">
        <f aca="false">P59/$B59-1</f>
        <v>-0.00886437035686472</v>
      </c>
      <c r="AG59" s="7" t="n">
        <f aca="false">Q59/$B59-1</f>
        <v>0.0132403512938204</v>
      </c>
      <c r="AH59" s="7" t="n">
        <f aca="false">R59/$B59-1</f>
        <v>0.0464638743129779</v>
      </c>
      <c r="AI59" s="7" t="n">
        <f aca="false">S59/$B59-1</f>
        <v>0.038438162637223</v>
      </c>
      <c r="AJ59" s="7" t="n">
        <f aca="false">T59/$B59-1</f>
        <v>0.0178962916434997</v>
      </c>
      <c r="AK59" s="4"/>
      <c r="AL59" s="4" t="n">
        <f aca="false">SUMPRODUCT(MAX((V59:AJ59&lt;0)*$V$3:$AJ$3))</f>
        <v>11</v>
      </c>
      <c r="AM59" s="10" t="n">
        <f aca="false">IF(AL59=0,0,IF(AL59=15,3.5+IFERROR(LN($B59/T59)/LN(1+SUMIFS('Realpage Data'!$AF$2:$AF$899,'Realpage Data'!$A$2:$A$899,$A59,'Realpage Data'!$F$2:$F$899,"YOY Effective Rent Change")),99),((AL59-1)+INDEX(V59:AJ59,1,AL59)/(INDEX(V59:AJ59,1,AL59)-INDEX(V59:AJ59,1,AL59+1)))/4))</f>
        <v>2.6002542635115</v>
      </c>
      <c r="AN59" s="4" t="str">
        <f aca="false">IF(AL59=15,"†","")</f>
        <v/>
      </c>
    </row>
    <row r="60" customFormat="false" ht="15" hidden="false" customHeight="false" outlineLevel="0" collapsed="false">
      <c r="A60" s="25" t="s">
        <v>77</v>
      </c>
      <c r="B60" s="6" t="n">
        <f aca="false">SUMIFS('Realpage Data'!$R$2:$R$899,'Realpage Data'!$A$2:$A$899,$A60,'Realpage Data'!$F$2:$F$899,"Rent Roll (Rev/OSF)")</f>
        <v>1.99393638589742</v>
      </c>
      <c r="C60" s="6" t="n">
        <f aca="false">SUMIFS('Realpage Data'!$O$2:$O$899,'Realpage Data'!$A$2:$A$899,$A60,'Realpage Data'!$F$2:$F$899,"Effective RPSF")</f>
        <v>1.925</v>
      </c>
      <c r="D60" s="6" t="n">
        <f aca="false">SUMIFS('Realpage Data'!$P$2:$P$899,'Realpage Data'!$A$2:$A$899,$A60,'Realpage Data'!$F$2:$F$899,"Effective RPSF")</f>
        <v>1.875</v>
      </c>
      <c r="E60" s="6" t="n">
        <f aca="false">SUMIFS('Realpage Data'!$Q$2:$Q$899,'Realpage Data'!$A$2:$A$899,$A60,'Realpage Data'!$F$2:$F$899,"Effective RPSF")</f>
        <v>1.876</v>
      </c>
      <c r="F60" s="6" t="n">
        <f aca="false">SUMIFS('Realpage Data'!$R$2:$R$899,'Realpage Data'!$A$2:$A$899,$A60,'Realpage Data'!$F$2:$F$899,"Effective RPSF")</f>
        <v>1.874</v>
      </c>
      <c r="G60" s="6" t="n">
        <f aca="false">C60*(1+SUMIFS('Realpage Data'!$S$2:$S$899,'Realpage Data'!$A$2:$A$899,$A60,'Realpage Data'!$F$2:$F$899,"YOY Effective Rent Change"))</f>
        <v>1.849925</v>
      </c>
      <c r="H60" s="6" t="n">
        <f aca="false">D60*(1+SUMIFS('Realpage Data'!$T$2:$T$899,'Realpage Data'!$A$2:$A$899,$A60,'Realpage Data'!$F$2:$F$899,"YOY Effective Rent Change"))</f>
        <v>1.8225</v>
      </c>
      <c r="I60" s="6" t="n">
        <f aca="false">E60*(1+SUMIFS('Realpage Data'!$U$2:$U$899,'Realpage Data'!$A$2:$A$899,$A60,'Realpage Data'!$F$2:$F$899,"YOY Effective Rent Change"))</f>
        <v>1.84786</v>
      </c>
      <c r="J60" s="6" t="n">
        <f aca="false">F60*(1+SUMIFS('Realpage Data'!$V$2:$V$899,'Realpage Data'!$A$2:$A$899,$A60,'Realpage Data'!$F$2:$F$899,"YOY Effective Rent Change"))</f>
        <v>1.888992</v>
      </c>
      <c r="K60" s="6" t="n">
        <f aca="false">G60*(1+SUMIFS('Realpage Data'!$W$2:$W$899,'Realpage Data'!$A$2:$A$899,$A60,'Realpage Data'!$F$2:$F$899,"YOY Effective Rent Change"))</f>
        <v>1.9017229</v>
      </c>
      <c r="L60" s="6" t="n">
        <f aca="false">H60*(1+SUMIFS('Realpage Data'!$X$2:$X$899,'Realpage Data'!$A$2:$A$899,$A60,'Realpage Data'!$F$2:$F$899,"YOY Effective Rent Change"))</f>
        <v>1.8862875</v>
      </c>
      <c r="M60" s="6" t="n">
        <f aca="false">I60*(1+SUMIFS('Realpage Data'!$Y$2:$Y$899,'Realpage Data'!$A$2:$A$899,$A60,'Realpage Data'!$F$2:$F$899,"YOY Effective Rent Change"))</f>
        <v>1.90883938</v>
      </c>
      <c r="N60" s="6" t="n">
        <f aca="false">J60*(1+SUMIFS('Realpage Data'!$Z$2:$Z$899,'Realpage Data'!$A$2:$A$899,$A60,'Realpage Data'!$F$2:$F$899,"YOY Effective Rent Change"))</f>
        <v>1.953217728</v>
      </c>
      <c r="O60" s="6" t="n">
        <f aca="false">K60*(1+SUMIFS('Realpage Data'!$AA$2:$AA$899,'Realpage Data'!$A$2:$A$899,$A60,'Realpage Data'!$F$2:$F$899,"YOY Effective Rent Change"))</f>
        <v>1.9739883702</v>
      </c>
      <c r="P60" s="6" t="n">
        <f aca="false">L60*(1+SUMIFS('Realpage Data'!$AB$2:$AB$899,'Realpage Data'!$A$2:$A$899,$A60,'Realpage Data'!$F$2:$F$899,"YOY Effective Rent Change"))</f>
        <v>1.9636252875</v>
      </c>
      <c r="Q60" s="6" t="n">
        <f aca="false">M60*(1+SUMIFS('Realpage Data'!$AC$2:$AC$899,'Realpage Data'!$A$2:$A$899,$A60,'Realpage Data'!$F$2:$F$899,"YOY Effective Rent Change"))</f>
        <v>1.9851929552</v>
      </c>
      <c r="R60" s="6" t="n">
        <f aca="false">N60*(1+SUMIFS('Realpage Data'!$AD$2:$AD$899,'Realpage Data'!$A$2:$A$899,$A60,'Realpage Data'!$F$2:$F$899,"YOY Effective Rent Change"))</f>
        <v>2.02158034848</v>
      </c>
      <c r="S60" s="6" t="n">
        <f aca="false">O60*(1+SUMIFS('Realpage Data'!$AE$2:$AE$899,'Realpage Data'!$A$2:$A$899,$A60,'Realpage Data'!$F$2:$F$899,"YOY Effective Rent Change"))</f>
        <v>2.0450519515272</v>
      </c>
      <c r="T60" s="6" t="n">
        <f aca="false">P60*(1+SUMIFS('Realpage Data'!$AF$2:$AF$899,'Realpage Data'!$A$2:$A$899,$A60,'Realpage Data'!$F$2:$F$899,"YOY Effective Rent Change"))</f>
        <v>2.038243048425</v>
      </c>
      <c r="U60" s="4"/>
      <c r="V60" s="7" t="n">
        <f aca="false">F60/$B60-1</f>
        <v>-0.0601505578340913</v>
      </c>
      <c r="W60" s="7" t="n">
        <f aca="false">G60/$B60-1</f>
        <v>-0.072224664194894</v>
      </c>
      <c r="X60" s="7" t="n">
        <f aca="false">H60/$B60-1</f>
        <v>-0.0859788642756838</v>
      </c>
      <c r="Y60" s="7" t="n">
        <f aca="false">I60/$B60-1</f>
        <v>-0.073260304055125</v>
      </c>
      <c r="Z60" s="7" t="n">
        <f aca="false">J60/$B60-1</f>
        <v>-0.0526317622967639</v>
      </c>
      <c r="AA60" s="7" t="n">
        <f aca="false">K60/$B60-1</f>
        <v>-0.0462469547923511</v>
      </c>
      <c r="AB60" s="7" t="n">
        <f aca="false">L60/$B60-1</f>
        <v>-0.0539881245253328</v>
      </c>
      <c r="AC60" s="7" t="n">
        <f aca="false">M60/$B60-1</f>
        <v>-0.0426778940889442</v>
      </c>
      <c r="AD60" s="7" t="n">
        <f aca="false">N60/$B60-1</f>
        <v>-0.0204212422148539</v>
      </c>
      <c r="AE60" s="7" t="n">
        <f aca="false">O60/$B60-1</f>
        <v>-0.0100043390744604</v>
      </c>
      <c r="AF60" s="7" t="n">
        <f aca="false">P60/$B60-1</f>
        <v>-0.0152016376308715</v>
      </c>
      <c r="AG60" s="7" t="n">
        <f aca="false">Q60/$B60-1</f>
        <v>-0.00438500985250201</v>
      </c>
      <c r="AH60" s="7" t="n">
        <f aca="false">R60/$B60-1</f>
        <v>0.0138640143076261</v>
      </c>
      <c r="AI60" s="7" t="n">
        <f aca="false">S60/$B60-1</f>
        <v>0.025635504718859</v>
      </c>
      <c r="AJ60" s="7" t="n">
        <f aca="false">T60/$B60-1</f>
        <v>0.0222207001391554</v>
      </c>
      <c r="AK60" s="4"/>
      <c r="AL60" s="4" t="n">
        <f aca="false">SUMPRODUCT(MAX((V60:AJ60&lt;0)*$V$3:$AJ$3))</f>
        <v>12</v>
      </c>
      <c r="AM60" s="10" t="n">
        <f aca="false">IF(AL60=0,0,IF(AL60=15,3.5+IFERROR(LN($B60/T60)/LN(1+SUMIFS('Realpage Data'!$AF$2:$AF$899,'Realpage Data'!$A$2:$A$899,$A60,'Realpage Data'!$F$2:$F$899,"YOY Effective Rent Change")),99),((AL60-1)+INDEX(V60:AJ60,1,AL60)/(INDEX(V60:AJ60,1,AL60)-INDEX(V60:AJ60,1,AL60+1)))/4))</f>
        <v>2.81007184019848</v>
      </c>
      <c r="AN60" s="4" t="str">
        <f aca="false">IF(AL60=15,"†","")</f>
        <v/>
      </c>
    </row>
    <row r="61" customFormat="false" ht="15" hidden="false" customHeight="false" outlineLevel="0" collapsed="false">
      <c r="A61" s="25" t="s">
        <v>78</v>
      </c>
      <c r="B61" s="6" t="n">
        <f aca="false">SUMIFS('Realpage Data'!$R$2:$R$899,'Realpage Data'!$A$2:$A$899,$A61,'Realpage Data'!$F$2:$F$899,"Rent Roll (Rev/OSF)")</f>
        <v>1.79753873250139</v>
      </c>
      <c r="C61" s="6" t="n">
        <f aca="false">SUMIFS('Realpage Data'!$O$2:$O$899,'Realpage Data'!$A$2:$A$899,$A61,'Realpage Data'!$F$2:$F$899,"Effective RPSF")</f>
        <v>1.715</v>
      </c>
      <c r="D61" s="6" t="n">
        <f aca="false">SUMIFS('Realpage Data'!$P$2:$P$899,'Realpage Data'!$A$2:$A$899,$A61,'Realpage Data'!$F$2:$F$899,"Effective RPSF")</f>
        <v>1.686</v>
      </c>
      <c r="E61" s="6" t="n">
        <f aca="false">SUMIFS('Realpage Data'!$Q$2:$Q$899,'Realpage Data'!$A$2:$A$899,$A61,'Realpage Data'!$F$2:$F$899,"Effective RPSF")</f>
        <v>1.688</v>
      </c>
      <c r="F61" s="6" t="n">
        <f aca="false">SUMIFS('Realpage Data'!$R$2:$R$899,'Realpage Data'!$A$2:$A$899,$A61,'Realpage Data'!$F$2:$F$899,"Effective RPSF")</f>
        <v>1.699</v>
      </c>
      <c r="G61" s="6" t="n">
        <f aca="false">C61*(1+SUMIFS('Realpage Data'!$S$2:$S$899,'Realpage Data'!$A$2:$A$899,$A61,'Realpage Data'!$F$2:$F$899,"YOY Effective Rent Change"))</f>
        <v>1.68413</v>
      </c>
      <c r="H61" s="6" t="n">
        <f aca="false">D61*(1+SUMIFS('Realpage Data'!$T$2:$T$899,'Realpage Data'!$A$2:$A$899,$A61,'Realpage Data'!$F$2:$F$899,"YOY Effective Rent Change"))</f>
        <v>1.67757</v>
      </c>
      <c r="I61" s="6" t="n">
        <f aca="false">E61*(1+SUMIFS('Realpage Data'!$U$2:$U$899,'Realpage Data'!$A$2:$A$899,$A61,'Realpage Data'!$F$2:$F$899,"YOY Effective Rent Change"))</f>
        <v>1.709944</v>
      </c>
      <c r="J61" s="6" t="n">
        <f aca="false">F61*(1+SUMIFS('Realpage Data'!$V$2:$V$899,'Realpage Data'!$A$2:$A$899,$A61,'Realpage Data'!$F$2:$F$899,"YOY Effective Rent Change"))</f>
        <v>1.741475</v>
      </c>
      <c r="K61" s="6" t="n">
        <f aca="false">G61*(1+SUMIFS('Realpage Data'!$W$2:$W$899,'Realpage Data'!$A$2:$A$899,$A61,'Realpage Data'!$F$2:$F$899,"YOY Effective Rent Change"))</f>
        <v>1.73128564</v>
      </c>
      <c r="L61" s="6" t="n">
        <f aca="false">H61*(1+SUMIFS('Realpage Data'!$X$2:$X$899,'Realpage Data'!$A$2:$A$899,$A61,'Realpage Data'!$F$2:$F$899,"YOY Effective Rent Change"))</f>
        <v>1.72454196</v>
      </c>
      <c r="M61" s="6" t="n">
        <f aca="false">I61*(1+SUMIFS('Realpage Data'!$Y$2:$Y$899,'Realpage Data'!$A$2:$A$899,$A61,'Realpage Data'!$F$2:$F$899,"YOY Effective Rent Change"))</f>
        <v>1.747562768</v>
      </c>
      <c r="N61" s="6" t="n">
        <f aca="false">J61*(1+SUMIFS('Realpage Data'!$Z$2:$Z$899,'Realpage Data'!$A$2:$A$899,$A61,'Realpage Data'!$F$2:$F$899,"YOY Effective Rent Change"))</f>
        <v>1.778045975</v>
      </c>
      <c r="O61" s="6" t="n">
        <f aca="false">K61*(1+SUMIFS('Realpage Data'!$AA$2:$AA$899,'Realpage Data'!$A$2:$A$899,$A61,'Realpage Data'!$F$2:$F$899,"YOY Effective Rent Change"))</f>
        <v>1.77629906664</v>
      </c>
      <c r="P61" s="6" t="n">
        <f aca="false">L61*(1+SUMIFS('Realpage Data'!$AB$2:$AB$899,'Realpage Data'!$A$2:$A$899,$A61,'Realpage Data'!$F$2:$F$899,"YOY Effective Rent Change"))</f>
        <v>1.77110459292</v>
      </c>
      <c r="Q61" s="6" t="n">
        <f aca="false">M61*(1+SUMIFS('Realpage Data'!$AC$2:$AC$899,'Realpage Data'!$A$2:$A$899,$A61,'Realpage Data'!$F$2:$F$899,"YOY Effective Rent Change"))</f>
        <v>1.787756711664</v>
      </c>
      <c r="R61" s="6" t="n">
        <f aca="false">N61*(1+SUMIFS('Realpage Data'!$AD$2:$AD$899,'Realpage Data'!$A$2:$A$899,$A61,'Realpage Data'!$F$2:$F$899,"YOY Effective Rent Change"))</f>
        <v>1.8207190784</v>
      </c>
      <c r="S61" s="6" t="n">
        <f aca="false">O61*(1+SUMIFS('Realpage Data'!$AE$2:$AE$899,'Realpage Data'!$A$2:$A$899,$A61,'Realpage Data'!$F$2:$F$899,"YOY Effective Rent Change"))</f>
        <v>1.83136433770584</v>
      </c>
      <c r="T61" s="6" t="n">
        <f aca="false">P61*(1+SUMIFS('Realpage Data'!$AF$2:$AF$899,'Realpage Data'!$A$2:$A$899,$A61,'Realpage Data'!$F$2:$F$899,"YOY Effective Rent Change"))</f>
        <v>1.83132214907928</v>
      </c>
      <c r="U61" s="4"/>
      <c r="V61" s="7" t="n">
        <f aca="false">F61/$B61-1</f>
        <v>-0.054818697766956</v>
      </c>
      <c r="W61" s="7" t="n">
        <f aca="false">G61/$B61-1</f>
        <v>-0.0630911203474182</v>
      </c>
      <c r="X61" s="7" t="n">
        <f aca="false">H61/$B61-1</f>
        <v>-0.0667405549222557</v>
      </c>
      <c r="Y61" s="7" t="n">
        <f aca="false">I61/$B61-1</f>
        <v>-0.0487303727689348</v>
      </c>
      <c r="Z61" s="7" t="n">
        <f aca="false">J61/$B61-1</f>
        <v>-0.03118916521113</v>
      </c>
      <c r="AA61" s="7" t="n">
        <f aca="false">K61/$B61-1</f>
        <v>-0.0368576717171459</v>
      </c>
      <c r="AB61" s="7" t="n">
        <f aca="false">L61/$B61-1</f>
        <v>-0.0406092904600788</v>
      </c>
      <c r="AC61" s="7" t="n">
        <f aca="false">M61/$B61-1</f>
        <v>-0.0278024409698513</v>
      </c>
      <c r="AD61" s="7" t="n">
        <f aca="false">N61/$B61-1</f>
        <v>-0.0108441376805638</v>
      </c>
      <c r="AE61" s="7" t="n">
        <f aca="false">O61/$B61-1</f>
        <v>-0.0118159711817918</v>
      </c>
      <c r="AF61" s="7" t="n">
        <f aca="false">P61/$B61-1</f>
        <v>-0.014705741302501</v>
      </c>
      <c r="AG61" s="7" t="n">
        <f aca="false">Q61/$B61-1</f>
        <v>-0.00544189711215803</v>
      </c>
      <c r="AH61" s="7" t="n">
        <f aca="false">R61/$B61-1</f>
        <v>0.0128956030151026</v>
      </c>
      <c r="AI61" s="7" t="n">
        <f aca="false">S61/$B61-1</f>
        <v>0.0188177337115727</v>
      </c>
      <c r="AJ61" s="7" t="n">
        <f aca="false">T61/$B61-1</f>
        <v>0.0187942634932141</v>
      </c>
      <c r="AK61" s="4"/>
      <c r="AL61" s="4" t="n">
        <f aca="false">SUMPRODUCT(MAX((V61:AJ61&lt;0)*$V$3:$AJ$3))</f>
        <v>12</v>
      </c>
      <c r="AM61" s="10" t="n">
        <f aca="false">IF(AL61=0,0,IF(AL61=15,3.5+IFERROR(LN($B61/T61)/LN(1+SUMIFS('Realpage Data'!$AF$2:$AF$899,'Realpage Data'!$A$2:$A$899,$A61,'Realpage Data'!$F$2:$F$899,"YOY Effective Rent Change")),99),((AL61-1)+INDEX(V61:AJ61,1,AL61)/(INDEX(V61:AJ61,1,AL61)-INDEX(V61:AJ61,1,AL61+1)))/4))</f>
        <v>2.82419082582675</v>
      </c>
      <c r="AN61" s="4" t="str">
        <f aca="false">IF(AL61=15,"†","")</f>
        <v/>
      </c>
    </row>
    <row r="62" customFormat="false" ht="15" hidden="false" customHeight="false" outlineLevel="0" collapsed="false">
      <c r="A62" s="25" t="s">
        <v>79</v>
      </c>
      <c r="B62" s="6" t="n">
        <f aca="false">SUMIFS('Realpage Data'!$R$2:$R$899,'Realpage Data'!$A$2:$A$899,$A62,'Realpage Data'!$F$2:$F$899,"Rent Roll (Rev/OSF)")</f>
        <v>1.65385796862275</v>
      </c>
      <c r="C62" s="6" t="n">
        <f aca="false">SUMIFS('Realpage Data'!$O$2:$O$899,'Realpage Data'!$A$2:$A$899,$A62,'Realpage Data'!$F$2:$F$899,"Effective RPSF")</f>
        <v>1.649</v>
      </c>
      <c r="D62" s="6" t="n">
        <f aca="false">SUMIFS('Realpage Data'!$P$2:$P$899,'Realpage Data'!$A$2:$A$899,$A62,'Realpage Data'!$F$2:$F$899,"Effective RPSF")</f>
        <v>1.58</v>
      </c>
      <c r="E62" s="6" t="n">
        <f aca="false">SUMIFS('Realpage Data'!$Q$2:$Q$899,'Realpage Data'!$A$2:$A$899,$A62,'Realpage Data'!$F$2:$F$899,"Effective RPSF")</f>
        <v>1.56</v>
      </c>
      <c r="F62" s="6" t="n">
        <f aca="false">SUMIFS('Realpage Data'!$R$2:$R$899,'Realpage Data'!$A$2:$A$899,$A62,'Realpage Data'!$F$2:$F$899,"Effective RPSF")</f>
        <v>1.582</v>
      </c>
      <c r="G62" s="6" t="n">
        <f aca="false">C62*(1+SUMIFS('Realpage Data'!$S$2:$S$899,'Realpage Data'!$A$2:$A$899,$A62,'Realpage Data'!$F$2:$F$899,"YOY Effective Rent Change"))</f>
        <v>1.515431</v>
      </c>
      <c r="H62" s="6" t="n">
        <f aca="false">D62*(1+SUMIFS('Realpage Data'!$T$2:$T$899,'Realpage Data'!$A$2:$A$899,$A62,'Realpage Data'!$F$2:$F$899,"YOY Effective Rent Change"))</f>
        <v>1.48362</v>
      </c>
      <c r="I62" s="6" t="n">
        <f aca="false">E62*(1+SUMIFS('Realpage Data'!$U$2:$U$899,'Realpage Data'!$A$2:$A$899,$A62,'Realpage Data'!$F$2:$F$899,"YOY Effective Rent Change"))</f>
        <v>1.50384</v>
      </c>
      <c r="J62" s="6" t="n">
        <f aca="false">F62*(1+SUMIFS('Realpage Data'!$V$2:$V$899,'Realpage Data'!$A$2:$A$899,$A62,'Realpage Data'!$F$2:$F$899,"YOY Effective Rent Change"))</f>
        <v>1.58991</v>
      </c>
      <c r="K62" s="6" t="n">
        <f aca="false">G62*(1+SUMIFS('Realpage Data'!$W$2:$W$899,'Realpage Data'!$A$2:$A$899,$A62,'Realpage Data'!$F$2:$F$899,"YOY Effective Rent Change"))</f>
        <v>1.571501947</v>
      </c>
      <c r="L62" s="6" t="n">
        <f aca="false">H62*(1+SUMIFS('Realpage Data'!$X$2:$X$899,'Realpage Data'!$A$2:$A$899,$A62,'Realpage Data'!$F$2:$F$899,"YOY Effective Rent Change"))</f>
        <v>1.53999756</v>
      </c>
      <c r="M62" s="6" t="n">
        <f aca="false">I62*(1+SUMIFS('Realpage Data'!$Y$2:$Y$899,'Realpage Data'!$A$2:$A$899,$A62,'Realpage Data'!$F$2:$F$899,"YOY Effective Rent Change"))</f>
        <v>1.55497056</v>
      </c>
      <c r="N62" s="6" t="n">
        <f aca="false">J62*(1+SUMIFS('Realpage Data'!$Z$2:$Z$899,'Realpage Data'!$A$2:$A$899,$A62,'Realpage Data'!$F$2:$F$899,"YOY Effective Rent Change"))</f>
        <v>1.64396694</v>
      </c>
      <c r="O62" s="6" t="n">
        <f aca="false">K62*(1+SUMIFS('Realpage Data'!$AA$2:$AA$899,'Realpage Data'!$A$2:$A$899,$A62,'Realpage Data'!$F$2:$F$899,"YOY Effective Rent Change"))</f>
        <v>1.63436202488</v>
      </c>
      <c r="P62" s="6" t="n">
        <f aca="false">L62*(1+SUMIFS('Realpage Data'!$AB$2:$AB$899,'Realpage Data'!$A$2:$A$899,$A62,'Realpage Data'!$F$2:$F$899,"YOY Effective Rent Change"))</f>
        <v>1.59697746972</v>
      </c>
      <c r="Q62" s="6" t="n">
        <f aca="false">M62*(1+SUMIFS('Realpage Data'!$AC$2:$AC$899,'Realpage Data'!$A$2:$A$899,$A62,'Realpage Data'!$F$2:$F$899,"YOY Effective Rent Change"))</f>
        <v>1.6093945296</v>
      </c>
      <c r="R62" s="6" t="n">
        <f aca="false">N62*(1+SUMIFS('Realpage Data'!$AD$2:$AD$899,'Realpage Data'!$A$2:$A$899,$A62,'Realpage Data'!$F$2:$F$899,"YOY Effective Rent Change"))</f>
        <v>1.69657388208</v>
      </c>
      <c r="S62" s="6" t="n">
        <f aca="false">O62*(1+SUMIFS('Realpage Data'!$AE$2:$AE$899,'Realpage Data'!$A$2:$A$899,$A62,'Realpage Data'!$F$2:$F$899,"YOY Effective Rent Change"))</f>
        <v>1.69646778182544</v>
      </c>
      <c r="T62" s="6" t="n">
        <f aca="false">P62*(1+SUMIFS('Realpage Data'!$AF$2:$AF$899,'Realpage Data'!$A$2:$A$899,$A62,'Realpage Data'!$F$2:$F$899,"YOY Effective Rent Change"))</f>
        <v>1.65925959103908</v>
      </c>
      <c r="U62" s="4"/>
      <c r="V62" s="7" t="n">
        <f aca="false">F62/$B62-1</f>
        <v>-0.0434486938939417</v>
      </c>
      <c r="W62" s="7" t="n">
        <f aca="false">G62/$B62-1</f>
        <v>-0.083699429605809</v>
      </c>
      <c r="X62" s="7" t="n">
        <f aca="false">H62/$B62-1</f>
        <v>-0.102933850338135</v>
      </c>
      <c r="Y62" s="7" t="n">
        <f aca="false">I62/$B62-1</f>
        <v>-0.0907078911665393</v>
      </c>
      <c r="Z62" s="7" t="n">
        <f aca="false">J62/$B62-1</f>
        <v>-0.0386659373634114</v>
      </c>
      <c r="AA62" s="7" t="n">
        <f aca="false">K62/$B62-1</f>
        <v>-0.049796308501224</v>
      </c>
      <c r="AB62" s="7" t="n">
        <f aca="false">L62/$B62-1</f>
        <v>-0.0688453366509841</v>
      </c>
      <c r="AC62" s="7" t="n">
        <f aca="false">M62/$B62-1</f>
        <v>-0.0597919594662016</v>
      </c>
      <c r="AD62" s="7" t="n">
        <f aca="false">N62/$B62-1</f>
        <v>-0.00598057923376749</v>
      </c>
      <c r="AE62" s="7" t="n">
        <f aca="false">O62/$B62-1</f>
        <v>-0.0117881608412729</v>
      </c>
      <c r="AF62" s="7" t="n">
        <f aca="false">P62/$B62-1</f>
        <v>-0.0343926141070706</v>
      </c>
      <c r="AG62" s="7" t="n">
        <f aca="false">Q62/$B62-1</f>
        <v>-0.0268846780475187</v>
      </c>
      <c r="AH62" s="7" t="n">
        <f aca="false">R62/$B62-1</f>
        <v>0.025828042230752</v>
      </c>
      <c r="AI62" s="7" t="n">
        <f aca="false">S62/$B62-1</f>
        <v>0.0257638890467586</v>
      </c>
      <c r="AJ62" s="7" t="n">
        <f aca="false">T62/$B62-1</f>
        <v>0.00326607394275347</v>
      </c>
      <c r="AK62" s="4"/>
      <c r="AL62" s="4" t="n">
        <f aca="false">SUMPRODUCT(MAX((V62:AJ62&lt;0)*$V$3:$AJ$3))</f>
        <v>12</v>
      </c>
      <c r="AM62" s="10" t="n">
        <f aca="false">IF(AL62=0,0,IF(AL62=15,3.5+IFERROR(LN($B62/T62)/LN(1+SUMIFS('Realpage Data'!$AF$2:$AF$899,'Realpage Data'!$A$2:$A$899,$A62,'Realpage Data'!$F$2:$F$899,"YOY Effective Rent Change")),99),((AL62-1)+INDEX(V62:AJ62,1,AL62)/(INDEX(V62:AJ62,1,AL62)-INDEX(V62:AJ62,1,AL62+1)))/4))</f>
        <v>2.87750564714548</v>
      </c>
      <c r="AN62" s="4" t="str">
        <f aca="false">IF(AL62=15,"†","")</f>
        <v/>
      </c>
    </row>
    <row r="63" customFormat="false" ht="15" hidden="false" customHeight="false" outlineLevel="0" collapsed="false">
      <c r="A63" s="25" t="s">
        <v>80</v>
      </c>
      <c r="B63" s="6" t="n">
        <f aca="false">SUMIFS('Realpage Data'!$R$2:$R$899,'Realpage Data'!$A$2:$A$899,$A63,'Realpage Data'!$F$2:$F$899,"Rent Roll (Rev/OSF)")</f>
        <v>1.47277847424207</v>
      </c>
      <c r="C63" s="6" t="n">
        <f aca="false">SUMIFS('Realpage Data'!$O$2:$O$899,'Realpage Data'!$A$2:$A$899,$A63,'Realpage Data'!$F$2:$F$899,"Effective RPSF")</f>
        <v>1.383</v>
      </c>
      <c r="D63" s="6" t="n">
        <f aca="false">SUMIFS('Realpage Data'!$P$2:$P$899,'Realpage Data'!$A$2:$A$899,$A63,'Realpage Data'!$F$2:$F$899,"Effective RPSF")</f>
        <v>1.355</v>
      </c>
      <c r="E63" s="6" t="n">
        <f aca="false">SUMIFS('Realpage Data'!$Q$2:$Q$899,'Realpage Data'!$A$2:$A$899,$A63,'Realpage Data'!$F$2:$F$899,"Effective RPSF")</f>
        <v>1.356</v>
      </c>
      <c r="F63" s="6" t="n">
        <f aca="false">SUMIFS('Realpage Data'!$R$2:$R$899,'Realpage Data'!$A$2:$A$899,$A63,'Realpage Data'!$F$2:$F$899,"Effective RPSF")</f>
        <v>1.379</v>
      </c>
      <c r="G63" s="6" t="n">
        <f aca="false">C63*(1+SUMIFS('Realpage Data'!$S$2:$S$899,'Realpage Data'!$A$2:$A$899,$A63,'Realpage Data'!$F$2:$F$899,"YOY Effective Rent Change"))</f>
        <v>1.374702</v>
      </c>
      <c r="H63" s="6" t="n">
        <f aca="false">D63*(1+SUMIFS('Realpage Data'!$T$2:$T$899,'Realpage Data'!$A$2:$A$899,$A63,'Realpage Data'!$F$2:$F$899,"YOY Effective Rent Change"))</f>
        <v>1.353645</v>
      </c>
      <c r="I63" s="6" t="n">
        <f aca="false">E63*(1+SUMIFS('Realpage Data'!$U$2:$U$899,'Realpage Data'!$A$2:$A$899,$A63,'Realpage Data'!$F$2:$F$899,"YOY Effective Rent Change"))</f>
        <v>1.365492</v>
      </c>
      <c r="J63" s="6" t="n">
        <f aca="false">F63*(1+SUMIFS('Realpage Data'!$V$2:$V$899,'Realpage Data'!$A$2:$A$899,$A63,'Realpage Data'!$F$2:$F$899,"YOY Effective Rent Change"))</f>
        <v>1.403822</v>
      </c>
      <c r="K63" s="6" t="n">
        <f aca="false">G63*(1+SUMIFS('Realpage Data'!$W$2:$W$899,'Realpage Data'!$A$2:$A$899,$A63,'Realpage Data'!$F$2:$F$899,"YOY Effective Rent Change"))</f>
        <v>1.411818954</v>
      </c>
      <c r="L63" s="6" t="n">
        <f aca="false">H63*(1+SUMIFS('Realpage Data'!$X$2:$X$899,'Realpage Data'!$A$2:$A$899,$A63,'Realpage Data'!$F$2:$F$899,"YOY Effective Rent Change"))</f>
        <v>1.39154706</v>
      </c>
      <c r="M63" s="6" t="n">
        <f aca="false">I63*(1+SUMIFS('Realpage Data'!$Y$2:$Y$899,'Realpage Data'!$A$2:$A$899,$A63,'Realpage Data'!$F$2:$F$899,"YOY Effective Rent Change"))</f>
        <v>1.40645676</v>
      </c>
      <c r="N63" s="6" t="n">
        <f aca="false">J63*(1+SUMIFS('Realpage Data'!$Z$2:$Z$899,'Realpage Data'!$A$2:$A$899,$A63,'Realpage Data'!$F$2:$F$899,"YOY Effective Rent Change"))</f>
        <v>1.447340482</v>
      </c>
      <c r="O63" s="6" t="n">
        <f aca="false">K63*(1+SUMIFS('Realpage Data'!$AA$2:$AA$899,'Realpage Data'!$A$2:$A$899,$A63,'Realpage Data'!$F$2:$F$899,"YOY Effective Rent Change"))</f>
        <v>1.456997160528</v>
      </c>
      <c r="P63" s="6" t="n">
        <f aca="false">L63*(1+SUMIFS('Realpage Data'!$AB$2:$AB$899,'Realpage Data'!$A$2:$A$899,$A63,'Realpage Data'!$F$2:$F$899,"YOY Effective Rent Change"))</f>
        <v>1.4332934718</v>
      </c>
      <c r="Q63" s="6" t="n">
        <f aca="false">M63*(1+SUMIFS('Realpage Data'!$AC$2:$AC$899,'Realpage Data'!$A$2:$A$899,$A63,'Realpage Data'!$F$2:$F$899,"YOY Effective Rent Change"))</f>
        <v>1.45005691956</v>
      </c>
      <c r="R63" s="6" t="n">
        <f aca="false">N63*(1+SUMIFS('Realpage Data'!$AD$2:$AD$899,'Realpage Data'!$A$2:$A$899,$A63,'Realpage Data'!$F$2:$F$899,"YOY Effective Rent Change"))</f>
        <v>1.492208036942</v>
      </c>
      <c r="S63" s="6" t="n">
        <f aca="false">O63*(1+SUMIFS('Realpage Data'!$AE$2:$AE$899,'Realpage Data'!$A$2:$A$899,$A63,'Realpage Data'!$F$2:$F$899,"YOY Effective Rent Change"))</f>
        <v>1.50216407250437</v>
      </c>
      <c r="T63" s="6" t="n">
        <f aca="false">P63*(1+SUMIFS('Realpage Data'!$AF$2:$AF$899,'Realpage Data'!$A$2:$A$899,$A63,'Realpage Data'!$F$2:$F$899,"YOY Effective Rent Change"))</f>
        <v>1.4777255694258</v>
      </c>
      <c r="U63" s="4"/>
      <c r="V63" s="7" t="n">
        <f aca="false">F63/$B63-1</f>
        <v>-0.0636745280313301</v>
      </c>
      <c r="W63" s="7" t="n">
        <f aca="false">G63/$B63-1</f>
        <v>-0.0665928216343187</v>
      </c>
      <c r="X63" s="7" t="n">
        <f aca="false">H63/$B63-1</f>
        <v>-0.0808902875249963</v>
      </c>
      <c r="Y63" s="7" t="n">
        <f aca="false">I63/$B63-1</f>
        <v>-0.0728463079264373</v>
      </c>
      <c r="Z63" s="7" t="n">
        <f aca="false">J63/$B63-1</f>
        <v>-0.0468206695358939</v>
      </c>
      <c r="AA63" s="7" t="n">
        <f aca="false">K63/$B63-1</f>
        <v>-0.0413908278184454</v>
      </c>
      <c r="AB63" s="7" t="n">
        <f aca="false">L63/$B63-1</f>
        <v>-0.0551552155756961</v>
      </c>
      <c r="AC63" s="7" t="n">
        <f aca="false">M63/$B63-1</f>
        <v>-0.0450316971642304</v>
      </c>
      <c r="AD63" s="7" t="n">
        <f aca="false">N63/$B63-1</f>
        <v>-0.0172721102915068</v>
      </c>
      <c r="AE63" s="7" t="n">
        <f aca="false">O63/$B63-1</f>
        <v>-0.0107153343086357</v>
      </c>
      <c r="AF63" s="7" t="n">
        <f aca="false">P63/$B63-1</f>
        <v>-0.0268098720429671</v>
      </c>
      <c r="AG63" s="7" t="n">
        <f aca="false">Q63/$B63-1</f>
        <v>-0.0154276797763215</v>
      </c>
      <c r="AH63" s="7" t="n">
        <f aca="false">R63/$B63-1</f>
        <v>0.0131924542894564</v>
      </c>
      <c r="AI63" s="7" t="n">
        <f aca="false">S63/$B63-1</f>
        <v>0.0199524903277966</v>
      </c>
      <c r="AJ63" s="7" t="n">
        <f aca="false">T63/$B63-1</f>
        <v>0.00335902192370097</v>
      </c>
      <c r="AK63" s="4"/>
      <c r="AL63" s="4" t="n">
        <f aca="false">SUMPRODUCT(MAX((V63:AJ63&lt;0)*$V$3:$AJ$3))</f>
        <v>12</v>
      </c>
      <c r="AM63" s="10" t="n">
        <f aca="false">IF(AL63=0,0,IF(AL63=15,3.5+IFERROR(LN($B63/T63)/LN(1+SUMIFS('Realpage Data'!$AF$2:$AF$899,'Realpage Data'!$A$2:$A$899,$A63,'Realpage Data'!$F$2:$F$899,"YOY Effective Rent Change")),99),((AL63-1)+INDEX(V63:AJ63,1,AL63)/(INDEX(V63:AJ63,1,AL63)-INDEX(V63:AJ63,1,AL63+1)))/4))</f>
        <v>2.88476246949843</v>
      </c>
      <c r="AN63" s="4" t="str">
        <f aca="false">IF(AL63=15,"†","")</f>
        <v/>
      </c>
    </row>
    <row r="64" customFormat="false" ht="15" hidden="false" customHeight="false" outlineLevel="0" collapsed="false">
      <c r="A64" s="25" t="s">
        <v>81</v>
      </c>
      <c r="B64" s="6" t="n">
        <f aca="false">SUMIFS('Realpage Data'!$R$2:$R$899,'Realpage Data'!$A$2:$A$899,$A64,'Realpage Data'!$F$2:$F$899,"Rent Roll (Rev/OSF)")</f>
        <v>1.62847014432668</v>
      </c>
      <c r="C64" s="6" t="n">
        <f aca="false">SUMIFS('Realpage Data'!$O$2:$O$899,'Realpage Data'!$A$2:$A$899,$A64,'Realpage Data'!$F$2:$F$899,"Effective RPSF")</f>
        <v>1.573</v>
      </c>
      <c r="D64" s="6" t="n">
        <f aca="false">SUMIFS('Realpage Data'!$P$2:$P$899,'Realpage Data'!$A$2:$A$899,$A64,'Realpage Data'!$F$2:$F$899,"Effective RPSF")</f>
        <v>1.549</v>
      </c>
      <c r="E64" s="6" t="n">
        <f aca="false">SUMIFS('Realpage Data'!$Q$2:$Q$899,'Realpage Data'!$A$2:$A$899,$A64,'Realpage Data'!$F$2:$F$899,"Effective RPSF")</f>
        <v>1.552</v>
      </c>
      <c r="F64" s="6" t="n">
        <f aca="false">SUMIFS('Realpage Data'!$R$2:$R$899,'Realpage Data'!$A$2:$A$899,$A64,'Realpage Data'!$F$2:$F$899,"Effective RPSF")</f>
        <v>1.562</v>
      </c>
      <c r="G64" s="6" t="n">
        <f aca="false">C64*(1+SUMIFS('Realpage Data'!$S$2:$S$899,'Realpage Data'!$A$2:$A$899,$A64,'Realpage Data'!$F$2:$F$899,"YOY Effective Rent Change"))</f>
        <v>1.558843</v>
      </c>
      <c r="H64" s="6" t="n">
        <f aca="false">D64*(1+SUMIFS('Realpage Data'!$T$2:$T$899,'Realpage Data'!$A$2:$A$899,$A64,'Realpage Data'!$F$2:$F$899,"YOY Effective Rent Change"))</f>
        <v>1.545902</v>
      </c>
      <c r="I64" s="6" t="n">
        <f aca="false">E64*(1+SUMIFS('Realpage Data'!$U$2:$U$899,'Realpage Data'!$A$2:$A$899,$A64,'Realpage Data'!$F$2:$F$899,"YOY Effective Rent Change"))</f>
        <v>1.55976</v>
      </c>
      <c r="J64" s="6" t="n">
        <f aca="false">F64*(1+SUMIFS('Realpage Data'!$V$2:$V$899,'Realpage Data'!$A$2:$A$899,$A64,'Realpage Data'!$F$2:$F$899,"YOY Effective Rent Change"))</f>
        <v>1.57762</v>
      </c>
      <c r="K64" s="6" t="n">
        <f aca="false">G64*(1+SUMIFS('Realpage Data'!$W$2:$W$899,'Realpage Data'!$A$2:$A$899,$A64,'Realpage Data'!$F$2:$F$899,"YOY Effective Rent Change"))</f>
        <v>1.582225645</v>
      </c>
      <c r="L64" s="6" t="n">
        <f aca="false">H64*(1+SUMIFS('Realpage Data'!$X$2:$X$899,'Realpage Data'!$A$2:$A$899,$A64,'Realpage Data'!$F$2:$F$899,"YOY Effective Rent Change"))</f>
        <v>1.575274138</v>
      </c>
      <c r="M64" s="6" t="n">
        <f aca="false">I64*(1+SUMIFS('Realpage Data'!$Y$2:$Y$899,'Realpage Data'!$A$2:$A$899,$A64,'Realpage Data'!$F$2:$F$899,"YOY Effective Rent Change"))</f>
        <v>1.58939544</v>
      </c>
      <c r="N64" s="6" t="n">
        <f aca="false">J64*(1+SUMIFS('Realpage Data'!$Z$2:$Z$899,'Realpage Data'!$A$2:$A$899,$A64,'Realpage Data'!$F$2:$F$899,"YOY Effective Rent Change"))</f>
        <v>1.60443954</v>
      </c>
      <c r="O64" s="6" t="n">
        <f aca="false">K64*(1+SUMIFS('Realpage Data'!$AA$2:$AA$899,'Realpage Data'!$A$2:$A$899,$A64,'Realpage Data'!$F$2:$F$899,"YOY Effective Rent Change"))</f>
        <v>1.61703460919</v>
      </c>
      <c r="P64" s="6" t="n">
        <f aca="false">L64*(1+SUMIFS('Realpage Data'!$AB$2:$AB$899,'Realpage Data'!$A$2:$A$899,$A64,'Realpage Data'!$F$2:$F$899,"YOY Effective Rent Change"))</f>
        <v>1.609930169036</v>
      </c>
      <c r="Q64" s="6" t="n">
        <f aca="false">M64*(1+SUMIFS('Realpage Data'!$AC$2:$AC$899,'Realpage Data'!$A$2:$A$899,$A64,'Realpage Data'!$F$2:$F$899,"YOY Effective Rent Change"))</f>
        <v>1.61800455792</v>
      </c>
      <c r="R64" s="6" t="n">
        <f aca="false">N64*(1+SUMIFS('Realpage Data'!$AD$2:$AD$899,'Realpage Data'!$A$2:$A$899,$A64,'Realpage Data'!$F$2:$F$899,"YOY Effective Rent Change"))</f>
        <v>1.63171501218</v>
      </c>
      <c r="S64" s="6" t="n">
        <f aca="false">O64*(1+SUMIFS('Realpage Data'!$AE$2:$AE$899,'Realpage Data'!$A$2:$A$899,$A64,'Realpage Data'!$F$2:$F$899,"YOY Effective Rent Change"))</f>
        <v>1.64775826676461</v>
      </c>
      <c r="T64" s="6" t="n">
        <f aca="false">P64*(1+SUMIFS('Realpage Data'!$AF$2:$AF$899,'Realpage Data'!$A$2:$A$899,$A64,'Realpage Data'!$F$2:$F$899,"YOY Effective Rent Change"))</f>
        <v>1.64856849309286</v>
      </c>
      <c r="U64" s="4"/>
      <c r="V64" s="7" t="n">
        <f aca="false">F64/$B64-1</f>
        <v>-0.0408175394300276</v>
      </c>
      <c r="W64" s="7" t="n">
        <f aca="false">G64/$B64-1</f>
        <v>-0.0427561687693486</v>
      </c>
      <c r="X64" s="7" t="n">
        <f aca="false">H64/$B64-1</f>
        <v>-0.0507028910627136</v>
      </c>
      <c r="Y64" s="7" t="n">
        <f aca="false">I64/$B64-1</f>
        <v>-0.0421930635732267</v>
      </c>
      <c r="Z64" s="7" t="n">
        <f aca="false">J64/$B64-1</f>
        <v>-0.0312257148243279</v>
      </c>
      <c r="AA64" s="7" t="n">
        <f aca="false">K64/$B64-1</f>
        <v>-0.028397511300889</v>
      </c>
      <c r="AB64" s="7" t="n">
        <f aca="false">L64/$B64-1</f>
        <v>-0.0326662459929052</v>
      </c>
      <c r="AC64" s="7" t="n">
        <f aca="false">M64/$B64-1</f>
        <v>-0.0239947317811181</v>
      </c>
      <c r="AD64" s="7" t="n">
        <f aca="false">N64/$B64-1</f>
        <v>-0.0147565519763416</v>
      </c>
      <c r="AE64" s="7" t="n">
        <f aca="false">O64/$B64-1</f>
        <v>-0.0070222565495085</v>
      </c>
      <c r="AF64" s="7" t="n">
        <f aca="false">P64/$B64-1</f>
        <v>-0.0113849034047492</v>
      </c>
      <c r="AG64" s="7" t="n">
        <f aca="false">Q64/$B64-1</f>
        <v>-0.00642663695317813</v>
      </c>
      <c r="AH64" s="7" t="n">
        <f aca="false">R64/$B64-1</f>
        <v>0.00199258664006052</v>
      </c>
      <c r="AI64" s="7" t="n">
        <f aca="false">S64/$B64-1</f>
        <v>0.0118443205760508</v>
      </c>
      <c r="AJ64" s="7" t="n">
        <f aca="false">T64/$B64-1</f>
        <v>0.0123418589135369</v>
      </c>
      <c r="AK64" s="4"/>
      <c r="AL64" s="4" t="n">
        <f aca="false">SUMPRODUCT(MAX((V64:AJ64&lt;0)*$V$3:$AJ$3))</f>
        <v>12</v>
      </c>
      <c r="AM64" s="10" t="n">
        <f aca="false">IF(AL64=0,0,IF(AL64=15,3.5+IFERROR(LN($B64/T64)/LN(1+SUMIFS('Realpage Data'!$AF$2:$AF$899,'Realpage Data'!$A$2:$A$899,$A64,'Realpage Data'!$F$2:$F$899,"YOY Effective Rent Change")),99),((AL64-1)+INDEX(V64:AJ64,1,AL64)/(INDEX(V64:AJ64,1,AL64)-INDEX(V64:AJ64,1,AL64+1)))/4))</f>
        <v>2.94083223298462</v>
      </c>
      <c r="AN64" s="4" t="str">
        <f aca="false">IF(AL64=15,"†","")</f>
        <v/>
      </c>
    </row>
    <row r="65" customFormat="false" ht="15" hidden="false" customHeight="false" outlineLevel="0" collapsed="false">
      <c r="A65" s="25" t="s">
        <v>82</v>
      </c>
      <c r="B65" s="6" t="n">
        <f aca="false">SUMIFS('Realpage Data'!$R$2:$R$899,'Realpage Data'!$A$2:$A$899,$A65,'Realpage Data'!$F$2:$F$899,"Rent Roll (Rev/OSF)")</f>
        <v>1.56514648094679</v>
      </c>
      <c r="C65" s="6" t="n">
        <f aca="false">SUMIFS('Realpage Data'!$O$2:$O$899,'Realpage Data'!$A$2:$A$899,$A65,'Realpage Data'!$F$2:$F$899,"Effective RPSF")</f>
        <v>1.512</v>
      </c>
      <c r="D65" s="6" t="n">
        <f aca="false">SUMIFS('Realpage Data'!$P$2:$P$899,'Realpage Data'!$A$2:$A$899,$A65,'Realpage Data'!$F$2:$F$899,"Effective RPSF")</f>
        <v>1.495</v>
      </c>
      <c r="E65" s="6" t="n">
        <f aca="false">SUMIFS('Realpage Data'!$Q$2:$Q$899,'Realpage Data'!$A$2:$A$899,$A65,'Realpage Data'!$F$2:$F$899,"Effective RPSF")</f>
        <v>1.49</v>
      </c>
      <c r="F65" s="6" t="n">
        <f aca="false">SUMIFS('Realpage Data'!$R$2:$R$899,'Realpage Data'!$A$2:$A$899,$A65,'Realpage Data'!$F$2:$F$899,"Effective RPSF")</f>
        <v>1.495</v>
      </c>
      <c r="G65" s="6" t="n">
        <f aca="false">C65*(1+SUMIFS('Realpage Data'!$S$2:$S$899,'Realpage Data'!$A$2:$A$899,$A65,'Realpage Data'!$F$2:$F$899,"YOY Effective Rent Change"))</f>
        <v>1.472688</v>
      </c>
      <c r="H65" s="6" t="n">
        <f aca="false">D65*(1+SUMIFS('Realpage Data'!$T$2:$T$899,'Realpage Data'!$A$2:$A$899,$A65,'Realpage Data'!$F$2:$F$899,"YOY Effective Rent Change"))</f>
        <v>1.46211</v>
      </c>
      <c r="I65" s="6" t="n">
        <f aca="false">E65*(1+SUMIFS('Realpage Data'!$U$2:$U$899,'Realpage Data'!$A$2:$A$899,$A65,'Realpage Data'!$F$2:$F$899,"YOY Effective Rent Change"))</f>
        <v>1.46765</v>
      </c>
      <c r="J65" s="6" t="n">
        <f aca="false">F65*(1+SUMIFS('Realpage Data'!$V$2:$V$899,'Realpage Data'!$A$2:$A$899,$A65,'Realpage Data'!$F$2:$F$899,"YOY Effective Rent Change"))</f>
        <v>1.487525</v>
      </c>
      <c r="K65" s="6" t="n">
        <f aca="false">G65*(1+SUMIFS('Realpage Data'!$W$2:$W$899,'Realpage Data'!$A$2:$A$899,$A65,'Realpage Data'!$F$2:$F$899,"YOY Effective Rent Change"))</f>
        <v>1.482996816</v>
      </c>
      <c r="L65" s="6" t="n">
        <f aca="false">H65*(1+SUMIFS('Realpage Data'!$X$2:$X$899,'Realpage Data'!$A$2:$A$899,$A65,'Realpage Data'!$F$2:$F$899,"YOY Effective Rent Change"))</f>
        <v>1.4913522</v>
      </c>
      <c r="M65" s="6" t="n">
        <f aca="false">I65*(1+SUMIFS('Realpage Data'!$Y$2:$Y$899,'Realpage Data'!$A$2:$A$899,$A65,'Realpage Data'!$F$2:$F$899,"YOY Effective Rent Change"))</f>
        <v>1.497003</v>
      </c>
      <c r="N65" s="6" t="n">
        <f aca="false">J65*(1+SUMIFS('Realpage Data'!$Z$2:$Z$899,'Realpage Data'!$A$2:$A$899,$A65,'Realpage Data'!$F$2:$F$899,"YOY Effective Rent Change"))</f>
        <v>1.5172755</v>
      </c>
      <c r="O65" s="6" t="n">
        <f aca="false">K65*(1+SUMIFS('Realpage Data'!$AA$2:$AA$899,'Realpage Data'!$A$2:$A$899,$A65,'Realpage Data'!$F$2:$F$899,"YOY Effective Rent Change"))</f>
        <v>1.51265675232</v>
      </c>
      <c r="P65" s="6" t="n">
        <f aca="false">L65*(1+SUMIFS('Realpage Data'!$AB$2:$AB$899,'Realpage Data'!$A$2:$A$899,$A65,'Realpage Data'!$F$2:$F$899,"YOY Effective Rent Change"))</f>
        <v>1.521179244</v>
      </c>
      <c r="Q65" s="6" t="n">
        <f aca="false">M65*(1+SUMIFS('Realpage Data'!$AC$2:$AC$899,'Realpage Data'!$A$2:$A$899,$A65,'Realpage Data'!$F$2:$F$899,"YOY Effective Rent Change"))</f>
        <v>1.528440063</v>
      </c>
      <c r="R65" s="6" t="n">
        <f aca="false">N65*(1+SUMIFS('Realpage Data'!$AD$2:$AD$899,'Realpage Data'!$A$2:$A$899,$A65,'Realpage Data'!$F$2:$F$899,"YOY Effective Rent Change"))</f>
        <v>1.5491382855</v>
      </c>
      <c r="S65" s="6" t="n">
        <f aca="false">O65*(1+SUMIFS('Realpage Data'!$AE$2:$AE$899,'Realpage Data'!$A$2:$A$899,$A65,'Realpage Data'!$F$2:$F$899,"YOY Effective Rent Change"))</f>
        <v>1.54593520087104</v>
      </c>
      <c r="T65" s="6" t="n">
        <f aca="false">P65*(1+SUMIFS('Realpage Data'!$AF$2:$AF$899,'Realpage Data'!$A$2:$A$899,$A65,'Realpage Data'!$F$2:$F$899,"YOY Effective Rent Change"))</f>
        <v>1.554645187368</v>
      </c>
      <c r="U65" s="4"/>
      <c r="V65" s="7" t="n">
        <f aca="false">F65/$B65-1</f>
        <v>-0.0448178376916886</v>
      </c>
      <c r="W65" s="7" t="n">
        <f aca="false">G65/$B65-1</f>
        <v>-0.0590733724110352</v>
      </c>
      <c r="X65" s="7" t="n">
        <f aca="false">H65/$B65-1</f>
        <v>-0.0658318452624715</v>
      </c>
      <c r="Y65" s="7" t="n">
        <f aca="false">I65/$B65-1</f>
        <v>-0.0622922404603391</v>
      </c>
      <c r="Z65" s="7" t="n">
        <f aca="false">J65/$B65-1</f>
        <v>-0.0495937485032301</v>
      </c>
      <c r="AA65" s="7" t="n">
        <f aca="false">K65/$B65-1</f>
        <v>-0.0524868860179126</v>
      </c>
      <c r="AB65" s="7" t="n">
        <f aca="false">L65/$B65-1</f>
        <v>-0.0471484821677208</v>
      </c>
      <c r="AC65" s="7" t="n">
        <f aca="false">M65/$B65-1</f>
        <v>-0.0435380852695459</v>
      </c>
      <c r="AD65" s="7" t="n">
        <f aca="false">N65/$B65-1</f>
        <v>-0.0305856234732947</v>
      </c>
      <c r="AE65" s="7" t="n">
        <f aca="false">O65/$B65-1</f>
        <v>-0.0335366237382708</v>
      </c>
      <c r="AF65" s="7" t="n">
        <f aca="false">P65/$B65-1</f>
        <v>-0.0280914518110752</v>
      </c>
      <c r="AG65" s="7" t="n">
        <f aca="false">Q65/$B65-1</f>
        <v>-0.0234523850602065</v>
      </c>
      <c r="AH65" s="7" t="n">
        <f aca="false">R65/$B65-1</f>
        <v>-0.0102279215662341</v>
      </c>
      <c r="AI65" s="7" t="n">
        <f aca="false">S65/$B65-1</f>
        <v>-0.0122744294605127</v>
      </c>
      <c r="AJ65" s="7" t="n">
        <f aca="false">T65/$B65-1</f>
        <v>-0.00670946375091885</v>
      </c>
      <c r="AK65" s="4"/>
      <c r="AL65" s="4" t="n">
        <f aca="false">SUMPRODUCT(MAX((V65:AJ65&lt;0)*$V$3:$AJ$3))</f>
        <v>15</v>
      </c>
      <c r="AM65" s="10" t="n">
        <f aca="false">IF(AL65=0,0,IF(AL65=15,3.5+IFERROR(LN($B65/T65)/LN(1+SUMIFS('Realpage Data'!$AF$2:$AF$899,'Realpage Data'!$A$2:$A$899,$A65,'Realpage Data'!$F$2:$F$899,"YOY Effective Rent Change")),99),((AL65-1)+INDEX(V65:AJ65,1,AL65)/(INDEX(V65:AJ65,1,AL65)-INDEX(V65:AJ65,1,AL65+1)))/4))</f>
        <v>3.80935716446043</v>
      </c>
      <c r="AN65" s="4" t="str">
        <f aca="false">IF(AL65=15,"†","")</f>
        <v>†</v>
      </c>
    </row>
    <row r="66" customFormat="false" ht="15" hidden="false" customHeight="false" outlineLevel="0" collapsed="false">
      <c r="A66" s="25" t="s">
        <v>83</v>
      </c>
      <c r="B66" s="6" t="n">
        <f aca="false">SUMIFS('Realpage Data'!$R$2:$R$899,'Realpage Data'!$A$2:$A$899,$A66,'Realpage Data'!$F$2:$F$899,"Rent Roll (Rev/OSF)")</f>
        <v>1.67035502222085</v>
      </c>
      <c r="C66" s="6" t="n">
        <f aca="false">SUMIFS('Realpage Data'!$O$2:$O$899,'Realpage Data'!$A$2:$A$899,$A66,'Realpage Data'!$F$2:$F$899,"Effective RPSF")</f>
        <v>1.531</v>
      </c>
      <c r="D66" s="6" t="n">
        <f aca="false">SUMIFS('Realpage Data'!$P$2:$P$899,'Realpage Data'!$A$2:$A$899,$A66,'Realpage Data'!$F$2:$F$899,"Effective RPSF")</f>
        <v>1.514</v>
      </c>
      <c r="E66" s="6" t="n">
        <f aca="false">SUMIFS('Realpage Data'!$Q$2:$Q$899,'Realpage Data'!$A$2:$A$899,$A66,'Realpage Data'!$F$2:$F$899,"Effective RPSF")</f>
        <v>1.526</v>
      </c>
      <c r="F66" s="6" t="n">
        <f aca="false">SUMIFS('Realpage Data'!$R$2:$R$899,'Realpage Data'!$A$2:$A$899,$A66,'Realpage Data'!$F$2:$F$899,"Effective RPSF")</f>
        <v>1.528</v>
      </c>
      <c r="G66" s="6" t="n">
        <f aca="false">C66*(1+SUMIFS('Realpage Data'!$S$2:$S$899,'Realpage Data'!$A$2:$A$899,$A66,'Realpage Data'!$F$2:$F$899,"YOY Effective Rent Change"))</f>
        <v>1.498849</v>
      </c>
      <c r="H66" s="6" t="n">
        <f aca="false">D66*(1+SUMIFS('Realpage Data'!$T$2:$T$899,'Realpage Data'!$A$2:$A$899,$A66,'Realpage Data'!$F$2:$F$899,"YOY Effective Rent Change"))</f>
        <v>1.489776</v>
      </c>
      <c r="I66" s="6" t="n">
        <f aca="false">E66*(1+SUMIFS('Realpage Data'!$U$2:$U$899,'Realpage Data'!$A$2:$A$899,$A66,'Realpage Data'!$F$2:$F$899,"YOY Effective Rent Change"))</f>
        <v>1.51074</v>
      </c>
      <c r="J66" s="6" t="n">
        <f aca="false">F66*(1+SUMIFS('Realpage Data'!$V$2:$V$899,'Realpage Data'!$A$2:$A$899,$A66,'Realpage Data'!$F$2:$F$899,"YOY Effective Rent Change"))</f>
        <v>1.532584</v>
      </c>
      <c r="K66" s="6" t="n">
        <f aca="false">G66*(1+SUMIFS('Realpage Data'!$W$2:$W$899,'Realpage Data'!$A$2:$A$899,$A66,'Realpage Data'!$F$2:$F$899,"YOY Effective Rent Change"))</f>
        <v>1.534821376</v>
      </c>
      <c r="L66" s="6" t="n">
        <f aca="false">H66*(1+SUMIFS('Realpage Data'!$X$2:$X$899,'Realpage Data'!$A$2:$A$899,$A66,'Realpage Data'!$F$2:$F$899,"YOY Effective Rent Change"))</f>
        <v>1.540428384</v>
      </c>
      <c r="M66" s="6" t="n">
        <f aca="false">I66*(1+SUMIFS('Realpage Data'!$Y$2:$Y$899,'Realpage Data'!$A$2:$A$899,$A66,'Realpage Data'!$F$2:$F$899,"YOY Effective Rent Change"))</f>
        <v>1.5560622</v>
      </c>
      <c r="N66" s="6" t="n">
        <f aca="false">J66*(1+SUMIFS('Realpage Data'!$Z$2:$Z$899,'Realpage Data'!$A$2:$A$899,$A66,'Realpage Data'!$F$2:$F$899,"YOY Effective Rent Change"))</f>
        <v>1.57856152</v>
      </c>
      <c r="O66" s="6" t="n">
        <f aca="false">K66*(1+SUMIFS('Realpage Data'!$AA$2:$AA$899,'Realpage Data'!$A$2:$A$899,$A66,'Realpage Data'!$F$2:$F$899,"YOY Effective Rent Change"))</f>
        <v>1.58854012416</v>
      </c>
      <c r="P66" s="6" t="n">
        <f aca="false">L66*(1+SUMIFS('Realpage Data'!$AB$2:$AB$899,'Realpage Data'!$A$2:$A$899,$A66,'Realpage Data'!$F$2:$F$899,"YOY Effective Rent Change"))</f>
        <v>1.591262520672</v>
      </c>
      <c r="Q66" s="6" t="n">
        <f aca="false">M66*(1+SUMIFS('Realpage Data'!$AC$2:$AC$899,'Realpage Data'!$A$2:$A$899,$A66,'Realpage Data'!$F$2:$F$899,"YOY Effective Rent Change"))</f>
        <v>1.6043001282</v>
      </c>
      <c r="R66" s="6" t="n">
        <f aca="false">N66*(1+SUMIFS('Realpage Data'!$AD$2:$AD$899,'Realpage Data'!$A$2:$A$899,$A66,'Realpage Data'!$F$2:$F$899,"YOY Effective Rent Change"))</f>
        <v>1.62276124256</v>
      </c>
      <c r="S66" s="6" t="n">
        <f aca="false">O66*(1+SUMIFS('Realpage Data'!$AE$2:$AE$899,'Realpage Data'!$A$2:$A$899,$A66,'Realpage Data'!$F$2:$F$899,"YOY Effective Rent Change"))</f>
        <v>1.63460778776064</v>
      </c>
      <c r="T66" s="6" t="n">
        <f aca="false">P66*(1+SUMIFS('Realpage Data'!$AF$2:$AF$899,'Realpage Data'!$A$2:$A$899,$A66,'Realpage Data'!$F$2:$F$899,"YOY Effective Rent Change"))</f>
        <v>1.6421829213335</v>
      </c>
      <c r="U66" s="4"/>
      <c r="V66" s="7" t="n">
        <f aca="false">F66/$B66-1</f>
        <v>-0.0852244105756519</v>
      </c>
      <c r="W66" s="7" t="n">
        <f aca="false">G66/$B66-1</f>
        <v>-0.102676389114467</v>
      </c>
      <c r="X66" s="7" t="n">
        <f aca="false">H66/$B66-1</f>
        <v>-0.108108168514236</v>
      </c>
      <c r="Y66" s="7" t="n">
        <f aca="false">I66/$B66-1</f>
        <v>-0.0955575432153537</v>
      </c>
      <c r="Z66" s="7" t="n">
        <f aca="false">J66/$B66-1</f>
        <v>-0.0824800838073789</v>
      </c>
      <c r="AA66" s="7" t="n">
        <f aca="false">K66/$B66-1</f>
        <v>-0.081140622453214</v>
      </c>
      <c r="AB66" s="7" t="n">
        <f aca="false">L66/$B66-1</f>
        <v>-0.0777838462437199</v>
      </c>
      <c r="AC66" s="7" t="n">
        <f aca="false">M66/$B66-1</f>
        <v>-0.0684242695118142</v>
      </c>
      <c r="AD66" s="7" t="n">
        <f aca="false">N66/$B66-1</f>
        <v>-0.0549544863216002</v>
      </c>
      <c r="AE66" s="7" t="n">
        <f aca="false">O66/$B66-1</f>
        <v>-0.0489805442390766</v>
      </c>
      <c r="AF66" s="7" t="n">
        <f aca="false">P66/$B66-1</f>
        <v>-0.0473507131697628</v>
      </c>
      <c r="AG66" s="7" t="n">
        <f aca="false">Q66/$B66-1</f>
        <v>-0.0395454218666806</v>
      </c>
      <c r="AH66" s="7" t="n">
        <f aca="false">R66/$B66-1</f>
        <v>-0.0284932119386051</v>
      </c>
      <c r="AI66" s="7" t="n">
        <f aca="false">S66/$B66-1</f>
        <v>-0.0214009800220099</v>
      </c>
      <c r="AJ66" s="7" t="n">
        <f aca="false">T66/$B66-1</f>
        <v>-0.0168659359911952</v>
      </c>
      <c r="AK66" s="4"/>
      <c r="AL66" s="4" t="n">
        <f aca="false">SUMPRODUCT(MAX((V66:AJ66&lt;0)*$V$3:$AJ$3))</f>
        <v>15</v>
      </c>
      <c r="AM66" s="10" t="n">
        <f aca="false">IF(AL66=0,0,IF(AL66=15,3.5+IFERROR(LN($B66/T66)/LN(1+SUMIFS('Realpage Data'!$AF$2:$AF$899,'Realpage Data'!$A$2:$A$899,$A66,'Realpage Data'!$F$2:$F$899,"YOY Effective Rent Change")),99),((AL66-1)+INDEX(V66:AJ66,1,AL66)/(INDEX(V66:AJ66,1,AL66)-INDEX(V66:AJ66,1,AL66+1)))/4))</f>
        <v>4.0400160454618</v>
      </c>
      <c r="AN66" s="4" t="str">
        <f aca="false">IF(AL66=15,"†","")</f>
        <v>†</v>
      </c>
    </row>
    <row r="67" customFormat="false" ht="15" hidden="false" customHeight="false" outlineLevel="0" collapsed="false">
      <c r="A67" s="25" t="s">
        <v>84</v>
      </c>
      <c r="B67" s="6" t="n">
        <f aca="false">SUMIFS('Realpage Data'!$R$2:$R$899,'Realpage Data'!$A$2:$A$899,$A67,'Realpage Data'!$F$2:$F$899,"Rent Roll (Rev/OSF)")</f>
        <v>1.69216766286442</v>
      </c>
      <c r="C67" s="6" t="n">
        <f aca="false">SUMIFS('Realpage Data'!$O$2:$O$899,'Realpage Data'!$A$2:$A$899,$A67,'Realpage Data'!$F$2:$F$899,"Effective RPSF")</f>
        <v>1.626</v>
      </c>
      <c r="D67" s="6" t="n">
        <f aca="false">SUMIFS('Realpage Data'!$P$2:$P$899,'Realpage Data'!$A$2:$A$899,$A67,'Realpage Data'!$F$2:$F$899,"Effective RPSF")</f>
        <v>1.575</v>
      </c>
      <c r="E67" s="6" t="n">
        <f aca="false">SUMIFS('Realpage Data'!$Q$2:$Q$899,'Realpage Data'!$A$2:$A$899,$A67,'Realpage Data'!$F$2:$F$899,"Effective RPSF")</f>
        <v>1.572</v>
      </c>
      <c r="F67" s="6" t="n">
        <f aca="false">SUMIFS('Realpage Data'!$R$2:$R$899,'Realpage Data'!$A$2:$A$899,$A67,'Realpage Data'!$F$2:$F$899,"Effective RPSF")</f>
        <v>1.595</v>
      </c>
      <c r="G67" s="6" t="n">
        <f aca="false">C67*(1+SUMIFS('Realpage Data'!$S$2:$S$899,'Realpage Data'!$A$2:$A$899,$A67,'Realpage Data'!$F$2:$F$899,"YOY Effective Rent Change"))</f>
        <v>1.554456</v>
      </c>
      <c r="H67" s="6" t="n">
        <f aca="false">D67*(1+SUMIFS('Realpage Data'!$T$2:$T$899,'Realpage Data'!$A$2:$A$899,$A67,'Realpage Data'!$F$2:$F$899,"YOY Effective Rent Change"))</f>
        <v>1.526175</v>
      </c>
      <c r="I67" s="6" t="n">
        <f aca="false">E67*(1+SUMIFS('Realpage Data'!$U$2:$U$899,'Realpage Data'!$A$2:$A$899,$A67,'Realpage Data'!$F$2:$F$899,"YOY Effective Rent Change"))</f>
        <v>1.546848</v>
      </c>
      <c r="J67" s="6" t="n">
        <f aca="false">F67*(1+SUMIFS('Realpage Data'!$V$2:$V$899,'Realpage Data'!$A$2:$A$899,$A67,'Realpage Data'!$F$2:$F$899,"YOY Effective Rent Change"))</f>
        <v>1.609355</v>
      </c>
      <c r="K67" s="6" t="n">
        <f aca="false">G67*(1+SUMIFS('Realpage Data'!$W$2:$W$899,'Realpage Data'!$A$2:$A$899,$A67,'Realpage Data'!$F$2:$F$899,"YOY Effective Rent Change"))</f>
        <v>1.5933174</v>
      </c>
      <c r="L67" s="6" t="n">
        <f aca="false">H67*(1+SUMIFS('Realpage Data'!$X$2:$X$899,'Realpage Data'!$A$2:$A$899,$A67,'Realpage Data'!$F$2:$F$899,"YOY Effective Rent Change"))</f>
        <v>1.56585555</v>
      </c>
      <c r="M67" s="6" t="n">
        <f aca="false">I67*(1+SUMIFS('Realpage Data'!$Y$2:$Y$899,'Realpage Data'!$A$2:$A$899,$A67,'Realpage Data'!$F$2:$F$899,"YOY Effective Rent Change"))</f>
        <v>1.583972352</v>
      </c>
      <c r="N67" s="6" t="n">
        <f aca="false">J67*(1+SUMIFS('Realpage Data'!$Z$2:$Z$899,'Realpage Data'!$A$2:$A$899,$A67,'Realpage Data'!$F$2:$F$899,"YOY Effective Rent Change"))</f>
        <v>1.646370165</v>
      </c>
      <c r="O67" s="6" t="n">
        <f aca="false">K67*(1+SUMIFS('Realpage Data'!$AA$2:$AA$899,'Realpage Data'!$A$2:$A$899,$A67,'Realpage Data'!$F$2:$F$899,"YOY Effective Rent Change"))</f>
        <v>1.633150335</v>
      </c>
      <c r="P67" s="6" t="n">
        <f aca="false">L67*(1+SUMIFS('Realpage Data'!$AB$2:$AB$899,'Realpage Data'!$A$2:$A$899,$A67,'Realpage Data'!$F$2:$F$899,"YOY Effective Rent Change"))</f>
        <v>1.60500193875</v>
      </c>
      <c r="Q67" s="6" t="n">
        <f aca="false">M67*(1+SUMIFS('Realpage Data'!$AC$2:$AC$899,'Realpage Data'!$A$2:$A$899,$A67,'Realpage Data'!$F$2:$F$899,"YOY Effective Rent Change"))</f>
        <v>1.620403716096</v>
      </c>
      <c r="R67" s="6" t="n">
        <f aca="false">N67*(1+SUMIFS('Realpage Data'!$AD$2:$AD$899,'Realpage Data'!$A$2:$A$899,$A67,'Realpage Data'!$F$2:$F$899,"YOY Effective Rent Change"))</f>
        <v>1.68588304896</v>
      </c>
      <c r="S67" s="6" t="n">
        <f aca="false">O67*(1+SUMIFS('Realpage Data'!$AE$2:$AE$899,'Realpage Data'!$A$2:$A$899,$A67,'Realpage Data'!$F$2:$F$899,"YOY Effective Rent Change"))</f>
        <v>1.67887854438</v>
      </c>
      <c r="T67" s="6" t="n">
        <f aca="false">P67*(1+SUMIFS('Realpage Data'!$AF$2:$AF$899,'Realpage Data'!$A$2:$A$899,$A67,'Realpage Data'!$F$2:$F$899,"YOY Effective Rent Change"))</f>
        <v>1.6531519969125</v>
      </c>
      <c r="U67" s="4"/>
      <c r="V67" s="7" t="n">
        <f aca="false">F67/$B67-1</f>
        <v>-0.057422006694029</v>
      </c>
      <c r="W67" s="7" t="n">
        <f aca="false">G67/$B67-1</f>
        <v>-0.0813818074216762</v>
      </c>
      <c r="X67" s="7" t="n">
        <f aca="false">H67/$B67-1</f>
        <v>-0.0980946903236738</v>
      </c>
      <c r="Y67" s="7" t="n">
        <f aca="false">I67/$B67-1</f>
        <v>-0.0858778158060471</v>
      </c>
      <c r="Z67" s="7" t="n">
        <f aca="false">J67/$B67-1</f>
        <v>-0.0489388047542753</v>
      </c>
      <c r="AA67" s="7" t="n">
        <f aca="false">K67/$B67-1</f>
        <v>-0.0584163526072182</v>
      </c>
      <c r="AB67" s="7" t="n">
        <f aca="false">L67/$B67-1</f>
        <v>-0.0746451522720893</v>
      </c>
      <c r="AC67" s="7" t="n">
        <f aca="false">M67/$B67-1</f>
        <v>-0.0639388833853923</v>
      </c>
      <c r="AD67" s="7" t="n">
        <f aca="false">N67/$B67-1</f>
        <v>-0.0270643972636236</v>
      </c>
      <c r="AE67" s="7" t="n">
        <f aca="false">O67/$B67-1</f>
        <v>-0.0348767614223987</v>
      </c>
      <c r="AF67" s="7" t="n">
        <f aca="false">P67/$B67-1</f>
        <v>-0.0515112810788917</v>
      </c>
      <c r="AG67" s="7" t="n">
        <f aca="false">Q67/$B67-1</f>
        <v>-0.0424094777032564</v>
      </c>
      <c r="AH67" s="7" t="n">
        <f aca="false">R67/$B67-1</f>
        <v>-0.00371394279795056</v>
      </c>
      <c r="AI67" s="7" t="n">
        <f aca="false">S67/$B67-1</f>
        <v>-0.00785331074222584</v>
      </c>
      <c r="AJ67" s="7" t="n">
        <f aca="false">T67/$B67-1</f>
        <v>-0.0230566195112584</v>
      </c>
      <c r="AK67" s="4"/>
      <c r="AL67" s="4" t="n">
        <f aca="false">SUMPRODUCT(MAX((V67:AJ67&lt;0)*$V$3:$AJ$3))</f>
        <v>15</v>
      </c>
      <c r="AM67" s="10" t="n">
        <f aca="false">IF(AL67=0,0,IF(AL67=15,3.5+IFERROR(LN($B67/T67)/LN(1+SUMIFS('Realpage Data'!$AF$2:$AF$899,'Realpage Data'!$A$2:$A$899,$A67,'Realpage Data'!$F$2:$F$899,"YOY Effective Rent Change")),99),((AL67-1)+INDEX(V67:AJ67,1,AL67)/(INDEX(V67:AJ67,1,AL67)-INDEX(V67:AJ67,1,AL67+1)))/4))</f>
        <v>4.28915853372168</v>
      </c>
      <c r="AN67" s="4" t="str">
        <f aca="false">IF(AL67=15,"†","")</f>
        <v>†</v>
      </c>
    </row>
    <row r="68" customFormat="false" ht="15" hidden="false" customHeight="false" outlineLevel="0" collapsed="false">
      <c r="A68" s="25" t="s">
        <v>85</v>
      </c>
      <c r="B68" s="6" t="n">
        <f aca="false">SUMIFS('Realpage Data'!$R$2:$R$899,'Realpage Data'!$A$2:$A$899,$A68,'Realpage Data'!$F$2:$F$899,"Rent Roll (Rev/OSF)")</f>
        <v>2.09702634266398</v>
      </c>
      <c r="C68" s="6" t="n">
        <f aca="false">SUMIFS('Realpage Data'!$O$2:$O$899,'Realpage Data'!$A$2:$A$899,$A68,'Realpage Data'!$F$2:$F$899,"Effective RPSF")</f>
        <v>2.043</v>
      </c>
      <c r="D68" s="6" t="n">
        <f aca="false">SUMIFS('Realpage Data'!$P$2:$P$899,'Realpage Data'!$A$2:$A$899,$A68,'Realpage Data'!$F$2:$F$899,"Effective RPSF")</f>
        <v>1.961</v>
      </c>
      <c r="E68" s="6" t="n">
        <f aca="false">SUMIFS('Realpage Data'!$Q$2:$Q$899,'Realpage Data'!$A$2:$A$899,$A68,'Realpage Data'!$F$2:$F$899,"Effective RPSF")</f>
        <v>1.95</v>
      </c>
      <c r="F68" s="6" t="n">
        <f aca="false">SUMIFS('Realpage Data'!$R$2:$R$899,'Realpage Data'!$A$2:$A$899,$A68,'Realpage Data'!$F$2:$F$899,"Effective RPSF")</f>
        <v>1.979</v>
      </c>
      <c r="G68" s="6" t="n">
        <f aca="false">C68*(1+SUMIFS('Realpage Data'!$S$2:$S$899,'Realpage Data'!$A$2:$A$899,$A68,'Realpage Data'!$F$2:$F$899,"YOY Effective Rent Change"))</f>
        <v>1.944936</v>
      </c>
      <c r="H68" s="6" t="n">
        <f aca="false">D68*(1+SUMIFS('Realpage Data'!$T$2:$T$899,'Realpage Data'!$A$2:$A$899,$A68,'Realpage Data'!$F$2:$F$899,"YOY Effective Rent Change"))</f>
        <v>1.890404</v>
      </c>
      <c r="I68" s="6" t="n">
        <f aca="false">E68*(1+SUMIFS('Realpage Data'!$U$2:$U$899,'Realpage Data'!$A$2:$A$899,$A68,'Realpage Data'!$F$2:$F$899,"YOY Effective Rent Change"))</f>
        <v>1.9149</v>
      </c>
      <c r="J68" s="6" t="n">
        <f aca="false">F68*(1+SUMIFS('Realpage Data'!$V$2:$V$899,'Realpage Data'!$A$2:$A$899,$A68,'Realpage Data'!$F$2:$F$899,"YOY Effective Rent Change"))</f>
        <v>1.990874</v>
      </c>
      <c r="K68" s="6" t="n">
        <f aca="false">G68*(1+SUMIFS('Realpage Data'!$W$2:$W$899,'Realpage Data'!$A$2:$A$899,$A68,'Realpage Data'!$F$2:$F$899,"YOY Effective Rent Change"))</f>
        <v>1.991614464</v>
      </c>
      <c r="L68" s="6" t="n">
        <f aca="false">H68*(1+SUMIFS('Realpage Data'!$X$2:$X$899,'Realpage Data'!$A$2:$A$899,$A68,'Realpage Data'!$F$2:$F$899,"YOY Effective Rent Change"))</f>
        <v>1.931992888</v>
      </c>
      <c r="M68" s="6" t="n">
        <f aca="false">I68*(1+SUMIFS('Realpage Data'!$Y$2:$Y$899,'Realpage Data'!$A$2:$A$899,$A68,'Realpage Data'!$F$2:$F$899,"YOY Effective Rent Change"))</f>
        <v>1.9551129</v>
      </c>
      <c r="N68" s="6" t="n">
        <f aca="false">J68*(1+SUMIFS('Realpage Data'!$Z$2:$Z$899,'Realpage Data'!$A$2:$A$899,$A68,'Realpage Data'!$F$2:$F$899,"YOY Effective Rent Change"))</f>
        <v>2.032682354</v>
      </c>
      <c r="O68" s="6" t="n">
        <f aca="false">K68*(1+SUMIFS('Realpage Data'!$AA$2:$AA$899,'Realpage Data'!$A$2:$A$899,$A68,'Realpage Data'!$F$2:$F$899,"YOY Effective Rent Change"))</f>
        <v>2.035429982208</v>
      </c>
      <c r="P68" s="6" t="n">
        <f aca="false">L68*(1+SUMIFS('Realpage Data'!$AB$2:$AB$899,'Realpage Data'!$A$2:$A$899,$A68,'Realpage Data'!$F$2:$F$899,"YOY Effective Rent Change"))</f>
        <v>1.974496731536</v>
      </c>
      <c r="Q68" s="6" t="n">
        <f aca="false">M68*(1+SUMIFS('Realpage Data'!$AC$2:$AC$899,'Realpage Data'!$A$2:$A$899,$A68,'Realpage Data'!$F$2:$F$899,"YOY Effective Rent Change"))</f>
        <v>1.9981253838</v>
      </c>
      <c r="R68" s="6" t="n">
        <f aca="false">N68*(1+SUMIFS('Realpage Data'!$AD$2:$AD$899,'Realpage Data'!$A$2:$A$899,$A68,'Realpage Data'!$F$2:$F$899,"YOY Effective Rent Change"))</f>
        <v>2.077401365788</v>
      </c>
      <c r="S68" s="6" t="n">
        <f aca="false">O68*(1+SUMIFS('Realpage Data'!$AE$2:$AE$899,'Realpage Data'!$A$2:$A$899,$A68,'Realpage Data'!$F$2:$F$899,"YOY Effective Rent Change"))</f>
        <v>2.08224487179878</v>
      </c>
      <c r="T68" s="6" t="n">
        <f aca="false">P68*(1+SUMIFS('Realpage Data'!$AF$2:$AF$899,'Realpage Data'!$A$2:$A$899,$A68,'Realpage Data'!$F$2:$F$899,"YOY Effective Rent Change"))</f>
        <v>2.02188465309286</v>
      </c>
      <c r="U68" s="4"/>
      <c r="V68" s="7" t="n">
        <f aca="false">F68/$B68-1</f>
        <v>-0.0562827181818051</v>
      </c>
      <c r="W68" s="7" t="n">
        <f aca="false">G68/$B68-1</f>
        <v>-0.0725266724455014</v>
      </c>
      <c r="X68" s="7" t="n">
        <f aca="false">H68/$B68-1</f>
        <v>-0.0985311144930556</v>
      </c>
      <c r="Y68" s="7" t="n">
        <f aca="false">I68/$B68-1</f>
        <v>-0.0868498115443854</v>
      </c>
      <c r="Z68" s="7" t="n">
        <f aca="false">J68/$B68-1</f>
        <v>-0.0506204144908959</v>
      </c>
      <c r="AA68" s="7" t="n">
        <f aca="false">K68/$B68-1</f>
        <v>-0.0502673125841935</v>
      </c>
      <c r="AB68" s="7" t="n">
        <f aca="false">L68/$B68-1</f>
        <v>-0.0786987990119029</v>
      </c>
      <c r="AC68" s="7" t="n">
        <f aca="false">M68/$B68-1</f>
        <v>-0.0676736575868177</v>
      </c>
      <c r="AD68" s="7" t="n">
        <f aca="false">N68/$B68-1</f>
        <v>-0.0306834431952048</v>
      </c>
      <c r="AE68" s="7" t="n">
        <f aca="false">O68/$B68-1</f>
        <v>-0.0293731934610457</v>
      </c>
      <c r="AF68" s="7" t="n">
        <f aca="false">P68/$B68-1</f>
        <v>-0.0584301725901647</v>
      </c>
      <c r="AG68" s="7" t="n">
        <f aca="false">Q68/$B68-1</f>
        <v>-0.0471624780537275</v>
      </c>
      <c r="AH68" s="7" t="n">
        <f aca="false">R68/$B68-1</f>
        <v>-0.00935847894549924</v>
      </c>
      <c r="AI68" s="7" t="n">
        <f aca="false">S68/$B68-1</f>
        <v>-0.00704877691064998</v>
      </c>
      <c r="AJ68" s="7" t="n">
        <f aca="false">T68/$B68-1</f>
        <v>-0.0358324967323286</v>
      </c>
      <c r="AK68" s="4"/>
      <c r="AL68" s="4" t="n">
        <f aca="false">SUMPRODUCT(MAX((V68:AJ68&lt;0)*$V$3:$AJ$3))</f>
        <v>15</v>
      </c>
      <c r="AM68" s="10" t="n">
        <f aca="false">IF(AL68=0,0,IF(AL68=15,3.5+IFERROR(LN($B68/T68)/LN(1+SUMIFS('Realpage Data'!$AF$2:$AF$899,'Realpage Data'!$A$2:$A$899,$A68,'Realpage Data'!$F$2:$F$899,"YOY Effective Rent Change")),99),((AL68-1)+INDEX(V68:AJ68,1,AL68)/(INDEX(V68:AJ68,1,AL68)-INDEX(V68:AJ68,1,AL68+1)))/4))</f>
        <v>5.03859970636675</v>
      </c>
      <c r="AN68" s="4" t="str">
        <f aca="false">IF(AL68=15,"†","")</f>
        <v>†</v>
      </c>
    </row>
    <row r="69" customFormat="false" ht="15" hidden="false" customHeight="false" outlineLevel="0" collapsed="false">
      <c r="A69" s="25" t="s">
        <v>86</v>
      </c>
      <c r="B69" s="6" t="n">
        <f aca="false">SUMIFS('Realpage Data'!$R$2:$R$899,'Realpage Data'!$A$2:$A$899,$A69,'Realpage Data'!$F$2:$F$899,"Rent Roll (Rev/OSF)")</f>
        <v>1.4268024987129</v>
      </c>
      <c r="C69" s="6" t="n">
        <f aca="false">SUMIFS('Realpage Data'!$O$2:$O$899,'Realpage Data'!$A$2:$A$899,$A69,'Realpage Data'!$F$2:$F$899,"Effective RPSF")</f>
        <v>1.371</v>
      </c>
      <c r="D69" s="6" t="n">
        <f aca="false">SUMIFS('Realpage Data'!$P$2:$P$899,'Realpage Data'!$A$2:$A$899,$A69,'Realpage Data'!$F$2:$F$899,"Effective RPSF")</f>
        <v>1.327</v>
      </c>
      <c r="E69" s="6" t="n">
        <f aca="false">SUMIFS('Realpage Data'!$Q$2:$Q$899,'Realpage Data'!$A$2:$A$899,$A69,'Realpage Data'!$F$2:$F$899,"Effective RPSF")</f>
        <v>1.32</v>
      </c>
      <c r="F69" s="6" t="n">
        <f aca="false">SUMIFS('Realpage Data'!$R$2:$R$899,'Realpage Data'!$A$2:$A$899,$A69,'Realpage Data'!$F$2:$F$899,"Effective RPSF")</f>
        <v>1.325</v>
      </c>
      <c r="G69" s="6" t="n">
        <f aca="false">C69*(1+SUMIFS('Realpage Data'!$S$2:$S$899,'Realpage Data'!$A$2:$A$899,$A69,'Realpage Data'!$F$2:$F$899,"YOY Effective Rent Change"))</f>
        <v>1.298337</v>
      </c>
      <c r="H69" s="6" t="n">
        <f aca="false">D69*(1+SUMIFS('Realpage Data'!$T$2:$T$899,'Realpage Data'!$A$2:$A$899,$A69,'Realpage Data'!$F$2:$F$899,"YOY Effective Rent Change"))</f>
        <v>1.269939</v>
      </c>
      <c r="I69" s="6" t="n">
        <f aca="false">E69*(1+SUMIFS('Realpage Data'!$U$2:$U$899,'Realpage Data'!$A$2:$A$899,$A69,'Realpage Data'!$F$2:$F$899,"YOY Effective Rent Change"))</f>
        <v>1.28172</v>
      </c>
      <c r="J69" s="6" t="n">
        <f aca="false">F69*(1+SUMIFS('Realpage Data'!$V$2:$V$899,'Realpage Data'!$A$2:$A$899,$A69,'Realpage Data'!$F$2:$F$899,"YOY Effective Rent Change"))</f>
        <v>1.313075</v>
      </c>
      <c r="K69" s="6" t="n">
        <f aca="false">G69*(1+SUMIFS('Realpage Data'!$W$2:$W$899,'Realpage Data'!$A$2:$A$899,$A69,'Realpage Data'!$F$2:$F$899,"YOY Effective Rent Change"))</f>
        <v>1.319110392</v>
      </c>
      <c r="L69" s="6" t="n">
        <f aca="false">H69*(1+SUMIFS('Realpage Data'!$X$2:$X$899,'Realpage Data'!$A$2:$A$899,$A69,'Realpage Data'!$F$2:$F$899,"YOY Effective Rent Change"))</f>
        <v>1.288988085</v>
      </c>
      <c r="M69" s="6" t="n">
        <f aca="false">I69*(1+SUMIFS('Realpage Data'!$Y$2:$Y$899,'Realpage Data'!$A$2:$A$899,$A69,'Realpage Data'!$F$2:$F$899,"YOY Effective Rent Change"))</f>
        <v>1.30607268</v>
      </c>
      <c r="N69" s="6" t="n">
        <f aca="false">J69*(1+SUMIFS('Realpage Data'!$Z$2:$Z$899,'Realpage Data'!$A$2:$A$899,$A69,'Realpage Data'!$F$2:$F$899,"YOY Effective Rent Change"))</f>
        <v>1.34196265</v>
      </c>
      <c r="O69" s="6" t="n">
        <f aca="false">K69*(1+SUMIFS('Realpage Data'!$AA$2:$AA$899,'Realpage Data'!$A$2:$A$899,$A69,'Realpage Data'!$F$2:$F$899,"YOY Effective Rent Change"))</f>
        <v>1.350769041408</v>
      </c>
      <c r="P69" s="6" t="n">
        <f aca="false">L69*(1+SUMIFS('Realpage Data'!$AB$2:$AB$899,'Realpage Data'!$A$2:$A$899,$A69,'Realpage Data'!$F$2:$F$899,"YOY Effective Rent Change"))</f>
        <v>1.32250177521</v>
      </c>
      <c r="Q69" s="6" t="n">
        <f aca="false">M69*(1+SUMIFS('Realpage Data'!$AC$2:$AC$899,'Realpage Data'!$A$2:$A$899,$A69,'Realpage Data'!$F$2:$F$899,"YOY Effective Rent Change"))</f>
        <v>1.34133664236</v>
      </c>
      <c r="R69" s="6" t="n">
        <f aca="false">N69*(1+SUMIFS('Realpage Data'!$AD$2:$AD$899,'Realpage Data'!$A$2:$A$899,$A69,'Realpage Data'!$F$2:$F$899,"YOY Effective Rent Change"))</f>
        <v>1.3795376042</v>
      </c>
      <c r="S69" s="6" t="n">
        <f aca="false">O69*(1+SUMIFS('Realpage Data'!$AE$2:$AE$899,'Realpage Data'!$A$2:$A$899,$A69,'Realpage Data'!$F$2:$F$899,"YOY Effective Rent Change"))</f>
        <v>1.38859057456742</v>
      </c>
      <c r="T69" s="6" t="n">
        <f aca="false">P69*(1+SUMIFS('Realpage Data'!$AF$2:$AF$899,'Realpage Data'!$A$2:$A$899,$A69,'Realpage Data'!$F$2:$F$899,"YOY Effective Rent Change"))</f>
        <v>1.3621768284663</v>
      </c>
      <c r="U69" s="4"/>
      <c r="V69" s="7" t="n">
        <f aca="false">F69/$B69-1</f>
        <v>-0.0713500984226856</v>
      </c>
      <c r="W69" s="7" t="n">
        <f aca="false">G69/$B69-1</f>
        <v>-0.0900373379138223</v>
      </c>
      <c r="X69" s="7" t="n">
        <f aca="false">H69/$B69-1</f>
        <v>-0.109940583125137</v>
      </c>
      <c r="Y69" s="7" t="n">
        <f aca="false">I69/$B69-1</f>
        <v>-0.101683658981377</v>
      </c>
      <c r="Z69" s="7" t="n">
        <f aca="false">J69/$B69-1</f>
        <v>-0.0797079475368815</v>
      </c>
      <c r="AA69" s="7" t="n">
        <f aca="false">K69/$B69-1</f>
        <v>-0.0754779353204435</v>
      </c>
      <c r="AB69" s="7" t="n">
        <f aca="false">L69/$B69-1</f>
        <v>-0.0965896918720146</v>
      </c>
      <c r="AC69" s="7" t="n">
        <f aca="false">M69/$B69-1</f>
        <v>-0.0846156485020234</v>
      </c>
      <c r="AD69" s="7" t="n">
        <f aca="false">N69/$B69-1</f>
        <v>-0.0594615223826929</v>
      </c>
      <c r="AE69" s="7" t="n">
        <f aca="false">O69/$B69-1</f>
        <v>-0.0532894057681341</v>
      </c>
      <c r="AF69" s="7" t="n">
        <f aca="false">P69/$B69-1</f>
        <v>-0.073101023860687</v>
      </c>
      <c r="AG69" s="7" t="n">
        <f aca="false">Q69/$B69-1</f>
        <v>-0.059900271011578</v>
      </c>
      <c r="AH69" s="7" t="n">
        <f aca="false">R69/$B69-1</f>
        <v>-0.0331264450094082</v>
      </c>
      <c r="AI69" s="7" t="n">
        <f aca="false">S69/$B69-1</f>
        <v>-0.0267815091296418</v>
      </c>
      <c r="AJ69" s="7" t="n">
        <f aca="false">T69/$B69-1</f>
        <v>-0.0452940545765076</v>
      </c>
      <c r="AK69" s="4"/>
      <c r="AL69" s="4" t="n">
        <f aca="false">SUMPRODUCT(MAX((V69:AJ69&lt;0)*$V$3:$AJ$3))</f>
        <v>15</v>
      </c>
      <c r="AM69" s="10" t="n">
        <f aca="false">IF(AL69=0,0,IF(AL69=15,3.5+IFERROR(LN($B69/T69)/LN(1+SUMIFS('Realpage Data'!$AF$2:$AF$899,'Realpage Data'!$A$2:$A$899,$A69,'Realpage Data'!$F$2:$F$899,"YOY Effective Rent Change")),99),((AL69-1)+INDEX(V69:AJ69,1,AL69)/(INDEX(V69:AJ69,1,AL69)-INDEX(V69:AJ69,1,AL69+1)))/4))</f>
        <v>5.06812498991464</v>
      </c>
      <c r="AN69" s="4" t="str">
        <f aca="false">IF(AL69=15,"†","")</f>
        <v>†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2026-08-17T23:11:17Z</dcterms:created>
  <dc:creator>openpyxl</dc:creator>
  <dc:description/>
  <dc:language>en-US</dc:language>
  <cp:lastModifiedBy/>
  <dcterms:modified xsi:type="dcterms:W3CDTF">2026-08-17T23:11:18Z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