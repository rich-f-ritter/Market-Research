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04. Research/Market Research/Market Return Analysis/"/>
    </mc:Choice>
  </mc:AlternateContent>
  <xr:revisionPtr revIDLastSave="139" documentId="8_{336C22EC-7B90-4865-8AAD-FEBD2EED68C1}" xr6:coauthVersionLast="47" xr6:coauthVersionMax="47" xr10:uidLastSave="{079880CF-507A-4725-A93E-5F763F6C924B}"/>
  <bookViews>
    <workbookView xWindow="-57720" yWindow="-120" windowWidth="29040" windowHeight="15720" xr2:uid="{00000000-000D-0000-FFFF-FFFF00000000}"/>
  </bookViews>
  <sheets>
    <sheet name="Q2 2026 Summary" sheetId="1" r:id="rId1"/>
    <sheet name="Realpage" sheetId="3" r:id="rId2"/>
    <sheet name="RP - Unit Starts" sheetId="6" r:id="rId3"/>
    <sheet name="Realpage - His. Rent Change" sheetId="5" r:id="rId4"/>
    <sheet name="Cap Rate to IRR Map" sheetId="2" r:id="rId5"/>
  </sheets>
  <definedNames>
    <definedName name="_xlnm._FilterDatabase" localSheetId="0" hidden="1">'Q2 2026 Summary'!$C$4:$AL$54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7" i="1"/>
  <c r="G54" i="1" a="1"/>
  <c r="G34" i="1" a="1"/>
  <c r="G52" i="1" a="1"/>
  <c r="G43" i="1" a="1"/>
  <c r="G31" i="1" a="1"/>
  <c r="G48" i="1" a="1"/>
  <c r="G50" i="1" a="1"/>
  <c r="G51" i="1" a="1"/>
  <c r="G39" i="1" a="1"/>
  <c r="G47" i="1" a="1"/>
  <c r="G41" i="1" a="1"/>
  <c r="G42" i="1" a="1"/>
  <c r="G45" i="1" a="1"/>
  <c r="G46" i="1" a="1"/>
  <c r="G49" i="1" a="1"/>
  <c r="G38" i="1" a="1"/>
  <c r="G35" i="1" a="1"/>
  <c r="G37" i="1" a="1"/>
  <c r="G32" i="1" a="1"/>
  <c r="G44" i="1" a="1"/>
  <c r="G40" i="1" a="1"/>
  <c r="G53" i="1" a="1"/>
  <c r="G26" i="1" a="1"/>
  <c r="G13" i="1" a="1"/>
  <c r="G27" i="1" a="1"/>
  <c r="G36" i="1" a="1"/>
  <c r="G24" i="1" a="1"/>
  <c r="G33" i="1" a="1"/>
  <c r="G30" i="1" a="1"/>
  <c r="G28" i="1" a="1"/>
  <c r="G29" i="1" a="1"/>
  <c r="G20" i="1" a="1"/>
  <c r="G25" i="1" a="1"/>
  <c r="G11" i="1" a="1"/>
  <c r="G21" i="1" a="1"/>
  <c r="G17" i="1" a="1"/>
  <c r="G14" i="1" a="1"/>
  <c r="G22" i="1" a="1"/>
  <c r="G19" i="1" a="1"/>
  <c r="G23" i="1" a="1"/>
  <c r="G18" i="1" a="1"/>
  <c r="G9" i="1" a="1"/>
  <c r="G6" i="1" a="1"/>
  <c r="G15" i="1" a="1"/>
  <c r="G12" i="1" a="1"/>
  <c r="G7" i="1" a="1"/>
  <c r="G16" i="1" a="1"/>
  <c r="G10" i="1" a="1"/>
  <c r="G8" i="1" a="1"/>
  <c r="G5" i="1" a="1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H4" i="2"/>
  <c r="B457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H2" i="2"/>
  <c r="B64" i="2" s="1"/>
  <c r="M8" i="1"/>
  <c r="N8" i="1" s="1"/>
  <c r="M10" i="1"/>
  <c r="N10" i="1" s="1"/>
  <c r="M16" i="1"/>
  <c r="N16" i="1" s="1"/>
  <c r="M7" i="1"/>
  <c r="N7" i="1" s="1"/>
  <c r="M12" i="1"/>
  <c r="N12" i="1" s="1"/>
  <c r="M15" i="1"/>
  <c r="N15" i="1" s="1"/>
  <c r="M6" i="1"/>
  <c r="N6" i="1" s="1"/>
  <c r="M9" i="1"/>
  <c r="N9" i="1" s="1"/>
  <c r="M18" i="1"/>
  <c r="N18" i="1" s="1"/>
  <c r="M23" i="1"/>
  <c r="N23" i="1" s="1"/>
  <c r="M19" i="1"/>
  <c r="N19" i="1" s="1"/>
  <c r="M22" i="1"/>
  <c r="N22" i="1" s="1"/>
  <c r="M14" i="1"/>
  <c r="N14" i="1" s="1"/>
  <c r="M17" i="1"/>
  <c r="N17" i="1" s="1"/>
  <c r="M21" i="1"/>
  <c r="N21" i="1" s="1"/>
  <c r="M11" i="1"/>
  <c r="N11" i="1" s="1"/>
  <c r="M25" i="1"/>
  <c r="N25" i="1" s="1"/>
  <c r="M20" i="1"/>
  <c r="N20" i="1" s="1"/>
  <c r="M29" i="1"/>
  <c r="N29" i="1" s="1"/>
  <c r="M28" i="1"/>
  <c r="N28" i="1" s="1"/>
  <c r="M30" i="1"/>
  <c r="N30" i="1" s="1"/>
  <c r="M33" i="1"/>
  <c r="N33" i="1" s="1"/>
  <c r="M24" i="1"/>
  <c r="N24" i="1" s="1"/>
  <c r="M36" i="1"/>
  <c r="N36" i="1" s="1"/>
  <c r="M27" i="1"/>
  <c r="N27" i="1" s="1"/>
  <c r="M13" i="1"/>
  <c r="N13" i="1" s="1"/>
  <c r="M26" i="1"/>
  <c r="N26" i="1" s="1"/>
  <c r="M53" i="1"/>
  <c r="N53" i="1" s="1"/>
  <c r="M40" i="1"/>
  <c r="N40" i="1" s="1"/>
  <c r="M44" i="1"/>
  <c r="N44" i="1" s="1"/>
  <c r="M32" i="1"/>
  <c r="N32" i="1" s="1"/>
  <c r="M37" i="1"/>
  <c r="N37" i="1" s="1"/>
  <c r="M35" i="1"/>
  <c r="N35" i="1" s="1"/>
  <c r="M38" i="1"/>
  <c r="N38" i="1" s="1"/>
  <c r="M49" i="1"/>
  <c r="N49" i="1" s="1"/>
  <c r="M46" i="1"/>
  <c r="N46" i="1" s="1"/>
  <c r="M45" i="1"/>
  <c r="N45" i="1" s="1"/>
  <c r="M42" i="1"/>
  <c r="N42" i="1" s="1"/>
  <c r="M41" i="1"/>
  <c r="N41" i="1" s="1"/>
  <c r="M47" i="1"/>
  <c r="N47" i="1" s="1"/>
  <c r="M39" i="1"/>
  <c r="N39" i="1" s="1"/>
  <c r="M51" i="1"/>
  <c r="N51" i="1" s="1"/>
  <c r="M50" i="1"/>
  <c r="N50" i="1" s="1"/>
  <c r="M48" i="1"/>
  <c r="N48" i="1" s="1"/>
  <c r="M31" i="1"/>
  <c r="N31" i="1" s="1"/>
  <c r="M43" i="1"/>
  <c r="N43" i="1" s="1"/>
  <c r="M52" i="1"/>
  <c r="N52" i="1" s="1"/>
  <c r="M34" i="1"/>
  <c r="N34" i="1" s="1"/>
  <c r="M54" i="1"/>
  <c r="N54" i="1" s="1"/>
  <c r="M5" i="1"/>
  <c r="N5" i="1" s="1"/>
  <c r="T20" i="1"/>
  <c r="E13" i="1"/>
  <c r="I13" i="1"/>
  <c r="D13" i="1"/>
  <c r="S13" i="1"/>
  <c r="T13" i="1"/>
  <c r="AB13" i="1"/>
  <c r="AC13" i="1"/>
  <c r="AK13" i="1"/>
  <c r="E22" i="1"/>
  <c r="I22" i="1"/>
  <c r="D22" i="1"/>
  <c r="S22" i="1"/>
  <c r="T22" i="1"/>
  <c r="AB22" i="1"/>
  <c r="AC22" i="1"/>
  <c r="AK22" i="1"/>
  <c r="E21" i="1"/>
  <c r="I21" i="1"/>
  <c r="D21" i="1"/>
  <c r="S21" i="1"/>
  <c r="T21" i="1"/>
  <c r="AB21" i="1"/>
  <c r="AC21" i="1"/>
  <c r="AD21" i="1" s="1"/>
  <c r="AE21" i="1"/>
  <c r="AK21" i="1"/>
  <c r="E20" i="1"/>
  <c r="I20" i="1"/>
  <c r="D20" i="1"/>
  <c r="S20" i="1"/>
  <c r="AB20" i="1"/>
  <c r="AC20" i="1" s="1"/>
  <c r="AK20" i="1"/>
  <c r="E10" i="1"/>
  <c r="I10" i="1"/>
  <c r="D10" i="1"/>
  <c r="S10" i="1"/>
  <c r="T10" i="1"/>
  <c r="AB10" i="1"/>
  <c r="AC10" i="1"/>
  <c r="AD10" i="1" s="1"/>
  <c r="AE10" i="1"/>
  <c r="AK10" i="1"/>
  <c r="E45" i="1"/>
  <c r="I45" i="1"/>
  <c r="D45" i="1"/>
  <c r="S45" i="1"/>
  <c r="T45" i="1"/>
  <c r="AB45" i="1"/>
  <c r="AC45" i="1"/>
  <c r="AE45" i="1" s="1"/>
  <c r="AD45" i="1"/>
  <c r="AK45" i="1"/>
  <c r="E44" i="1"/>
  <c r="I44" i="1"/>
  <c r="D44" i="1"/>
  <c r="S44" i="1"/>
  <c r="T44" i="1"/>
  <c r="AB44" i="1"/>
  <c r="AC44" i="1"/>
  <c r="AD44" i="1"/>
  <c r="AE44" i="1"/>
  <c r="AK44" i="1"/>
  <c r="E9" i="1"/>
  <c r="I9" i="1"/>
  <c r="D9" i="1"/>
  <c r="S9" i="1"/>
  <c r="T9" i="1"/>
  <c r="AB9" i="1"/>
  <c r="AC9" i="1"/>
  <c r="AD9" i="1" s="1"/>
  <c r="AE9" i="1"/>
  <c r="AK9" i="1"/>
  <c r="E11" i="1"/>
  <c r="I11" i="1"/>
  <c r="D11" i="1"/>
  <c r="S11" i="1"/>
  <c r="T11" i="1"/>
  <c r="AB11" i="1"/>
  <c r="AC11" i="1"/>
  <c r="AD11" i="1"/>
  <c r="AE11" i="1"/>
  <c r="AK11" i="1"/>
  <c r="E16" i="1"/>
  <c r="I16" i="1"/>
  <c r="D16" i="1"/>
  <c r="S16" i="1"/>
  <c r="T16" i="1"/>
  <c r="AB16" i="1"/>
  <c r="AC16" i="1"/>
  <c r="AK16" i="1"/>
  <c r="E36" i="1"/>
  <c r="I36" i="1"/>
  <c r="D36" i="1"/>
  <c r="S36" i="1"/>
  <c r="T36" i="1"/>
  <c r="AB36" i="1"/>
  <c r="AC36" i="1"/>
  <c r="AK36" i="1"/>
  <c r="E25" i="1"/>
  <c r="I25" i="1"/>
  <c r="D25" i="1"/>
  <c r="S25" i="1"/>
  <c r="T25" i="1"/>
  <c r="AB25" i="1"/>
  <c r="AC25" i="1"/>
  <c r="AK25" i="1"/>
  <c r="E28" i="1"/>
  <c r="I28" i="1"/>
  <c r="D28" i="1"/>
  <c r="S28" i="1"/>
  <c r="T28" i="1"/>
  <c r="AB28" i="1"/>
  <c r="AC28" i="1"/>
  <c r="AD28" i="1"/>
  <c r="AE28" i="1"/>
  <c r="AK28" i="1"/>
  <c r="E15" i="1"/>
  <c r="I15" i="1"/>
  <c r="D15" i="1"/>
  <c r="S15" i="1"/>
  <c r="T15" i="1"/>
  <c r="AB15" i="1"/>
  <c r="AC15" i="1" s="1"/>
  <c r="AK15" i="1"/>
  <c r="E29" i="1"/>
  <c r="I29" i="1"/>
  <c r="D29" i="1"/>
  <c r="S29" i="1"/>
  <c r="T29" i="1"/>
  <c r="AB29" i="1"/>
  <c r="AC29" i="1"/>
  <c r="AD29" i="1"/>
  <c r="AE29" i="1"/>
  <c r="AK29" i="1"/>
  <c r="E27" i="1"/>
  <c r="I27" i="1"/>
  <c r="D27" i="1"/>
  <c r="S27" i="1"/>
  <c r="T27" i="1"/>
  <c r="AB27" i="1"/>
  <c r="AC27" i="1" s="1"/>
  <c r="AK27" i="1"/>
  <c r="E5" i="1"/>
  <c r="I5" i="1"/>
  <c r="D5" i="1"/>
  <c r="S5" i="1"/>
  <c r="T5" i="1"/>
  <c r="AB5" i="1"/>
  <c r="AC5" i="1" s="1"/>
  <c r="AK5" i="1"/>
  <c r="E33" i="1"/>
  <c r="I33" i="1"/>
  <c r="D33" i="1"/>
  <c r="S33" i="1"/>
  <c r="T33" i="1"/>
  <c r="AB33" i="1"/>
  <c r="AC33" i="1"/>
  <c r="AK33" i="1"/>
  <c r="E14" i="1"/>
  <c r="I14" i="1"/>
  <c r="D14" i="1"/>
  <c r="S14" i="1"/>
  <c r="T14" i="1"/>
  <c r="AB14" i="1"/>
  <c r="AC14" i="1" s="1"/>
  <c r="AK14" i="1"/>
  <c r="T54" i="1"/>
  <c r="T52" i="1"/>
  <c r="T34" i="1"/>
  <c r="T43" i="1"/>
  <c r="T48" i="1"/>
  <c r="T31" i="1"/>
  <c r="T50" i="1"/>
  <c r="T51" i="1"/>
  <c r="T41" i="1"/>
  <c r="T47" i="1"/>
  <c r="T39" i="1"/>
  <c r="T42" i="1"/>
  <c r="T46" i="1"/>
  <c r="T38" i="1"/>
  <c r="T49" i="1"/>
  <c r="T37" i="1"/>
  <c r="T32" i="1"/>
  <c r="T53" i="1"/>
  <c r="T35" i="1"/>
  <c r="T40" i="1"/>
  <c r="T26" i="1"/>
  <c r="T24" i="1"/>
  <c r="T30" i="1"/>
  <c r="T17" i="1"/>
  <c r="T18" i="1"/>
  <c r="T19" i="1"/>
  <c r="T23" i="1"/>
  <c r="T6" i="1"/>
  <c r="T12" i="1"/>
  <c r="T7" i="1"/>
  <c r="T8" i="1"/>
  <c r="D54" i="1"/>
  <c r="D52" i="1"/>
  <c r="D34" i="1"/>
  <c r="D43" i="1"/>
  <c r="D48" i="1"/>
  <c r="D31" i="1"/>
  <c r="D50" i="1"/>
  <c r="D51" i="1"/>
  <c r="D41" i="1"/>
  <c r="D47" i="1"/>
  <c r="D39" i="1"/>
  <c r="D42" i="1"/>
  <c r="D46" i="1"/>
  <c r="D38" i="1"/>
  <c r="D49" i="1"/>
  <c r="D37" i="1"/>
  <c r="D32" i="1"/>
  <c r="D53" i="1"/>
  <c r="D35" i="1"/>
  <c r="D40" i="1"/>
  <c r="D26" i="1"/>
  <c r="D24" i="1"/>
  <c r="D30" i="1"/>
  <c r="D17" i="1"/>
  <c r="D18" i="1"/>
  <c r="D19" i="1"/>
  <c r="D23" i="1"/>
  <c r="D6" i="1"/>
  <c r="D12" i="1"/>
  <c r="D7" i="1"/>
  <c r="D8" i="1"/>
  <c r="I54" i="1"/>
  <c r="I52" i="1"/>
  <c r="I34" i="1"/>
  <c r="I43" i="1"/>
  <c r="I48" i="1"/>
  <c r="I31" i="1"/>
  <c r="I50" i="1"/>
  <c r="I51" i="1"/>
  <c r="I41" i="1"/>
  <c r="I47" i="1"/>
  <c r="I39" i="1"/>
  <c r="I42" i="1"/>
  <c r="I46" i="1"/>
  <c r="I38" i="1"/>
  <c r="I49" i="1"/>
  <c r="I37" i="1"/>
  <c r="I32" i="1"/>
  <c r="I53" i="1"/>
  <c r="I35" i="1"/>
  <c r="I40" i="1"/>
  <c r="I26" i="1"/>
  <c r="I24" i="1"/>
  <c r="I30" i="1"/>
  <c r="I17" i="1"/>
  <c r="I18" i="1"/>
  <c r="I19" i="1"/>
  <c r="I23" i="1"/>
  <c r="I6" i="1"/>
  <c r="I12" i="1"/>
  <c r="I7" i="1"/>
  <c r="I8" i="1"/>
  <c r="E54" i="1"/>
  <c r="E52" i="1"/>
  <c r="E34" i="1"/>
  <c r="E43" i="1"/>
  <c r="E48" i="1"/>
  <c r="E31" i="1"/>
  <c r="E50" i="1"/>
  <c r="E51" i="1"/>
  <c r="E41" i="1"/>
  <c r="E47" i="1"/>
  <c r="E39" i="1"/>
  <c r="E42" i="1"/>
  <c r="E46" i="1"/>
  <c r="E38" i="1"/>
  <c r="E49" i="1"/>
  <c r="E37" i="1"/>
  <c r="E32" i="1"/>
  <c r="E53" i="1"/>
  <c r="E35" i="1"/>
  <c r="E40" i="1"/>
  <c r="E26" i="1"/>
  <c r="E24" i="1"/>
  <c r="E30" i="1"/>
  <c r="E17" i="1"/>
  <c r="E18" i="1"/>
  <c r="E19" i="1"/>
  <c r="E23" i="1"/>
  <c r="E6" i="1"/>
  <c r="E12" i="1"/>
  <c r="E7" i="1"/>
  <c r="E8" i="1"/>
  <c r="AK54" i="1"/>
  <c r="AK52" i="1"/>
  <c r="AK34" i="1"/>
  <c r="AK43" i="1"/>
  <c r="AK48" i="1"/>
  <c r="AK31" i="1"/>
  <c r="AK50" i="1"/>
  <c r="AK51" i="1"/>
  <c r="AK41" i="1"/>
  <c r="AK47" i="1"/>
  <c r="AK39" i="1"/>
  <c r="AK42" i="1"/>
  <c r="AK46" i="1"/>
  <c r="AK38" i="1"/>
  <c r="AK49" i="1"/>
  <c r="AK37" i="1"/>
  <c r="AK32" i="1"/>
  <c r="AK53" i="1"/>
  <c r="AK35" i="1"/>
  <c r="AK40" i="1"/>
  <c r="AK26" i="1"/>
  <c r="AK24" i="1"/>
  <c r="AK30" i="1"/>
  <c r="AK17" i="1"/>
  <c r="AK18" i="1"/>
  <c r="AK19" i="1"/>
  <c r="AK23" i="1"/>
  <c r="AK6" i="1"/>
  <c r="AK12" i="1"/>
  <c r="AK7" i="1"/>
  <c r="AK8" i="1"/>
  <c r="E447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A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AB54" i="1"/>
  <c r="AB52" i="1"/>
  <c r="AB34" i="1"/>
  <c r="AB43" i="1"/>
  <c r="AB48" i="1"/>
  <c r="AB31" i="1"/>
  <c r="AB50" i="1"/>
  <c r="AB51" i="1"/>
  <c r="AB41" i="1"/>
  <c r="AB47" i="1"/>
  <c r="AB39" i="1"/>
  <c r="AB42" i="1"/>
  <c r="AB46" i="1"/>
  <c r="AB38" i="1"/>
  <c r="AB49" i="1"/>
  <c r="AB37" i="1"/>
  <c r="AB32" i="1"/>
  <c r="AB53" i="1"/>
  <c r="AB35" i="1"/>
  <c r="AB40" i="1"/>
  <c r="AB26" i="1"/>
  <c r="AB24" i="1"/>
  <c r="AB30" i="1"/>
  <c r="AB17" i="1"/>
  <c r="AB18" i="1"/>
  <c r="AB19" i="1"/>
  <c r="AB23" i="1"/>
  <c r="AB6" i="1"/>
  <c r="AB12" i="1"/>
  <c r="AB7" i="1"/>
  <c r="AB8" i="1"/>
  <c r="S54" i="1"/>
  <c r="S52" i="1"/>
  <c r="S34" i="1"/>
  <c r="S43" i="1"/>
  <c r="S48" i="1"/>
  <c r="S31" i="1"/>
  <c r="S50" i="1"/>
  <c r="S51" i="1"/>
  <c r="S41" i="1"/>
  <c r="S47" i="1"/>
  <c r="S39" i="1"/>
  <c r="S42" i="1"/>
  <c r="S46" i="1"/>
  <c r="S38" i="1"/>
  <c r="S49" i="1"/>
  <c r="S37" i="1"/>
  <c r="S32" i="1"/>
  <c r="S53" i="1"/>
  <c r="S35" i="1"/>
  <c r="S40" i="1"/>
  <c r="S26" i="1"/>
  <c r="S24" i="1"/>
  <c r="S30" i="1"/>
  <c r="S17" i="1"/>
  <c r="S18" i="1"/>
  <c r="S19" i="1"/>
  <c r="S23" i="1"/>
  <c r="S6" i="1"/>
  <c r="S12" i="1"/>
  <c r="S7" i="1"/>
  <c r="S8" i="1"/>
  <c r="AD13" i="1" l="1"/>
  <c r="AE13" i="1"/>
  <c r="AD25" i="1"/>
  <c r="AE25" i="1"/>
  <c r="J52" i="1"/>
  <c r="K52" i="1" s="1"/>
  <c r="J43" i="1"/>
  <c r="K43" i="1" s="1"/>
  <c r="J48" i="1"/>
  <c r="K48" i="1" s="1"/>
  <c r="J34" i="1"/>
  <c r="K34" i="1" s="1"/>
  <c r="J44" i="1"/>
  <c r="K44" i="1" s="1"/>
  <c r="AD36" i="1"/>
  <c r="AE36" i="1"/>
  <c r="J45" i="1"/>
  <c r="K45" i="1" s="1"/>
  <c r="AD16" i="1"/>
  <c r="AE16" i="1"/>
  <c r="AD15" i="1"/>
  <c r="AE15" i="1"/>
  <c r="AE27" i="1"/>
  <c r="AD27" i="1"/>
  <c r="J26" i="1"/>
  <c r="K26" i="1" s="1"/>
  <c r="O26" i="1" s="1"/>
  <c r="J24" i="1"/>
  <c r="K24" i="1" s="1"/>
  <c r="J30" i="1"/>
  <c r="K30" i="1" s="1"/>
  <c r="P26" i="1"/>
  <c r="J10" i="1"/>
  <c r="K10" i="1" s="1"/>
  <c r="AD20" i="1"/>
  <c r="AE20" i="1"/>
  <c r="F25" i="1"/>
  <c r="H25" i="1" s="1"/>
  <c r="AD33" i="1"/>
  <c r="AE33" i="1"/>
  <c r="AD14" i="1"/>
  <c r="AE14" i="1"/>
  <c r="J33" i="1"/>
  <c r="K33" i="1" s="1"/>
  <c r="AD5" i="1"/>
  <c r="AE5" i="1"/>
  <c r="J25" i="1"/>
  <c r="K25" i="1" s="1"/>
  <c r="J14" i="1"/>
  <c r="K14" i="1" s="1"/>
  <c r="J13" i="1"/>
  <c r="K13" i="1" s="1"/>
  <c r="J36" i="1"/>
  <c r="K36" i="1" s="1"/>
  <c r="F14" i="1"/>
  <c r="H14" i="1" s="1"/>
  <c r="J50" i="1"/>
  <c r="K50" i="1" s="1"/>
  <c r="J47" i="1"/>
  <c r="K47" i="1" s="1"/>
  <c r="J39" i="1"/>
  <c r="K39" i="1" s="1"/>
  <c r="J42" i="1"/>
  <c r="K42" i="1" s="1"/>
  <c r="J46" i="1"/>
  <c r="K46" i="1" s="1"/>
  <c r="J38" i="1"/>
  <c r="K38" i="1" s="1"/>
  <c r="J49" i="1"/>
  <c r="K49" i="1" s="1"/>
  <c r="J53" i="1"/>
  <c r="K53" i="1" s="1"/>
  <c r="F16" i="1"/>
  <c r="H16" i="1" s="1"/>
  <c r="V10" i="1"/>
  <c r="X10" i="1" s="1"/>
  <c r="V36" i="1"/>
  <c r="X36" i="1" s="1"/>
  <c r="V27" i="1"/>
  <c r="X27" i="1" s="1"/>
  <c r="C457" i="2"/>
  <c r="F457" i="2"/>
  <c r="B458" i="2"/>
  <c r="F33" i="1"/>
  <c r="H33" i="1" s="1"/>
  <c r="J27" i="1"/>
  <c r="K27" i="1" s="1"/>
  <c r="J16" i="1"/>
  <c r="K16" i="1" s="1"/>
  <c r="F27" i="1"/>
  <c r="H27" i="1" s="1"/>
  <c r="B63" i="2"/>
  <c r="F64" i="2"/>
  <c r="C65" i="2"/>
  <c r="C64" i="2"/>
  <c r="AE22" i="1"/>
  <c r="AD22" i="1"/>
  <c r="F9" i="1"/>
  <c r="H9" i="1" s="1"/>
  <c r="J11" i="1"/>
  <c r="K11" i="1" s="1"/>
  <c r="F36" i="1"/>
  <c r="H36" i="1" s="1"/>
  <c r="F28" i="1"/>
  <c r="H28" i="1" s="1"/>
  <c r="J28" i="1"/>
  <c r="K28" i="1" s="1"/>
  <c r="F15" i="1"/>
  <c r="H15" i="1" s="1"/>
  <c r="J15" i="1"/>
  <c r="K15" i="1" s="1"/>
  <c r="F29" i="1"/>
  <c r="H29" i="1" s="1"/>
  <c r="J29" i="1"/>
  <c r="K29" i="1" s="1"/>
  <c r="F13" i="1"/>
  <c r="H13" i="1" s="1"/>
  <c r="F22" i="1"/>
  <c r="H22" i="1" s="1"/>
  <c r="J22" i="1"/>
  <c r="K22" i="1" s="1"/>
  <c r="F21" i="1"/>
  <c r="H21" i="1" s="1"/>
  <c r="J21" i="1"/>
  <c r="K21" i="1" s="1"/>
  <c r="F20" i="1"/>
  <c r="H20" i="1" s="1"/>
  <c r="J20" i="1"/>
  <c r="K20" i="1" s="1"/>
  <c r="F10" i="1"/>
  <c r="H10" i="1" s="1"/>
  <c r="F45" i="1"/>
  <c r="H45" i="1" s="1"/>
  <c r="F44" i="1"/>
  <c r="H44" i="1" s="1"/>
  <c r="J9" i="1"/>
  <c r="K9" i="1" s="1"/>
  <c r="F11" i="1"/>
  <c r="H11" i="1" s="1"/>
  <c r="F5" i="1"/>
  <c r="H5" i="1" s="1"/>
  <c r="J5" i="1"/>
  <c r="K5" i="1" s="1"/>
  <c r="P5" i="1" s="1"/>
  <c r="V5" i="1"/>
  <c r="X5" i="1" s="1"/>
  <c r="V33" i="1"/>
  <c r="X33" i="1" s="1"/>
  <c r="V14" i="1"/>
  <c r="X14" i="1" s="1"/>
  <c r="V13" i="1"/>
  <c r="X13" i="1" s="1"/>
  <c r="V22" i="1"/>
  <c r="X22" i="1" s="1"/>
  <c r="V21" i="1"/>
  <c r="X21" i="1" s="1"/>
  <c r="V20" i="1"/>
  <c r="X20" i="1" s="1"/>
  <c r="V45" i="1"/>
  <c r="X45" i="1" s="1"/>
  <c r="V44" i="1"/>
  <c r="X44" i="1" s="1"/>
  <c r="V9" i="1"/>
  <c r="X9" i="1" s="1"/>
  <c r="V11" i="1"/>
  <c r="X11" i="1" s="1"/>
  <c r="V16" i="1"/>
  <c r="X16" i="1" s="1"/>
  <c r="V25" i="1"/>
  <c r="X25" i="1" s="1"/>
  <c r="V28" i="1"/>
  <c r="X28" i="1" s="1"/>
  <c r="V15" i="1"/>
  <c r="X15" i="1" s="1"/>
  <c r="V29" i="1"/>
  <c r="X29" i="1" s="1"/>
  <c r="J31" i="1"/>
  <c r="K31" i="1" s="1"/>
  <c r="J41" i="1"/>
  <c r="K41" i="1" s="1"/>
  <c r="J51" i="1"/>
  <c r="K51" i="1" s="1"/>
  <c r="J17" i="1"/>
  <c r="K17" i="1" s="1"/>
  <c r="J18" i="1"/>
  <c r="K18" i="1" s="1"/>
  <c r="J19" i="1"/>
  <c r="K19" i="1" s="1"/>
  <c r="J23" i="1"/>
  <c r="K23" i="1" s="1"/>
  <c r="J6" i="1"/>
  <c r="K6" i="1" s="1"/>
  <c r="J12" i="1"/>
  <c r="K12" i="1" s="1"/>
  <c r="J7" i="1"/>
  <c r="K7" i="1" s="1"/>
  <c r="J8" i="1"/>
  <c r="K8" i="1" s="1"/>
  <c r="F52" i="1"/>
  <c r="H52" i="1" s="1"/>
  <c r="F34" i="1"/>
  <c r="H34" i="1" s="1"/>
  <c r="F43" i="1"/>
  <c r="H43" i="1" s="1"/>
  <c r="F48" i="1"/>
  <c r="H48" i="1" s="1"/>
  <c r="F31" i="1"/>
  <c r="H31" i="1" s="1"/>
  <c r="F50" i="1"/>
  <c r="H50" i="1" s="1"/>
  <c r="F51" i="1"/>
  <c r="H51" i="1" s="1"/>
  <c r="F41" i="1"/>
  <c r="H41" i="1" s="1"/>
  <c r="F47" i="1"/>
  <c r="H47" i="1" s="1"/>
  <c r="F39" i="1"/>
  <c r="H39" i="1" s="1"/>
  <c r="F42" i="1"/>
  <c r="H42" i="1" s="1"/>
  <c r="F46" i="1"/>
  <c r="H46" i="1" s="1"/>
  <c r="F38" i="1"/>
  <c r="H38" i="1" s="1"/>
  <c r="F49" i="1"/>
  <c r="H49" i="1" s="1"/>
  <c r="F37" i="1"/>
  <c r="H37" i="1" s="1"/>
  <c r="F32" i="1"/>
  <c r="H32" i="1" s="1"/>
  <c r="F53" i="1"/>
  <c r="H53" i="1" s="1"/>
  <c r="F35" i="1"/>
  <c r="H35" i="1" s="1"/>
  <c r="F40" i="1"/>
  <c r="H40" i="1" s="1"/>
  <c r="F26" i="1"/>
  <c r="H26" i="1" s="1"/>
  <c r="F24" i="1"/>
  <c r="H24" i="1" s="1"/>
  <c r="F30" i="1"/>
  <c r="H30" i="1" s="1"/>
  <c r="F17" i="1"/>
  <c r="H17" i="1" s="1"/>
  <c r="F18" i="1"/>
  <c r="H18" i="1" s="1"/>
  <c r="F19" i="1"/>
  <c r="H19" i="1" s="1"/>
  <c r="F6" i="1"/>
  <c r="H6" i="1" s="1"/>
  <c r="F12" i="1"/>
  <c r="H12" i="1" s="1"/>
  <c r="F7" i="1"/>
  <c r="H7" i="1" s="1"/>
  <c r="F8" i="1"/>
  <c r="H8" i="1" s="1"/>
  <c r="F23" i="1"/>
  <c r="H23" i="1" s="1"/>
  <c r="J37" i="1"/>
  <c r="K37" i="1" s="1"/>
  <c r="J32" i="1"/>
  <c r="K32" i="1" s="1"/>
  <c r="J35" i="1"/>
  <c r="K35" i="1" s="1"/>
  <c r="J40" i="1"/>
  <c r="K40" i="1" s="1"/>
  <c r="J54" i="1"/>
  <c r="K54" i="1" s="1"/>
  <c r="F54" i="1"/>
  <c r="H54" i="1" s="1"/>
  <c r="C1" i="2"/>
  <c r="A409" i="2"/>
  <c r="E409" i="2" s="1"/>
  <c r="AC54" i="1"/>
  <c r="AC52" i="1"/>
  <c r="AC43" i="1"/>
  <c r="AC48" i="1"/>
  <c r="AC31" i="1"/>
  <c r="AC50" i="1"/>
  <c r="AC41" i="1"/>
  <c r="AC47" i="1"/>
  <c r="AC42" i="1"/>
  <c r="AC38" i="1"/>
  <c r="AC37" i="1"/>
  <c r="AC53" i="1"/>
  <c r="AC40" i="1"/>
  <c r="AC26" i="1"/>
  <c r="AC30" i="1"/>
  <c r="AC17" i="1"/>
  <c r="AC19" i="1"/>
  <c r="AC12" i="1"/>
  <c r="AC8" i="1"/>
  <c r="AC34" i="1"/>
  <c r="AC51" i="1"/>
  <c r="AC39" i="1"/>
  <c r="AC46" i="1"/>
  <c r="AC49" i="1"/>
  <c r="AC32" i="1"/>
  <c r="AC35" i="1"/>
  <c r="AC24" i="1"/>
  <c r="AC18" i="1"/>
  <c r="AC23" i="1"/>
  <c r="AC6" i="1"/>
  <c r="AC7" i="1"/>
  <c r="V54" i="1"/>
  <c r="X54" i="1" s="1"/>
  <c r="V50" i="1"/>
  <c r="X50" i="1" s="1"/>
  <c r="V39" i="1"/>
  <c r="X39" i="1" s="1"/>
  <c r="V38" i="1"/>
  <c r="X38" i="1" s="1"/>
  <c r="V53" i="1"/>
  <c r="X53" i="1" s="1"/>
  <c r="V30" i="1"/>
  <c r="X30" i="1" s="1"/>
  <c r="V19" i="1"/>
  <c r="X19" i="1" s="1"/>
  <c r="V8" i="1"/>
  <c r="X8" i="1" s="1"/>
  <c r="V43" i="1"/>
  <c r="X43" i="1" s="1"/>
  <c r="V42" i="1"/>
  <c r="X42" i="1" s="1"/>
  <c r="V37" i="1"/>
  <c r="X37" i="1" s="1"/>
  <c r="V24" i="1"/>
  <c r="X24" i="1" s="1"/>
  <c r="V48" i="1"/>
  <c r="X48" i="1" s="1"/>
  <c r="V41" i="1"/>
  <c r="X41" i="1" s="1"/>
  <c r="V40" i="1"/>
  <c r="X40" i="1" s="1"/>
  <c r="V31" i="1"/>
  <c r="X31" i="1" s="1"/>
  <c r="V32" i="1"/>
  <c r="X32" i="1" s="1"/>
  <c r="V6" i="1"/>
  <c r="X6" i="1" s="1"/>
  <c r="V34" i="1"/>
  <c r="X34" i="1" s="1"/>
  <c r="V51" i="1"/>
  <c r="X51" i="1" s="1"/>
  <c r="V46" i="1"/>
  <c r="X46" i="1" s="1"/>
  <c r="V35" i="1"/>
  <c r="X35" i="1" s="1"/>
  <c r="V18" i="1"/>
  <c r="X18" i="1" s="1"/>
  <c r="V23" i="1"/>
  <c r="X23" i="1" s="1"/>
  <c r="V12" i="1"/>
  <c r="X12" i="1" s="1"/>
  <c r="V52" i="1"/>
  <c r="X52" i="1" s="1"/>
  <c r="V47" i="1"/>
  <c r="X47" i="1" s="1"/>
  <c r="V49" i="1"/>
  <c r="X49" i="1" s="1"/>
  <c r="V26" i="1"/>
  <c r="X26" i="1" s="1"/>
  <c r="V17" i="1"/>
  <c r="X17" i="1" s="1"/>
  <c r="V7" i="1"/>
  <c r="X7" i="1" s="1"/>
  <c r="O52" i="1" l="1"/>
  <c r="P52" i="1"/>
  <c r="R52" i="1" s="1"/>
  <c r="W52" i="1" s="1"/>
  <c r="Y52" i="1" s="1"/>
  <c r="Z52" i="1" s="1"/>
  <c r="O34" i="1"/>
  <c r="P34" i="1"/>
  <c r="O43" i="1"/>
  <c r="P43" i="1"/>
  <c r="O48" i="1"/>
  <c r="P48" i="1"/>
  <c r="O44" i="1"/>
  <c r="P44" i="1"/>
  <c r="O45" i="1"/>
  <c r="P45" i="1"/>
  <c r="O24" i="1"/>
  <c r="P24" i="1"/>
  <c r="O30" i="1"/>
  <c r="P30" i="1"/>
  <c r="P10" i="1"/>
  <c r="O10" i="1"/>
  <c r="P33" i="1"/>
  <c r="O33" i="1"/>
  <c r="P25" i="1"/>
  <c r="O25" i="1"/>
  <c r="O14" i="1"/>
  <c r="P14" i="1"/>
  <c r="O13" i="1"/>
  <c r="P13" i="1"/>
  <c r="O36" i="1"/>
  <c r="P36" i="1"/>
  <c r="O50" i="1"/>
  <c r="P50" i="1"/>
  <c r="O47" i="1"/>
  <c r="P47" i="1"/>
  <c r="O39" i="1"/>
  <c r="P39" i="1"/>
  <c r="O42" i="1"/>
  <c r="P42" i="1"/>
  <c r="O46" i="1"/>
  <c r="P46" i="1"/>
  <c r="O38" i="1"/>
  <c r="P38" i="1"/>
  <c r="O49" i="1"/>
  <c r="P49" i="1"/>
  <c r="O53" i="1"/>
  <c r="P53" i="1"/>
  <c r="P27" i="1"/>
  <c r="O27" i="1"/>
  <c r="P16" i="1"/>
  <c r="Q16" i="1" s="1"/>
  <c r="O16" i="1"/>
  <c r="O11" i="1"/>
  <c r="P11" i="1"/>
  <c r="O28" i="1"/>
  <c r="P28" i="1"/>
  <c r="P15" i="1"/>
  <c r="O15" i="1"/>
  <c r="O29" i="1"/>
  <c r="P29" i="1"/>
  <c r="P22" i="1"/>
  <c r="O22" i="1"/>
  <c r="O21" i="1"/>
  <c r="P21" i="1"/>
  <c r="O20" i="1"/>
  <c r="P20" i="1"/>
  <c r="P9" i="1"/>
  <c r="O9" i="1"/>
  <c r="O5" i="1"/>
  <c r="P31" i="1"/>
  <c r="O31" i="1"/>
  <c r="O41" i="1"/>
  <c r="P41" i="1"/>
  <c r="O51" i="1"/>
  <c r="P51" i="1"/>
  <c r="O17" i="1"/>
  <c r="P17" i="1"/>
  <c r="O18" i="1"/>
  <c r="P18" i="1"/>
  <c r="O19" i="1"/>
  <c r="P19" i="1"/>
  <c r="O23" i="1"/>
  <c r="P23" i="1"/>
  <c r="O6" i="1"/>
  <c r="P6" i="1"/>
  <c r="P12" i="1"/>
  <c r="O12" i="1"/>
  <c r="O7" i="1"/>
  <c r="P7" i="1"/>
  <c r="P8" i="1"/>
  <c r="O8" i="1"/>
  <c r="O37" i="1"/>
  <c r="P37" i="1"/>
  <c r="P32" i="1"/>
  <c r="O32" i="1"/>
  <c r="O35" i="1"/>
  <c r="P35" i="1"/>
  <c r="P40" i="1"/>
  <c r="O40" i="1"/>
  <c r="P54" i="1"/>
  <c r="O54" i="1"/>
  <c r="B459" i="2"/>
  <c r="C458" i="2"/>
  <c r="F458" i="2"/>
  <c r="B62" i="2"/>
  <c r="F63" i="2"/>
  <c r="C63" i="2"/>
  <c r="Q52" i="1"/>
  <c r="R34" i="1"/>
  <c r="W34" i="1" s="1"/>
  <c r="Y34" i="1" s="1"/>
  <c r="Z34" i="1" s="1"/>
  <c r="Q34" i="1"/>
  <c r="R26" i="1"/>
  <c r="W26" i="1" s="1"/>
  <c r="Y26" i="1" s="1"/>
  <c r="Z26" i="1" s="1"/>
  <c r="Q26" i="1"/>
  <c r="A410" i="2"/>
  <c r="B408" i="2"/>
  <c r="AD54" i="1"/>
  <c r="AE54" i="1"/>
  <c r="AD52" i="1"/>
  <c r="AE52" i="1"/>
  <c r="AD43" i="1"/>
  <c r="AE43" i="1"/>
  <c r="AD48" i="1"/>
  <c r="AE48" i="1"/>
  <c r="AD31" i="1"/>
  <c r="AE31" i="1"/>
  <c r="AD50" i="1"/>
  <c r="AE50" i="1"/>
  <c r="AD41" i="1"/>
  <c r="AE41" i="1"/>
  <c r="AE47" i="1"/>
  <c r="AD47" i="1"/>
  <c r="AD42" i="1"/>
  <c r="AE42" i="1"/>
  <c r="AD38" i="1"/>
  <c r="AE38" i="1"/>
  <c r="AD37" i="1"/>
  <c r="AE37" i="1"/>
  <c r="AD53" i="1"/>
  <c r="AE53" i="1"/>
  <c r="AE40" i="1"/>
  <c r="AD40" i="1"/>
  <c r="AE26" i="1"/>
  <c r="AD26" i="1"/>
  <c r="AE30" i="1"/>
  <c r="AD30" i="1"/>
  <c r="AD17" i="1"/>
  <c r="AE17" i="1"/>
  <c r="AE19" i="1"/>
  <c r="AD19" i="1"/>
  <c r="AD12" i="1"/>
  <c r="AE12" i="1"/>
  <c r="AD8" i="1"/>
  <c r="AE8" i="1"/>
  <c r="AD34" i="1"/>
  <c r="AE34" i="1"/>
  <c r="AD51" i="1"/>
  <c r="AE51" i="1"/>
  <c r="AD39" i="1"/>
  <c r="AE39" i="1"/>
  <c r="AD46" i="1"/>
  <c r="AE46" i="1"/>
  <c r="AD49" i="1"/>
  <c r="AE49" i="1"/>
  <c r="AD32" i="1"/>
  <c r="AE32" i="1"/>
  <c r="AD35" i="1"/>
  <c r="AE35" i="1"/>
  <c r="AD24" i="1"/>
  <c r="AE24" i="1"/>
  <c r="AD18" i="1"/>
  <c r="AE18" i="1"/>
  <c r="AD23" i="1"/>
  <c r="AE23" i="1"/>
  <c r="AD6" i="1"/>
  <c r="AE6" i="1"/>
  <c r="AD7" i="1"/>
  <c r="AE7" i="1"/>
  <c r="R43" i="1" l="1"/>
  <c r="W43" i="1" s="1"/>
  <c r="Y43" i="1" s="1"/>
  <c r="Q43" i="1"/>
  <c r="Q48" i="1"/>
  <c r="R48" i="1"/>
  <c r="W48" i="1" s="1"/>
  <c r="Y48" i="1" s="1"/>
  <c r="R44" i="1"/>
  <c r="W44" i="1" s="1"/>
  <c r="Y44" i="1" s="1"/>
  <c r="Q44" i="1"/>
  <c r="R45" i="1"/>
  <c r="W45" i="1" s="1"/>
  <c r="Y45" i="1" s="1"/>
  <c r="Q45" i="1"/>
  <c r="R24" i="1"/>
  <c r="W24" i="1" s="1"/>
  <c r="Y24" i="1" s="1"/>
  <c r="Q24" i="1"/>
  <c r="Q30" i="1"/>
  <c r="R30" i="1"/>
  <c r="W30" i="1" s="1"/>
  <c r="Y30" i="1" s="1"/>
  <c r="R10" i="1"/>
  <c r="W10" i="1" s="1"/>
  <c r="Y10" i="1" s="1"/>
  <c r="Q10" i="1"/>
  <c r="R33" i="1"/>
  <c r="W33" i="1" s="1"/>
  <c r="Y33" i="1" s="1"/>
  <c r="Q33" i="1"/>
  <c r="R25" i="1"/>
  <c r="W25" i="1" s="1"/>
  <c r="Y25" i="1" s="1"/>
  <c r="Q25" i="1"/>
  <c r="R14" i="1"/>
  <c r="W14" i="1" s="1"/>
  <c r="Y14" i="1" s="1"/>
  <c r="Q14" i="1"/>
  <c r="R13" i="1"/>
  <c r="W13" i="1" s="1"/>
  <c r="Y13" i="1" s="1"/>
  <c r="Q13" i="1"/>
  <c r="R36" i="1"/>
  <c r="W36" i="1" s="1"/>
  <c r="Y36" i="1" s="1"/>
  <c r="Q36" i="1"/>
  <c r="R16" i="1"/>
  <c r="W16" i="1" s="1"/>
  <c r="Y16" i="1" s="1"/>
  <c r="Q11" i="1"/>
  <c r="R11" i="1"/>
  <c r="W11" i="1" s="1"/>
  <c r="Y11" i="1" s="1"/>
  <c r="R22" i="1"/>
  <c r="W22" i="1" s="1"/>
  <c r="Y22" i="1" s="1"/>
  <c r="Q22" i="1"/>
  <c r="R21" i="1"/>
  <c r="W21" i="1" s="1"/>
  <c r="Y21" i="1" s="1"/>
  <c r="Q21" i="1"/>
  <c r="Q20" i="1"/>
  <c r="R20" i="1"/>
  <c r="W20" i="1" s="1"/>
  <c r="Y20" i="1" s="1"/>
  <c r="R50" i="1"/>
  <c r="W50" i="1" s="1"/>
  <c r="Y50" i="1" s="1"/>
  <c r="Q50" i="1"/>
  <c r="R47" i="1"/>
  <c r="W47" i="1" s="1"/>
  <c r="Y47" i="1" s="1"/>
  <c r="Q47" i="1"/>
  <c r="R39" i="1"/>
  <c r="W39" i="1" s="1"/>
  <c r="Y39" i="1" s="1"/>
  <c r="Q39" i="1"/>
  <c r="R42" i="1"/>
  <c r="W42" i="1" s="1"/>
  <c r="Y42" i="1" s="1"/>
  <c r="Q42" i="1"/>
  <c r="R46" i="1"/>
  <c r="W46" i="1" s="1"/>
  <c r="Y46" i="1" s="1"/>
  <c r="Q46" i="1"/>
  <c r="R38" i="1"/>
  <c r="W38" i="1" s="1"/>
  <c r="Y38" i="1" s="1"/>
  <c r="Q38" i="1"/>
  <c r="R49" i="1"/>
  <c r="W49" i="1" s="1"/>
  <c r="Y49" i="1" s="1"/>
  <c r="Q49" i="1"/>
  <c r="R53" i="1"/>
  <c r="W53" i="1" s="1"/>
  <c r="Y53" i="1" s="1"/>
  <c r="Q53" i="1"/>
  <c r="R28" i="1"/>
  <c r="W28" i="1" s="1"/>
  <c r="Y28" i="1" s="1"/>
  <c r="Q28" i="1"/>
  <c r="R15" i="1"/>
  <c r="W15" i="1" s="1"/>
  <c r="Y15" i="1" s="1"/>
  <c r="Q15" i="1"/>
  <c r="Q29" i="1"/>
  <c r="R29" i="1"/>
  <c r="W29" i="1" s="1"/>
  <c r="Y29" i="1" s="1"/>
  <c r="C459" i="2"/>
  <c r="F459" i="2"/>
  <c r="B460" i="2"/>
  <c r="R9" i="1"/>
  <c r="W9" i="1" s="1"/>
  <c r="Y9" i="1" s="1"/>
  <c r="Z9" i="1" s="1"/>
  <c r="Q9" i="1"/>
  <c r="F62" i="2"/>
  <c r="B61" i="2"/>
  <c r="C62" i="2" s="1"/>
  <c r="R27" i="1"/>
  <c r="W27" i="1" s="1"/>
  <c r="Y27" i="1" s="1"/>
  <c r="Z27" i="1" s="1"/>
  <c r="Q27" i="1"/>
  <c r="A411" i="2"/>
  <c r="E410" i="2"/>
  <c r="B409" i="2"/>
  <c r="F408" i="2"/>
  <c r="R5" i="1"/>
  <c r="W5" i="1" s="1"/>
  <c r="Y5" i="1" s="1"/>
  <c r="Z5" i="1" s="1"/>
  <c r="Q5" i="1"/>
  <c r="R54" i="1"/>
  <c r="W54" i="1" s="1"/>
  <c r="Y54" i="1" s="1"/>
  <c r="Z54" i="1" s="1"/>
  <c r="Q54" i="1"/>
  <c r="Q31" i="1"/>
  <c r="R31" i="1"/>
  <c r="W31" i="1" s="1"/>
  <c r="Y31" i="1" s="1"/>
  <c r="Z31" i="1" s="1"/>
  <c r="Q41" i="1"/>
  <c r="R41" i="1"/>
  <c r="W41" i="1" s="1"/>
  <c r="Y41" i="1" s="1"/>
  <c r="Z41" i="1" s="1"/>
  <c r="R51" i="1"/>
  <c r="W51" i="1" s="1"/>
  <c r="Y51" i="1" s="1"/>
  <c r="Z51" i="1" s="1"/>
  <c r="Q51" i="1"/>
  <c r="Q37" i="1"/>
  <c r="R37" i="1"/>
  <c r="W37" i="1" s="1"/>
  <c r="Y37" i="1" s="1"/>
  <c r="Z37" i="1" s="1"/>
  <c r="R32" i="1"/>
  <c r="W32" i="1" s="1"/>
  <c r="Y32" i="1" s="1"/>
  <c r="Z32" i="1" s="1"/>
  <c r="Q32" i="1"/>
  <c r="R35" i="1"/>
  <c r="W35" i="1" s="1"/>
  <c r="Y35" i="1" s="1"/>
  <c r="Z35" i="1" s="1"/>
  <c r="Q35" i="1"/>
  <c r="R40" i="1"/>
  <c r="W40" i="1" s="1"/>
  <c r="Y40" i="1" s="1"/>
  <c r="Z40" i="1" s="1"/>
  <c r="Q40" i="1"/>
  <c r="R7" i="1"/>
  <c r="W7" i="1" s="1"/>
  <c r="Y7" i="1" s="1"/>
  <c r="Z7" i="1" s="1"/>
  <c r="Q7" i="1"/>
  <c r="R8" i="1"/>
  <c r="W8" i="1" s="1"/>
  <c r="Y8" i="1" s="1"/>
  <c r="Z8" i="1" s="1"/>
  <c r="Q8" i="1"/>
  <c r="R17" i="1"/>
  <c r="W17" i="1" s="1"/>
  <c r="Y17" i="1" s="1"/>
  <c r="Z17" i="1" s="1"/>
  <c r="Q17" i="1"/>
  <c r="Q18" i="1"/>
  <c r="R18" i="1"/>
  <c r="W18" i="1" s="1"/>
  <c r="Y18" i="1" s="1"/>
  <c r="Z18" i="1" s="1"/>
  <c r="R19" i="1"/>
  <c r="W19" i="1" s="1"/>
  <c r="Y19" i="1" s="1"/>
  <c r="Z19" i="1" s="1"/>
  <c r="Q19" i="1"/>
  <c r="R23" i="1"/>
  <c r="W23" i="1" s="1"/>
  <c r="Y23" i="1" s="1"/>
  <c r="Z23" i="1" s="1"/>
  <c r="Q23" i="1"/>
  <c r="Q6" i="1"/>
  <c r="R6" i="1"/>
  <c r="W6" i="1" s="1"/>
  <c r="Y6" i="1" s="1"/>
  <c r="Z6" i="1" s="1"/>
  <c r="Q12" i="1"/>
  <c r="R12" i="1"/>
  <c r="W12" i="1" s="1"/>
  <c r="Y12" i="1" s="1"/>
  <c r="Z12" i="1" s="1"/>
  <c r="B416" i="2"/>
  <c r="A448" i="2"/>
  <c r="AF52" i="1"/>
  <c r="AG52" i="1" s="1"/>
  <c r="AH52" i="1" s="1"/>
  <c r="AI52" i="1" s="1"/>
  <c r="AJ52" i="1" s="1" a="1"/>
  <c r="AA52" i="1"/>
  <c r="AF34" i="1"/>
  <c r="AG34" i="1" s="1"/>
  <c r="AH34" i="1" s="1"/>
  <c r="AI34" i="1" s="1"/>
  <c r="AJ34" i="1" s="1" a="1"/>
  <c r="AA34" i="1"/>
  <c r="AF26" i="1"/>
  <c r="AG26" i="1" s="1"/>
  <c r="AH26" i="1" s="1"/>
  <c r="AI26" i="1" s="1"/>
  <c r="AJ26" i="1" s="1" a="1"/>
  <c r="AA26" i="1"/>
  <c r="Z43" i="1" l="1"/>
  <c r="AF43" i="1" s="1"/>
  <c r="AG43" i="1" s="1"/>
  <c r="AH43" i="1" s="1"/>
  <c r="AI43" i="1" s="1"/>
  <c r="AJ43" i="1" s="1" a="1"/>
  <c r="AA43" i="1"/>
  <c r="Z48" i="1"/>
  <c r="AF48" i="1" s="1"/>
  <c r="AG48" i="1" s="1"/>
  <c r="AH48" i="1" s="1"/>
  <c r="AI48" i="1" s="1"/>
  <c r="AJ48" i="1" s="1" a="1"/>
  <c r="AA48" i="1"/>
  <c r="Z44" i="1"/>
  <c r="AF44" i="1" s="1"/>
  <c r="AG44" i="1" s="1"/>
  <c r="AH44" i="1" s="1"/>
  <c r="AI44" i="1" s="1"/>
  <c r="AJ44" i="1" s="1" a="1"/>
  <c r="AA44" i="1"/>
  <c r="Z45" i="1"/>
  <c r="AF45" i="1" s="1"/>
  <c r="AG45" i="1" s="1"/>
  <c r="AH45" i="1" s="1"/>
  <c r="AI45" i="1" s="1"/>
  <c r="AJ45" i="1" s="1" a="1"/>
  <c r="AA45" i="1"/>
  <c r="Z24" i="1"/>
  <c r="AF24" i="1" s="1"/>
  <c r="AG24" i="1" s="1"/>
  <c r="AH24" i="1" s="1"/>
  <c r="AI24" i="1" s="1"/>
  <c r="AJ24" i="1" s="1" a="1"/>
  <c r="AA24" i="1"/>
  <c r="Z38" i="1"/>
  <c r="AF38" i="1" s="1"/>
  <c r="AG38" i="1" s="1"/>
  <c r="AH38" i="1" s="1"/>
  <c r="AI38" i="1" s="1"/>
  <c r="AJ38" i="1" s="1" a="1"/>
  <c r="AA38" i="1"/>
  <c r="Z30" i="1"/>
  <c r="AF30" i="1" s="1"/>
  <c r="AG30" i="1" s="1"/>
  <c r="AH30" i="1" s="1"/>
  <c r="AI30" i="1" s="1"/>
  <c r="AJ30" i="1" s="1" a="1"/>
  <c r="AA30" i="1"/>
  <c r="Z50" i="1"/>
  <c r="AF50" i="1" s="1"/>
  <c r="AG50" i="1" s="1"/>
  <c r="AH50" i="1" s="1"/>
  <c r="AI50" i="1" s="1"/>
  <c r="AJ50" i="1" s="1" a="1"/>
  <c r="AA50" i="1"/>
  <c r="Z47" i="1"/>
  <c r="AF47" i="1" s="1"/>
  <c r="AG47" i="1" s="1"/>
  <c r="AH47" i="1" s="1"/>
  <c r="AI47" i="1" s="1"/>
  <c r="AJ47" i="1" s="1" a="1"/>
  <c r="AA47" i="1"/>
  <c r="Z39" i="1"/>
  <c r="AF39" i="1" s="1"/>
  <c r="AG39" i="1" s="1"/>
  <c r="AH39" i="1" s="1"/>
  <c r="AI39" i="1" s="1"/>
  <c r="AJ39" i="1" s="1" a="1"/>
  <c r="AA39" i="1"/>
  <c r="Z42" i="1"/>
  <c r="AF42" i="1" s="1"/>
  <c r="AG42" i="1" s="1"/>
  <c r="AH42" i="1" s="1"/>
  <c r="AI42" i="1" s="1"/>
  <c r="AJ42" i="1" s="1" a="1"/>
  <c r="AA42" i="1"/>
  <c r="Z46" i="1"/>
  <c r="AF46" i="1" s="1"/>
  <c r="AG46" i="1" s="1"/>
  <c r="AH46" i="1" s="1"/>
  <c r="AI46" i="1" s="1"/>
  <c r="AJ46" i="1" s="1" a="1"/>
  <c r="AA46" i="1"/>
  <c r="Z15" i="1"/>
  <c r="AF15" i="1" s="1"/>
  <c r="AG15" i="1" s="1"/>
  <c r="AH15" i="1" s="1"/>
  <c r="AI15" i="1" s="1"/>
  <c r="AJ15" i="1" s="1" a="1"/>
  <c r="AA15" i="1"/>
  <c r="Z10" i="1"/>
  <c r="AF10" i="1" s="1"/>
  <c r="AG10" i="1" s="1"/>
  <c r="AH10" i="1" s="1"/>
  <c r="AI10" i="1" s="1"/>
  <c r="AJ10" i="1" s="1" a="1"/>
  <c r="AA10" i="1"/>
  <c r="Z25" i="1"/>
  <c r="AF25" i="1" s="1"/>
  <c r="AG25" i="1" s="1"/>
  <c r="AH25" i="1" s="1"/>
  <c r="AI25" i="1" s="1"/>
  <c r="AJ25" i="1" s="1" a="1"/>
  <c r="AA25" i="1"/>
  <c r="AA16" i="1"/>
  <c r="Z16" i="1"/>
  <c r="AF16" i="1" s="1"/>
  <c r="AG16" i="1" s="1"/>
  <c r="AH16" i="1" s="1"/>
  <c r="AI16" i="1" s="1"/>
  <c r="AJ16" i="1" s="1" a="1"/>
  <c r="AA33" i="1"/>
  <c r="Z33" i="1"/>
  <c r="AF33" i="1" s="1"/>
  <c r="AG33" i="1" s="1"/>
  <c r="AH33" i="1" s="1"/>
  <c r="AI33" i="1" s="1"/>
  <c r="AJ33" i="1" s="1" a="1"/>
  <c r="Z14" i="1"/>
  <c r="AF14" i="1" s="1"/>
  <c r="AG14" i="1" s="1"/>
  <c r="AH14" i="1" s="1"/>
  <c r="AI14" i="1" s="1"/>
  <c r="AJ14" i="1" s="1" a="1"/>
  <c r="AA14" i="1"/>
  <c r="Z13" i="1"/>
  <c r="AF13" i="1" s="1"/>
  <c r="AG13" i="1" s="1"/>
  <c r="AH13" i="1" s="1"/>
  <c r="AI13" i="1" s="1"/>
  <c r="AJ13" i="1" s="1" a="1"/>
  <c r="AA13" i="1"/>
  <c r="Z36" i="1"/>
  <c r="AF36" i="1" s="1"/>
  <c r="AG36" i="1" s="1"/>
  <c r="AH36" i="1" s="1"/>
  <c r="AI36" i="1" s="1"/>
  <c r="AJ36" i="1" s="1" a="1"/>
  <c r="AA36" i="1"/>
  <c r="Z11" i="1"/>
  <c r="AF11" i="1" s="1"/>
  <c r="AG11" i="1" s="1"/>
  <c r="AH11" i="1" s="1"/>
  <c r="AI11" i="1" s="1"/>
  <c r="AJ11" i="1" s="1" a="1"/>
  <c r="AA11" i="1"/>
  <c r="Z22" i="1"/>
  <c r="AF22" i="1" s="1"/>
  <c r="AG22" i="1" s="1"/>
  <c r="AH22" i="1" s="1"/>
  <c r="AI22" i="1" s="1"/>
  <c r="AJ22" i="1" s="1" a="1"/>
  <c r="AA22" i="1"/>
  <c r="Z21" i="1"/>
  <c r="AF21" i="1" s="1"/>
  <c r="AG21" i="1" s="1"/>
  <c r="AH21" i="1" s="1"/>
  <c r="AI21" i="1" s="1"/>
  <c r="AJ21" i="1" s="1" a="1"/>
  <c r="AA21" i="1"/>
  <c r="Z20" i="1"/>
  <c r="AF20" i="1" s="1"/>
  <c r="AG20" i="1" s="1"/>
  <c r="AH20" i="1" s="1"/>
  <c r="AI20" i="1" s="1"/>
  <c r="AJ20" i="1" s="1" a="1"/>
  <c r="AA20" i="1"/>
  <c r="Z49" i="1"/>
  <c r="AF49" i="1" s="1"/>
  <c r="AG49" i="1" s="1"/>
  <c r="AH49" i="1" s="1"/>
  <c r="AI49" i="1" s="1"/>
  <c r="AJ49" i="1" s="1" a="1"/>
  <c r="AA49" i="1"/>
  <c r="Z53" i="1"/>
  <c r="AF53" i="1" s="1"/>
  <c r="AG53" i="1" s="1"/>
  <c r="AH53" i="1" s="1"/>
  <c r="AI53" i="1" s="1"/>
  <c r="AJ53" i="1" s="1" a="1"/>
  <c r="AA53" i="1"/>
  <c r="Z28" i="1"/>
  <c r="AF28" i="1" s="1"/>
  <c r="AG28" i="1" s="1"/>
  <c r="AH28" i="1" s="1"/>
  <c r="AI28" i="1" s="1"/>
  <c r="AJ28" i="1" s="1" a="1"/>
  <c r="AA28" i="1"/>
  <c r="Z29" i="1"/>
  <c r="AF29" i="1" s="1"/>
  <c r="AG29" i="1" s="1"/>
  <c r="AH29" i="1" s="1"/>
  <c r="AI29" i="1" s="1"/>
  <c r="AJ29" i="1" s="1" a="1"/>
  <c r="AA29" i="1"/>
  <c r="C460" i="2"/>
  <c r="F460" i="2"/>
  <c r="B461" i="2"/>
  <c r="AF9" i="1"/>
  <c r="AG9" i="1" s="1"/>
  <c r="AH9" i="1" s="1"/>
  <c r="AI9" i="1" s="1"/>
  <c r="AJ9" i="1" s="1" a="1"/>
  <c r="AA9" i="1"/>
  <c r="AA27" i="1"/>
  <c r="AF27" i="1"/>
  <c r="AG27" i="1" s="1"/>
  <c r="AH27" i="1" s="1"/>
  <c r="AI27" i="1" s="1"/>
  <c r="AJ27" i="1" s="1" a="1"/>
  <c r="B60" i="2"/>
  <c r="F61" i="2"/>
  <c r="C61" i="2"/>
  <c r="E411" i="2"/>
  <c r="A412" i="2"/>
  <c r="F409" i="2"/>
  <c r="B410" i="2"/>
  <c r="B417" i="2"/>
  <c r="F416" i="2"/>
  <c r="A449" i="2"/>
  <c r="E448" i="2"/>
  <c r="AF5" i="1"/>
  <c r="AG5" i="1" s="1"/>
  <c r="AH5" i="1" s="1"/>
  <c r="AI5" i="1" s="1"/>
  <c r="AJ5" i="1" s="1" a="1"/>
  <c r="AA5" i="1"/>
  <c r="AA54" i="1"/>
  <c r="AF54" i="1"/>
  <c r="AG54" i="1" s="1"/>
  <c r="AH54" i="1" s="1"/>
  <c r="AI54" i="1" s="1"/>
  <c r="AJ54" i="1" s="1" a="1"/>
  <c r="AF31" i="1"/>
  <c r="AG31" i="1" s="1"/>
  <c r="AH31" i="1" s="1"/>
  <c r="AI31" i="1" s="1"/>
  <c r="AJ31" i="1" s="1" a="1"/>
  <c r="AA31" i="1"/>
  <c r="AF51" i="1"/>
  <c r="AG51" i="1" s="1"/>
  <c r="AH51" i="1" s="1"/>
  <c r="AI51" i="1" s="1"/>
  <c r="AJ51" i="1" s="1" a="1"/>
  <c r="AA51" i="1"/>
  <c r="AA37" i="1"/>
  <c r="AF37" i="1"/>
  <c r="AG37" i="1" s="1"/>
  <c r="AH37" i="1" s="1"/>
  <c r="AI37" i="1" s="1"/>
  <c r="AJ37" i="1" s="1" a="1"/>
  <c r="AF32" i="1"/>
  <c r="AG32" i="1" s="1"/>
  <c r="AH32" i="1" s="1"/>
  <c r="AI32" i="1" s="1"/>
  <c r="AJ32" i="1" s="1" a="1"/>
  <c r="AA32" i="1"/>
  <c r="AF35" i="1"/>
  <c r="AG35" i="1" s="1"/>
  <c r="AH35" i="1" s="1"/>
  <c r="AI35" i="1" s="1"/>
  <c r="AJ35" i="1" s="1" a="1"/>
  <c r="AA35" i="1"/>
  <c r="AF40" i="1"/>
  <c r="AG40" i="1" s="1"/>
  <c r="AH40" i="1" s="1"/>
  <c r="AI40" i="1" s="1"/>
  <c r="AJ40" i="1" s="1" a="1"/>
  <c r="AA40" i="1"/>
  <c r="AF17" i="1"/>
  <c r="AG17" i="1" s="1"/>
  <c r="AH17" i="1" s="1"/>
  <c r="AI17" i="1" s="1"/>
  <c r="AJ17" i="1" s="1" a="1"/>
  <c r="AA17" i="1"/>
  <c r="AF18" i="1"/>
  <c r="AG18" i="1" s="1"/>
  <c r="AH18" i="1" s="1"/>
  <c r="AI18" i="1" s="1"/>
  <c r="AJ18" i="1" s="1" a="1"/>
  <c r="AA18" i="1"/>
  <c r="AF19" i="1"/>
  <c r="AG19" i="1" s="1"/>
  <c r="AH19" i="1" s="1"/>
  <c r="AI19" i="1" s="1"/>
  <c r="AJ19" i="1" s="1" a="1"/>
  <c r="AA19" i="1"/>
  <c r="AF41" i="1"/>
  <c r="AG41" i="1" s="1"/>
  <c r="AH41" i="1" s="1"/>
  <c r="AI41" i="1" s="1"/>
  <c r="AJ41" i="1" s="1" a="1"/>
  <c r="AA41" i="1"/>
  <c r="AF23" i="1"/>
  <c r="AG23" i="1" s="1"/>
  <c r="AH23" i="1" s="1"/>
  <c r="AI23" i="1" s="1"/>
  <c r="AJ23" i="1" s="1" a="1"/>
  <c r="AA23" i="1"/>
  <c r="AF6" i="1"/>
  <c r="AG6" i="1" s="1"/>
  <c r="AH6" i="1" s="1"/>
  <c r="AI6" i="1" s="1"/>
  <c r="AJ6" i="1" s="1" a="1"/>
  <c r="AA6" i="1"/>
  <c r="AF12" i="1"/>
  <c r="AG12" i="1" s="1"/>
  <c r="AH12" i="1" s="1"/>
  <c r="AI12" i="1" s="1"/>
  <c r="AJ12" i="1" s="1" a="1"/>
  <c r="AA12" i="1"/>
  <c r="AF7" i="1"/>
  <c r="AG7" i="1" s="1"/>
  <c r="AH7" i="1" s="1"/>
  <c r="AI7" i="1" s="1"/>
  <c r="AJ7" i="1" s="1" a="1"/>
  <c r="AA7" i="1"/>
  <c r="AF8" i="1"/>
  <c r="AG8" i="1" s="1"/>
  <c r="AH8" i="1" s="1"/>
  <c r="AI8" i="1" s="1"/>
  <c r="AJ8" i="1" s="1" a="1"/>
  <c r="AA8" i="1"/>
  <c r="C461" i="2" l="1"/>
  <c r="F461" i="2"/>
  <c r="B462" i="2"/>
  <c r="B59" i="2"/>
  <c r="C60" i="2" s="1"/>
  <c r="F60" i="2"/>
  <c r="E412" i="2"/>
  <c r="A413" i="2"/>
  <c r="F410" i="2"/>
  <c r="B411" i="2"/>
  <c r="F417" i="2"/>
  <c r="B418" i="2"/>
  <c r="E449" i="2"/>
  <c r="A450" i="2"/>
  <c r="C462" i="2" l="1"/>
  <c r="F462" i="2"/>
  <c r="B463" i="2"/>
  <c r="B58" i="2"/>
  <c r="C59" i="2" s="1"/>
  <c r="F59" i="2"/>
  <c r="E413" i="2"/>
  <c r="A414" i="2"/>
  <c r="F411" i="2"/>
  <c r="B412" i="2"/>
  <c r="F418" i="2"/>
  <c r="B419" i="2"/>
  <c r="E450" i="2"/>
  <c r="A451" i="2"/>
  <c r="C463" i="2" l="1"/>
  <c r="F463" i="2"/>
  <c r="B464" i="2"/>
  <c r="B57" i="2"/>
  <c r="F58" i="2"/>
  <c r="C58" i="2"/>
  <c r="E414" i="2"/>
  <c r="A415" i="2"/>
  <c r="F412" i="2"/>
  <c r="B413" i="2"/>
  <c r="F419" i="2"/>
  <c r="B420" i="2"/>
  <c r="E451" i="2"/>
  <c r="A452" i="2"/>
  <c r="C464" i="2" l="1"/>
  <c r="F464" i="2"/>
  <c r="B465" i="2"/>
  <c r="B56" i="2"/>
  <c r="F57" i="2"/>
  <c r="C57" i="2"/>
  <c r="E415" i="2"/>
  <c r="A416" i="2"/>
  <c r="F413" i="2"/>
  <c r="B414" i="2"/>
  <c r="F420" i="2"/>
  <c r="B421" i="2"/>
  <c r="E452" i="2"/>
  <c r="A453" i="2"/>
  <c r="B466" i="2" l="1"/>
  <c r="C465" i="2"/>
  <c r="F465" i="2"/>
  <c r="B55" i="2"/>
  <c r="C56" i="2" s="1"/>
  <c r="F56" i="2"/>
  <c r="E416" i="2"/>
  <c r="A417" i="2"/>
  <c r="F414" i="2"/>
  <c r="B415" i="2"/>
  <c r="F415" i="2" s="1"/>
  <c r="F421" i="2"/>
  <c r="B422" i="2"/>
  <c r="E453" i="2"/>
  <c r="A454" i="2"/>
  <c r="C466" i="2" l="1"/>
  <c r="F466" i="2"/>
  <c r="B467" i="2"/>
  <c r="B54" i="2"/>
  <c r="F55" i="2"/>
  <c r="C55" i="2"/>
  <c r="E417" i="2"/>
  <c r="A418" i="2"/>
  <c r="F422" i="2"/>
  <c r="B423" i="2"/>
  <c r="E454" i="2"/>
  <c r="A455" i="2"/>
  <c r="C467" i="2" l="1"/>
  <c r="F467" i="2"/>
  <c r="B468" i="2"/>
  <c r="B53" i="2"/>
  <c r="C54" i="2" s="1"/>
  <c r="F54" i="2"/>
  <c r="E418" i="2"/>
  <c r="A419" i="2"/>
  <c r="F423" i="2"/>
  <c r="B424" i="2"/>
  <c r="E455" i="2"/>
  <c r="A456" i="2"/>
  <c r="E456" i="2" s="1"/>
  <c r="C468" i="2" l="1"/>
  <c r="F468" i="2"/>
  <c r="B469" i="2"/>
  <c r="B52" i="2"/>
  <c r="C53" i="2" s="1"/>
  <c r="F53" i="2"/>
  <c r="E419" i="2"/>
  <c r="A420" i="2"/>
  <c r="F424" i="2"/>
  <c r="B425" i="2"/>
  <c r="C469" i="2" l="1"/>
  <c r="F469" i="2"/>
  <c r="B470" i="2"/>
  <c r="B51" i="2"/>
  <c r="F52" i="2"/>
  <c r="C52" i="2"/>
  <c r="E420" i="2"/>
  <c r="A421" i="2"/>
  <c r="F425" i="2"/>
  <c r="B426" i="2"/>
  <c r="C470" i="2" l="1"/>
  <c r="F470" i="2"/>
  <c r="B471" i="2"/>
  <c r="B50" i="2"/>
  <c r="C51" i="2" s="1"/>
  <c r="F51" i="2"/>
  <c r="E421" i="2"/>
  <c r="A422" i="2"/>
  <c r="F426" i="2"/>
  <c r="B427" i="2"/>
  <c r="C471" i="2" l="1"/>
  <c r="F471" i="2"/>
  <c r="B472" i="2"/>
  <c r="B49" i="2"/>
  <c r="C50" i="2" s="1"/>
  <c r="F50" i="2"/>
  <c r="E422" i="2"/>
  <c r="A423" i="2"/>
  <c r="F427" i="2"/>
  <c r="B428" i="2"/>
  <c r="C472" i="2" l="1"/>
  <c r="F472" i="2"/>
  <c r="B473" i="2"/>
  <c r="F49" i="2"/>
  <c r="B48" i="2"/>
  <c r="C49" i="2" s="1"/>
  <c r="E423" i="2"/>
  <c r="A424" i="2"/>
  <c r="F428" i="2"/>
  <c r="B429" i="2"/>
  <c r="C473" i="2" l="1"/>
  <c r="F473" i="2"/>
  <c r="B474" i="2"/>
  <c r="B47" i="2"/>
  <c r="F48" i="2"/>
  <c r="C48" i="2"/>
  <c r="E424" i="2"/>
  <c r="A425" i="2"/>
  <c r="F429" i="2"/>
  <c r="B430" i="2"/>
  <c r="C474" i="2" l="1"/>
  <c r="F474" i="2"/>
  <c r="B475" i="2"/>
  <c r="F47" i="2"/>
  <c r="B46" i="2"/>
  <c r="C47" i="2" s="1"/>
  <c r="E425" i="2"/>
  <c r="A426" i="2"/>
  <c r="F430" i="2"/>
  <c r="B431" i="2"/>
  <c r="C475" i="2" l="1"/>
  <c r="F475" i="2"/>
  <c r="B476" i="2"/>
  <c r="B45" i="2"/>
  <c r="C46" i="2" s="1"/>
  <c r="F46" i="2"/>
  <c r="E426" i="2"/>
  <c r="A427" i="2"/>
  <c r="F431" i="2"/>
  <c r="B432" i="2"/>
  <c r="C476" i="2" l="1"/>
  <c r="F476" i="2"/>
  <c r="B477" i="2"/>
  <c r="F45" i="2"/>
  <c r="B44" i="2"/>
  <c r="C45" i="2" s="1"/>
  <c r="E427" i="2"/>
  <c r="A428" i="2"/>
  <c r="F432" i="2"/>
  <c r="B433" i="2"/>
  <c r="C477" i="2" l="1"/>
  <c r="F477" i="2"/>
  <c r="B478" i="2"/>
  <c r="B43" i="2"/>
  <c r="C44" i="2" s="1"/>
  <c r="F44" i="2"/>
  <c r="E428" i="2"/>
  <c r="A429" i="2"/>
  <c r="F433" i="2"/>
  <c r="B434" i="2"/>
  <c r="C478" i="2" l="1"/>
  <c r="F478" i="2"/>
  <c r="B479" i="2"/>
  <c r="B42" i="2"/>
  <c r="C43" i="2" s="1"/>
  <c r="F43" i="2"/>
  <c r="E429" i="2"/>
  <c r="A430" i="2"/>
  <c r="F434" i="2"/>
  <c r="B435" i="2"/>
  <c r="C479" i="2" l="1"/>
  <c r="F479" i="2"/>
  <c r="B480" i="2"/>
  <c r="B41" i="2"/>
  <c r="F42" i="2"/>
  <c r="C42" i="2"/>
  <c r="E430" i="2"/>
  <c r="A431" i="2"/>
  <c r="F435" i="2"/>
  <c r="B436" i="2"/>
  <c r="C480" i="2" l="1"/>
  <c r="F480" i="2"/>
  <c r="B481" i="2"/>
  <c r="B40" i="2"/>
  <c r="C41" i="2" s="1"/>
  <c r="F41" i="2"/>
  <c r="E431" i="2"/>
  <c r="A432" i="2"/>
  <c r="F436" i="2"/>
  <c r="B437" i="2"/>
  <c r="C481" i="2" l="1"/>
  <c r="F481" i="2"/>
  <c r="B482" i="2"/>
  <c r="B39" i="2"/>
  <c r="C40" i="2" s="1"/>
  <c r="F40" i="2"/>
  <c r="E432" i="2"/>
  <c r="A433" i="2"/>
  <c r="F437" i="2"/>
  <c r="B438" i="2"/>
  <c r="C482" i="2" l="1"/>
  <c r="F482" i="2"/>
  <c r="B483" i="2"/>
  <c r="B38" i="2"/>
  <c r="C39" i="2" s="1"/>
  <c r="F39" i="2"/>
  <c r="E433" i="2"/>
  <c r="A434" i="2"/>
  <c r="F438" i="2"/>
  <c r="B439" i="2"/>
  <c r="C483" i="2" l="1"/>
  <c r="F483" i="2"/>
  <c r="B484" i="2"/>
  <c r="B37" i="2"/>
  <c r="C38" i="2" s="1"/>
  <c r="F38" i="2"/>
  <c r="E434" i="2"/>
  <c r="A435" i="2"/>
  <c r="F439" i="2"/>
  <c r="B440" i="2"/>
  <c r="C484" i="2" l="1"/>
  <c r="F484" i="2"/>
  <c r="B485" i="2"/>
  <c r="B36" i="2"/>
  <c r="C37" i="2" s="1"/>
  <c r="F37" i="2"/>
  <c r="E435" i="2"/>
  <c r="A436" i="2"/>
  <c r="F440" i="2"/>
  <c r="B441" i="2"/>
  <c r="C485" i="2" l="1"/>
  <c r="F485" i="2"/>
  <c r="B486" i="2"/>
  <c r="B35" i="2"/>
  <c r="F36" i="2"/>
  <c r="C36" i="2"/>
  <c r="E436" i="2"/>
  <c r="A437" i="2"/>
  <c r="F441" i="2"/>
  <c r="B442" i="2"/>
  <c r="C486" i="2" l="1"/>
  <c r="F486" i="2"/>
  <c r="B487" i="2"/>
  <c r="B34" i="2"/>
  <c r="F35" i="2"/>
  <c r="C35" i="2"/>
  <c r="E437" i="2"/>
  <c r="A438" i="2"/>
  <c r="F442" i="2"/>
  <c r="B443" i="2"/>
  <c r="C487" i="2" l="1"/>
  <c r="F487" i="2"/>
  <c r="B488" i="2"/>
  <c r="B33" i="2"/>
  <c r="C34" i="2" s="1"/>
  <c r="F34" i="2"/>
  <c r="E438" i="2"/>
  <c r="A439" i="2"/>
  <c r="F443" i="2"/>
  <c r="B444" i="2"/>
  <c r="C488" i="2" l="1"/>
  <c r="F488" i="2"/>
  <c r="B489" i="2"/>
  <c r="B32" i="2"/>
  <c r="C33" i="2" s="1"/>
  <c r="F33" i="2"/>
  <c r="E439" i="2"/>
  <c r="A440" i="2"/>
  <c r="F444" i="2"/>
  <c r="B445" i="2"/>
  <c r="C489" i="2" l="1"/>
  <c r="F489" i="2"/>
  <c r="B490" i="2"/>
  <c r="B31" i="2"/>
  <c r="F32" i="2"/>
  <c r="C32" i="2"/>
  <c r="E440" i="2"/>
  <c r="A441" i="2"/>
  <c r="F445" i="2"/>
  <c r="B446" i="2"/>
  <c r="C490" i="2" l="1"/>
  <c r="F490" i="2"/>
  <c r="B491" i="2"/>
  <c r="B30" i="2"/>
  <c r="C31" i="2" s="1"/>
  <c r="F31" i="2"/>
  <c r="E441" i="2"/>
  <c r="A442" i="2"/>
  <c r="F446" i="2"/>
  <c r="B447" i="2"/>
  <c r="C491" i="2" l="1"/>
  <c r="F491" i="2"/>
  <c r="B492" i="2"/>
  <c r="B29" i="2"/>
  <c r="C30" i="2" s="1"/>
  <c r="F30" i="2"/>
  <c r="E442" i="2"/>
  <c r="A443" i="2"/>
  <c r="F447" i="2"/>
  <c r="B448" i="2"/>
  <c r="B493" i="2" l="1"/>
  <c r="C492" i="2"/>
  <c r="F492" i="2"/>
  <c r="B28" i="2"/>
  <c r="C29" i="2" s="1"/>
  <c r="F29" i="2"/>
  <c r="E443" i="2"/>
  <c r="A444" i="2"/>
  <c r="F448" i="2"/>
  <c r="B449" i="2"/>
  <c r="C493" i="2" l="1"/>
  <c r="F493" i="2"/>
  <c r="B494" i="2"/>
  <c r="B27" i="2"/>
  <c r="F28" i="2"/>
  <c r="C28" i="2"/>
  <c r="E444" i="2"/>
  <c r="A445" i="2"/>
  <c r="F449" i="2"/>
  <c r="B450" i="2"/>
  <c r="B495" i="2" l="1"/>
  <c r="C494" i="2"/>
  <c r="F494" i="2"/>
  <c r="B26" i="2"/>
  <c r="F27" i="2"/>
  <c r="C27" i="2"/>
  <c r="E445" i="2"/>
  <c r="A446" i="2"/>
  <c r="E446" i="2" s="1"/>
  <c r="F450" i="2"/>
  <c r="B451" i="2"/>
  <c r="C495" i="2" l="1"/>
  <c r="F495" i="2"/>
  <c r="B496" i="2"/>
  <c r="B25" i="2"/>
  <c r="C26" i="2" s="1"/>
  <c r="F26" i="2"/>
  <c r="F451" i="2"/>
  <c r="B452" i="2"/>
  <c r="B497" i="2" l="1"/>
  <c r="C496" i="2"/>
  <c r="F496" i="2"/>
  <c r="B24" i="2"/>
  <c r="C25" i="2" s="1"/>
  <c r="F25" i="2"/>
  <c r="F452" i="2"/>
  <c r="B453" i="2"/>
  <c r="C497" i="2" l="1"/>
  <c r="F497" i="2"/>
  <c r="B498" i="2"/>
  <c r="B23" i="2"/>
  <c r="F24" i="2"/>
  <c r="C24" i="2"/>
  <c r="F453" i="2"/>
  <c r="B454" i="2"/>
  <c r="C498" i="2" l="1"/>
  <c r="F498" i="2"/>
  <c r="B499" i="2"/>
  <c r="B22" i="2"/>
  <c r="C23" i="2" s="1"/>
  <c r="F23" i="2"/>
  <c r="F454" i="2"/>
  <c r="B455" i="2"/>
  <c r="C499" i="2" l="1"/>
  <c r="F499" i="2"/>
  <c r="B500" i="2"/>
  <c r="B21" i="2"/>
  <c r="C22" i="2" s="1"/>
  <c r="F22" i="2"/>
  <c r="F455" i="2"/>
  <c r="B456" i="2"/>
  <c r="F456" i="2" s="1"/>
  <c r="B501" i="2" l="1"/>
  <c r="C500" i="2"/>
  <c r="F500" i="2"/>
  <c r="B20" i="2"/>
  <c r="C21" i="2" s="1"/>
  <c r="F21" i="2"/>
  <c r="C501" i="2" l="1"/>
  <c r="F501" i="2"/>
  <c r="B502" i="2"/>
  <c r="B19" i="2"/>
  <c r="F20" i="2"/>
  <c r="C20" i="2"/>
  <c r="C502" i="2" l="1"/>
  <c r="F502" i="2"/>
  <c r="B503" i="2"/>
  <c r="B18" i="2"/>
  <c r="C19" i="2" s="1"/>
  <c r="F19" i="2"/>
  <c r="B504" i="2" l="1"/>
  <c r="C503" i="2"/>
  <c r="F503" i="2"/>
  <c r="B17" i="2"/>
  <c r="C18" i="2" s="1"/>
  <c r="F18" i="2"/>
  <c r="C504" i="2" l="1"/>
  <c r="F504" i="2"/>
  <c r="B505" i="2"/>
  <c r="B16" i="2"/>
  <c r="C17" i="2" s="1"/>
  <c r="F17" i="2"/>
  <c r="C505" i="2" l="1"/>
  <c r="F505" i="2"/>
  <c r="B506" i="2"/>
  <c r="B15" i="2"/>
  <c r="C16" i="2" s="1"/>
  <c r="F16" i="2"/>
  <c r="B507" i="2" l="1"/>
  <c r="C506" i="2"/>
  <c r="F506" i="2"/>
  <c r="B14" i="2"/>
  <c r="C15" i="2" s="1"/>
  <c r="F15" i="2"/>
  <c r="C507" i="2" l="1"/>
  <c r="F507" i="2"/>
  <c r="B508" i="2"/>
  <c r="B13" i="2"/>
  <c r="C14" i="2" s="1"/>
  <c r="F14" i="2"/>
  <c r="B509" i="2" l="1"/>
  <c r="C508" i="2"/>
  <c r="F508" i="2"/>
  <c r="B12" i="2"/>
  <c r="F13" i="2"/>
  <c r="C13" i="2"/>
  <c r="C509" i="2" l="1"/>
  <c r="F509" i="2"/>
  <c r="B510" i="2"/>
  <c r="B11" i="2"/>
  <c r="F12" i="2"/>
  <c r="C12" i="2"/>
  <c r="B511" i="2" l="1"/>
  <c r="C510" i="2"/>
  <c r="F510" i="2"/>
  <c r="B10" i="2"/>
  <c r="C11" i="2" s="1"/>
  <c r="F11" i="2"/>
  <c r="C511" i="2" l="1"/>
  <c r="F511" i="2"/>
  <c r="B512" i="2"/>
  <c r="B9" i="2"/>
  <c r="C10" i="2" s="1"/>
  <c r="F10" i="2"/>
  <c r="B513" i="2" l="1"/>
  <c r="C512" i="2"/>
  <c r="F512" i="2"/>
  <c r="B8" i="2"/>
  <c r="F9" i="2"/>
  <c r="C9" i="2"/>
  <c r="C513" i="2" l="1"/>
  <c r="F513" i="2"/>
  <c r="B514" i="2"/>
  <c r="B7" i="2"/>
  <c r="F8" i="2"/>
  <c r="C8" i="2"/>
  <c r="B515" i="2" l="1"/>
  <c r="C514" i="2"/>
  <c r="F514" i="2"/>
  <c r="B6" i="2"/>
  <c r="F7" i="2"/>
  <c r="C7" i="2"/>
  <c r="C515" i="2" l="1"/>
  <c r="F515" i="2"/>
  <c r="B516" i="2"/>
  <c r="B5" i="2"/>
  <c r="C6" i="2" s="1"/>
  <c r="F6" i="2"/>
  <c r="B517" i="2" l="1"/>
  <c r="C516" i="2"/>
  <c r="F516" i="2"/>
  <c r="B4" i="2"/>
  <c r="C5" i="2" s="1"/>
  <c r="F5" i="2"/>
  <c r="C517" i="2" l="1"/>
  <c r="F517" i="2"/>
  <c r="B518" i="2"/>
  <c r="B3" i="2"/>
  <c r="F4" i="2"/>
  <c r="C518" i="2" l="1"/>
  <c r="F518" i="2"/>
  <c r="B519" i="2"/>
  <c r="F3" i="2"/>
  <c r="C4" i="2"/>
  <c r="B520" i="2" l="1"/>
  <c r="C519" i="2"/>
  <c r="F519" i="2"/>
  <c r="C520" i="2" l="1"/>
  <c r="F520" i="2"/>
  <c r="B521" i="2"/>
  <c r="B522" i="2" l="1"/>
  <c r="C521" i="2"/>
  <c r="F521" i="2"/>
  <c r="C522" i="2" l="1"/>
  <c r="F522" i="2"/>
  <c r="B523" i="2"/>
  <c r="C523" i="2" l="1"/>
  <c r="F523" i="2"/>
  <c r="B524" i="2"/>
  <c r="C524" i="2" l="1"/>
  <c r="F524" i="2"/>
  <c r="B525" i="2"/>
  <c r="C525" i="2" l="1"/>
  <c r="F525" i="2"/>
  <c r="B526" i="2"/>
  <c r="C526" i="2" l="1"/>
  <c r="F526" i="2"/>
  <c r="B527" i="2"/>
  <c r="C527" i="2" l="1"/>
  <c r="F527" i="2"/>
  <c r="B528" i="2"/>
  <c r="B529" i="2" l="1"/>
  <c r="C528" i="2"/>
  <c r="F528" i="2"/>
  <c r="B530" i="2" l="1"/>
  <c r="C529" i="2"/>
  <c r="F529" i="2"/>
  <c r="C530" i="2" l="1"/>
  <c r="F530" i="2"/>
  <c r="B531" i="2"/>
  <c r="B532" i="2" l="1"/>
  <c r="C531" i="2"/>
  <c r="F531" i="2"/>
  <c r="C532" i="2" l="1"/>
  <c r="F532" i="2"/>
  <c r="B533" i="2"/>
  <c r="B534" i="2" l="1"/>
  <c r="C533" i="2"/>
  <c r="F533" i="2"/>
  <c r="C534" i="2" l="1"/>
  <c r="F534" i="2"/>
  <c r="B535" i="2"/>
  <c r="B536" i="2" l="1"/>
  <c r="C535" i="2"/>
  <c r="F535" i="2"/>
  <c r="C536" i="2" l="1"/>
  <c r="F536" i="2"/>
  <c r="B537" i="2"/>
  <c r="B538" i="2" l="1"/>
  <c r="C537" i="2"/>
  <c r="F537" i="2"/>
  <c r="C538" i="2" l="1"/>
  <c r="F538" i="2"/>
  <c r="B539" i="2"/>
  <c r="B540" i="2" l="1"/>
  <c r="C539" i="2"/>
  <c r="F539" i="2"/>
  <c r="C540" i="2" l="1"/>
  <c r="F540" i="2"/>
  <c r="B541" i="2"/>
  <c r="C541" i="2" l="1"/>
  <c r="F541" i="2"/>
  <c r="B542" i="2"/>
  <c r="B543" i="2" l="1"/>
  <c r="C542" i="2"/>
  <c r="F542" i="2"/>
  <c r="C543" i="2" l="1"/>
  <c r="F543" i="2"/>
  <c r="B544" i="2"/>
  <c r="B545" i="2" l="1"/>
  <c r="C544" i="2"/>
  <c r="F544" i="2"/>
  <c r="C545" i="2" l="1"/>
  <c r="F545" i="2"/>
  <c r="B546" i="2"/>
  <c r="B547" i="2" l="1"/>
  <c r="C546" i="2"/>
  <c r="F546" i="2"/>
  <c r="C547" i="2" l="1"/>
  <c r="F547" i="2"/>
  <c r="B548" i="2"/>
  <c r="C548" i="2" l="1"/>
  <c r="F548" i="2"/>
  <c r="B549" i="2"/>
  <c r="B550" i="2" l="1"/>
  <c r="C549" i="2"/>
  <c r="F549" i="2"/>
  <c r="B551" i="2" l="1"/>
  <c r="C550" i="2"/>
  <c r="F550" i="2"/>
  <c r="C551" i="2" l="1"/>
  <c r="F551" i="2"/>
  <c r="B552" i="2"/>
  <c r="B553" i="2" l="1"/>
  <c r="C552" i="2"/>
  <c r="F552" i="2"/>
  <c r="B554" i="2" l="1"/>
  <c r="C553" i="2"/>
  <c r="F553" i="2"/>
  <c r="C554" i="2" l="1"/>
  <c r="F554" i="2"/>
  <c r="B555" i="2"/>
  <c r="B556" i="2" l="1"/>
  <c r="C555" i="2"/>
  <c r="F555" i="2"/>
  <c r="C556" i="2" l="1"/>
  <c r="F556" i="2"/>
  <c r="B557" i="2"/>
  <c r="C557" i="2" l="1"/>
  <c r="F557" i="2"/>
  <c r="B558" i="2"/>
  <c r="B559" i="2" l="1"/>
  <c r="C558" i="2"/>
  <c r="F558" i="2"/>
  <c r="C559" i="2" l="1"/>
  <c r="F559" i="2"/>
  <c r="B560" i="2"/>
  <c r="B561" i="2" l="1"/>
  <c r="C560" i="2"/>
  <c r="F560" i="2"/>
  <c r="C561" i="2" l="1"/>
  <c r="F561" i="2"/>
  <c r="B562" i="2"/>
  <c r="B563" i="2" l="1"/>
  <c r="C562" i="2"/>
  <c r="F562" i="2"/>
  <c r="C563" i="2" l="1"/>
  <c r="F563" i="2"/>
  <c r="B564" i="2"/>
  <c r="B565" i="2" l="1"/>
  <c r="C564" i="2"/>
  <c r="F564" i="2"/>
  <c r="C565" i="2" l="1"/>
  <c r="F565" i="2"/>
  <c r="B566" i="2"/>
  <c r="B567" i="2" l="1"/>
  <c r="C566" i="2"/>
  <c r="F566" i="2"/>
  <c r="C567" i="2" l="1"/>
  <c r="F567" i="2"/>
  <c r="B568" i="2"/>
  <c r="C568" i="2" l="1"/>
  <c r="F568" i="2"/>
  <c r="B569" i="2"/>
  <c r="B570" i="2" l="1"/>
  <c r="C569" i="2"/>
  <c r="F569" i="2"/>
  <c r="C570" i="2" l="1"/>
  <c r="F570" i="2"/>
  <c r="B571" i="2"/>
  <c r="B572" i="2" l="1"/>
  <c r="C571" i="2"/>
  <c r="F571" i="2"/>
  <c r="C572" i="2" l="1"/>
  <c r="F572" i="2"/>
  <c r="B573" i="2"/>
  <c r="B574" i="2" l="1"/>
  <c r="C573" i="2"/>
  <c r="F573" i="2"/>
  <c r="C574" i="2" l="1"/>
  <c r="F574" i="2"/>
  <c r="B575" i="2"/>
  <c r="B576" i="2" l="1"/>
  <c r="C575" i="2"/>
  <c r="F575" i="2"/>
  <c r="C576" i="2" l="1"/>
  <c r="F576" i="2"/>
  <c r="B577" i="2"/>
  <c r="B578" i="2" l="1"/>
  <c r="C577" i="2"/>
  <c r="F577" i="2"/>
  <c r="C578" i="2" l="1"/>
  <c r="F578" i="2"/>
  <c r="B579" i="2"/>
  <c r="B580" i="2" l="1"/>
  <c r="C579" i="2"/>
  <c r="F579" i="2"/>
  <c r="C580" i="2" l="1"/>
  <c r="F580" i="2"/>
  <c r="B581" i="2"/>
  <c r="C581" i="2" l="1"/>
  <c r="F581" i="2"/>
  <c r="B582" i="2"/>
  <c r="B583" i="2" l="1"/>
  <c r="C582" i="2"/>
  <c r="F582" i="2"/>
  <c r="C583" i="2" l="1"/>
  <c r="F583" i="2"/>
  <c r="B584" i="2"/>
  <c r="C584" i="2" l="1"/>
  <c r="F584" i="2"/>
  <c r="B585" i="2"/>
  <c r="B586" i="2" l="1"/>
  <c r="C585" i="2"/>
  <c r="F585" i="2"/>
  <c r="C586" i="2" l="1"/>
  <c r="F586" i="2"/>
  <c r="B587" i="2"/>
  <c r="B588" i="2" l="1"/>
  <c r="C587" i="2"/>
  <c r="F587" i="2"/>
  <c r="B589" i="2" l="1"/>
  <c r="C588" i="2"/>
  <c r="F588" i="2"/>
  <c r="C589" i="2" l="1"/>
  <c r="F589" i="2"/>
  <c r="B590" i="2"/>
  <c r="B591" i="2" l="1"/>
  <c r="C590" i="2"/>
  <c r="F590" i="2"/>
  <c r="B592" i="2" l="1"/>
  <c r="C591" i="2"/>
  <c r="F591" i="2"/>
  <c r="C592" i="2" l="1"/>
  <c r="F592" i="2"/>
  <c r="B593" i="2"/>
  <c r="B594" i="2" l="1"/>
  <c r="C593" i="2"/>
  <c r="F593" i="2"/>
  <c r="C594" i="2" l="1"/>
  <c r="F594" i="2"/>
  <c r="B595" i="2"/>
  <c r="B596" i="2" l="1"/>
  <c r="C595" i="2"/>
  <c r="F595" i="2"/>
  <c r="C596" i="2" l="1"/>
  <c r="F596" i="2"/>
  <c r="B597" i="2"/>
  <c r="B598" i="2" l="1"/>
  <c r="C597" i="2"/>
  <c r="F597" i="2"/>
  <c r="C598" i="2" l="1"/>
  <c r="F598" i="2"/>
  <c r="B599" i="2"/>
  <c r="B600" i="2" l="1"/>
  <c r="C599" i="2"/>
  <c r="F599" i="2"/>
  <c r="C600" i="2" l="1"/>
  <c r="F600" i="2"/>
  <c r="B601" i="2"/>
  <c r="C601" i="2" l="1"/>
  <c r="F601" i="2"/>
  <c r="B602" i="2"/>
  <c r="B603" i="2" l="1"/>
  <c r="C602" i="2"/>
  <c r="F602" i="2"/>
  <c r="C603" i="2" l="1"/>
  <c r="F603" i="2"/>
  <c r="B604" i="2"/>
  <c r="B605" i="2" l="1"/>
  <c r="C604" i="2"/>
  <c r="F604" i="2"/>
  <c r="C605" i="2" l="1"/>
  <c r="F605" i="2"/>
  <c r="B606" i="2"/>
  <c r="B607" i="2" l="1"/>
  <c r="C606" i="2"/>
  <c r="F606" i="2"/>
  <c r="C607" i="2" l="1"/>
  <c r="F607" i="2"/>
  <c r="B608" i="2"/>
  <c r="C608" i="2" l="1"/>
  <c r="F608" i="2"/>
  <c r="B609" i="2"/>
  <c r="B610" i="2" l="1"/>
  <c r="C609" i="2"/>
  <c r="F609" i="2"/>
  <c r="C610" i="2" l="1"/>
  <c r="F610" i="2"/>
  <c r="B611" i="2"/>
  <c r="B612" i="2" l="1"/>
  <c r="C611" i="2"/>
  <c r="F611" i="2"/>
  <c r="C612" i="2" l="1"/>
  <c r="F612" i="2"/>
  <c r="B613" i="2"/>
  <c r="B614" i="2" l="1"/>
  <c r="C613" i="2"/>
  <c r="F613" i="2"/>
  <c r="C614" i="2" l="1"/>
  <c r="F614" i="2"/>
  <c r="B615" i="2"/>
  <c r="B616" i="2" l="1"/>
  <c r="C615" i="2"/>
  <c r="F615" i="2"/>
  <c r="C616" i="2" l="1"/>
  <c r="F616" i="2"/>
  <c r="B617" i="2"/>
  <c r="C617" i="2" l="1"/>
  <c r="F617" i="2"/>
  <c r="B618" i="2"/>
  <c r="B619" i="2" l="1"/>
  <c r="C618" i="2"/>
  <c r="F618" i="2"/>
  <c r="B620" i="2" l="1"/>
  <c r="C619" i="2"/>
  <c r="F619" i="2"/>
  <c r="C620" i="2" l="1"/>
  <c r="F620" i="2"/>
  <c r="B621" i="2"/>
  <c r="B622" i="2" l="1"/>
  <c r="C621" i="2"/>
  <c r="F621" i="2"/>
  <c r="C622" i="2" l="1"/>
  <c r="F622" i="2"/>
  <c r="B623" i="2"/>
  <c r="C623" i="2" l="1"/>
  <c r="F6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tc={BCFBFB56-BE07-4A03-A82D-31813E76B37A}</author>
    <author>tc={585E84BE-7F52-41DC-B5BA-755195AF8766}</author>
  </authors>
  <commentList>
    <comment ref="R3" authorId="0" shapeId="0" xr:uid="{BCFBFB56-BE07-4A03-A82D-31813E76B37A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Equivalent of 50% of units upgraded, 10k cost at 20% ROC</t>
      </text>
    </comment>
    <comment ref="AD3" authorId="1" shapeId="0" xr:uid="{585E84BE-7F52-41DC-B5BA-755195AF8766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Equivalent of $4k/unit up front, $2k/unit ongoing annually (exc. $250/unit reserves), and 50% of units upgraded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<sst xmlns="http://schemas.openxmlformats.org/spreadsheetml/2006/main" count="23630" uniqueCount="724">
  <si>
    <t>Effective RPSF  |  Rent Roll PSF  |  Effective Rent Ratio (Eff. RPSF ÷ Rent Roll PSF)</t>
  </si>
  <si>
    <t>#</t>
  </si>
  <si>
    <t>Market</t>
  </si>
  <si>
    <t>Effective RPSF</t>
  </si>
  <si>
    <t>Rent Roll PSF</t>
  </si>
  <si>
    <t>Eff. Rent Ratio</t>
  </si>
  <si>
    <t>Grand Rapids/Muskegon/Holland, MI</t>
  </si>
  <si>
    <t>Columbus, OH</t>
  </si>
  <si>
    <t>Reno, NV</t>
  </si>
  <si>
    <t>Richmond, VA</t>
  </si>
  <si>
    <t>Salt Lake City/Ogden/Brigham City, UT-ID</t>
  </si>
  <si>
    <t>Riverside-San Bernardino-Ontario, CA</t>
  </si>
  <si>
    <t>West Palm Beach-Boca Raton-Delray Beach, FL</t>
  </si>
  <si>
    <t>Kansas City, MO-KS</t>
  </si>
  <si>
    <t>Minneapolis-St. Paul-Bloomington, MN-WI</t>
  </si>
  <si>
    <t>Nashville-Davidson--Murfreesboro--Franklin, TN</t>
  </si>
  <si>
    <t>Seattle-Bellevue-Everett, WA</t>
  </si>
  <si>
    <t>Sacramento-Roseville-Folsom, CA</t>
  </si>
  <si>
    <t>Fort Lauderdale-Pompano Beach-Sunrise, FL</t>
  </si>
  <si>
    <t>Charleston-North Charleston, SC</t>
  </si>
  <si>
    <t>Tucson, AZ</t>
  </si>
  <si>
    <t>Portland-Vancouver-Hillsboro, OR-WA</t>
  </si>
  <si>
    <t>Washington-Arlington-Alexandria, DC-VA-MD-WV</t>
  </si>
  <si>
    <t>Jacksonville, FL</t>
  </si>
  <si>
    <t>Tulsa, OK</t>
  </si>
  <si>
    <t>Colorado Springs, CO</t>
  </si>
  <si>
    <t>Orlando-Kissimmee-Sanford, FL</t>
  </si>
  <si>
    <t>Oklahoma City, OK</t>
  </si>
  <si>
    <t>Las Vegas-Henderson-North Las Vegas, NV</t>
  </si>
  <si>
    <t>Indianapolis-Carmel-Greenwood/Greencastle, IN</t>
  </si>
  <si>
    <t>Atlanta-Sandy Springs-Roswell, GA</t>
  </si>
  <si>
    <t>Phoenix-Mesa-Chandler, AZ</t>
  </si>
  <si>
    <t>Houston-Pasadena-The Woodlands, TX</t>
  </si>
  <si>
    <t>Raleigh/Durham, NC</t>
  </si>
  <si>
    <t>Tampa-St. Petersburg-Clearwater, FL</t>
  </si>
  <si>
    <t>Dallas-Plano-Irving, TX</t>
  </si>
  <si>
    <t>Cape Coral-Fort Myers, FL</t>
  </si>
  <si>
    <t>Charlotte-Concord-Gastonia, NC-SC</t>
  </si>
  <si>
    <t>Denver-Aurora-Centennial, CO</t>
  </si>
  <si>
    <t>Austin-Round Rock-San Marcos, TX</t>
  </si>
  <si>
    <t>San Antonio-New Braunfels, TX</t>
  </si>
  <si>
    <t>Greenville/Spartanburg, SC</t>
  </si>
  <si>
    <t>Mark-to-market strongly positive; revenue growth flowing directly into NOI</t>
  </si>
  <si>
    <t>Positive parity; effective rents at or above in-place rent roll</t>
  </si>
  <si>
    <t>Near parity; modest concession drag; approaching inflection</t>
  </si>
  <si>
    <t>Negative spread; embedded concession drag suppressing revenue</t>
  </si>
  <si>
    <t>10-year Historical Avg Rent Growth (GSA)</t>
  </si>
  <si>
    <t>10-year Historical Avg Rent Growth (RP)</t>
  </si>
  <si>
    <t>10-year Avg Hist. Rent Growth
(GSA &amp; RP)</t>
  </si>
  <si>
    <t>Expense Growth</t>
  </si>
  <si>
    <t>Value Add Rev</t>
  </si>
  <si>
    <t>PF Organic Revenue Growth</t>
  </si>
  <si>
    <t>PF Total Revenue Growth</t>
  </si>
  <si>
    <t>Initial NOI</t>
  </si>
  <si>
    <t>Initial Revenue</t>
  </si>
  <si>
    <t>Initial Expenses</t>
  </si>
  <si>
    <t>Terminal Revenue</t>
  </si>
  <si>
    <t>Terminal Expenses</t>
  </si>
  <si>
    <t>Terminal NOI</t>
  </si>
  <si>
    <t>Initial Basis</t>
  </si>
  <si>
    <t>Going-In Cap Rate</t>
  </si>
  <si>
    <t>Basis Growth</t>
  </si>
  <si>
    <t>Residual Basis</t>
  </si>
  <si>
    <t>Going in NOI</t>
  </si>
  <si>
    <t>Residual NOI</t>
  </si>
  <si>
    <t>Residual YOC</t>
  </si>
  <si>
    <t>Cap Rate Growth</t>
  </si>
  <si>
    <t>IRR From Appreciation</t>
  </si>
  <si>
    <t>LIRR From Appreciation</t>
  </si>
  <si>
    <t>Lev Yield</t>
  </si>
  <si>
    <t>LIRR from Yield</t>
  </si>
  <si>
    <t>PF LIRR</t>
  </si>
  <si>
    <t>PF Yrs Negative</t>
  </si>
  <si>
    <t>10-year historical rent growth continues for next 5 years</t>
  </si>
  <si>
    <t>No cap rate compression/expansion (5% going in and exit)</t>
  </si>
  <si>
    <t>VA: 50% of units, 10k avg cost with a 20% ROC</t>
  </si>
  <si>
    <t>65% Leverage, 5 years, 3 years IO, leverage neutral (5% fixed rate)</t>
  </si>
  <si>
    <t>Market level analysis that does not give visibility to submarket level nuances</t>
  </si>
  <si>
    <t>SLC</t>
  </si>
  <si>
    <t>Tampa</t>
  </si>
  <si>
    <t>Orlando</t>
  </si>
  <si>
    <t>Jacksonville</t>
  </si>
  <si>
    <t>Nashville</t>
  </si>
  <si>
    <t>IF these markets have visibility to positive short term rent growth, and if longer term demand expectations are similar to previous 10 years</t>
  </si>
  <si>
    <t>THEN these markets should be actionable for us on a market pricing/market debt basis:</t>
  </si>
  <si>
    <t>WPB / Fort Lauderdale</t>
  </si>
  <si>
    <t>These other markets are fringe returns from a market pricing/debt, perspective</t>
  </si>
  <si>
    <t>Washington DC</t>
  </si>
  <si>
    <t>Atlanta</t>
  </si>
  <si>
    <t>Raleigh</t>
  </si>
  <si>
    <t>Charlotte</t>
  </si>
  <si>
    <t>Dallas</t>
  </si>
  <si>
    <t>Therefore they need incremental return support, pursue the following:</t>
  </si>
  <si>
    <t>Any outsized VA opportuntiies to enhance growth</t>
  </si>
  <si>
    <t>Any tactical special situations that enhance returns</t>
  </si>
  <si>
    <t>Accretive loan assumptions that enhacne returns</t>
  </si>
  <si>
    <t>Houston</t>
  </si>
  <si>
    <t>Denver</t>
  </si>
  <si>
    <t>Austin</t>
  </si>
  <si>
    <t>SA</t>
  </si>
  <si>
    <t>These markets should be monitored but materially de-prioritized until or unless there is an extraordinary opportunity that offsets the organic headwinds, or a submarket/location that is wildy different than market avg</t>
  </si>
  <si>
    <t>Fringe market watch list - which have interesting PF returns, and we need to form an opinion if they are further worth pursuing</t>
  </si>
  <si>
    <t>Reno</t>
  </si>
  <si>
    <t>Richmond</t>
  </si>
  <si>
    <t>KC</t>
  </si>
  <si>
    <t>Charleston</t>
  </si>
  <si>
    <t>Grand Rapids????</t>
  </si>
  <si>
    <t>Total PF NOI Growth</t>
  </si>
  <si>
    <t>PF NOI CAGR</t>
  </si>
  <si>
    <t>PF Organic Rev CAGR</t>
  </si>
  <si>
    <t>2.5% annual expense growth</t>
  </si>
  <si>
    <t>Submarkets with outsized growth above mkt avg</t>
  </si>
  <si>
    <t>I.e. no further deterioration or elevated bounce back considered</t>
  </si>
  <si>
    <t>Asking RPSF</t>
  </si>
  <si>
    <t>Effective Embedded RR Mark to Market</t>
  </si>
  <si>
    <t>Gross Embedded RR Mark to Market</t>
  </si>
  <si>
    <t>NOI % of Revenue</t>
  </si>
  <si>
    <t>YOY Effective Rent Change</t>
  </si>
  <si>
    <t>Rent Roll (Rev/OSF)</t>
  </si>
  <si>
    <t>Abilene, TX</t>
  </si>
  <si>
    <t>Akron, OH</t>
  </si>
  <si>
    <t>Alamogordo, NM</t>
  </si>
  <si>
    <t>Albany, GA</t>
  </si>
  <si>
    <t>Albany, OR</t>
  </si>
  <si>
    <t>Albany-Schenectady-Troy, NY</t>
  </si>
  <si>
    <t>Albert Lea, MN</t>
  </si>
  <si>
    <t>Albuquerque, NM</t>
  </si>
  <si>
    <t>Alexandria, LA</t>
  </si>
  <si>
    <t>Alexandria, MN</t>
  </si>
  <si>
    <t>Allentown-Bethlehem-Easton, PA-NJ</t>
  </si>
  <si>
    <t>Alma, MI</t>
  </si>
  <si>
    <t>Altoona, PA</t>
  </si>
  <si>
    <t>Altus, OK</t>
  </si>
  <si>
    <t>Amarillo, TX</t>
  </si>
  <si>
    <t>Ames, IA</t>
  </si>
  <si>
    <t>Anaheim-Santa Ana-Irvine, CA</t>
  </si>
  <si>
    <t>Anchorage, AK</t>
  </si>
  <si>
    <t>Andrews, TX</t>
  </si>
  <si>
    <t>Angola, IN</t>
  </si>
  <si>
    <t>Ann Arbor, MI</t>
  </si>
  <si>
    <t>Anniston-Oxford, AL</t>
  </si>
  <si>
    <t>Appleton, WI</t>
  </si>
  <si>
    <t>Ardmore, OK</t>
  </si>
  <si>
    <t>Arkansas City-Winfield, KS</t>
  </si>
  <si>
    <t>Asheville/Waynesville, NC</t>
  </si>
  <si>
    <t>Ashland, OH</t>
  </si>
  <si>
    <t>Astoria, OR</t>
  </si>
  <si>
    <t>Athens-Clarke County, GA</t>
  </si>
  <si>
    <t>Athens, OH</t>
  </si>
  <si>
    <t>Athens, TN</t>
  </si>
  <si>
    <t>Athens, TX</t>
  </si>
  <si>
    <t>Atlantic City-Hammonton, NJ</t>
  </si>
  <si>
    <t>Auburn, NY</t>
  </si>
  <si>
    <t>Auburn-Opelika, AL</t>
  </si>
  <si>
    <t>Augusta-Richmond County, GA-SC</t>
  </si>
  <si>
    <t>Austin, MN</t>
  </si>
  <si>
    <t>Bakersfield-Delano, CA</t>
  </si>
  <si>
    <t>Baltimore-Columbia-Towson, MD</t>
  </si>
  <si>
    <t>Bangor, ME</t>
  </si>
  <si>
    <t>Baraboo, WI</t>
  </si>
  <si>
    <t>Barnstable Town, MA</t>
  </si>
  <si>
    <t>Bartlesville, OK</t>
  </si>
  <si>
    <t>Batavia, NY</t>
  </si>
  <si>
    <t>Baton Rouge, LA</t>
  </si>
  <si>
    <t>Bay City, TX</t>
  </si>
  <si>
    <t>Beaumont-Port Arthur, TX</t>
  </si>
  <si>
    <t>Beaver Dam, WI</t>
  </si>
  <si>
    <t>Beckley, WV</t>
  </si>
  <si>
    <t>Beeville, TX</t>
  </si>
  <si>
    <t>Bellefontaine, OH</t>
  </si>
  <si>
    <t>Bellingham, WA</t>
  </si>
  <si>
    <t>Bend, OR</t>
  </si>
  <si>
    <t>Big Rapids, MI</t>
  </si>
  <si>
    <t>Big Spring, TX</t>
  </si>
  <si>
    <t>Billings, MT</t>
  </si>
  <si>
    <t>Binghamton, NY</t>
  </si>
  <si>
    <t>Birmingham, AL</t>
  </si>
  <si>
    <t>Bismarck, ND</t>
  </si>
  <si>
    <t>Blacksburg-Christiansburg-Radford, VA</t>
  </si>
  <si>
    <t>Bloomington, IL</t>
  </si>
  <si>
    <t>Bloomington, IN</t>
  </si>
  <si>
    <t>Boise City, ID</t>
  </si>
  <si>
    <t>Bonham, TX</t>
  </si>
  <si>
    <t>Boone, NC</t>
  </si>
  <si>
    <t>Boston-Cambridge-Newton, MA-NH</t>
  </si>
  <si>
    <t>Boulder, CO</t>
  </si>
  <si>
    <t>Bowling Green, KY</t>
  </si>
  <si>
    <t>Bozeman, MT</t>
  </si>
  <si>
    <t>Brainerd, MN</t>
  </si>
  <si>
    <t>Branson, MO</t>
  </si>
  <si>
    <t>Breckenridge, CO</t>
  </si>
  <si>
    <t>Bremerton-Silverdale-Port Orchard, WA</t>
  </si>
  <si>
    <t>Brenham, TX</t>
  </si>
  <si>
    <t>Bridgeport-Stamford-Danbury, CT</t>
  </si>
  <si>
    <t>Brookhaven, MS</t>
  </si>
  <si>
    <t>Brookings, SD</t>
  </si>
  <si>
    <t>Brownwood, TX</t>
  </si>
  <si>
    <t>Brunswick-St. Simons, GA</t>
  </si>
  <si>
    <t>Buffalo-Cheektowaga, NY</t>
  </si>
  <si>
    <t>Burlington, IA-IL</t>
  </si>
  <si>
    <t>Burlington-South Burlington, VT</t>
  </si>
  <si>
    <t>Canon City, CO</t>
  </si>
  <si>
    <t>Canton-Massillon, OH</t>
  </si>
  <si>
    <t>Carbondale/Marion-Herrin, IL</t>
  </si>
  <si>
    <t>Carlsbad-Artesia, NM</t>
  </si>
  <si>
    <t>Carson City, NV</t>
  </si>
  <si>
    <t>Casper, WY</t>
  </si>
  <si>
    <t>Cedar Rapids, IA</t>
  </si>
  <si>
    <t>Chambersburg, PA</t>
  </si>
  <si>
    <t>Champaign-Urbana, IL</t>
  </si>
  <si>
    <t>Charleston-Mattoon, IL</t>
  </si>
  <si>
    <t>Charleston, WV</t>
  </si>
  <si>
    <t>Charlottesville, VA</t>
  </si>
  <si>
    <t>Chattanooga, TN-GA</t>
  </si>
  <si>
    <t>Cheyenne, WY</t>
  </si>
  <si>
    <t>Chicago-Naperville-Elgin/Kenosha, IL-IN-WI</t>
  </si>
  <si>
    <t>Chico, CA</t>
  </si>
  <si>
    <t>Chillicothe, OH</t>
  </si>
  <si>
    <t>Cincinnati, OH-KY-IN</t>
  </si>
  <si>
    <t>Clarksville, TN-KY</t>
  </si>
  <si>
    <t>Cleveland, OH</t>
  </si>
  <si>
    <t>Cleveland, TN</t>
  </si>
  <si>
    <t>Clinton, IA</t>
  </si>
  <si>
    <t>Clovis, NM</t>
  </si>
  <si>
    <t>Coeur d'Alene, ID</t>
  </si>
  <si>
    <t>Coldwater, MI</t>
  </si>
  <si>
    <t>College Station-Bryan, TX</t>
  </si>
  <si>
    <t>Columbia, MO</t>
  </si>
  <si>
    <t>Columbia, SC</t>
  </si>
  <si>
    <t>Columbus, GA-AL</t>
  </si>
  <si>
    <t>Columbus, IN</t>
  </si>
  <si>
    <t>Columbus, MS</t>
  </si>
  <si>
    <t>Columbus, NE</t>
  </si>
  <si>
    <t>Cookeville, TN</t>
  </si>
  <si>
    <t>Cordele, GA</t>
  </si>
  <si>
    <t>Corning, NY</t>
  </si>
  <si>
    <t>Corpus Christi, TX</t>
  </si>
  <si>
    <t>Corsicana, TX</t>
  </si>
  <si>
    <t>Corvallis, OR</t>
  </si>
  <si>
    <t>Crawfordsville, IN</t>
  </si>
  <si>
    <t>Crestview-Fort Walton Beach-Destin, FL</t>
  </si>
  <si>
    <t>Cullman, AL</t>
  </si>
  <si>
    <t>Dalton, GA</t>
  </si>
  <si>
    <t>Davenport-Moline-Rock Island, IA-IL</t>
  </si>
  <si>
    <t>Dayton-Kettering-Beavercreek, OH</t>
  </si>
  <si>
    <t>Decatur, AL</t>
  </si>
  <si>
    <t>Decatur, IL</t>
  </si>
  <si>
    <t>Del Rio, TX</t>
  </si>
  <si>
    <t>Deltona-Daytona Beach-Ormond Beach, FL</t>
  </si>
  <si>
    <t>DeRidder, LA</t>
  </si>
  <si>
    <t>Des Moines-West Des Moines, IA</t>
  </si>
  <si>
    <t>Detroit-Warren-Dearborn, MI</t>
  </si>
  <si>
    <t>Dickinson, ND</t>
  </si>
  <si>
    <t>Dothan, AL</t>
  </si>
  <si>
    <t>Dover, DE</t>
  </si>
  <si>
    <t>Duluth, MN-WI</t>
  </si>
  <si>
    <t>Durango, CO</t>
  </si>
  <si>
    <t>Durant, OK</t>
  </si>
  <si>
    <t>Eagle Pass, TX</t>
  </si>
  <si>
    <t>Easton, MD</t>
  </si>
  <si>
    <t>East Stroudsburg, PA</t>
  </si>
  <si>
    <t>Eau Claire, WI</t>
  </si>
  <si>
    <t>Edwards, CO</t>
  </si>
  <si>
    <t>El Campo, TX</t>
  </si>
  <si>
    <t>El Centro, CA</t>
  </si>
  <si>
    <t>El Dorado, AR</t>
  </si>
  <si>
    <t>Elizabeth City, NC</t>
  </si>
  <si>
    <t>Elizabethtown, KY</t>
  </si>
  <si>
    <t>Elk City, OK</t>
  </si>
  <si>
    <t>Elkhart-Goshen, IN</t>
  </si>
  <si>
    <t>Elko, NV</t>
  </si>
  <si>
    <t>Ellensburg, WA</t>
  </si>
  <si>
    <t>Elmira, NY</t>
  </si>
  <si>
    <t>El Paso, TX</t>
  </si>
  <si>
    <t>Emporia, KS</t>
  </si>
  <si>
    <t>Enid, OK</t>
  </si>
  <si>
    <t>Enterprise, AL</t>
  </si>
  <si>
    <t>Erie, PA</t>
  </si>
  <si>
    <t>Eugene-Springfield, OR</t>
  </si>
  <si>
    <t>Evansville, IN</t>
  </si>
  <si>
    <t>Fairbanks-College, AK</t>
  </si>
  <si>
    <t>Fairmont, WV</t>
  </si>
  <si>
    <t>Fargo, ND-MN</t>
  </si>
  <si>
    <t>Faribault-Northfield, MN</t>
  </si>
  <si>
    <t>Farmington, MO</t>
  </si>
  <si>
    <t>Fayetteville, NC</t>
  </si>
  <si>
    <t>Fayetteville-Springdale-Rogers, AR</t>
  </si>
  <si>
    <t>Fergus Falls, MN</t>
  </si>
  <si>
    <t>Findlay, OH</t>
  </si>
  <si>
    <t>Flagstaff, AZ</t>
  </si>
  <si>
    <t>Flint, MI</t>
  </si>
  <si>
    <t>Florence-Muscle Shoals, AL</t>
  </si>
  <si>
    <t>Florence, SC</t>
  </si>
  <si>
    <t>Fond du Lac, WI</t>
  </si>
  <si>
    <t>Forrest City, AR</t>
  </si>
  <si>
    <t>Fort Collins-Loveland, CO</t>
  </si>
  <si>
    <t>Fort Dodge, IA</t>
  </si>
  <si>
    <t>Fort Leonard Wood, MO</t>
  </si>
  <si>
    <t>Fort Smith, AR-OK</t>
  </si>
  <si>
    <t>Fort Wayne, IN</t>
  </si>
  <si>
    <t>Fort Worth-Arlington-Grapevine/Granbury, TX</t>
  </si>
  <si>
    <t>Frankfort, IN</t>
  </si>
  <si>
    <t>Fredericksburg, TX</t>
  </si>
  <si>
    <t>Fremont, OH</t>
  </si>
  <si>
    <t>Fresno, CA</t>
  </si>
  <si>
    <t>Gadsden, AL</t>
  </si>
  <si>
    <t>Gaffney, SC</t>
  </si>
  <si>
    <t>Gainesville, FL</t>
  </si>
  <si>
    <t>Gainesville, GA</t>
  </si>
  <si>
    <t>Gainesville, TX</t>
  </si>
  <si>
    <t>Gillette, WY</t>
  </si>
  <si>
    <t>Glens Falls, NY</t>
  </si>
  <si>
    <t>Goldsboro, NC</t>
  </si>
  <si>
    <t>Grand Forks, ND-MN</t>
  </si>
  <si>
    <t>Grand Island, NE</t>
  </si>
  <si>
    <t>Grand Junction, CO</t>
  </si>
  <si>
    <t>Grants Pass, OR</t>
  </si>
  <si>
    <t>Great Falls, MT</t>
  </si>
  <si>
    <t>Greeley, CO</t>
  </si>
  <si>
    <t>Green Bay, WI</t>
  </si>
  <si>
    <t>Greensboro-High Point/Winston-Salem/Burlington, NC</t>
  </si>
  <si>
    <t>Greensburg, IN</t>
  </si>
  <si>
    <t>Greenville, MS</t>
  </si>
  <si>
    <t>Greenville, NC</t>
  </si>
  <si>
    <t>Greenwood, SC</t>
  </si>
  <si>
    <t>Gulfport-Biloxi, MS</t>
  </si>
  <si>
    <t>Guymon, OK</t>
  </si>
  <si>
    <t>Hagerstown-Martinsburg, MD-WV</t>
  </si>
  <si>
    <t>Hailey, ID</t>
  </si>
  <si>
    <t>Hammond, LA</t>
  </si>
  <si>
    <t>Hanford-Corcoran, CA</t>
  </si>
  <si>
    <t>Harrisburg-Carlisle, PA</t>
  </si>
  <si>
    <t>Harrison, AR</t>
  </si>
  <si>
    <t>Harrisonburg, VA</t>
  </si>
  <si>
    <t>Hartford-West Hartford-East Hartford, CT</t>
  </si>
  <si>
    <t>Hattiesburg, MS</t>
  </si>
  <si>
    <t>Hays, KS</t>
  </si>
  <si>
    <t>Heber, UT</t>
  </si>
  <si>
    <t>Helena, MT</t>
  </si>
  <si>
    <t>Henderson, KY</t>
  </si>
  <si>
    <t>Henderson, NC</t>
  </si>
  <si>
    <t>Hermiston-Pendleton, OR</t>
  </si>
  <si>
    <t>Hickory-Lenoir-Morganton, NC</t>
  </si>
  <si>
    <t>Hilton Head Island-Bluffton-Port Royal, SC</t>
  </si>
  <si>
    <t>Hinesville, GA</t>
  </si>
  <si>
    <t>Hobbs, NM</t>
  </si>
  <si>
    <t>Hot Springs, AR</t>
  </si>
  <si>
    <t>Houma-Bayou Cane-Thibodaux, LA</t>
  </si>
  <si>
    <t>Huntington-Ashland, WV-KY-OH</t>
  </si>
  <si>
    <t>Huntsville, AL</t>
  </si>
  <si>
    <t>Huntsville, TX</t>
  </si>
  <si>
    <t>Hutchinson, KS</t>
  </si>
  <si>
    <t>Hutchinson, MN</t>
  </si>
  <si>
    <t>Idaho Falls, ID</t>
  </si>
  <si>
    <t>Indiana, PA</t>
  </si>
  <si>
    <t>Iowa City, IA</t>
  </si>
  <si>
    <t>Iron Mountain, MI-WI</t>
  </si>
  <si>
    <t>Ithaca, NY</t>
  </si>
  <si>
    <t>Jackson, MI</t>
  </si>
  <si>
    <t>Jackson, MS</t>
  </si>
  <si>
    <t>Jackson, TN</t>
  </si>
  <si>
    <t>Jacksonville, NC</t>
  </si>
  <si>
    <t>Jacksonville, TX</t>
  </si>
  <si>
    <t>Jackson, WY-ID</t>
  </si>
  <si>
    <t>Jamestown, ND</t>
  </si>
  <si>
    <t>Janesville-Beloit, WI</t>
  </si>
  <si>
    <t>Jefferson City, MO</t>
  </si>
  <si>
    <t>Jefferson, GA</t>
  </si>
  <si>
    <t>Johnson City/Kingsport-Bristol, TN-VA</t>
  </si>
  <si>
    <t>Johnstown, PA</t>
  </si>
  <si>
    <t>Jonesboro, AR</t>
  </si>
  <si>
    <t>Joplin, MO-KS</t>
  </si>
  <si>
    <t>Juneau, AK</t>
  </si>
  <si>
    <t>Kahului-Wailuku, HI</t>
  </si>
  <si>
    <t>Kalamazoo/Battle Creek, MI</t>
  </si>
  <si>
    <t>Kalispell, MT</t>
  </si>
  <si>
    <t>Kearney, NE</t>
  </si>
  <si>
    <t>Keene, NH</t>
  </si>
  <si>
    <t>Kennewick-Richland, WA</t>
  </si>
  <si>
    <t>Kerrville, TX</t>
  </si>
  <si>
    <t>Key West-Key Largo, FL</t>
  </si>
  <si>
    <t>Kill Devil Hills, NC</t>
  </si>
  <si>
    <t>Killeen-Temple, TX</t>
  </si>
  <si>
    <t>Kingsland, GA</t>
  </si>
  <si>
    <t>Kingston, NY</t>
  </si>
  <si>
    <t>Kingsville, TX</t>
  </si>
  <si>
    <t>Knoxville, TN</t>
  </si>
  <si>
    <t>Kokomo, IN</t>
  </si>
  <si>
    <t>La Crosse-Onalaska, WI-MN</t>
  </si>
  <si>
    <t>Lafayette/New Iberia, LA</t>
  </si>
  <si>
    <t>Lafayette-West Lafayette, IN</t>
  </si>
  <si>
    <t>LaGrange, GA-AL</t>
  </si>
  <si>
    <t>Lake Charles, LA</t>
  </si>
  <si>
    <t>Lake City, FL</t>
  </si>
  <si>
    <t>Lake Havasu City-Kingman, AZ</t>
  </si>
  <si>
    <t>Lakeland-Winter Haven, FL</t>
  </si>
  <si>
    <t>Lake of the Woods, VA</t>
  </si>
  <si>
    <t>Lancaster, PA</t>
  </si>
  <si>
    <t>Lansing-East Lansing, MI</t>
  </si>
  <si>
    <t>Laredo, TX</t>
  </si>
  <si>
    <t>Las Cruces, NM</t>
  </si>
  <si>
    <t>Laurel, MS</t>
  </si>
  <si>
    <t>Lawrence, KS</t>
  </si>
  <si>
    <t>Lawton, OK</t>
  </si>
  <si>
    <t>Lebanon-Claremont, NH-VT</t>
  </si>
  <si>
    <t>Lebanon, PA</t>
  </si>
  <si>
    <t>Lewisburg, TN</t>
  </si>
  <si>
    <t>Lewiston-Auburn, ME</t>
  </si>
  <si>
    <t>Lewiston, ID-WA</t>
  </si>
  <si>
    <t>Lexington-Fayette/Frankfort, KY</t>
  </si>
  <si>
    <t>Lexington Park, MD</t>
  </si>
  <si>
    <t>Lima, OH</t>
  </si>
  <si>
    <t>Lincoln, NE</t>
  </si>
  <si>
    <t>Little Rock-North Little Rock-Conway, AR</t>
  </si>
  <si>
    <t>Logan, UT-ID</t>
  </si>
  <si>
    <t>Longview, TX</t>
  </si>
  <si>
    <t>Los Alamos, NM</t>
  </si>
  <si>
    <t>Los Angeles-Long Beach-Glendale, CA</t>
  </si>
  <si>
    <t>Louisville/Jefferson County, KY-IN</t>
  </si>
  <si>
    <t>Lubbock, TX</t>
  </si>
  <si>
    <t>Ludington, MI</t>
  </si>
  <si>
    <t>Lufkin, TX</t>
  </si>
  <si>
    <t>Lumberton, NC</t>
  </si>
  <si>
    <t>Lynchburg, VA</t>
  </si>
  <si>
    <t>Macon/Warner Robins, GA</t>
  </si>
  <si>
    <t>Madison, WI</t>
  </si>
  <si>
    <t>Manchester-Nashua/Concord, NH</t>
  </si>
  <si>
    <t>Manhattan, KS</t>
  </si>
  <si>
    <t>Mankato, MN</t>
  </si>
  <si>
    <t>Mansfield, OH</t>
  </si>
  <si>
    <t>Marietta, OH</t>
  </si>
  <si>
    <t>Marion, IN</t>
  </si>
  <si>
    <t>Marion, OH</t>
  </si>
  <si>
    <t>Marquette, MI</t>
  </si>
  <si>
    <t>Marshall, MN</t>
  </si>
  <si>
    <t>Martin, TN</t>
  </si>
  <si>
    <t>Mason City, IA</t>
  </si>
  <si>
    <t>Massena-Ogdensburg, NY</t>
  </si>
  <si>
    <t>McAllen/Brownsville, TX</t>
  </si>
  <si>
    <t>McComb, MS</t>
  </si>
  <si>
    <t>McPherson, KS</t>
  </si>
  <si>
    <t>Meadville, PA</t>
  </si>
  <si>
    <t>Medford, OR</t>
  </si>
  <si>
    <t>Memphis, TN-MS-AR</t>
  </si>
  <si>
    <t>Menomonie, WI</t>
  </si>
  <si>
    <t>Merced, CA</t>
  </si>
  <si>
    <t>Meridian, MS</t>
  </si>
  <si>
    <t>Miami-Miami Beach-Kendall, FL</t>
  </si>
  <si>
    <t>Michigan City-La Porte, IN</t>
  </si>
  <si>
    <t>Midland/Odessa, TX</t>
  </si>
  <si>
    <t>Milwaukee-Waukesha/Racine, WI</t>
  </si>
  <si>
    <t>Minot, ND</t>
  </si>
  <si>
    <t>Missoula, MT</t>
  </si>
  <si>
    <t>Mitchell, SD</t>
  </si>
  <si>
    <t>Mobile/Daphne, AL</t>
  </si>
  <si>
    <t>Modesto, CA</t>
  </si>
  <si>
    <t>Monroe, LA</t>
  </si>
  <si>
    <t>Monroe, MI</t>
  </si>
  <si>
    <t>Montgomery, AL</t>
  </si>
  <si>
    <t>Morehead City, NC</t>
  </si>
  <si>
    <t>Morgantown, WV</t>
  </si>
  <si>
    <t>Morristown, TN</t>
  </si>
  <si>
    <t>Moscow, ID</t>
  </si>
  <si>
    <t>Moses Lake, WA</t>
  </si>
  <si>
    <t>Mount Pleasant, MI</t>
  </si>
  <si>
    <t>Mount Pleasant, TX</t>
  </si>
  <si>
    <t>Mount Vernon-Anacortes, WA</t>
  </si>
  <si>
    <t>Mount Vernon, IL</t>
  </si>
  <si>
    <t>Mount Vernon, OH</t>
  </si>
  <si>
    <t>Muncie, IN</t>
  </si>
  <si>
    <t>Murrells Inlet, SC</t>
  </si>
  <si>
    <t>Muscatine, IA</t>
  </si>
  <si>
    <t>Myrtle Beach-Conway-North Myrtle Beach, SC</t>
  </si>
  <si>
    <t>Nacogdoches, TX</t>
  </si>
  <si>
    <t>Naples-Marco Island, FL</t>
  </si>
  <si>
    <t>Nassau County-Suffolk County, NY</t>
  </si>
  <si>
    <t>Newark-Jersey City/Hemlock Farms, NJ-PA</t>
  </si>
  <si>
    <t>New Bern, NC</t>
  </si>
  <si>
    <t>New Castle, IN</t>
  </si>
  <si>
    <t>New Haven/Waterbury, CT</t>
  </si>
  <si>
    <t>New Orleans-Metairie/Slidell, LA</t>
  </si>
  <si>
    <t>New York-White Plains/Kiryas Joel-Poughkeepsie, NY</t>
  </si>
  <si>
    <t>Niles, MI</t>
  </si>
  <si>
    <t>Norfolk, NE</t>
  </si>
  <si>
    <t>North Platte, NE</t>
  </si>
  <si>
    <t>North Port-Bradenton-Sarasota/Punta Gorda, FL</t>
  </si>
  <si>
    <t>Norwalk, OH</t>
  </si>
  <si>
    <t>Norwich-New London-Willimantic, CT</t>
  </si>
  <si>
    <t>Oakland-Fremont-Berkeley, CA</t>
  </si>
  <si>
    <t>Ocala, FL</t>
  </si>
  <si>
    <t>Olympia-Lacey-Tumwater, WA</t>
  </si>
  <si>
    <t>Omaha, NE-IA</t>
  </si>
  <si>
    <t>Orangeburg, SC</t>
  </si>
  <si>
    <t>Oshkosh-Neenah, WI</t>
  </si>
  <si>
    <t>Owatonna, MN</t>
  </si>
  <si>
    <t>Owensboro, KY</t>
  </si>
  <si>
    <t>Owosso, MI</t>
  </si>
  <si>
    <t>Oxford, MS</t>
  </si>
  <si>
    <t>Oxnard-Thousand Oaks-Ventura, CA</t>
  </si>
  <si>
    <t>Paducah, KY-IL</t>
  </si>
  <si>
    <t>Palatka, FL</t>
  </si>
  <si>
    <t>Palm Bay-Melbourne-Titusville, FL</t>
  </si>
  <si>
    <t>Panama City-Panama City Beach, FL</t>
  </si>
  <si>
    <t>Paris, TX</t>
  </si>
  <si>
    <t>Parkersburg-Vienna, WV</t>
  </si>
  <si>
    <t>Pensacola-Ferry Pass-Brent, FL</t>
  </si>
  <si>
    <t>Peoria, IL</t>
  </si>
  <si>
    <t>Peru, IN</t>
  </si>
  <si>
    <t>Philadelphia-Camden-Wilmington, PA-NJ-DE-MD</t>
  </si>
  <si>
    <t>Pierre, SD</t>
  </si>
  <si>
    <t>Pine Bluff, AR</t>
  </si>
  <si>
    <t>Pinehurst-Southern Pines, NC</t>
  </si>
  <si>
    <t>Pittsburgh, PA</t>
  </si>
  <si>
    <t>Pocatello, ID</t>
  </si>
  <si>
    <t>Ponca City, OK</t>
  </si>
  <si>
    <t>Portland-South Portland, ME</t>
  </si>
  <si>
    <t>Port St. Lucie/Sebastian-Vero Beach, FL</t>
  </si>
  <si>
    <t>Pottsville, PA</t>
  </si>
  <si>
    <t>Prescott Valley-Prescott, AZ</t>
  </si>
  <si>
    <t>Providence-Warwick, RI-MA</t>
  </si>
  <si>
    <t>Provo-Orem-Lehi, UT</t>
  </si>
  <si>
    <t>Pueblo, CO</t>
  </si>
  <si>
    <t>Pullman, WA</t>
  </si>
  <si>
    <t>Rapid City, SD</t>
  </si>
  <si>
    <t>Reading, PA</t>
  </si>
  <si>
    <t>Red Bluff, CA</t>
  </si>
  <si>
    <t>Redding, CA</t>
  </si>
  <si>
    <t>Red Wing, MN</t>
  </si>
  <si>
    <t>Rexburg, ID</t>
  </si>
  <si>
    <t>Richmond-Berea, KY</t>
  </si>
  <si>
    <t>Richmond, IN</t>
  </si>
  <si>
    <t>Rifle, CO</t>
  </si>
  <si>
    <t>Roanoke, VA</t>
  </si>
  <si>
    <t>Rochester, MN</t>
  </si>
  <si>
    <t>Rochester, NY</t>
  </si>
  <si>
    <t>Rockford, IL</t>
  </si>
  <si>
    <t>Rock Springs, WY</t>
  </si>
  <si>
    <t>Rocky Mount, NC</t>
  </si>
  <si>
    <t>Rome, GA</t>
  </si>
  <si>
    <t>Roswell, NM</t>
  </si>
  <si>
    <t>Russellville, AR</t>
  </si>
  <si>
    <t>Saginaw/Bay City/Midland, MI</t>
  </si>
  <si>
    <t>Salem, OR</t>
  </si>
  <si>
    <t>Salinas, CA</t>
  </si>
  <si>
    <t>Salisbury/Seaford/Ocean Pines, MD-DE</t>
  </si>
  <si>
    <t>San Angelo, TX</t>
  </si>
  <si>
    <t>San Diego-Chula Vista-Carlsbad, CA</t>
  </si>
  <si>
    <t>Sandusky, OH</t>
  </si>
  <si>
    <t>Sanford, NC</t>
  </si>
  <si>
    <t>San Francisco-San Mateo-Redwood City, CA</t>
  </si>
  <si>
    <t>San Jose-Sunnyvale-Santa Clara, CA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</si>
  <si>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</si>
  <si>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</si>
  <si>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</si>
  <si>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</si>
  <si>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</si>
  <si>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Sault Ste. Marie, MI</t>
  </si>
  <si>
    <t>Savannah, GA</t>
  </si>
  <si>
    <t>Scranton--Wilkes-Barre, PA</t>
  </si>
  <si>
    <t>Seneca Falls, NY</t>
  </si>
  <si>
    <t>Seneca, SC</t>
  </si>
  <si>
    <t>Sevierville, TN</t>
  </si>
  <si>
    <t>Seymour, IN</t>
  </si>
  <si>
    <t>Shawano, WI</t>
  </si>
  <si>
    <t>Sheboygan, WI</t>
  </si>
  <si>
    <t>Shelby-Kings Mountain, NC</t>
  </si>
  <si>
    <t>Shelton, WA</t>
  </si>
  <si>
    <t>Sherman-Denison, TX</t>
  </si>
  <si>
    <t>Shreveport-Bossier City/Minden, LA</t>
  </si>
  <si>
    <t>Sierra Vista-Douglas, AZ</t>
  </si>
  <si>
    <t>Sioux City/Le Mars, IA-NE-SD</t>
  </si>
  <si>
    <t>Sioux Falls, SD-MN</t>
  </si>
  <si>
    <t>South Bend-Mishawaka, IN-MI</t>
  </si>
  <si>
    <t>Spencer, IA</t>
  </si>
  <si>
    <t>Spokane-Spokane Valley, WA</t>
  </si>
  <si>
    <t>Springfield/Greenfield/Amherst Town, MA</t>
  </si>
  <si>
    <t>Springfield, IL</t>
  </si>
  <si>
    <t>Springfield, MO</t>
  </si>
  <si>
    <t>Springfield, OH</t>
  </si>
  <si>
    <t>Starkville, MS</t>
  </si>
  <si>
    <t>State College, PA</t>
  </si>
  <si>
    <t>Statesboro, GA</t>
  </si>
  <si>
    <t>Staunton-Stuarts Draft, VA</t>
  </si>
  <si>
    <t>St. Cloud, MN</t>
  </si>
  <si>
    <t>Steamboat Springs, CO</t>
  </si>
  <si>
    <t>Stephenville, TX</t>
  </si>
  <si>
    <t>Stevens Point-Plover, WI</t>
  </si>
  <si>
    <t>St. George, UT</t>
  </si>
  <si>
    <t>Stillwater, OK</t>
  </si>
  <si>
    <t>St. Joseph, MO-KS</t>
  </si>
  <si>
    <t>St. Louis, MO-IL</t>
  </si>
  <si>
    <t>Stockton-Lodi, CA</t>
  </si>
  <si>
    <t>Storm Lake, IA</t>
  </si>
  <si>
    <t>Sumter, SC</t>
  </si>
  <si>
    <t>Sunbury, PA</t>
  </si>
  <si>
    <t>Syracuse, NY</t>
  </si>
  <si>
    <t>Tacoma-Lakewood, WA</t>
  </si>
  <si>
    <t>Tahlequah, OK</t>
  </si>
  <si>
    <t>Talladega-Sylacauga, AL</t>
  </si>
  <si>
    <t>Tallahassee, FL</t>
  </si>
  <si>
    <t>Terre Haute, IN</t>
  </si>
  <si>
    <t>Texarkana, TX-AR</t>
  </si>
  <si>
    <t>Thomasville, GA</t>
  </si>
  <si>
    <t>Tifton, GA</t>
  </si>
  <si>
    <t>Toledo, OH</t>
  </si>
  <si>
    <t>Topeka, KS</t>
  </si>
  <si>
    <t>Town of Pecos, TX</t>
  </si>
  <si>
    <t>Traverse City, MI</t>
  </si>
  <si>
    <t>Trenton-Princeton, NJ</t>
  </si>
  <si>
    <t>Troy, AL</t>
  </si>
  <si>
    <t>Truckee-Grass Valley, CA</t>
  </si>
  <si>
    <t>Tupelo, MS</t>
  </si>
  <si>
    <t>Tuscaloosa, AL</t>
  </si>
  <si>
    <t>Twin Falls, ID</t>
  </si>
  <si>
    <t>Tyler, TX</t>
  </si>
  <si>
    <t>Ukiah, CA</t>
  </si>
  <si>
    <t>Urban Honolulu, HI</t>
  </si>
  <si>
    <t>Utica-Rome, NY</t>
  </si>
  <si>
    <t>Uvalde, TX</t>
  </si>
  <si>
    <t>Valdosta, GA</t>
  </si>
  <si>
    <t>Vallejo/Napa, CA</t>
  </si>
  <si>
    <t>Vernal, UT</t>
  </si>
  <si>
    <t>Vernon, TX</t>
  </si>
  <si>
    <t>Vicksburg, MS</t>
  </si>
  <si>
    <t>Victoria, TX</t>
  </si>
  <si>
    <t>Vineland, NJ</t>
  </si>
  <si>
    <t>Virginia Beach-Chesapeake-Norfolk, VA-NC</t>
  </si>
  <si>
    <t>Visalia, CA</t>
  </si>
  <si>
    <t>Waco, TX</t>
  </si>
  <si>
    <t>Walla Walla, WA</t>
  </si>
  <si>
    <t>Warrensburg, MO</t>
  </si>
  <si>
    <t>Warsaw, IN</t>
  </si>
  <si>
    <t>Waterloo-Cedar Falls, IA</t>
  </si>
  <si>
    <t>Watertown-Fort Atkinson, WI</t>
  </si>
  <si>
    <t>Watertown-Fort Drum, NY</t>
  </si>
  <si>
    <t>Watertown, SD</t>
  </si>
  <si>
    <t>Wausau, WI</t>
  </si>
  <si>
    <t>Weatherford, OK</t>
  </si>
  <si>
    <t>Wenatchee-East Wenatchee, WA</t>
  </si>
  <si>
    <t>Wheeling, WV-OH</t>
  </si>
  <si>
    <t>Whitewater-Elkhorn, WI</t>
  </si>
  <si>
    <t>Wichita Falls, TX</t>
  </si>
  <si>
    <t>Wichita, KS</t>
  </si>
  <si>
    <t>Wildwood-The Villages, FL</t>
  </si>
  <si>
    <t>Williamsport, PA</t>
  </si>
  <si>
    <t>Williston, ND</t>
  </si>
  <si>
    <t>Willmar, MN</t>
  </si>
  <si>
    <t>Wilmington, NC</t>
  </si>
  <si>
    <t>Wilson, NC</t>
  </si>
  <si>
    <t>Winchester, VA-WV</t>
  </si>
  <si>
    <t>Winona, MN</t>
  </si>
  <si>
    <t>Wooster, OH</t>
  </si>
  <si>
    <t>Worcester/Putnam, MA-CT</t>
  </si>
  <si>
    <t>Yakima, WA</t>
  </si>
  <si>
    <t>York-Hanover, PA</t>
  </si>
  <si>
    <t>Youngstown-Warren/Hermitage, OH-PA</t>
  </si>
  <si>
    <t>Yuba City, CA</t>
  </si>
  <si>
    <t>Yuma, AZ</t>
  </si>
  <si>
    <t>Zanesville, OH</t>
  </si>
  <si>
    <t>Gross Rent Ratio</t>
  </si>
  <si>
    <t>Geography Name</t>
  </si>
  <si>
    <t>Geography Type</t>
  </si>
  <si>
    <t>Market Name</t>
  </si>
  <si>
    <t>Unique ID</t>
  </si>
  <si>
    <t>Metric Type</t>
  </si>
  <si>
    <t>Metric Name</t>
  </si>
  <si>
    <t>Category</t>
  </si>
  <si>
    <t>Niche</t>
  </si>
  <si>
    <t>Y2026Q1</t>
  </si>
  <si>
    <t>Transaction Data - Operational</t>
  </si>
  <si>
    <t>Totals</t>
  </si>
  <si>
    <t>Transaction Data - Financial</t>
  </si>
  <si>
    <t>Performance</t>
  </si>
  <si>
    <t/>
  </si>
  <si>
    <t>Y2016Q1</t>
  </si>
  <si>
    <t>Y2016Q2</t>
  </si>
  <si>
    <t>Y2016Q3</t>
  </si>
  <si>
    <t>Y2016Q4</t>
  </si>
  <si>
    <t>Y2017Q1</t>
  </si>
  <si>
    <t>Y2017Q2</t>
  </si>
  <si>
    <t>Y2017Q3</t>
  </si>
  <si>
    <t>Y2017Q4</t>
  </si>
  <si>
    <t>Y2018Q1</t>
  </si>
  <si>
    <t>Y2018Q2</t>
  </si>
  <si>
    <t>Y2018Q3</t>
  </si>
  <si>
    <t>Y2018Q4</t>
  </si>
  <si>
    <t>Y2019Q1</t>
  </si>
  <si>
    <t>Y2019Q2</t>
  </si>
  <si>
    <t>Y2019Q3</t>
  </si>
  <si>
    <t>Y2019Q4</t>
  </si>
  <si>
    <t>Y2020Q1</t>
  </si>
  <si>
    <t>Y2020Q2</t>
  </si>
  <si>
    <t>Y2020Q3</t>
  </si>
  <si>
    <t>Y2020Q4</t>
  </si>
  <si>
    <t>Y2021Q1</t>
  </si>
  <si>
    <t>Y2021Q2</t>
  </si>
  <si>
    <t>Y2021Q3</t>
  </si>
  <si>
    <t>Y2021Q4</t>
  </si>
  <si>
    <t>Y2022Q1</t>
  </si>
  <si>
    <t>Y2022Q2</t>
  </si>
  <si>
    <t>Y2022Q3</t>
  </si>
  <si>
    <t>Y2022Q4</t>
  </si>
  <si>
    <t>Y2023Q1</t>
  </si>
  <si>
    <t>Y2023Q2</t>
  </si>
  <si>
    <t>Y2023Q3</t>
  </si>
  <si>
    <t>Y2023Q4</t>
  </si>
  <si>
    <t>Y2024Q1</t>
  </si>
  <si>
    <t>Y2024Q2</t>
  </si>
  <si>
    <t>Y2024Q3</t>
  </si>
  <si>
    <t>Y2024Q4</t>
  </si>
  <si>
    <t>Y2025Q1</t>
  </si>
  <si>
    <t>Y2025Q2</t>
  </si>
  <si>
    <t>Y2025Q3</t>
  </si>
  <si>
    <t>Y2025Q4</t>
  </si>
  <si>
    <t>Extrapolation step (avg bottom-edge ΔIRR)</t>
  </si>
  <si>
    <t>Top extrapolation step (avg top-edge ΔIRR)</t>
  </si>
  <si>
    <t>Rounded</t>
  </si>
  <si>
    <t>Hold Period (Yrs)</t>
  </si>
  <si>
    <t>Y2026Q2</t>
  </si>
  <si>
    <t>Existing Units</t>
  </si>
  <si>
    <t>Supply &amp; Demand</t>
  </si>
  <si>
    <t>Unit Starts</t>
  </si>
  <si>
    <t>Unit Starts as % of Inv</t>
  </si>
  <si>
    <t>Multifamily Market Summary —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</si>
</sst>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\$#,##0.000"/>
    <numFmt numFmtId="165" formatCode="0.0%"/>
    <numFmt numFmtId="166" formatCode="0.00000%"/>
    <numFmt numFmtId="167" formatCode="0.0"/>
  </numFmts>
  <fonts count="25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595959"/>
      <name val="Arial"/>
      <family val="2"/>
    </font>
    <font>
      <sz val="10"/>
      <name val="Arial"/>
      <family val="2"/>
    </font>
    <font>
      <b/>
      <sz val="9"/>
      <color rgb="FF595959"/>
      <name val="Arial"/>
      <family val="2"/>
    </font>
    <font>
      <b/>
      <sz val="9"/>
      <color rgb="FF276221"/>
      <name val="Arial"/>
      <family val="2"/>
    </font>
    <font>
      <b/>
      <sz val="9"/>
      <color rgb="FF1F3864"/>
      <name val="Arial"/>
      <family val="2"/>
    </font>
    <font>
      <b/>
      <sz val="9"/>
      <color rgb="FF7D5700"/>
      <name val="Arial"/>
      <family val="2"/>
    </font>
    <font>
      <b/>
      <sz val="9"/>
      <color rgb="FF9C0006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i/>
      <sz val="10"/>
      <color rgb="FF595959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7F7F7"/>
        <bgColor rgb="FFF7F7F7"/>
      </patternFill>
    </fill>
    <fill>
      <patternFill patternType="solid">
        <fgColor rgb="FFDDEEFF"/>
        <bgColor rgb="FFDDEE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7F7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7F7F7"/>
      </patternFill>
    </fill>
    <fill>
      <patternFill patternType="solid">
        <fgColor rgb="FFFFFF99"/>
        <bgColor rgb="FFF7F7F7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rgb="FFF7F7F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7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0" fillId="0" borderId="0" xfId="0" applyNumberFormat="1"/>
    <xf numFmtId="10" fontId="0" fillId="0" borderId="0" xfId="0" applyNumberFormat="1"/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0" fontId="15" fillId="4" borderId="1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0" fontId="16" fillId="3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67" fontId="5" fillId="3" borderId="1" xfId="1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49" fontId="18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165" fontId="16" fillId="11" borderId="1" xfId="0" applyNumberFormat="1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10" borderId="1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165" fontId="16" fillId="7" borderId="1" xfId="0" applyNumberFormat="1" applyFont="1" applyFill="1" applyBorder="1" applyAlignment="1">
      <alignment horizontal="center" vertical="center"/>
    </xf>
    <xf numFmtId="165" fontId="16" fillId="8" borderId="1" xfId="0" applyNumberFormat="1" applyFont="1" applyFill="1" applyBorder="1" applyAlignment="1">
      <alignment horizontal="center" vertical="center"/>
    </xf>
    <xf numFmtId="10" fontId="19" fillId="13" borderId="1" xfId="0" applyNumberFormat="1" applyFont="1" applyFill="1" applyBorder="1" applyAlignment="1">
      <alignment horizontal="center" vertical="center"/>
    </xf>
    <xf numFmtId="165" fontId="19" fillId="13" borderId="1" xfId="0" applyNumberFormat="1" applyFont="1" applyFill="1" applyBorder="1" applyAlignment="1">
      <alignment horizontal="center" vertical="center"/>
    </xf>
    <xf numFmtId="10" fontId="20" fillId="13" borderId="0" xfId="0" applyNumberFormat="1" applyFont="1" applyFill="1" applyAlignment="1">
      <alignment horizontal="center"/>
    </xf>
    <xf numFmtId="165" fontId="20" fillId="13" borderId="0" xfId="0" applyNumberFormat="1" applyFont="1" applyFill="1"/>
    <xf numFmtId="165" fontId="20" fillId="13" borderId="0" xfId="0" applyNumberFormat="1" applyFont="1" applyFill="1" applyAlignment="1">
      <alignment horizontal="center"/>
    </xf>
    <xf numFmtId="10" fontId="19" fillId="13" borderId="0" xfId="0" applyNumberFormat="1" applyFont="1" applyFill="1" applyAlignment="1">
      <alignment horizontal="center"/>
    </xf>
    <xf numFmtId="165" fontId="19" fillId="13" borderId="0" xfId="0" applyNumberFormat="1" applyFont="1" applyFill="1" applyAlignment="1">
      <alignment horizontal="center"/>
    </xf>
    <xf numFmtId="4" fontId="5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3" fillId="0" borderId="0" xfId="0" applyFont="1" applyAlignment="1">
      <alignment horizontal="center"/>
    </xf>
    <xf numFmtId="165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9" fontId="24" fillId="0" borderId="0" xfId="0" applyNumberFormat="1" applyFont="1" applyAlignment="1">
      <alignment horizontal="center"/>
    </xf>
    <xf numFmtId="165" fontId="5" fillId="3" borderId="3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167" fontId="5" fillId="0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165" fontId="15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0" fontId="6" fillId="14" borderId="0" xfId="0" applyFont="1" applyFill="1"/>
    <xf numFmtId="0" fontId="7" fillId="14" borderId="0" xfId="0" applyFont="1" applyFill="1" applyBorder="1" applyAlignment="1">
      <alignment horizontal="center" vertical="center"/>
    </xf>
    <xf numFmtId="0" fontId="8" fillId="14" borderId="0" xfId="0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center" vertical="center"/>
    </xf>
    <xf numFmtId="49" fontId="10" fillId="14" borderId="0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65DFE940-2048-42CC-AF14-9A42B3E83E2F}"/>
  </cellStyles>
  <dxfs count="4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DDEEFF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Bartlett" id="{7034C9D0-DB37-49FB-BA42-2580A1DB01C6}" userId="S::cbartlett@milestonegp.com::b92239d4-7210-4977-9488-130d1091617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" dT="2026-05-17T15:36:47.69" personId="{7034C9D0-DB37-49FB-BA42-2580A1DB01C6}" id="{BCFBFB56-BE07-4A03-A82D-31813E76B37A}">
    <text>Equivalent of 50% of units upgraded, 10k cost at 20% ROC</text>
  </threadedComment>
  <threadedComment ref="AD3" dT="2026-05-17T15:43:04.72" personId="{7034C9D0-DB37-49FB-BA42-2580A1DB01C6}" id="{585E84BE-7F52-41DC-B5BA-755195AF8766}">
    <text>Equivalent of $4k/unit up front, $2k/unit ongoing annually (exc. $250/unit reserves), and 50% of units upgraded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D0DD114-A754-431F-B396-F10DD038362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bdf381e3-46af-4447-9151-2afae406368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C81957D-EEF6-4E06-B864-0DC61F13E9C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ff9ded0-03dd-40f9-9661-2ce6868e8b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O65"/>
  <sheetViews>
    <sheetView showGridLines="0" tabSelected="1" zoomScale="80" zoomScaleNormal="80" workbookViewId="0">
      <selection activeCell="AU4" sqref="AU4"/>
    </sheetView>
  </sheetViews>
  <sheetFormatPr defaultRowHeight="15" x14ac:dyDescent="0.25"/>
  <cols>
    <col min="1" max="1" width="1.28515625" customWidth="1"/>
    <col min="2" max="2" width="5.42578125" customWidth="1"/>
    <col min="3" max="3" width="46.85546875" bestFit="1" customWidth="1"/>
    <col min="4" max="4" width="15.28515625" hidden="1" customWidth="1"/>
    <col min="5" max="5" width="14.140625" hidden="1" customWidth="1"/>
    <col min="6" max="6" width="18.7109375" hidden="1" customWidth="1"/>
    <col min="7" max="7" width="20.28515625" bestFit="1" customWidth="1"/>
    <col min="8" max="8" width="21" bestFit="1" customWidth="1"/>
    <col min="9" max="9" width="16.5703125" hidden="1" customWidth="1"/>
    <col min="10" max="10" width="15.85546875" hidden="1" customWidth="1"/>
    <col min="11" max="11" width="21.28515625" customWidth="1"/>
    <col min="12" max="13" width="23.28515625" hidden="1" customWidth="1"/>
    <col min="14" max="14" width="19.28515625" customWidth="1"/>
    <col min="15" max="15" width="10.140625" hidden="1" customWidth="1"/>
    <col min="16" max="16" width="18.5703125" hidden="1" customWidth="1"/>
    <col min="17" max="17" width="12.28515625" hidden="1" customWidth="1"/>
    <col min="18" max="18" width="18.5703125" hidden="1" customWidth="1"/>
    <col min="19" max="19" width="16" hidden="1" customWidth="1"/>
    <col min="20" max="20" width="10.85546875" hidden="1" customWidth="1"/>
    <col min="21" max="21" width="15.140625" hidden="1" customWidth="1"/>
    <col min="22" max="22" width="11" hidden="1" customWidth="1"/>
    <col min="23" max="23" width="10.28515625" hidden="1" customWidth="1"/>
    <col min="24" max="24" width="11" hidden="1" customWidth="1"/>
    <col min="25" max="25" width="14.42578125" hidden="1" customWidth="1"/>
    <col min="26" max="26" width="14" hidden="1" customWidth="1"/>
    <col min="27" max="27" width="13.42578125" hidden="1" customWidth="1"/>
    <col min="28" max="28" width="18" hidden="1" customWidth="1"/>
    <col min="29" max="29" width="12.5703125" hidden="1" customWidth="1"/>
    <col min="30" max="30" width="13.42578125" hidden="1" customWidth="1"/>
    <col min="31" max="31" width="8.7109375" hidden="1" customWidth="1"/>
    <col min="32" max="33" width="8.140625" hidden="1" customWidth="1"/>
    <col min="34" max="34" width="10.28515625" hidden="1" customWidth="1"/>
    <col min="35" max="35" width="9" hidden="1" customWidth="1"/>
    <col min="36" max="36" width="13.85546875" bestFit="1" customWidth="1"/>
    <col min="37" max="37" width="11.140625" bestFit="1" customWidth="1"/>
    <col min="38" max="38" width="9.28515625" bestFit="1" customWidth="1"/>
    <col min="40" max="40" width="198.28515625" hidden="1" customWidth="1"/>
    <col min="41" max="41" width="59.5703125" hidden="1" customWidth="1"/>
  </cols>
  <sheetData>
    <row r="1" spans="2:41" ht="5.25" customHeight="1" x14ac:dyDescent="0.25"/>
    <row r="2" spans="2:41" ht="21.95" customHeight="1" x14ac:dyDescent="0.25">
      <c r="B2" s="40"/>
      <c r="C2" s="40" t="s">
        <v>723</v>
      </c>
      <c r="P2" s="44" t="s">
        <v>717</v>
      </c>
      <c r="Q2" s="44"/>
      <c r="R2" s="44" t="s">
        <v>50</v>
      </c>
      <c r="S2" s="44" t="s">
        <v>49</v>
      </c>
      <c r="T2" s="44"/>
      <c r="U2" s="44"/>
      <c r="V2" s="44"/>
      <c r="W2" s="44"/>
      <c r="X2" s="44"/>
      <c r="Y2" s="44"/>
      <c r="Z2" s="44"/>
      <c r="AA2" s="45"/>
      <c r="AB2" s="44" t="s">
        <v>60</v>
      </c>
      <c r="AC2" s="44"/>
      <c r="AD2" s="44" t="s">
        <v>61</v>
      </c>
      <c r="AE2" s="44"/>
      <c r="AF2" s="44"/>
      <c r="AG2" s="44"/>
      <c r="AH2" s="44"/>
      <c r="AI2" s="44"/>
      <c r="AJ2" s="44"/>
      <c r="AK2" s="44" t="s">
        <v>69</v>
      </c>
    </row>
    <row r="3" spans="2:41" ht="15.95" customHeight="1" x14ac:dyDescent="0.25">
      <c r="B3" s="41"/>
      <c r="C3" s="41" t="s">
        <v>0</v>
      </c>
      <c r="K3" s="6"/>
      <c r="P3" s="46">
        <v>5</v>
      </c>
      <c r="Q3" s="46"/>
      <c r="R3" s="47">
        <v>5.0999999999999997E-2</v>
      </c>
      <c r="S3" s="48">
        <v>2.5000000000000001E-2</v>
      </c>
      <c r="T3" s="49"/>
      <c r="U3" s="49"/>
      <c r="V3" s="49"/>
      <c r="W3" s="49"/>
      <c r="X3" s="49"/>
      <c r="Y3" s="49"/>
      <c r="Z3" s="49"/>
      <c r="AA3" s="49"/>
      <c r="AB3" s="48">
        <v>0.05</v>
      </c>
      <c r="AC3" s="50"/>
      <c r="AD3" s="47">
        <v>0.08</v>
      </c>
      <c r="AE3" s="50"/>
      <c r="AF3" s="50"/>
      <c r="AG3" s="50"/>
      <c r="AH3" s="50"/>
      <c r="AI3" s="50"/>
      <c r="AJ3" s="50"/>
      <c r="AK3" s="48">
        <v>0.05</v>
      </c>
    </row>
    <row r="4" spans="2:41" ht="42" customHeight="1" x14ac:dyDescent="0.25">
      <c r="B4" s="1" t="s">
        <v>1</v>
      </c>
      <c r="C4" s="1" t="s">
        <v>2</v>
      </c>
      <c r="D4" s="1" t="s">
        <v>4</v>
      </c>
      <c r="E4" s="1" t="s">
        <v>113</v>
      </c>
      <c r="F4" s="1" t="s">
        <v>659</v>
      </c>
      <c r="G4" s="8" t="s">
        <v>722</v>
      </c>
      <c r="H4" s="2" t="s">
        <v>115</v>
      </c>
      <c r="I4" s="1" t="s">
        <v>3</v>
      </c>
      <c r="J4" s="1" t="s">
        <v>5</v>
      </c>
      <c r="K4" s="2" t="s">
        <v>114</v>
      </c>
      <c r="L4" s="2" t="s">
        <v>46</v>
      </c>
      <c r="M4" s="2" t="s">
        <v>47</v>
      </c>
      <c r="N4" s="2" t="s">
        <v>48</v>
      </c>
      <c r="O4" s="7" t="s">
        <v>72</v>
      </c>
      <c r="P4" s="7" t="s">
        <v>51</v>
      </c>
      <c r="Q4" s="7" t="s">
        <v>109</v>
      </c>
      <c r="R4" s="7" t="s">
        <v>52</v>
      </c>
      <c r="S4" s="7" t="s">
        <v>49</v>
      </c>
      <c r="T4" s="7" t="s">
        <v>53</v>
      </c>
      <c r="U4" s="7" t="s">
        <v>54</v>
      </c>
      <c r="V4" s="7" t="s">
        <v>55</v>
      </c>
      <c r="W4" s="7" t="s">
        <v>56</v>
      </c>
      <c r="X4" s="7" t="s">
        <v>57</v>
      </c>
      <c r="Y4" s="7" t="s">
        <v>58</v>
      </c>
      <c r="Z4" s="7" t="s">
        <v>107</v>
      </c>
      <c r="AA4" s="7" t="s">
        <v>108</v>
      </c>
      <c r="AB4" s="8" t="s">
        <v>60</v>
      </c>
      <c r="AC4" s="8" t="s">
        <v>59</v>
      </c>
      <c r="AD4" s="8" t="s">
        <v>62</v>
      </c>
      <c r="AE4" s="8" t="s">
        <v>63</v>
      </c>
      <c r="AF4" s="8" t="s">
        <v>64</v>
      </c>
      <c r="AG4" s="8" t="s">
        <v>65</v>
      </c>
      <c r="AH4" s="8" t="s">
        <v>66</v>
      </c>
      <c r="AI4" s="8" t="s">
        <v>716</v>
      </c>
      <c r="AJ4" s="8" t="s">
        <v>68</v>
      </c>
      <c r="AK4" s="8" t="s">
        <v>70</v>
      </c>
      <c r="AL4" s="8" t="s">
        <v>71</v>
      </c>
    </row>
    <row r="5" spans="2:41" x14ac:dyDescent="0.25">
      <c r="B5" s="53">
        <v>1</v>
      </c>
      <c r="C5" s="54" t="s">
        <v>642</v>
      </c>
      <c r="D5" s="55">
        <f>SUMIFS(Realpage!$I:$I,Realpage!$A:$A,$C5,Realpage!$F:$F,"Rent Roll (Rev/OSF)")</f>
        <v>2.1056086881478402</v>
      </c>
      <c r="E5" s="55">
        <f>SUMIFS(Realpage!$I:$I,Realpage!$A:$A,$C5,Realpage!$F:$F,"Asking RPSF")</f>
        <v>2.3380000000000001</v>
      </c>
      <c r="F5" s="56">
        <f>E5/D5</f>
        <v>1.1103677588149481</v>
      </c>
      <c r="G5" s="64" cm="1">
        <f t="array" ref="G5">SUMPRODUCT(('RP - Unit Starts'!$C$2:$C$101=$C5)*('RP - Unit Starts'!$F$2:$F$101="Unit Starts")*'RP - Unit Starts'!$I$2:$L$101)/SUMIFS('RP - Unit Starts'!$L:$L,'RP - Unit Starts'!$C:$C,$C5,'RP - Unit Starts'!$F:$F,"Existing Units")</f>
        <v>3.8874163826833272E-3</v>
      </c>
      <c r="H5" s="64">
        <f>F5-1</f>
        <v>0.11036775881494809</v>
      </c>
      <c r="I5" s="55">
        <f>SUMIFS(Realpage!$I:$I,Realpage!$A:$A,$C5,Realpage!$F:$F,"Effective RPSF")</f>
        <v>2.331</v>
      </c>
      <c r="J5" s="65">
        <f>I5/D5</f>
        <v>1.1070433044472385</v>
      </c>
      <c r="K5" s="64">
        <f>J5-1</f>
        <v>0.10704330444723853</v>
      </c>
      <c r="L5" s="21"/>
      <c r="M5" s="3">
        <f>AVERAGEIF('Realpage - His. Rent Change'!$A$2:$A$577,'Q2 2026 Summary'!C5,'Realpage - His. Rent Change'!$I$2:$AV$577)</f>
        <v>4.5100000000000001E-2</v>
      </c>
      <c r="N5" s="3">
        <f>AVERAGE(L5:M5)</f>
        <v>4.5100000000000001E-2</v>
      </c>
      <c r="O5" s="17">
        <f>MAX(0,-(K5/M5))</f>
        <v>0</v>
      </c>
      <c r="P5" s="3">
        <f>($P$3*M5)+K5</f>
        <v>0.33254330444723856</v>
      </c>
      <c r="Q5" s="3">
        <f>(1+P5)^(1/$P$3)-1</f>
        <v>5.9098288673593569E-2</v>
      </c>
      <c r="R5" s="3">
        <f>$R$3+P5</f>
        <v>0.38354330444723855</v>
      </c>
      <c r="S5" s="3">
        <f>$S$3*$P$3</f>
        <v>0.125</v>
      </c>
      <c r="T5" s="3">
        <f>SUMIFS(Realpage!$I:$I,Realpage!$A:$A,$C5,Realpage!$F:$F,"NOI % of Revenue")</f>
        <v>1.161975496155683</v>
      </c>
      <c r="U5" s="39">
        <v>1</v>
      </c>
      <c r="V5" s="39">
        <f>U5-T5</f>
        <v>-0.16197549615568296</v>
      </c>
      <c r="W5" s="39">
        <f>U5*(1+R5)</f>
        <v>1.3835433044472385</v>
      </c>
      <c r="X5" s="39">
        <f>V5*(1+S5)</f>
        <v>-0.18222243317514333</v>
      </c>
      <c r="Y5" s="39">
        <f>W5-X5</f>
        <v>1.5657657376223819</v>
      </c>
      <c r="Z5" s="3">
        <f>Y5/T5-1</f>
        <v>0.34750323290173646</v>
      </c>
      <c r="AA5" s="3">
        <f>(Y5/T5)^(1/$P$3)-1</f>
        <v>6.1465695459548719E-2</v>
      </c>
      <c r="AB5" s="3">
        <f>$AB$3</f>
        <v>0.05</v>
      </c>
      <c r="AC5" s="39">
        <f>AB5/$AB$3</f>
        <v>1</v>
      </c>
      <c r="AD5" s="39">
        <f>AC5*(1+$AD$3)</f>
        <v>1.08</v>
      </c>
      <c r="AE5" s="39">
        <f>AC5*AB5</f>
        <v>0.05</v>
      </c>
      <c r="AF5" s="39">
        <f>AE5*(1+Z5)</f>
        <v>6.737516164508682E-2</v>
      </c>
      <c r="AG5" s="3">
        <f>AF5/AD5</f>
        <v>6.2384408930635939E-2</v>
      </c>
      <c r="AH5" s="3">
        <f>AG5-AB5</f>
        <v>1.2384408930635936E-2</v>
      </c>
      <c r="AI5" s="3">
        <f>ROUND(AH5,4)</f>
        <v>1.24E-2</v>
      </c>
      <c r="AJ5" s="3" cm="1">
        <f t="array" ref="AJ5">INDEX('Cap Rate to IRR Map'!$F$3:$F$623,MATCH(ROUND(AI5,4),ROUND('Cap Rate to IRR Map'!$E$3:$E$623,4),0))</f>
        <v>0.111</v>
      </c>
      <c r="AK5" s="3">
        <f>$AK$3</f>
        <v>0.05</v>
      </c>
      <c r="AL5" s="52">
        <v>0.20750000000000002</v>
      </c>
      <c r="AO5" t="s">
        <v>93</v>
      </c>
    </row>
    <row r="6" spans="2:41" x14ac:dyDescent="0.25">
      <c r="B6" s="53">
        <v>2</v>
      </c>
      <c r="C6" s="54" t="s">
        <v>10</v>
      </c>
      <c r="D6" s="55">
        <f>SUMIFS(Realpage!$I:$I,Realpage!$A:$A,$C6,Realpage!$F:$F,"Rent Roll (Rev/OSF)")</f>
        <v>3.1832355699427972</v>
      </c>
      <c r="E6" s="55">
        <f>SUMIFS(Realpage!$I:$I,Realpage!$A:$A,$C6,Realpage!$F:$F,"Asking RPSF")</f>
        <v>3.4550000000000001</v>
      </c>
      <c r="F6" s="56">
        <f>E6/D6</f>
        <v>1.0853736470600215</v>
      </c>
      <c r="G6" s="64" cm="1">
        <f t="array" ref="G6">SUMPRODUCT(('RP - Unit Starts'!$C$2:$C$101=$C6)*('RP - Unit Starts'!$F$2:$F$101="Unit Starts")*'RP - Unit Starts'!$I$2:$L$101)/SUMIFS('RP - Unit Starts'!$L:$L,'RP - Unit Starts'!$C:$C,$C6,'RP - Unit Starts'!$F:$F,"Existing Units")</f>
        <v>1.1486295563718565E-2</v>
      </c>
      <c r="H6" s="64">
        <f>F6-1</f>
        <v>8.5373647060021485E-2</v>
      </c>
      <c r="I6" s="55">
        <f>SUMIFS(Realpage!$I:$I,Realpage!$A:$A,$C6,Realpage!$F:$F,"Effective RPSF")</f>
        <v>3.351</v>
      </c>
      <c r="J6" s="65">
        <f>I6/D6</f>
        <v>1.0527024866275345</v>
      </c>
      <c r="K6" s="64">
        <f>J6-1</f>
        <v>5.2702486627534517E-2</v>
      </c>
      <c r="L6" s="24">
        <v>4.2299999999999997E-2</v>
      </c>
      <c r="M6" s="3">
        <f>AVERAGEIF('Realpage - His. Rent Change'!$A$2:$A$577,'Q2 2026 Summary'!C12,'Realpage - His. Rent Change'!$I$2:$AV$577)</f>
        <v>3.7999999999999999E-2</v>
      </c>
      <c r="N6" s="57">
        <f>AVERAGE(L6:M6)</f>
        <v>4.0149999999999998E-2</v>
      </c>
      <c r="O6" s="60">
        <f>MAX(0,-(K6/M6))</f>
        <v>0</v>
      </c>
      <c r="P6" s="57">
        <f>($P$3*M6)+K6</f>
        <v>0.24270248662753452</v>
      </c>
      <c r="Q6" s="57">
        <f>(1+P6)^(1/$P$3)-1</f>
        <v>4.4415800554985951E-2</v>
      </c>
      <c r="R6" s="57">
        <f>$R$3+P6</f>
        <v>0.29370248662753451</v>
      </c>
      <c r="S6" s="57">
        <f>$S$3*$P$3</f>
        <v>0.125</v>
      </c>
      <c r="T6" s="57">
        <f>SUMIFS(Realpage!$I:$I,Realpage!$A:$A,$C6,Realpage!$F:$F,"NOI % of Revenue")</f>
        <v>1.2728914581463462</v>
      </c>
      <c r="U6" s="61">
        <v>1</v>
      </c>
      <c r="V6" s="61">
        <f>U6-T6</f>
        <v>-0.27289145814634619</v>
      </c>
      <c r="W6" s="61">
        <f>U6*(1+R6)</f>
        <v>1.2937024866275344</v>
      </c>
      <c r="X6" s="61">
        <f>V6*(1+S6)</f>
        <v>-0.30700289041463946</v>
      </c>
      <c r="Y6" s="61">
        <f>W6-X6</f>
        <v>1.600705377042174</v>
      </c>
      <c r="Z6" s="57">
        <f>Y6/T6-1</f>
        <v>0.25753485640732343</v>
      </c>
      <c r="AA6" s="57">
        <f>(Y6/T6)^(1/$P$3)-1</f>
        <v>4.6897123060926749E-2</v>
      </c>
      <c r="AB6" s="57">
        <f>$AB$3</f>
        <v>0.05</v>
      </c>
      <c r="AC6" s="61">
        <f>AB6/$AB$3</f>
        <v>1</v>
      </c>
      <c r="AD6" s="61">
        <f>AC6*(1+$AD$3)</f>
        <v>1.08</v>
      </c>
      <c r="AE6" s="61">
        <f>AC6*AB6</f>
        <v>0.05</v>
      </c>
      <c r="AF6" s="61">
        <f>AE6*(1+Z6)</f>
        <v>6.2876742820366177E-2</v>
      </c>
      <c r="AG6" s="57">
        <f>AF6/AD6</f>
        <v>5.8219206315153864E-2</v>
      </c>
      <c r="AH6" s="57">
        <f>AG6-AB6</f>
        <v>8.2192063151538611E-3</v>
      </c>
      <c r="AI6" s="57">
        <f>ROUND(AH6,4)</f>
        <v>8.2000000000000007E-3</v>
      </c>
      <c r="AJ6" s="57" cm="1">
        <f t="array" ref="AJ6">INDEX('Cap Rate to IRR Map'!$F$3:$F$623,MATCH(ROUND(AI6,4),ROUND('Cap Rate to IRR Map'!$E$3:$E$623,4),0))</f>
        <v>7.6332999999999998E-2</v>
      </c>
      <c r="AK6" s="57">
        <f>$AK$3</f>
        <v>0.05</v>
      </c>
      <c r="AL6" s="62">
        <v>0.15000000000000002</v>
      </c>
      <c r="AO6" t="s">
        <v>87</v>
      </c>
    </row>
    <row r="7" spans="2:41" x14ac:dyDescent="0.25">
      <c r="B7" s="53">
        <f>B6+1</f>
        <v>3</v>
      </c>
      <c r="C7" s="54" t="s">
        <v>8</v>
      </c>
      <c r="D7" s="55">
        <f>SUMIFS(Realpage!$I:$I,Realpage!$A:$A,$C7,Realpage!$F:$F,"Rent Roll (Rev/OSF)")</f>
        <v>3.6695941470505193</v>
      </c>
      <c r="E7" s="55">
        <f>SUMIFS(Realpage!$I:$I,Realpage!$A:$A,$C7,Realpage!$F:$F,"Asking RPSF")</f>
        <v>3.9649999999999999</v>
      </c>
      <c r="F7" s="56">
        <f>E7/D7</f>
        <v>1.0805009603546802</v>
      </c>
      <c r="G7" s="64" cm="1">
        <f t="array" ref="G7">SUMPRODUCT(('RP - Unit Starts'!$C$2:$C$101=$C7)*('RP - Unit Starts'!$F$2:$F$101="Unit Starts")*'RP - Unit Starts'!$I$2:$L$101)/SUMIFS('RP - Unit Starts'!$L:$L,'RP - Unit Starts'!$C:$C,$C7,'RP - Unit Starts'!$F:$F,"Existing Units")</f>
        <v>2.3921243904683042E-2</v>
      </c>
      <c r="H7" s="64">
        <f>F7-1</f>
        <v>8.050096035468024E-2</v>
      </c>
      <c r="I7" s="55">
        <f>SUMIFS(Realpage!$I:$I,Realpage!$A:$A,$C7,Realpage!$F:$F,"Effective RPSF")</f>
        <v>3.9290000000000003</v>
      </c>
      <c r="J7" s="65">
        <f>I7/D7</f>
        <v>1.0706906111559997</v>
      </c>
      <c r="K7" s="64">
        <f>J7-1</f>
        <v>7.0690611155999727E-2</v>
      </c>
      <c r="L7" s="22"/>
      <c r="M7" s="3">
        <f>AVERAGEIF('Realpage - His. Rent Change'!$A$2:$A$577,'Q2 2026 Summary'!C9,'Realpage - His. Rent Change'!$I$2:$AV$577)</f>
        <v>4.6699999999999998E-2</v>
      </c>
      <c r="N7" s="57">
        <f>AVERAGE(L7:M7)</f>
        <v>4.6699999999999998E-2</v>
      </c>
      <c r="O7" s="60">
        <f>MAX(0,-(K7/M7))</f>
        <v>0</v>
      </c>
      <c r="P7" s="57">
        <f>($P$3*M7)+K7</f>
        <v>0.30419061115599971</v>
      </c>
      <c r="Q7" s="57">
        <f>(1+P7)^(1/$P$3)-1</f>
        <v>5.4552520118937187E-2</v>
      </c>
      <c r="R7" s="57">
        <f>$R$3+P7</f>
        <v>0.3551906111559997</v>
      </c>
      <c r="S7" s="57">
        <f>$S$3*$P$3</f>
        <v>0.125</v>
      </c>
      <c r="T7" s="57">
        <f>SUMIFS(Realpage!$I:$I,Realpage!$A:$A,$C7,Realpage!$F:$F,"NOI % of Revenue")</f>
        <v>1.1999200007987021</v>
      </c>
      <c r="U7" s="61">
        <v>1</v>
      </c>
      <c r="V7" s="61">
        <f>U7-T7</f>
        <v>-0.19992000079870209</v>
      </c>
      <c r="W7" s="61">
        <f>U7*(1+R7)</f>
        <v>1.3551906111559997</v>
      </c>
      <c r="X7" s="61">
        <f>V7*(1+S7)</f>
        <v>-0.22491000089853985</v>
      </c>
      <c r="Y7" s="61">
        <f>W7-X7</f>
        <v>1.5801006120545396</v>
      </c>
      <c r="Z7" s="57">
        <f>Y7/T7-1</f>
        <v>0.31683829838887423</v>
      </c>
      <c r="AA7" s="57">
        <f>(Y7/T7)^(1/$P$3)-1</f>
        <v>5.6589984793036896E-2</v>
      </c>
      <c r="AB7" s="57">
        <f>$AB$3</f>
        <v>0.05</v>
      </c>
      <c r="AC7" s="61">
        <f>AB7/$AB$3</f>
        <v>1</v>
      </c>
      <c r="AD7" s="61">
        <f>AC7*(1+$AD$3)</f>
        <v>1.08</v>
      </c>
      <c r="AE7" s="61">
        <f>AC7*AB7</f>
        <v>0.05</v>
      </c>
      <c r="AF7" s="61">
        <f>AE7*(1+Z7)</f>
        <v>6.5841914919443717E-2</v>
      </c>
      <c r="AG7" s="57">
        <f>AF7/AD7</f>
        <v>6.0964736036521958E-2</v>
      </c>
      <c r="AH7" s="57">
        <f>AG7-AB7</f>
        <v>1.0964736036521955E-2</v>
      </c>
      <c r="AI7" s="57">
        <f>ROUND(AH7,4)</f>
        <v>1.0999999999999999E-2</v>
      </c>
      <c r="AJ7" s="57" cm="1">
        <f t="array" ref="AJ7">INDEX('Cap Rate to IRR Map'!$F$3:$F$623,MATCH(ROUND(AI7,4),ROUND('Cap Rate to IRR Map'!$E$3:$E$623,4),0))</f>
        <v>0.1</v>
      </c>
      <c r="AK7" s="57">
        <f>$AK$3</f>
        <v>0.05</v>
      </c>
      <c r="AL7" s="62">
        <v>0.19650000000000001</v>
      </c>
    </row>
    <row r="8" spans="2:41" x14ac:dyDescent="0.25">
      <c r="B8" s="53">
        <f t="shared" ref="B8:B54" si="0">B7+1</f>
        <v>4</v>
      </c>
      <c r="C8" s="54" t="s">
        <v>7</v>
      </c>
      <c r="D8" s="55">
        <f>SUMIFS(Realpage!$I:$I,Realpage!$A:$A,$C8,Realpage!$F:$F,"Rent Roll (Rev/OSF)")</f>
        <v>2.8266178436663338</v>
      </c>
      <c r="E8" s="55">
        <f>SUMIFS(Realpage!$I:$I,Realpage!$A:$A,$C8,Realpage!$F:$F,"Asking RPSF")</f>
        <v>2.9989999999999997</v>
      </c>
      <c r="F8" s="56">
        <f>E8/D8</f>
        <v>1.0609853067757025</v>
      </c>
      <c r="G8" s="64" cm="1">
        <f t="array" ref="G8">SUMPRODUCT(('RP - Unit Starts'!$C$2:$C$101=$C8)*('RP - Unit Starts'!$F$2:$F$101="Unit Starts")*'RP - Unit Starts'!$I$2:$L$101)/SUMIFS('RP - Unit Starts'!$L:$L,'RP - Unit Starts'!$C:$C,$C8,'RP - Unit Starts'!$F:$F,"Existing Units")</f>
        <v>1.8135846036308072E-2</v>
      </c>
      <c r="H8" s="64">
        <f>F8-1</f>
        <v>6.0985306775702464E-2</v>
      </c>
      <c r="I8" s="55">
        <f>SUMIFS(Realpage!$I:$I,Realpage!$A:$A,$C8,Realpage!$F:$F,"Effective RPSF")</f>
        <v>2.964</v>
      </c>
      <c r="J8" s="65">
        <f>I8/D8</f>
        <v>1.0486030174335386</v>
      </c>
      <c r="K8" s="64">
        <f>J8-1</f>
        <v>4.8603017433538565E-2</v>
      </c>
      <c r="L8" s="15">
        <v>4.3999999999999997E-2</v>
      </c>
      <c r="M8" s="3">
        <f>AVERAGEIF('Realpage - His. Rent Change'!$A$2:$A$577,'Q2 2026 Summary'!C6,'Realpage - His. Rent Change'!$I$2:$AV$577)</f>
        <v>7.5899999999999995E-2</v>
      </c>
      <c r="N8" s="57">
        <f>AVERAGE(L8:M8)</f>
        <v>5.9949999999999996E-2</v>
      </c>
      <c r="O8" s="60">
        <f>MAX(0,-(K8/M8))</f>
        <v>0</v>
      </c>
      <c r="P8" s="57">
        <f>($P$3*M8)+K8</f>
        <v>0.42810301743353851</v>
      </c>
      <c r="Q8" s="57">
        <f>(1+P8)^(1/$P$3)-1</f>
        <v>7.3870488122556477E-2</v>
      </c>
      <c r="R8" s="57">
        <f>$R$3+P8</f>
        <v>0.4791030174335385</v>
      </c>
      <c r="S8" s="57">
        <f>$S$3*$P$3</f>
        <v>0.125</v>
      </c>
      <c r="T8" s="57">
        <f>SUMIFS(Realpage!$I:$I,Realpage!$A:$A,$C8,Realpage!$F:$F,"NOI % of Revenue")</f>
        <v>1.1013938750601815</v>
      </c>
      <c r="U8" s="61">
        <v>1</v>
      </c>
      <c r="V8" s="61">
        <f>U8-T8</f>
        <v>-0.10139387506018149</v>
      </c>
      <c r="W8" s="61">
        <f>U8*(1+R8)</f>
        <v>1.4791030174335384</v>
      </c>
      <c r="X8" s="61">
        <f>V8*(1+S8)</f>
        <v>-0.11406810944270418</v>
      </c>
      <c r="Y8" s="61">
        <f>W8-X8</f>
        <v>1.5931711268762427</v>
      </c>
      <c r="Z8" s="57">
        <f>Y8/T8-1</f>
        <v>0.44650443674311324</v>
      </c>
      <c r="AA8" s="57">
        <f>(Y8/T8)^(1/$P$3)-1</f>
        <v>7.6623745090901751E-2</v>
      </c>
      <c r="AB8" s="57">
        <f>$AB$3</f>
        <v>0.05</v>
      </c>
      <c r="AC8" s="61">
        <f>AB8/$AB$3</f>
        <v>1</v>
      </c>
      <c r="AD8" s="61">
        <f>AC8*(1+$AD$3)</f>
        <v>1.08</v>
      </c>
      <c r="AE8" s="61">
        <f>AC8*AB8</f>
        <v>0.05</v>
      </c>
      <c r="AF8" s="61">
        <f>AE8*(1+Z8)</f>
        <v>7.2325221837155659E-2</v>
      </c>
      <c r="AG8" s="57">
        <f>AF8/AD8</f>
        <v>6.6967797997366352E-2</v>
      </c>
      <c r="AH8" s="57">
        <f>AG8-AB8</f>
        <v>1.6967797997366349E-2</v>
      </c>
      <c r="AI8" s="57">
        <f>ROUND(AH8,4)</f>
        <v>1.7000000000000001E-2</v>
      </c>
      <c r="AJ8" s="57" cm="1">
        <f t="array" ref="AJ8">INDEX('Cap Rate to IRR Map'!$F$3:$F$623,MATCH(ROUND(AI8,4),ROUND('Cap Rate to IRR Map'!$E$3:$E$623,4),0))</f>
        <v>0.14599999999999999</v>
      </c>
      <c r="AK8" s="57">
        <f>$AK$3</f>
        <v>0.05</v>
      </c>
      <c r="AL8" s="62">
        <v>0.18099999999999999</v>
      </c>
    </row>
    <row r="9" spans="2:41" x14ac:dyDescent="0.25">
      <c r="B9" s="53">
        <f t="shared" si="0"/>
        <v>5</v>
      </c>
      <c r="C9" s="54" t="s">
        <v>557</v>
      </c>
      <c r="D9" s="55">
        <f>SUMIFS(Realpage!$I:$I,Realpage!$A:$A,$C9,Realpage!$F:$F,"Rent Roll (Rev/OSF)")</f>
        <v>3.0129341229646398</v>
      </c>
      <c r="E9" s="55">
        <f>SUMIFS(Realpage!$I:$I,Realpage!$A:$A,$C9,Realpage!$F:$F,"Asking RPSF")</f>
        <v>3.1959999999999997</v>
      </c>
      <c r="F9" s="56">
        <f>E9/D9</f>
        <v>1.0607599999084043</v>
      </c>
      <c r="G9" s="64" cm="1">
        <f t="array" ref="G9">SUMPRODUCT(('RP - Unit Starts'!$C$2:$C$101=$C9)*('RP - Unit Starts'!$F$2:$F$101="Unit Starts")*'RP - Unit Starts'!$I$2:$L$101)/SUMIFS('RP - Unit Starts'!$L:$L,'RP - Unit Starts'!$C:$C,$C9,'RP - Unit Starts'!$F:$F,"Existing Units")</f>
        <v>1.8218772191884811E-2</v>
      </c>
      <c r="H9" s="64">
        <f>F9-1</f>
        <v>6.0759999908404305E-2</v>
      </c>
      <c r="I9" s="55">
        <f>SUMIFS(Realpage!$I:$I,Realpage!$A:$A,$C9,Realpage!$F:$F,"Effective RPSF")</f>
        <v>3.0860000000000003</v>
      </c>
      <c r="J9" s="65">
        <f>I9/D9</f>
        <v>1.0242507383345858</v>
      </c>
      <c r="K9" s="64">
        <f>J9-1</f>
        <v>2.4250738334585797E-2</v>
      </c>
      <c r="L9" s="21"/>
      <c r="M9" s="3">
        <f>AVERAGEIF('Realpage - His. Rent Change'!$A$2:$A$577,'Q2 2026 Summary'!C13,'Realpage - His. Rent Change'!$I$2:$AV$577)</f>
        <v>6.6299999999999998E-2</v>
      </c>
      <c r="N9" s="57">
        <f>AVERAGE(L9:M9)</f>
        <v>6.6299999999999998E-2</v>
      </c>
      <c r="O9" s="63">
        <f>MAX(0,-(K9/M9))</f>
        <v>0</v>
      </c>
      <c r="P9" s="57">
        <f>($P$3*M9)+K9</f>
        <v>0.35575073833458581</v>
      </c>
      <c r="Q9" s="57">
        <f>(1+P9)^(1/$P$3)-1</f>
        <v>6.2761883747571412E-2</v>
      </c>
      <c r="R9" s="57">
        <f>$R$3+P9</f>
        <v>0.4067507383345858</v>
      </c>
      <c r="S9" s="57">
        <f>$S$3*$P$3</f>
        <v>0.125</v>
      </c>
      <c r="T9" s="57">
        <f>SUMIFS(Realpage!$I:$I,Realpage!$A:$A,$C9,Realpage!$F:$F,"NOI % of Revenue")</f>
        <v>1.0744997184682519</v>
      </c>
      <c r="U9" s="61">
        <v>1</v>
      </c>
      <c r="V9" s="61">
        <f>U9-T9</f>
        <v>-7.4499718468251874E-2</v>
      </c>
      <c r="W9" s="61">
        <f>U9*(1+R9)</f>
        <v>1.4067507383345859</v>
      </c>
      <c r="X9" s="61">
        <f>V9*(1+S9)</f>
        <v>-8.3812183276783359E-2</v>
      </c>
      <c r="Y9" s="61">
        <f>W9-X9</f>
        <v>1.4905629216113692</v>
      </c>
      <c r="Z9" s="57">
        <f>Y9/T9-1</f>
        <v>0.38721573955946154</v>
      </c>
      <c r="AA9" s="57">
        <f>(Y9/T9)^(1/$P$3)-1</f>
        <v>6.7649747159313156E-2</v>
      </c>
      <c r="AB9" s="57">
        <f>$AB$3</f>
        <v>0.05</v>
      </c>
      <c r="AC9" s="61">
        <f>AB9/$AB$3</f>
        <v>1</v>
      </c>
      <c r="AD9" s="61">
        <f>AC9*(1+$AD$3)</f>
        <v>1.08</v>
      </c>
      <c r="AE9" s="61">
        <f>AC9*AB9</f>
        <v>0.05</v>
      </c>
      <c r="AF9" s="61">
        <f>AE9*(1+Z9)</f>
        <v>6.9360786977973085E-2</v>
      </c>
      <c r="AG9" s="57">
        <f>AF9/AD9</f>
        <v>6.4222950905530624E-2</v>
      </c>
      <c r="AH9" s="57">
        <f>AG9-AB9</f>
        <v>1.4222950905530621E-2</v>
      </c>
      <c r="AI9" s="57">
        <f>ROUND(AH9,4)</f>
        <v>1.4200000000000001E-2</v>
      </c>
      <c r="AJ9" s="57" cm="1">
        <f t="array" ref="AJ9">INDEX('Cap Rate to IRR Map'!$F$3:$F$623,MATCH(ROUND(AI9,4),ROUND('Cap Rate to IRR Map'!$E$3:$E$623,4),0))</f>
        <v>0.125333</v>
      </c>
      <c r="AK9" s="57">
        <f>$AK$3</f>
        <v>0.05</v>
      </c>
      <c r="AL9" s="62">
        <v>0.10500000000000001</v>
      </c>
      <c r="AN9" t="s">
        <v>83</v>
      </c>
    </row>
    <row r="10" spans="2:41" x14ac:dyDescent="0.25">
      <c r="B10" s="53">
        <f t="shared" si="0"/>
        <v>6</v>
      </c>
      <c r="C10" s="54" t="s">
        <v>447</v>
      </c>
      <c r="D10" s="55">
        <f>SUMIFS(Realpage!$I:$I,Realpage!$A:$A,$C10,Realpage!$F:$F,"Rent Roll (Rev/OSF)")</f>
        <v>5.622826688351287</v>
      </c>
      <c r="E10" s="55">
        <f>SUMIFS(Realpage!$I:$I,Realpage!$A:$A,$C10,Realpage!$F:$F,"Asking RPSF")</f>
        <v>5.9630000000000001</v>
      </c>
      <c r="F10" s="56">
        <f>E10/D10</f>
        <v>1.0604986300490897</v>
      </c>
      <c r="G10" s="64" cm="1">
        <f t="array" ref="G10">SUMPRODUCT(('RP - Unit Starts'!$C$2:$C$101=$C10)*('RP - Unit Starts'!$F$2:$F$101="Unit Starts")*'RP - Unit Starts'!$I$2:$L$101)/SUMIFS('RP - Unit Starts'!$L:$L,'RP - Unit Starts'!$C:$C,$C10,'RP - Unit Starts'!$F:$F,"Existing Units")</f>
        <v>2.4001427765431956E-2</v>
      </c>
      <c r="H10" s="64">
        <f>F10-1</f>
        <v>6.049863004908973E-2</v>
      </c>
      <c r="I10" s="55">
        <f>SUMIFS(Realpage!$I:$I,Realpage!$A:$A,$C10,Realpage!$F:$F,"Effective RPSF")</f>
        <v>5.8570000000000002</v>
      </c>
      <c r="J10" s="65">
        <f>I10/D10</f>
        <v>1.0416469019281434</v>
      </c>
      <c r="K10" s="64">
        <f>J10-1</f>
        <v>4.1646901928143354E-2</v>
      </c>
      <c r="L10" s="21"/>
      <c r="M10" s="3">
        <f>AVERAGEIF('Realpage - His. Rent Change'!$A$2:$A$577,'Q2 2026 Summary'!C7,'Realpage - His. Rent Change'!$I$2:$AV$577)</f>
        <v>0.10349999999999999</v>
      </c>
      <c r="N10" s="57">
        <f>AVERAGE(L10:M10)</f>
        <v>0.10349999999999999</v>
      </c>
      <c r="O10" s="63">
        <f>MAX(0,-(K10/M10))</f>
        <v>0</v>
      </c>
      <c r="P10" s="57">
        <f>($P$3*M10)+K10</f>
        <v>0.55914690192814331</v>
      </c>
      <c r="Q10" s="57">
        <f>(1+P10)^(1/$P$3)-1</f>
        <v>9.2892403374544408E-2</v>
      </c>
      <c r="R10" s="57">
        <f>$R$3+P10</f>
        <v>0.61014690192814336</v>
      </c>
      <c r="S10" s="57">
        <f>$S$3*$P$3</f>
        <v>0.125</v>
      </c>
      <c r="T10" s="57">
        <f>SUMIFS(Realpage!$I:$I,Realpage!$A:$A,$C10,Realpage!$F:$F,"NOI % of Revenue")</f>
        <v>1.1842603358068686</v>
      </c>
      <c r="U10" s="61">
        <v>1</v>
      </c>
      <c r="V10" s="61">
        <f>U10-T10</f>
        <v>-0.18426033580686862</v>
      </c>
      <c r="W10" s="61">
        <f>U10*(1+R10)</f>
        <v>1.6101469019281434</v>
      </c>
      <c r="X10" s="61">
        <f>V10*(1+S10)</f>
        <v>-0.2072928777827272</v>
      </c>
      <c r="Y10" s="61">
        <f>W10-X10</f>
        <v>1.8174397797108706</v>
      </c>
      <c r="Z10" s="57">
        <f>Y10/T10-1</f>
        <v>0.53466237512092274</v>
      </c>
      <c r="AA10" s="57">
        <f>(Y10/T10)^(1/$P$3)-1</f>
        <v>8.9438124426611365E-2</v>
      </c>
      <c r="AB10" s="57">
        <f>$AB$3</f>
        <v>0.05</v>
      </c>
      <c r="AC10" s="61">
        <f>AB10/$AB$3</f>
        <v>1</v>
      </c>
      <c r="AD10" s="61">
        <f>AC10*(1+$AD$3)</f>
        <v>1.08</v>
      </c>
      <c r="AE10" s="61">
        <f>AC10*AB10</f>
        <v>0.05</v>
      </c>
      <c r="AF10" s="61">
        <f>AE10*(1+Z10)</f>
        <v>7.6733118756046145E-2</v>
      </c>
      <c r="AG10" s="57">
        <f>AF10/AD10</f>
        <v>7.1049184033376053E-2</v>
      </c>
      <c r="AH10" s="57">
        <f>AG10-AB10</f>
        <v>2.104918403337605E-2</v>
      </c>
      <c r="AI10" s="57">
        <f>ROUND(AH10,4)</f>
        <v>2.1000000000000001E-2</v>
      </c>
      <c r="AJ10" s="57" cm="1">
        <f t="array" ref="AJ10">INDEX('Cap Rate to IRR Map'!$F$3:$F$623,MATCH(ROUND(AI10,4),ROUND('Cap Rate to IRR Map'!$E$3:$E$623,4),0))</f>
        <v>0.17299999999999999</v>
      </c>
      <c r="AK10" s="57">
        <f>$AK$3</f>
        <v>0.05</v>
      </c>
      <c r="AL10" s="62">
        <v>0.13366699999999998</v>
      </c>
      <c r="AO10" t="s">
        <v>91</v>
      </c>
    </row>
    <row r="11" spans="2:41" x14ac:dyDescent="0.25">
      <c r="B11" s="53">
        <f t="shared" si="0"/>
        <v>7</v>
      </c>
      <c r="C11" s="54" t="s">
        <v>349</v>
      </c>
      <c r="D11" s="55">
        <f>SUMIFS(Realpage!$I:$I,Realpage!$A:$A,$C11,Realpage!$F:$F,"Rent Roll (Rev/OSF)")</f>
        <v>2.3115990322461286</v>
      </c>
      <c r="E11" s="55">
        <f>SUMIFS(Realpage!$I:$I,Realpage!$A:$A,$C11,Realpage!$F:$F,"Asking RPSF")</f>
        <v>2.4400000000000004</v>
      </c>
      <c r="F11" s="56">
        <f>E11/D11</f>
        <v>1.0555463841101835</v>
      </c>
      <c r="G11" s="64" cm="1">
        <f t="array" ref="G11">SUMPRODUCT(('RP - Unit Starts'!$C$2:$C$101=$C11)*('RP - Unit Starts'!$F$2:$F$101="Unit Starts")*'RP - Unit Starts'!$I$2:$L$101)/SUMIFS('RP - Unit Starts'!$L:$L,'RP - Unit Starts'!$C:$C,$C11,'RP - Unit Starts'!$F:$F,"Existing Units")</f>
        <v>2.8401115277377174E-2</v>
      </c>
      <c r="H11" s="64">
        <f>F11-1</f>
        <v>5.5546384110183533E-2</v>
      </c>
      <c r="I11" s="55">
        <f>SUMIFS(Realpage!$I:$I,Realpage!$A:$A,$C11,Realpage!$F:$F,"Effective RPSF")</f>
        <v>2.3360000000000003</v>
      </c>
      <c r="J11" s="65">
        <f>I11/D11</f>
        <v>1.0105558824923724</v>
      </c>
      <c r="K11" s="64">
        <f>J11-1</f>
        <v>1.0555882492372382E-2</v>
      </c>
      <c r="L11" s="21"/>
      <c r="M11" s="3">
        <f>AVERAGEIF('Realpage - His. Rent Change'!$A$2:$A$577,'Q2 2026 Summary'!C21,'Realpage - His. Rent Change'!$I$2:$AV$577)</f>
        <v>3.39E-2</v>
      </c>
      <c r="N11" s="57">
        <f>AVERAGE(L11:M11)</f>
        <v>3.39E-2</v>
      </c>
      <c r="O11" s="63">
        <f>MAX(0,-(K11/M11))</f>
        <v>0</v>
      </c>
      <c r="P11" s="57">
        <f>($P$3*M11)+K11</f>
        <v>0.18005588249237237</v>
      </c>
      <c r="Q11" s="57">
        <f>(1+P11)^(1/$P$3)-1</f>
        <v>3.3666674553458398E-2</v>
      </c>
      <c r="R11" s="57">
        <f>$R$3+P11</f>
        <v>0.23105588249237236</v>
      </c>
      <c r="S11" s="57">
        <f>$S$3*$P$3</f>
        <v>0.125</v>
      </c>
      <c r="T11" s="57">
        <f>SUMIFS(Realpage!$I:$I,Realpage!$A:$A,$C11,Realpage!$F:$F,"NOI % of Revenue")</f>
        <v>1.0622089791801952</v>
      </c>
      <c r="U11" s="61">
        <v>1</v>
      </c>
      <c r="V11" s="61">
        <f>U11-T11</f>
        <v>-6.220897918019519E-2</v>
      </c>
      <c r="W11" s="61">
        <f>U11*(1+R11)</f>
        <v>1.2310558824923723</v>
      </c>
      <c r="X11" s="61">
        <f>V11*(1+S11)</f>
        <v>-6.9985101577719588E-2</v>
      </c>
      <c r="Y11" s="61">
        <f>W11-X11</f>
        <v>1.3010409840700918</v>
      </c>
      <c r="Z11" s="57">
        <f>Y11/T11-1</f>
        <v>0.22484464881310395</v>
      </c>
      <c r="AA11" s="57">
        <f>(Y11/T11)^(1/$P$3)-1</f>
        <v>4.1396711248572693E-2</v>
      </c>
      <c r="AB11" s="57">
        <f>$AB$3</f>
        <v>0.05</v>
      </c>
      <c r="AC11" s="61">
        <f>AB11/$AB$3</f>
        <v>1</v>
      </c>
      <c r="AD11" s="61">
        <f>AC11*(1+$AD$3)</f>
        <v>1.08</v>
      </c>
      <c r="AE11" s="61">
        <f>AC11*AB11</f>
        <v>0.05</v>
      </c>
      <c r="AF11" s="61">
        <f>AE11*(1+Z11)</f>
        <v>6.12422324406552E-2</v>
      </c>
      <c r="AG11" s="57">
        <f>AF11/AD11</f>
        <v>5.6705770778384443E-2</v>
      </c>
      <c r="AH11" s="57">
        <f>AG11-AB11</f>
        <v>6.70577077838444E-3</v>
      </c>
      <c r="AI11" s="57">
        <f>ROUND(AH11,4)</f>
        <v>6.7000000000000002E-3</v>
      </c>
      <c r="AJ11" s="57" cm="1">
        <f t="array" ref="AJ11">INDEX('Cap Rate to IRR Map'!$F$3:$F$623,MATCH(ROUND(AI11,4),ROUND('Cap Rate to IRR Map'!$E$3:$E$623,4),0))</f>
        <v>6.3E-2</v>
      </c>
      <c r="AK11" s="57">
        <f>$AK$3</f>
        <v>0.05</v>
      </c>
      <c r="AL11" s="62">
        <v>0.17599999999999999</v>
      </c>
      <c r="AN11" t="s">
        <v>74</v>
      </c>
    </row>
    <row r="12" spans="2:41" x14ac:dyDescent="0.25">
      <c r="B12" s="53">
        <f t="shared" si="0"/>
        <v>8</v>
      </c>
      <c r="C12" s="54" t="s">
        <v>9</v>
      </c>
      <c r="D12" s="55">
        <f>SUMIFS(Realpage!$I:$I,Realpage!$A:$A,$C12,Realpage!$F:$F,"Rent Roll (Rev/OSF)")</f>
        <v>3.4093003429802322</v>
      </c>
      <c r="E12" s="55">
        <f>SUMIFS(Realpage!$I:$I,Realpage!$A:$A,$C12,Realpage!$F:$F,"Asking RPSF")</f>
        <v>3.589</v>
      </c>
      <c r="F12" s="56">
        <f>E12/D12</f>
        <v>1.0527086612916843</v>
      </c>
      <c r="G12" s="64" cm="1">
        <f t="array" ref="G12">SUMPRODUCT(('RP - Unit Starts'!$C$2:$C$101=$C12)*('RP - Unit Starts'!$F$2:$F$101="Unit Starts")*'RP - Unit Starts'!$I$2:$L$101)/SUMIFS('RP - Unit Starts'!$L:$L,'RP - Unit Starts'!$C:$C,$C12,'RP - Unit Starts'!$F:$F,"Existing Units")</f>
        <v>1.3758422677332625E-2</v>
      </c>
      <c r="H12" s="64">
        <f>F12-1</f>
        <v>5.2708661291684278E-2</v>
      </c>
      <c r="I12" s="55">
        <f>SUMIFS(Realpage!$I:$I,Realpage!$A:$A,$C12,Realpage!$F:$F,"Effective RPSF")</f>
        <v>3.55</v>
      </c>
      <c r="J12" s="65">
        <f>I12/D12</f>
        <v>1.0412693640527944</v>
      </c>
      <c r="K12" s="64">
        <f>J12-1</f>
        <v>4.1269364052794355E-2</v>
      </c>
      <c r="L12" s="23">
        <v>4.5100000000000001E-2</v>
      </c>
      <c r="M12" s="3">
        <f>AVERAGEIF('Realpage - His. Rent Change'!$A$2:$A$577,'Q2 2026 Summary'!C10,'Realpage - His. Rent Change'!$I$2:$AV$577)</f>
        <v>5.91E-2</v>
      </c>
      <c r="N12" s="57">
        <f>AVERAGE(L12:M12)</f>
        <v>5.21E-2</v>
      </c>
      <c r="O12" s="60">
        <f>MAX(0,-(K12/M12))</f>
        <v>0</v>
      </c>
      <c r="P12" s="57">
        <f>($P$3*M12)+K12</f>
        <v>0.33676936405279434</v>
      </c>
      <c r="Q12" s="57">
        <f>(1+P12)^(1/$P$3)-1</f>
        <v>5.9769208017381281E-2</v>
      </c>
      <c r="R12" s="57">
        <f>$R$3+P12</f>
        <v>0.38776936405279433</v>
      </c>
      <c r="S12" s="57">
        <f>$S$3*$P$3</f>
        <v>0.125</v>
      </c>
      <c r="T12" s="57">
        <f>SUMIFS(Realpage!$I:$I,Realpage!$A:$A,$C12,Realpage!$F:$F,"NOI % of Revenue")</f>
        <v>1.0699030237599862</v>
      </c>
      <c r="U12" s="61">
        <v>1</v>
      </c>
      <c r="V12" s="61">
        <f>U12-T12</f>
        <v>-6.9903023759986249E-2</v>
      </c>
      <c r="W12" s="61">
        <f>U12*(1+R12)</f>
        <v>1.3877693640527944</v>
      </c>
      <c r="X12" s="61">
        <f>V12*(1+S12)</f>
        <v>-7.864090172998453E-2</v>
      </c>
      <c r="Y12" s="61">
        <f>W12-X12</f>
        <v>1.4664102657827789</v>
      </c>
      <c r="Z12" s="57">
        <f>Y12/T12-1</f>
        <v>0.37060110422843517</v>
      </c>
      <c r="AA12" s="57">
        <f>(Y12/T12)^(1/$P$3)-1</f>
        <v>6.5079965335271606E-2</v>
      </c>
      <c r="AB12" s="57">
        <f>$AB$3</f>
        <v>0.05</v>
      </c>
      <c r="AC12" s="61">
        <f>AB12/$AB$3</f>
        <v>1</v>
      </c>
      <c r="AD12" s="61">
        <f>AC12*(1+$AD$3)</f>
        <v>1.08</v>
      </c>
      <c r="AE12" s="61">
        <f>AC12*AB12</f>
        <v>0.05</v>
      </c>
      <c r="AF12" s="61">
        <f>AE12*(1+Z12)</f>
        <v>6.8530055211421761E-2</v>
      </c>
      <c r="AG12" s="57">
        <f>AF12/AD12</f>
        <v>6.3453754825390521E-2</v>
      </c>
      <c r="AH12" s="57">
        <f>AG12-AB12</f>
        <v>1.3453754825390518E-2</v>
      </c>
      <c r="AI12" s="57">
        <f>ROUND(AH12,4)</f>
        <v>1.35E-2</v>
      </c>
      <c r="AJ12" s="57" cm="1">
        <f t="array" ref="AJ12">INDEX('Cap Rate to IRR Map'!$F$3:$F$623,MATCH(ROUND(AI12,4),ROUND('Cap Rate to IRR Map'!$E$3:$E$623,4),0))</f>
        <v>0.119667</v>
      </c>
      <c r="AK12" s="57">
        <f>$AK$3</f>
        <v>0.05</v>
      </c>
      <c r="AL12" s="62">
        <v>0.14500000000000002</v>
      </c>
      <c r="AO12" t="s">
        <v>85</v>
      </c>
    </row>
    <row r="13" spans="2:41" x14ac:dyDescent="0.25">
      <c r="B13" s="53">
        <f t="shared" si="0"/>
        <v>9</v>
      </c>
      <c r="C13" s="54" t="s">
        <v>181</v>
      </c>
      <c r="D13" s="55">
        <f>SUMIFS(Realpage!$I:$I,Realpage!$A:$A,$C13,Realpage!$F:$F,"Rent Roll (Rev/OSF)")</f>
        <v>1.7530691875757165</v>
      </c>
      <c r="E13" s="55">
        <f>SUMIFS(Realpage!$I:$I,Realpage!$A:$A,$C13,Realpage!$F:$F,"Asking RPSF")</f>
        <v>1.8380000000000001</v>
      </c>
      <c r="F13" s="56">
        <f>E13/D13</f>
        <v>1.0484469255555924</v>
      </c>
      <c r="G13" s="64" cm="1">
        <f t="array" ref="G13">SUMPRODUCT(('RP - Unit Starts'!$C$2:$C$101=$C13)*('RP - Unit Starts'!$F$2:$F$101="Unit Starts")*'RP - Unit Starts'!$I$2:$L$101)/SUMIFS('RP - Unit Starts'!$L:$L,'RP - Unit Starts'!$C:$C,$C13,'RP - Unit Starts'!$F:$F,"Existing Units")</f>
        <v>1.1981268370447865E-2</v>
      </c>
      <c r="H13" s="64">
        <f>F13-1</f>
        <v>4.8446925555592379E-2</v>
      </c>
      <c r="I13" s="55">
        <f>SUMIFS(Realpage!$I:$I,Realpage!$A:$A,$C13,Realpage!$F:$F,"Effective RPSF")</f>
        <v>1.8240000000000001</v>
      </c>
      <c r="J13" s="65">
        <f>I13/D13</f>
        <v>1.04046093156333</v>
      </c>
      <c r="K13" s="64">
        <f>J13-1</f>
        <v>4.0460931563329972E-2</v>
      </c>
      <c r="L13" s="21"/>
      <c r="M13" s="3">
        <f>AVERAGEIF('Realpage - His. Rent Change'!$A$2:$A$577,'Q2 2026 Summary'!C31,'Realpage - His. Rent Change'!$I$2:$AV$577)</f>
        <v>8.9800000000000005E-2</v>
      </c>
      <c r="N13" s="57">
        <f>AVERAGE(L13:M13)</f>
        <v>8.9800000000000005E-2</v>
      </c>
      <c r="O13" s="63">
        <f>MAX(0,-(K13/M13))</f>
        <v>0</v>
      </c>
      <c r="P13" s="57">
        <f>($P$3*M13)+K13</f>
        <v>0.48946093156332998</v>
      </c>
      <c r="Q13" s="57">
        <f>(1+P13)^(1/$P$3)-1</f>
        <v>8.2943560601633326E-2</v>
      </c>
      <c r="R13" s="57">
        <f>$R$3+P13</f>
        <v>0.54046093156332997</v>
      </c>
      <c r="S13" s="57">
        <f>$S$3*$P$3</f>
        <v>0.125</v>
      </c>
      <c r="T13" s="57">
        <f>SUMIFS(Realpage!$I:$I,Realpage!$A:$A,$C13,Realpage!$F:$F,"NOI % of Revenue")</f>
        <v>0.66685537225220959</v>
      </c>
      <c r="U13" s="61">
        <v>1</v>
      </c>
      <c r="V13" s="61">
        <f>U13-T13</f>
        <v>0.33314462774779041</v>
      </c>
      <c r="W13" s="61">
        <f>U13*(1+R13)</f>
        <v>1.54046093156333</v>
      </c>
      <c r="X13" s="61">
        <f>V13*(1+S13)</f>
        <v>0.37478770621626423</v>
      </c>
      <c r="Y13" s="61">
        <f>W13-X13</f>
        <v>1.1656732253470659</v>
      </c>
      <c r="Z13" s="57">
        <f>Y13/T13-1</f>
        <v>0.74801504771592309</v>
      </c>
      <c r="AA13" s="57">
        <f>(Y13/T13)^(1/$P$3)-1</f>
        <v>0.11817308249415781</v>
      </c>
      <c r="AB13" s="57">
        <f>$AB$3</f>
        <v>0.05</v>
      </c>
      <c r="AC13" s="61">
        <f>AB13/$AB$3</f>
        <v>1</v>
      </c>
      <c r="AD13" s="61">
        <f>AC13*(1+$AD$3)</f>
        <v>1.08</v>
      </c>
      <c r="AE13" s="61">
        <f>AC13*AB13</f>
        <v>0.05</v>
      </c>
      <c r="AF13" s="61">
        <f>AE13*(1+Z13)</f>
        <v>8.7400752385796157E-2</v>
      </c>
      <c r="AG13" s="57">
        <f>AF13/AD13</f>
        <v>8.0926622579440888E-2</v>
      </c>
      <c r="AH13" s="57">
        <f>AG13-AB13</f>
        <v>3.0926622579440885E-2</v>
      </c>
      <c r="AI13" s="57">
        <f>ROUND(AH13,4)</f>
        <v>3.09E-2</v>
      </c>
      <c r="AJ13" s="57" cm="1">
        <f t="array" ref="AJ13">INDEX('Cap Rate to IRR Map'!$F$3:$F$623,MATCH(ROUND(AI13,4),ROUND('Cap Rate to IRR Map'!$E$3:$E$623,4),0))</f>
        <v>0.24000292397660855</v>
      </c>
      <c r="AK13" s="57">
        <f>$AK$3</f>
        <v>0.05</v>
      </c>
      <c r="AL13" s="62">
        <v>0.16966700000000001</v>
      </c>
      <c r="AN13" t="s">
        <v>84</v>
      </c>
    </row>
    <row r="14" spans="2:41" x14ac:dyDescent="0.25">
      <c r="B14" s="53">
        <f t="shared" si="0"/>
        <v>10</v>
      </c>
      <c r="C14" s="54" t="s">
        <v>647</v>
      </c>
      <c r="D14" s="55">
        <f>SUMIFS(Realpage!$I:$I,Realpage!$A:$A,$C14,Realpage!$F:$F,"Rent Roll (Rev/OSF)")</f>
        <v>3.0184200088955935</v>
      </c>
      <c r="E14" s="55">
        <f>SUMIFS(Realpage!$I:$I,Realpage!$A:$A,$C14,Realpage!$F:$F,"Asking RPSF")</f>
        <v>3.1539999999999999</v>
      </c>
      <c r="F14" s="56">
        <f>E14/D14</f>
        <v>1.0449175365604648</v>
      </c>
      <c r="G14" s="64" cm="1">
        <f t="array" ref="G14">SUMPRODUCT(('RP - Unit Starts'!$C$2:$C$101=$C14)*('RP - Unit Starts'!$F$2:$F$101="Unit Starts")*'RP - Unit Starts'!$I$2:$L$101)/SUMIFS('RP - Unit Starts'!$L:$L,'RP - Unit Starts'!$C:$C,$C14,'RP - Unit Starts'!$F:$F,"Existing Units")</f>
        <v>1.8594007008510334E-2</v>
      </c>
      <c r="H14" s="64">
        <f>F14-1</f>
        <v>4.4917536560464821E-2</v>
      </c>
      <c r="I14" s="55">
        <f>SUMIFS(Realpage!$I:$I,Realpage!$A:$A,$C14,Realpage!$F:$F,"Effective RPSF")</f>
        <v>3.077</v>
      </c>
      <c r="J14" s="65">
        <f>I14/D14</f>
        <v>1.0194075015841948</v>
      </c>
      <c r="K14" s="64">
        <f>J14-1</f>
        <v>1.9407501584194797E-2</v>
      </c>
      <c r="L14" s="21"/>
      <c r="M14" s="3">
        <f>AVERAGEIF('Realpage - His. Rent Change'!$A$2:$A$577,'Q2 2026 Summary'!C18,'Realpage - His. Rent Change'!$I$2:$AV$577)</f>
        <v>3.9600000000000003E-2</v>
      </c>
      <c r="N14" s="57">
        <f>AVERAGE(L14:M14)</f>
        <v>3.9600000000000003E-2</v>
      </c>
      <c r="O14" s="63">
        <f>MAX(0,-(K14/M14))</f>
        <v>0</v>
      </c>
      <c r="P14" s="57">
        <f>($P$3*M14)+K14</f>
        <v>0.21740750158419481</v>
      </c>
      <c r="Q14" s="57">
        <f>(1+P14)^(1/$P$3)-1</f>
        <v>4.0128974915593529E-2</v>
      </c>
      <c r="R14" s="57">
        <f>$R$3+P14</f>
        <v>0.2684075015841948</v>
      </c>
      <c r="S14" s="57">
        <f>$S$3*$P$3</f>
        <v>0.125</v>
      </c>
      <c r="T14" s="57">
        <f>SUMIFS(Realpage!$I:$I,Realpage!$A:$A,$C14,Realpage!$F:$F,"NOI % of Revenue")</f>
        <v>1.223907222930595</v>
      </c>
      <c r="U14" s="61">
        <v>1</v>
      </c>
      <c r="V14" s="61">
        <f>U14-T14</f>
        <v>-0.22390722293059495</v>
      </c>
      <c r="W14" s="61">
        <f>U14*(1+R14)</f>
        <v>1.2684075015841949</v>
      </c>
      <c r="X14" s="61">
        <f>V14*(1+S14)</f>
        <v>-0.25189562579691932</v>
      </c>
      <c r="Y14" s="61">
        <f>W14-X14</f>
        <v>1.5203031273811143</v>
      </c>
      <c r="Z14" s="57">
        <f>Y14/T14-1</f>
        <v>0.24217187291436337</v>
      </c>
      <c r="AA14" s="57">
        <f>(Y14/T14)^(1/$P$3)-1</f>
        <v>4.4326595612240727E-2</v>
      </c>
      <c r="AB14" s="57">
        <f>$AB$3</f>
        <v>0.05</v>
      </c>
      <c r="AC14" s="61">
        <f>AB14/$AB$3</f>
        <v>1</v>
      </c>
      <c r="AD14" s="61">
        <f>AC14*(1+$AD$3)</f>
        <v>1.08</v>
      </c>
      <c r="AE14" s="61">
        <f>AC14*AB14</f>
        <v>0.05</v>
      </c>
      <c r="AF14" s="61">
        <f>AE14*(1+Z14)</f>
        <v>6.210859364571817E-2</v>
      </c>
      <c r="AG14" s="57">
        <f>AF14/AD14</f>
        <v>5.750795707936867E-2</v>
      </c>
      <c r="AH14" s="57">
        <f>AG14-AB14</f>
        <v>7.507957079368667E-3</v>
      </c>
      <c r="AI14" s="57">
        <f>ROUND(AH14,4)</f>
        <v>7.4999999999999997E-3</v>
      </c>
      <c r="AJ14" s="57" cm="1">
        <f t="array" ref="AJ14">INDEX('Cap Rate to IRR Map'!$F$3:$F$623,MATCH(ROUND(AI14,4),ROUND('Cap Rate to IRR Map'!$E$3:$E$623,4),0))</f>
        <v>7.0000000000000007E-2</v>
      </c>
      <c r="AK14" s="57">
        <f>$AK$3</f>
        <v>0.05</v>
      </c>
      <c r="AL14" s="62">
        <v>0.17399999999999999</v>
      </c>
    </row>
    <row r="15" spans="2:41" x14ac:dyDescent="0.25">
      <c r="B15" s="53">
        <f t="shared" si="0"/>
        <v>11</v>
      </c>
      <c r="C15" s="54" t="s">
        <v>491</v>
      </c>
      <c r="D15" s="55">
        <f>SUMIFS(Realpage!$I:$I,Realpage!$A:$A,$C15,Realpage!$F:$F,"Rent Roll (Rev/OSF)")</f>
        <v>2.753703599315477</v>
      </c>
      <c r="E15" s="55">
        <f>SUMIFS(Realpage!$I:$I,Realpage!$A:$A,$C15,Realpage!$F:$F,"Asking RPSF")</f>
        <v>2.8769999999999998</v>
      </c>
      <c r="F15" s="56">
        <f>E15/D15</f>
        <v>1.0447747537952785</v>
      </c>
      <c r="G15" s="64" cm="1">
        <f t="array" ref="G15">SUMPRODUCT(('RP - Unit Starts'!$C$2:$C$101=$C15)*('RP - Unit Starts'!$F$2:$F$101="Unit Starts")*'RP - Unit Starts'!$I$2:$L$101)/SUMIFS('RP - Unit Starts'!$L:$L,'RP - Unit Starts'!$C:$C,$C15,'RP - Unit Starts'!$F:$F,"Existing Units")</f>
        <v>3.1114649681528661E-2</v>
      </c>
      <c r="H15" s="64">
        <f>F15-1</f>
        <v>4.477475379527851E-2</v>
      </c>
      <c r="I15" s="55">
        <f>SUMIFS(Realpage!$I:$I,Realpage!$A:$A,$C15,Realpage!$F:$F,"Effective RPSF")</f>
        <v>2.847</v>
      </c>
      <c r="J15" s="65">
        <f>I15/D15</f>
        <v>1.0338803350904269</v>
      </c>
      <c r="K15" s="64">
        <f>J15-1</f>
        <v>3.3880335090426872E-2</v>
      </c>
      <c r="L15" s="21"/>
      <c r="M15" s="3">
        <f>AVERAGEIF('Realpage - His. Rent Change'!$A$2:$A$577,'Q2 2026 Summary'!C11,'Realpage - His. Rent Change'!$I$2:$AV$577)</f>
        <v>3.4599999999999999E-2</v>
      </c>
      <c r="N15" s="57">
        <f>AVERAGE(L15:M15)</f>
        <v>3.4599999999999999E-2</v>
      </c>
      <c r="O15" s="63">
        <f>MAX(0,-(K15/M15))</f>
        <v>0</v>
      </c>
      <c r="P15" s="57">
        <f>($P$3*M15)+K15</f>
        <v>0.20688033509042686</v>
      </c>
      <c r="Q15" s="57">
        <f>(1+P15)^(1/$P$3)-1</f>
        <v>3.8323879749418754E-2</v>
      </c>
      <c r="R15" s="57">
        <f>$R$3+P15</f>
        <v>0.25788033509042685</v>
      </c>
      <c r="S15" s="57">
        <f>$S$3*$P$3</f>
        <v>0.125</v>
      </c>
      <c r="T15" s="57">
        <f>SUMIFS(Realpage!$I:$I,Realpage!$A:$A,$C15,Realpage!$F:$F,"NOI % of Revenue")</f>
        <v>1.1668219973328564</v>
      </c>
      <c r="U15" s="61">
        <v>1</v>
      </c>
      <c r="V15" s="61">
        <f>U15-T15</f>
        <v>-0.16682199733285641</v>
      </c>
      <c r="W15" s="61">
        <f>U15*(1+R15)</f>
        <v>1.2578803350904268</v>
      </c>
      <c r="X15" s="61">
        <f>V15*(1+S15)</f>
        <v>-0.18767474699946346</v>
      </c>
      <c r="Y15" s="61">
        <f>W15-X15</f>
        <v>1.4455550820898904</v>
      </c>
      <c r="Z15" s="57">
        <f>Y15/T15-1</f>
        <v>0.23888226772735455</v>
      </c>
      <c r="AA15" s="57">
        <f>(Y15/T15)^(1/$P$3)-1</f>
        <v>4.3772877206143868E-2</v>
      </c>
      <c r="AB15" s="57">
        <f>$AB$3</f>
        <v>0.05</v>
      </c>
      <c r="AC15" s="61">
        <f>AB15/$AB$3</f>
        <v>1</v>
      </c>
      <c r="AD15" s="61">
        <f>AC15*(1+$AD$3)</f>
        <v>1.08</v>
      </c>
      <c r="AE15" s="61">
        <f>AC15*AB15</f>
        <v>0.05</v>
      </c>
      <c r="AF15" s="61">
        <f>AE15*(1+Z15)</f>
        <v>6.1944113386367732E-2</v>
      </c>
      <c r="AG15" s="57">
        <f>AF15/AD15</f>
        <v>5.7355660542933083E-2</v>
      </c>
      <c r="AH15" s="57">
        <f>AG15-AB15</f>
        <v>7.3556605429330804E-3</v>
      </c>
      <c r="AI15" s="57">
        <f>ROUND(AH15,4)</f>
        <v>7.4000000000000003E-3</v>
      </c>
      <c r="AJ15" s="57" cm="1">
        <f t="array" ref="AJ15">INDEX('Cap Rate to IRR Map'!$F$3:$F$623,MATCH(ROUND(AI15,4),ROUND('Cap Rate to IRR Map'!$E$3:$E$623,4),0))</f>
        <v>6.9000000000000006E-2</v>
      </c>
      <c r="AK15" s="57">
        <f>$AK$3</f>
        <v>0.05</v>
      </c>
      <c r="AL15" s="62">
        <v>0.187</v>
      </c>
      <c r="AO15" t="s">
        <v>82</v>
      </c>
    </row>
    <row r="16" spans="2:41" x14ac:dyDescent="0.25">
      <c r="B16" s="53">
        <f t="shared" si="0"/>
        <v>12</v>
      </c>
      <c r="C16" s="54" t="s">
        <v>626</v>
      </c>
      <c r="D16" s="55">
        <f>SUMIFS(Realpage!$I:$I,Realpage!$A:$A,$C16,Realpage!$F:$F,"Rent Roll (Rev/OSF)")</f>
        <v>3.3202009953599183</v>
      </c>
      <c r="E16" s="55">
        <f>SUMIFS(Realpage!$I:$I,Realpage!$A:$A,$C16,Realpage!$F:$F,"Asking RPSF")</f>
        <v>3.468</v>
      </c>
      <c r="F16" s="56">
        <f>E16/D16</f>
        <v>1.0445150775048364</v>
      </c>
      <c r="G16" s="64" cm="1">
        <f t="array" ref="G16">SUMPRODUCT(('RP - Unit Starts'!$C$2:$C$101=$C16)*('RP - Unit Starts'!$F$2:$F$101="Unit Starts")*'RP - Unit Starts'!$I$2:$L$101)/SUMIFS('RP - Unit Starts'!$L:$L,'RP - Unit Starts'!$C:$C,$C16,'RP - Unit Starts'!$F:$F,"Existing Units")</f>
        <v>3.9863635128894685E-3</v>
      </c>
      <c r="H16" s="64">
        <f>F16-1</f>
        <v>4.4515077504836409E-2</v>
      </c>
      <c r="I16" s="55">
        <f>SUMIFS(Realpage!$I:$I,Realpage!$A:$A,$C16,Realpage!$F:$F,"Effective RPSF")</f>
        <v>3.456</v>
      </c>
      <c r="J16" s="65">
        <f>I16/D16</f>
        <v>1.0409008384823284</v>
      </c>
      <c r="K16" s="64">
        <f>J16-1</f>
        <v>4.0900838482328394E-2</v>
      </c>
      <c r="L16" s="21"/>
      <c r="M16" s="3">
        <f>AVERAGEIF('Realpage - His. Rent Change'!$A$2:$A$577,'Q2 2026 Summary'!C8,'Realpage - His. Rent Change'!$I$2:$AV$577)</f>
        <v>5.1299999999999998E-2</v>
      </c>
      <c r="N16" s="57">
        <f>AVERAGE(L16:M16)</f>
        <v>5.1299999999999998E-2</v>
      </c>
      <c r="O16" s="63">
        <f>MAX(0,-(K16/M16))</f>
        <v>0</v>
      </c>
      <c r="P16" s="57">
        <f>($P$3*M16)+K16</f>
        <v>0.2974008384823284</v>
      </c>
      <c r="Q16" s="57">
        <f>(1+P16)^(1/$P$3)-1</f>
        <v>5.3452201000785626E-2</v>
      </c>
      <c r="R16" s="57">
        <f>$R$3+P16</f>
        <v>0.34840083848232839</v>
      </c>
      <c r="S16" s="57">
        <f>$S$3*$P$3</f>
        <v>0.125</v>
      </c>
      <c r="T16" s="57">
        <f>SUMIFS(Realpage!$I:$I,Realpage!$A:$A,$C16,Realpage!$F:$F,"NOI % of Revenue")</f>
        <v>1.1847239780119465</v>
      </c>
      <c r="U16" s="61">
        <v>1</v>
      </c>
      <c r="V16" s="61">
        <f>U16-T16</f>
        <v>-0.18472397801194651</v>
      </c>
      <c r="W16" s="61">
        <f>U16*(1+R16)</f>
        <v>1.3484008384823283</v>
      </c>
      <c r="X16" s="61">
        <f>V16*(1+S16)</f>
        <v>-0.20781447526343982</v>
      </c>
      <c r="Y16" s="61">
        <f>W16-X16</f>
        <v>1.5562153137457682</v>
      </c>
      <c r="Z16" s="57">
        <f>Y16/T16-1</f>
        <v>0.3135678374275932</v>
      </c>
      <c r="AA16" s="57">
        <f>(Y16/T16)^(1/$P$3)-1</f>
        <v>5.6064639463498045E-2</v>
      </c>
      <c r="AB16" s="57">
        <f>$AB$3</f>
        <v>0.05</v>
      </c>
      <c r="AC16" s="61">
        <f>AB16/$AB$3</f>
        <v>1</v>
      </c>
      <c r="AD16" s="61">
        <f>AC16*(1+$AD$3)</f>
        <v>1.08</v>
      </c>
      <c r="AE16" s="61">
        <f>AC16*AB16</f>
        <v>0.05</v>
      </c>
      <c r="AF16" s="61">
        <f>AE16*(1+Z16)</f>
        <v>6.5678391871379666E-2</v>
      </c>
      <c r="AG16" s="57">
        <f>AF16/AD16</f>
        <v>6.0813325806833018E-2</v>
      </c>
      <c r="AH16" s="57">
        <f>AG16-AB16</f>
        <v>1.0813325806833016E-2</v>
      </c>
      <c r="AI16" s="57">
        <f>ROUND(AH16,4)</f>
        <v>1.0800000000000001E-2</v>
      </c>
      <c r="AJ16" s="57" cm="1">
        <f t="array" ref="AJ16">INDEX('Cap Rate to IRR Map'!$F$3:$F$623,MATCH(ROUND(AI16,4),ROUND('Cap Rate to IRR Map'!$E$3:$E$623,4),0))</f>
        <v>9.8000000000000004E-2</v>
      </c>
      <c r="AK16" s="57">
        <f>$AK$3</f>
        <v>0.05</v>
      </c>
      <c r="AL16" s="62">
        <v>0.123</v>
      </c>
    </row>
    <row r="17" spans="2:41" x14ac:dyDescent="0.25">
      <c r="B17" s="53">
        <f t="shared" si="0"/>
        <v>13</v>
      </c>
      <c r="C17" s="54" t="s">
        <v>15</v>
      </c>
      <c r="D17" s="55">
        <f>SUMIFS(Realpage!$I:$I,Realpage!$A:$A,$C17,Realpage!$F:$F,"Rent Roll (Rev/OSF)")</f>
        <v>3.356337193995512</v>
      </c>
      <c r="E17" s="55">
        <f>SUMIFS(Realpage!$I:$I,Realpage!$A:$A,$C17,Realpage!$F:$F,"Asking RPSF")</f>
        <v>3.5009999999999999</v>
      </c>
      <c r="F17" s="56">
        <f>E17/D17</f>
        <v>1.0431013922746766</v>
      </c>
      <c r="G17" s="64" cm="1">
        <f t="array" ref="G17">SUMPRODUCT(('RP - Unit Starts'!$C$2:$C$101=$C17)*('RP - Unit Starts'!$F$2:$F$101="Unit Starts")*'RP - Unit Starts'!$I$2:$L$101)/SUMIFS('RP - Unit Starts'!$L:$L,'RP - Unit Starts'!$C:$C,$C17,'RP - Unit Starts'!$F:$F,"Existing Units")</f>
        <v>2.8013394998944521E-2</v>
      </c>
      <c r="H17" s="64">
        <f>F17-1</f>
        <v>4.3101392274676575E-2</v>
      </c>
      <c r="I17" s="55">
        <f>SUMIFS(Realpage!$I:$I,Realpage!$A:$A,$C17,Realpage!$F:$F,"Effective RPSF")</f>
        <v>3.3680000000000003</v>
      </c>
      <c r="J17" s="65">
        <f>I17/D17</f>
        <v>1.0034748612342506</v>
      </c>
      <c r="K17" s="64">
        <f>J17-1</f>
        <v>3.4748612342505591E-3</v>
      </c>
      <c r="L17" s="25">
        <v>3.6499999999999998E-2</v>
      </c>
      <c r="M17" s="3">
        <f>AVERAGEIF('Realpage - His. Rent Change'!$A$2:$A$577,'Q2 2026 Summary'!C19,'Realpage - His. Rent Change'!$I$2:$AV$577)</f>
        <v>5.3499999999999999E-2</v>
      </c>
      <c r="N17" s="57">
        <f>AVERAGE(L17:M17)</f>
        <v>4.4999999999999998E-2</v>
      </c>
      <c r="O17" s="60">
        <f>MAX(0,-(K17/M17))</f>
        <v>0</v>
      </c>
      <c r="P17" s="57">
        <f>($P$3*M17)+K17</f>
        <v>0.27097486123425057</v>
      </c>
      <c r="Q17" s="57">
        <f>(1+P17)^(1/$P$3)-1</f>
        <v>4.9125376883012883E-2</v>
      </c>
      <c r="R17" s="57">
        <f>$R$3+P17</f>
        <v>0.32197486123425056</v>
      </c>
      <c r="S17" s="57">
        <f>$S$3*$P$3</f>
        <v>0.125</v>
      </c>
      <c r="T17" s="57">
        <f>SUMIFS(Realpage!$I:$I,Realpage!$A:$A,$C17,Realpage!$F:$F,"NOI % of Revenue")</f>
        <v>1.1659140631950073</v>
      </c>
      <c r="U17" s="61">
        <v>1</v>
      </c>
      <c r="V17" s="61">
        <f>U17-T17</f>
        <v>-0.16591406319500734</v>
      </c>
      <c r="W17" s="61">
        <f>U17*(1+R17)</f>
        <v>1.3219748612342506</v>
      </c>
      <c r="X17" s="61">
        <f>V17*(1+S17)</f>
        <v>-0.18665332109438326</v>
      </c>
      <c r="Y17" s="61">
        <f>W17-X17</f>
        <v>1.5086281823286338</v>
      </c>
      <c r="Z17" s="57">
        <f>Y17/T17-1</f>
        <v>0.29394457958116682</v>
      </c>
      <c r="AA17" s="57">
        <f>(Y17/T17)^(1/$P$3)-1</f>
        <v>5.2890325366671487E-2</v>
      </c>
      <c r="AB17" s="57">
        <f>$AB$3</f>
        <v>0.05</v>
      </c>
      <c r="AC17" s="61">
        <f>AB17/$AB$3</f>
        <v>1</v>
      </c>
      <c r="AD17" s="61">
        <f>AC17*(1+$AD$3)</f>
        <v>1.08</v>
      </c>
      <c r="AE17" s="61">
        <f>AC17*AB17</f>
        <v>0.05</v>
      </c>
      <c r="AF17" s="61">
        <f>AE17*(1+Z17)</f>
        <v>6.4697228979058344E-2</v>
      </c>
      <c r="AG17" s="57">
        <f>AF17/AD17</f>
        <v>5.990484164727624E-2</v>
      </c>
      <c r="AH17" s="57">
        <f>AG17-AB17</f>
        <v>9.9048416472762371E-3</v>
      </c>
      <c r="AI17" s="57">
        <f>ROUND(AH17,4)</f>
        <v>9.9000000000000008E-3</v>
      </c>
      <c r="AJ17" s="57" cm="1">
        <f t="array" ref="AJ17">INDEX('Cap Rate to IRR Map'!$F$3:$F$623,MATCH(ROUND(AI17,4),ROUND('Cap Rate to IRR Map'!$E$3:$E$623,4),0))</f>
        <v>9.0749999999999997E-2</v>
      </c>
      <c r="AK17" s="57">
        <f>$AK$3</f>
        <v>0.05</v>
      </c>
      <c r="AL17" s="62">
        <v>8.5999999999999993E-2</v>
      </c>
    </row>
    <row r="18" spans="2:41" x14ac:dyDescent="0.25">
      <c r="B18" s="53">
        <f t="shared" si="0"/>
        <v>14</v>
      </c>
      <c r="C18" s="54" t="s">
        <v>14</v>
      </c>
      <c r="D18" s="55">
        <f>SUMIFS(Realpage!$I:$I,Realpage!$A:$A,$C18,Realpage!$F:$F,"Rent Roll (Rev/OSF)")</f>
        <v>3.6840669384335851</v>
      </c>
      <c r="E18" s="55">
        <f>SUMIFS(Realpage!$I:$I,Realpage!$A:$A,$C18,Realpage!$F:$F,"Asking RPSF")</f>
        <v>3.794</v>
      </c>
      <c r="F18" s="56">
        <f>E18/D18</f>
        <v>1.0298401368388699</v>
      </c>
      <c r="G18" s="64" cm="1">
        <f t="array" ref="G18">SUMPRODUCT(('RP - Unit Starts'!$C$2:$C$101=$C18)*('RP - Unit Starts'!$F$2:$F$101="Unit Starts")*'RP - Unit Starts'!$I$2:$L$101)/SUMIFS('RP - Unit Starts'!$L:$L,'RP - Unit Starts'!$C:$C,$C18,'RP - Unit Starts'!$F:$F,"Existing Units")</f>
        <v>9.3966239146723082E-3</v>
      </c>
      <c r="H18" s="64">
        <f>F18-1</f>
        <v>2.984013683886988E-2</v>
      </c>
      <c r="I18" s="55">
        <f>SUMIFS(Realpage!$I:$I,Realpage!$A:$A,$C18,Realpage!$F:$F,"Effective RPSF")</f>
        <v>3.7359999999999998</v>
      </c>
      <c r="J18" s="65">
        <f>I18/D18</f>
        <v>1.0140966661122872</v>
      </c>
      <c r="K18" s="64">
        <f>J18-1</f>
        <v>1.4096666112287215E-2</v>
      </c>
      <c r="L18" s="13">
        <v>2.64E-2</v>
      </c>
      <c r="M18" s="3">
        <f>AVERAGEIF('Realpage - His. Rent Change'!$A$2:$A$577,'Q2 2026 Summary'!C14,'Realpage - His. Rent Change'!$I$2:$AV$577)</f>
        <v>7.1400000000000005E-2</v>
      </c>
      <c r="N18" s="57">
        <f>AVERAGE(L18:M18)</f>
        <v>4.8899999999999999E-2</v>
      </c>
      <c r="O18" s="60">
        <f>MAX(0,-(K18/M18))</f>
        <v>0</v>
      </c>
      <c r="P18" s="57">
        <f>($P$3*M18)+K18</f>
        <v>0.37109666611228725</v>
      </c>
      <c r="Q18" s="57">
        <f>(1+P18)^(1/$P$3)-1</f>
        <v>6.5156973403255547E-2</v>
      </c>
      <c r="R18" s="57">
        <f>$R$3+P18</f>
        <v>0.42209666611228724</v>
      </c>
      <c r="S18" s="57">
        <f>$S$3*$P$3</f>
        <v>0.125</v>
      </c>
      <c r="T18" s="57">
        <f>SUMIFS(Realpage!$I:$I,Realpage!$A:$A,$C18,Realpage!$F:$F,"NOI % of Revenue")</f>
        <v>1.0798477106258166</v>
      </c>
      <c r="U18" s="61">
        <v>1</v>
      </c>
      <c r="V18" s="61">
        <f>U18-T18</f>
        <v>-7.9847710625816637E-2</v>
      </c>
      <c r="W18" s="61">
        <f>U18*(1+R18)</f>
        <v>1.4220966661122874</v>
      </c>
      <c r="X18" s="61">
        <f>V18*(1+S18)</f>
        <v>-8.9828674454043717E-2</v>
      </c>
      <c r="Y18" s="61">
        <f>W18-X18</f>
        <v>1.5119253405663311</v>
      </c>
      <c r="Z18" s="57">
        <f>Y18/T18-1</f>
        <v>0.40012830113804432</v>
      </c>
      <c r="AA18" s="57">
        <f>(Y18/T18)^(1/$P$3)-1</f>
        <v>6.9629979610520421E-2</v>
      </c>
      <c r="AB18" s="57">
        <f>$AB$3</f>
        <v>0.05</v>
      </c>
      <c r="AC18" s="61">
        <f>AB18/$AB$3</f>
        <v>1</v>
      </c>
      <c r="AD18" s="61">
        <f>AC18*(1+$AD$3)</f>
        <v>1.08</v>
      </c>
      <c r="AE18" s="61">
        <f>AC18*AB18</f>
        <v>0.05</v>
      </c>
      <c r="AF18" s="61">
        <f>AE18*(1+Z18)</f>
        <v>7.0006415056902221E-2</v>
      </c>
      <c r="AG18" s="57">
        <f>AF18/AD18</f>
        <v>6.4820754682316864E-2</v>
      </c>
      <c r="AH18" s="57">
        <f>AG18-AB18</f>
        <v>1.4820754682316861E-2</v>
      </c>
      <c r="AI18" s="57">
        <f>ROUND(AH18,4)</f>
        <v>1.4800000000000001E-2</v>
      </c>
      <c r="AJ18" s="57" cm="1">
        <f t="array" ref="AJ18">INDEX('Cap Rate to IRR Map'!$F$3:$F$623,MATCH(ROUND(AI18,4),ROUND('Cap Rate to IRR Map'!$E$3:$E$623,4),0))</f>
        <v>0.129667</v>
      </c>
      <c r="AK18" s="57">
        <f>$AK$3</f>
        <v>0.05</v>
      </c>
      <c r="AL18" s="62">
        <v>0.16466700000000001</v>
      </c>
    </row>
    <row r="19" spans="2:41" x14ac:dyDescent="0.25">
      <c r="B19" s="53">
        <f t="shared" si="0"/>
        <v>15</v>
      </c>
      <c r="C19" s="54" t="s">
        <v>13</v>
      </c>
      <c r="D19" s="55">
        <f>SUMIFS(Realpage!$I:$I,Realpage!$A:$A,$C19,Realpage!$F:$F,"Rent Roll (Rev/OSF)")</f>
        <v>2.9700487568997724</v>
      </c>
      <c r="E19" s="55">
        <f>SUMIFS(Realpage!$I:$I,Realpage!$A:$A,$C19,Realpage!$F:$F,"Asking RPSF")</f>
        <v>3.0419999999999998</v>
      </c>
      <c r="F19" s="56">
        <f>E19/D19</f>
        <v>1.0242256100789848</v>
      </c>
      <c r="G19" s="64" cm="1">
        <f t="array" ref="G19">SUMPRODUCT(('RP - Unit Starts'!$C$2:$C$101=$C19)*('RP - Unit Starts'!$F$2:$F$101="Unit Starts")*'RP - Unit Starts'!$I$2:$L$101)/SUMIFS('RP - Unit Starts'!$L:$L,'RP - Unit Starts'!$C:$C,$C19,'RP - Unit Starts'!$F:$F,"Existing Units")</f>
        <v>2.5479466333124871E-2</v>
      </c>
      <c r="H19" s="64">
        <f>F19-1</f>
        <v>2.4225610078984827E-2</v>
      </c>
      <c r="I19" s="55">
        <f>SUMIFS(Realpage!$I:$I,Realpage!$A:$A,$C19,Realpage!$F:$F,"Effective RPSF")</f>
        <v>3.0169999999999999</v>
      </c>
      <c r="J19" s="65">
        <f>I19/D19</f>
        <v>1.0158082398449366</v>
      </c>
      <c r="K19" s="64">
        <f>J19-1</f>
        <v>1.5808239844936622E-2</v>
      </c>
      <c r="L19" s="23">
        <v>3.6700000000000003E-2</v>
      </c>
      <c r="M19" s="3">
        <f>AVERAGEIF('Realpage - His. Rent Change'!$A$2:$A$577,'Q2 2026 Summary'!C16,'Realpage - His. Rent Change'!$I$2:$AV$577)</f>
        <v>2.75E-2</v>
      </c>
      <c r="N19" s="57">
        <f>AVERAGE(L19:M19)</f>
        <v>3.2100000000000004E-2</v>
      </c>
      <c r="O19" s="60">
        <f>MAX(0,-(K19/M19))</f>
        <v>0</v>
      </c>
      <c r="P19" s="57">
        <f>($P$3*M19)+K19</f>
        <v>0.15330823984493663</v>
      </c>
      <c r="Q19" s="57">
        <f>(1+P19)^(1/$P$3)-1</f>
        <v>2.893769769480814E-2</v>
      </c>
      <c r="R19" s="57">
        <f>$R$3+P19</f>
        <v>0.20430823984493662</v>
      </c>
      <c r="S19" s="57">
        <f>$S$3*$P$3</f>
        <v>0.125</v>
      </c>
      <c r="T19" s="57">
        <f>SUMIFS(Realpage!$I:$I,Realpage!$A:$A,$C19,Realpage!$F:$F,"NOI % of Revenue")</f>
        <v>1.104192996954882</v>
      </c>
      <c r="U19" s="61">
        <v>1</v>
      </c>
      <c r="V19" s="61">
        <f>U19-T19</f>
        <v>-0.10419299695488204</v>
      </c>
      <c r="W19" s="61">
        <f>U19*(1+R19)</f>
        <v>1.2043082398449365</v>
      </c>
      <c r="X19" s="61">
        <f>V19*(1+S19)</f>
        <v>-0.1172171215742423</v>
      </c>
      <c r="Y19" s="61">
        <f>W19-X19</f>
        <v>1.3215253614191789</v>
      </c>
      <c r="Z19" s="57">
        <f>Y19/T19-1</f>
        <v>0.19682461767431136</v>
      </c>
      <c r="AA19" s="57">
        <f>(Y19/T19)^(1/$P$3)-1</f>
        <v>3.6587822870098208E-2</v>
      </c>
      <c r="AB19" s="57">
        <f>$AB$3</f>
        <v>0.05</v>
      </c>
      <c r="AC19" s="61">
        <f>AB19/$AB$3</f>
        <v>1</v>
      </c>
      <c r="AD19" s="61">
        <f>AC19*(1+$AD$3)</f>
        <v>1.08</v>
      </c>
      <c r="AE19" s="61">
        <f>AC19*AB19</f>
        <v>0.05</v>
      </c>
      <c r="AF19" s="61">
        <f>AE19*(1+Z19)</f>
        <v>5.9841230883715568E-2</v>
      </c>
      <c r="AG19" s="57">
        <f>AF19/AD19</f>
        <v>5.5408547114551447E-2</v>
      </c>
      <c r="AH19" s="57">
        <f>AG19-AB19</f>
        <v>5.4085471145514444E-3</v>
      </c>
      <c r="AI19" s="57">
        <f>ROUND(AH19,4)</f>
        <v>5.4000000000000003E-3</v>
      </c>
      <c r="AJ19" s="57" cm="1">
        <f t="array" ref="AJ19">INDEX('Cap Rate to IRR Map'!$F$3:$F$623,MATCH(ROUND(AI19,4),ROUND('Cap Rate to IRR Map'!$E$3:$E$623,4),0))</f>
        <v>5.0999999999999997E-2</v>
      </c>
      <c r="AK19" s="57">
        <f>$AK$3</f>
        <v>0.05</v>
      </c>
      <c r="AL19" s="62">
        <v>0.18099999999999999</v>
      </c>
    </row>
    <row r="20" spans="2:41" x14ac:dyDescent="0.25">
      <c r="B20" s="53">
        <f t="shared" si="0"/>
        <v>16</v>
      </c>
      <c r="C20" s="54" t="s">
        <v>176</v>
      </c>
      <c r="D20" s="55">
        <f>SUMIFS(Realpage!$I:$I,Realpage!$A:$A,$C20,Realpage!$F:$F,"Rent Roll (Rev/OSF)")</f>
        <v>1.2727550075477836</v>
      </c>
      <c r="E20" s="55">
        <f>SUMIFS(Realpage!$I:$I,Realpage!$A:$A,$C20,Realpage!$F:$F,"Asking RPSF")</f>
        <v>1.3029999999999999</v>
      </c>
      <c r="F20" s="56">
        <f>E20/D20</f>
        <v>1.0237634047973532</v>
      </c>
      <c r="G20" s="64" cm="1">
        <f t="array" ref="G20">SUMPRODUCT(('RP - Unit Starts'!$C$2:$C$101=$C20)*('RP - Unit Starts'!$F$2:$F$101="Unit Starts")*'RP - Unit Starts'!$I$2:$L$101)/SUMIFS('RP - Unit Starts'!$L:$L,'RP - Unit Starts'!$C:$C,$C20,'RP - Unit Starts'!$F:$F,"Existing Units")</f>
        <v>1.6363239679038084E-3</v>
      </c>
      <c r="H20" s="64">
        <f>F20-1</f>
        <v>2.3763404797353171E-2</v>
      </c>
      <c r="I20" s="55">
        <f>SUMIFS(Realpage!$I:$I,Realpage!$A:$A,$C20,Realpage!$F:$F,"Effective RPSF")</f>
        <v>1.2729999999999999</v>
      </c>
      <c r="J20" s="65">
        <f>I20/D20</f>
        <v>1.0001924898749275</v>
      </c>
      <c r="K20" s="64">
        <f>J20-1</f>
        <v>1.9248987492748171E-4</v>
      </c>
      <c r="L20" s="21"/>
      <c r="M20" s="3">
        <f>AVERAGEIF('Realpage - His. Rent Change'!$A$2:$A$577,'Q2 2026 Summary'!C23,'Realpage - His. Rent Change'!$I$2:$AV$577)</f>
        <v>6.93E-2</v>
      </c>
      <c r="N20" s="57">
        <f>AVERAGE(L20:M20)</f>
        <v>6.93E-2</v>
      </c>
      <c r="O20" s="63">
        <f>MAX(0,-(K20/M20))</f>
        <v>0</v>
      </c>
      <c r="P20" s="57">
        <f>($P$3*M20)+K20</f>
        <v>0.34669248987492751</v>
      </c>
      <c r="Q20" s="57">
        <f>(1+P20)^(1/$P$3)-1</f>
        <v>6.1337935751773154E-2</v>
      </c>
      <c r="R20" s="57">
        <f>$R$3+P20</f>
        <v>0.3976924898749275</v>
      </c>
      <c r="S20" s="57">
        <f>$S$3*$P$3</f>
        <v>0.125</v>
      </c>
      <c r="T20" s="57">
        <f>SUMIFS(Realpage!$I:$I,Realpage!$A:$A,$C20,Realpage!$F:$F,"NOI % of Revenue")</f>
        <v>0.51096298845370935</v>
      </c>
      <c r="U20" s="61">
        <v>1</v>
      </c>
      <c r="V20" s="61">
        <f>U20-T20</f>
        <v>0.48903701154629065</v>
      </c>
      <c r="W20" s="61">
        <f>U20*(1+R20)</f>
        <v>1.3976924898749274</v>
      </c>
      <c r="X20" s="61">
        <f>V20*(1+S20)</f>
        <v>0.55016663798957699</v>
      </c>
      <c r="Y20" s="61">
        <f>W20-X20</f>
        <v>0.84752585188535046</v>
      </c>
      <c r="Z20" s="57">
        <f>Y20/T20-1</f>
        <v>0.65868344877611817</v>
      </c>
      <c r="AA20" s="57">
        <f>(Y20/T20)^(1/$P$3)-1</f>
        <v>0.10650327126232262</v>
      </c>
      <c r="AB20" s="57">
        <f>$AB$3</f>
        <v>0.05</v>
      </c>
      <c r="AC20" s="61">
        <f>AB20/$AB$3</f>
        <v>1</v>
      </c>
      <c r="AD20" s="61">
        <f>AC20*(1+$AD$3)</f>
        <v>1.08</v>
      </c>
      <c r="AE20" s="61">
        <f>AC20*AB20</f>
        <v>0.05</v>
      </c>
      <c r="AF20" s="61">
        <f>AE20*(1+Z20)</f>
        <v>8.2934172438805909E-2</v>
      </c>
      <c r="AG20" s="57">
        <f>AF20/AD20</f>
        <v>7.6790900406301765E-2</v>
      </c>
      <c r="AH20" s="57">
        <f>AG20-AB20</f>
        <v>2.6790900406301763E-2</v>
      </c>
      <c r="AI20" s="57">
        <f>ROUND(AH20,4)</f>
        <v>2.6800000000000001E-2</v>
      </c>
      <c r="AJ20" s="57" cm="1">
        <f t="array" ref="AJ20">INDEX('Cap Rate to IRR Map'!$F$3:$F$623,MATCH(ROUND(AI20,4),ROUND('Cap Rate to IRR Map'!$E$3:$E$623,4),0))</f>
        <v>0.20899999999999999</v>
      </c>
      <c r="AK20" s="57">
        <f>$AK$3</f>
        <v>0.05</v>
      </c>
      <c r="AL20" s="62">
        <v>0.187</v>
      </c>
      <c r="AO20" t="s">
        <v>89</v>
      </c>
    </row>
    <row r="21" spans="2:41" x14ac:dyDescent="0.25">
      <c r="B21" s="53">
        <f t="shared" si="0"/>
        <v>17</v>
      </c>
      <c r="C21" s="54" t="s">
        <v>418</v>
      </c>
      <c r="D21" s="55">
        <f>SUMIFS(Realpage!$I:$I,Realpage!$A:$A,$C21,Realpage!$F:$F,"Rent Roll (Rev/OSF)")</f>
        <v>2.6393149581298747</v>
      </c>
      <c r="E21" s="55">
        <f>SUMIFS(Realpage!$I:$I,Realpage!$A:$A,$C21,Realpage!$F:$F,"Asking RPSF")</f>
        <v>2.7</v>
      </c>
      <c r="F21" s="56">
        <f>E21/D21</f>
        <v>1.0229927245640758</v>
      </c>
      <c r="G21" s="64" cm="1">
        <f t="array" ref="G21">SUMPRODUCT(('RP - Unit Starts'!$C$2:$C$101=$C21)*('RP - Unit Starts'!$F$2:$F$101="Unit Starts")*'RP - Unit Starts'!$I$2:$L$101)/SUMIFS('RP - Unit Starts'!$L:$L,'RP - Unit Starts'!$C:$C,$C21,'RP - Unit Starts'!$F:$F,"Existing Units")</f>
        <v>2.1078337483240759E-2</v>
      </c>
      <c r="H21" s="64">
        <f>F21-1</f>
        <v>2.299272456407575E-2</v>
      </c>
      <c r="I21" s="55">
        <f>SUMIFS(Realpage!$I:$I,Realpage!$A:$A,$C21,Realpage!$F:$F,"Effective RPSF")</f>
        <v>2.6550000000000002</v>
      </c>
      <c r="J21" s="65">
        <f>I21/D21</f>
        <v>1.0059428458213413</v>
      </c>
      <c r="K21" s="64">
        <f>J21-1</f>
        <v>5.9428458213413027E-3</v>
      </c>
      <c r="L21" s="21"/>
      <c r="M21" s="3">
        <f>AVERAGEIF('Realpage - His. Rent Change'!$A$2:$A$577,'Q2 2026 Summary'!C20,'Realpage - His. Rent Change'!$I$2:$AV$577)</f>
        <v>4.19E-2</v>
      </c>
      <c r="N21" s="57">
        <f>AVERAGE(L21:M21)</f>
        <v>4.19E-2</v>
      </c>
      <c r="O21" s="63">
        <f>MAX(0,-(K21/M21))</f>
        <v>0</v>
      </c>
      <c r="P21" s="57">
        <f>($P$3*M21)+K21</f>
        <v>0.21544284582134129</v>
      </c>
      <c r="Q21" s="57">
        <f>(1+P21)^(1/$P$3)-1</f>
        <v>3.9793045363613944E-2</v>
      </c>
      <c r="R21" s="57">
        <f>$R$3+P21</f>
        <v>0.26644284582134131</v>
      </c>
      <c r="S21" s="57">
        <f>$S$3*$P$3</f>
        <v>0.125</v>
      </c>
      <c r="T21" s="57">
        <f>SUMIFS(Realpage!$I:$I,Realpage!$A:$A,$C21,Realpage!$F:$F,"NOI % of Revenue")</f>
        <v>1.0370488517455096</v>
      </c>
      <c r="U21" s="61">
        <v>1</v>
      </c>
      <c r="V21" s="61">
        <f>U21-T21</f>
        <v>-3.7048851745509648E-2</v>
      </c>
      <c r="W21" s="61">
        <f>U21*(1+R21)</f>
        <v>1.2664428458213413</v>
      </c>
      <c r="X21" s="61">
        <f>V21*(1+S21)</f>
        <v>-4.1679958213698354E-2</v>
      </c>
      <c r="Y21" s="61">
        <f>W21-X21</f>
        <v>1.3081228040350397</v>
      </c>
      <c r="Z21" s="57">
        <f>Y21/T21-1</f>
        <v>0.26138976175835071</v>
      </c>
      <c r="AA21" s="57">
        <f>(Y21/T21)^(1/$P$3)-1</f>
        <v>4.7538178838893774E-2</v>
      </c>
      <c r="AB21" s="57">
        <f>$AB$3</f>
        <v>0.05</v>
      </c>
      <c r="AC21" s="61">
        <f>AB21/$AB$3</f>
        <v>1</v>
      </c>
      <c r="AD21" s="61">
        <f>AC21*(1+$AD$3)</f>
        <v>1.08</v>
      </c>
      <c r="AE21" s="61">
        <f>AC21*AB21</f>
        <v>0.05</v>
      </c>
      <c r="AF21" s="61">
        <f>AE21*(1+Z21)</f>
        <v>6.3069488087917541E-2</v>
      </c>
      <c r="AG21" s="57">
        <f>AF21/AD21</f>
        <v>5.8397674155479203E-2</v>
      </c>
      <c r="AH21" s="57">
        <f>AG21-AB21</f>
        <v>8.3976741554791998E-3</v>
      </c>
      <c r="AI21" s="57">
        <f>ROUND(AH21,4)</f>
        <v>8.3999999999999995E-3</v>
      </c>
      <c r="AJ21" s="57" cm="1">
        <f t="array" ref="AJ21">INDEX('Cap Rate to IRR Map'!$F$3:$F$623,MATCH(ROUND(AI21,4),ROUND('Cap Rate to IRR Map'!$E$3:$E$623,4),0))</f>
        <v>7.8E-2</v>
      </c>
      <c r="AK21" s="57">
        <f>$AK$3</f>
        <v>0.05</v>
      </c>
      <c r="AL21" s="62">
        <v>0.17099999999999999</v>
      </c>
      <c r="AN21" t="s">
        <v>86</v>
      </c>
    </row>
    <row r="22" spans="2:41" x14ac:dyDescent="0.25">
      <c r="B22" s="53">
        <f t="shared" si="0"/>
        <v>18</v>
      </c>
      <c r="C22" s="54" t="s">
        <v>218</v>
      </c>
      <c r="D22" s="55">
        <f>SUMIFS(Realpage!$I:$I,Realpage!$A:$A,$C22,Realpage!$F:$F,"Rent Roll (Rev/OSF)")</f>
        <v>3.1663271135291913</v>
      </c>
      <c r="E22" s="55">
        <f>SUMIFS(Realpage!$I:$I,Realpage!$A:$A,$C22,Realpage!$F:$F,"Asking RPSF")</f>
        <v>3.238</v>
      </c>
      <c r="F22" s="56">
        <f>E22/D22</f>
        <v>1.0226359702901706</v>
      </c>
      <c r="G22" s="64" cm="1">
        <f t="array" ref="G22">SUMPRODUCT(('RP - Unit Starts'!$C$2:$C$101=$C22)*('RP - Unit Starts'!$F$2:$F$101="Unit Starts")*'RP - Unit Starts'!$I$2:$L$101)/SUMIFS('RP - Unit Starts'!$L:$L,'RP - Unit Starts'!$C:$C,$C22,'RP - Unit Starts'!$F:$F,"Existing Units")</f>
        <v>1.4331659100977499E-2</v>
      </c>
      <c r="H22" s="64">
        <f>F22-1</f>
        <v>2.2635970290170615E-2</v>
      </c>
      <c r="I22" s="55">
        <f>SUMIFS(Realpage!$I:$I,Realpage!$A:$A,$C22,Realpage!$F:$F,"Effective RPSF")</f>
        <v>3.218</v>
      </c>
      <c r="J22" s="65">
        <f>I22/D22</f>
        <v>1.0163195035187675</v>
      </c>
      <c r="K22" s="64">
        <f>J22-1</f>
        <v>1.6319503518767542E-2</v>
      </c>
      <c r="L22" s="21"/>
      <c r="M22" s="3">
        <f>AVERAGEIF('Realpage - His. Rent Change'!$A$2:$A$577,'Q2 2026 Summary'!C17,'Realpage - His. Rent Change'!$I$2:$AV$577)</f>
        <v>8.9300000000000004E-2</v>
      </c>
      <c r="N22" s="57">
        <f>AVERAGE(L22:M22)</f>
        <v>8.9300000000000004E-2</v>
      </c>
      <c r="O22" s="63">
        <f>MAX(0,-(K22/M22))</f>
        <v>0</v>
      </c>
      <c r="P22" s="57">
        <f>($P$3*M22)+K22</f>
        <v>0.46281950351876755</v>
      </c>
      <c r="Q22" s="57">
        <f>(1+P22)^(1/$P$3)-1</f>
        <v>7.9041501043302098E-2</v>
      </c>
      <c r="R22" s="57">
        <f>$R$3+P22</f>
        <v>0.5138195035187676</v>
      </c>
      <c r="S22" s="57">
        <f>$S$3*$P$3</f>
        <v>0.125</v>
      </c>
      <c r="T22" s="57">
        <f>SUMIFS(Realpage!$I:$I,Realpage!$A:$A,$C22,Realpage!$F:$F,"NOI % of Revenue")</f>
        <v>1.0136820181322881</v>
      </c>
      <c r="U22" s="61">
        <v>1</v>
      </c>
      <c r="V22" s="61">
        <f>U22-T22</f>
        <v>-1.3682018132288087E-2</v>
      </c>
      <c r="W22" s="61">
        <f>U22*(1+R22)</f>
        <v>1.5138195035187676</v>
      </c>
      <c r="X22" s="61">
        <f>V22*(1+S22)</f>
        <v>-1.5392270398824098E-2</v>
      </c>
      <c r="Y22" s="61">
        <f>W22-X22</f>
        <v>1.5292117739175917</v>
      </c>
      <c r="Z22" s="57">
        <f>Y22/T22-1</f>
        <v>0.50857147168810246</v>
      </c>
      <c r="AA22" s="57">
        <f>(Y22/T22)^(1/$P$3)-1</f>
        <v>8.5708350482078144E-2</v>
      </c>
      <c r="AB22" s="57">
        <f>$AB$3</f>
        <v>0.05</v>
      </c>
      <c r="AC22" s="61">
        <f>AB22/$AB$3</f>
        <v>1</v>
      </c>
      <c r="AD22" s="61">
        <f>AC22*(1+$AD$3)</f>
        <v>1.08</v>
      </c>
      <c r="AE22" s="61">
        <f>AC22*AB22</f>
        <v>0.05</v>
      </c>
      <c r="AF22" s="61">
        <f>AE22*(1+Z22)</f>
        <v>7.5428573584405134E-2</v>
      </c>
      <c r="AG22" s="57">
        <f>AF22/AD22</f>
        <v>6.984127183741215E-2</v>
      </c>
      <c r="AH22" s="57">
        <f>AG22-AB22</f>
        <v>1.9841271837412147E-2</v>
      </c>
      <c r="AI22" s="57">
        <f>ROUND(AH22,4)</f>
        <v>1.9800000000000002E-2</v>
      </c>
      <c r="AJ22" s="57" cm="1">
        <f t="array" ref="AJ22">INDEX('Cap Rate to IRR Map'!$F$3:$F$623,MATCH(ROUND(AI22,4),ROUND('Cap Rate to IRR Map'!$E$3:$E$623,4),0))</f>
        <v>0.16500000000000001</v>
      </c>
      <c r="AK22" s="57">
        <f>$AK$3</f>
        <v>0.05</v>
      </c>
      <c r="AL22" s="62">
        <v>0.14224999999999999</v>
      </c>
      <c r="AO22" t="s">
        <v>78</v>
      </c>
    </row>
    <row r="23" spans="2:41" x14ac:dyDescent="0.25">
      <c r="B23" s="53">
        <f t="shared" si="0"/>
        <v>19</v>
      </c>
      <c r="C23" s="54" t="s">
        <v>12</v>
      </c>
      <c r="D23" s="55">
        <f>SUMIFS(Realpage!$I:$I,Realpage!$A:$A,$C23,Realpage!$F:$F,"Rent Roll (Rev/OSF)")</f>
        <v>4.8360193590693559</v>
      </c>
      <c r="E23" s="55">
        <f>SUMIFS(Realpage!$I:$I,Realpage!$A:$A,$C23,Realpage!$F:$F,"Asking RPSF")</f>
        <v>4.9119999999999999</v>
      </c>
      <c r="F23" s="56">
        <f>E23/D23</f>
        <v>1.0157114013177289</v>
      </c>
      <c r="G23" s="64" cm="1">
        <f t="array" ref="G23">SUMPRODUCT(('RP - Unit Starts'!$C$2:$C$101=$C23)*('RP - Unit Starts'!$F$2:$F$101="Unit Starts")*'RP - Unit Starts'!$I$2:$L$101)/SUMIFS('RP - Unit Starts'!$L:$L,'RP - Unit Starts'!$C:$C,$C23,'RP - Unit Starts'!$F:$F,"Existing Units")</f>
        <v>2.2218026658611185E-2</v>
      </c>
      <c r="H23" s="64">
        <f>F23-1</f>
        <v>1.5711401317728857E-2</v>
      </c>
      <c r="I23" s="55">
        <f>SUMIFS(Realpage!$I:$I,Realpage!$A:$A,$C23,Realpage!$F:$F,"Effective RPSF")</f>
        <v>4.8840000000000003</v>
      </c>
      <c r="J23" s="65">
        <f>I23/D23</f>
        <v>1.0099215154795984</v>
      </c>
      <c r="K23" s="64">
        <f>J23-1</f>
        <v>9.9215154795984084E-3</v>
      </c>
      <c r="L23" s="24">
        <v>5.0299999999999997E-2</v>
      </c>
      <c r="M23" s="3">
        <f>AVERAGEIF('Realpage - His. Rent Change'!$A$2:$A$577,'Q2 2026 Summary'!C15,'Realpage - His. Rent Change'!$I$2:$AV$577)</f>
        <v>3.2899999999999999E-2</v>
      </c>
      <c r="N23" s="57">
        <f>AVERAGE(L23:M23)</f>
        <v>4.1599999999999998E-2</v>
      </c>
      <c r="O23" s="60">
        <f>MAX(0,-(K23/M23))</f>
        <v>0</v>
      </c>
      <c r="P23" s="57">
        <f>($P$3*M23)+K23</f>
        <v>0.17442151547959839</v>
      </c>
      <c r="Q23" s="57">
        <f>(1+P23)^(1/$P$3)-1</f>
        <v>3.2677702313634427E-2</v>
      </c>
      <c r="R23" s="57">
        <f>$R$3+P23</f>
        <v>0.22542151547959838</v>
      </c>
      <c r="S23" s="57">
        <f>$S$3*$P$3</f>
        <v>0.125</v>
      </c>
      <c r="T23" s="57">
        <f>SUMIFS(Realpage!$I:$I,Realpage!$A:$A,$C23,Realpage!$F:$F,"NOI % of Revenue")</f>
        <v>1.1956526003743586</v>
      </c>
      <c r="U23" s="61">
        <v>1</v>
      </c>
      <c r="V23" s="61">
        <f>U23-T23</f>
        <v>-0.19565260037435861</v>
      </c>
      <c r="W23" s="61">
        <f>U23*(1+R23)</f>
        <v>1.2254215154795984</v>
      </c>
      <c r="X23" s="61">
        <f>V23*(1+S23)</f>
        <v>-0.22010917542115344</v>
      </c>
      <c r="Y23" s="61">
        <f>W23-X23</f>
        <v>1.4455306909007519</v>
      </c>
      <c r="Z23" s="57">
        <f>Y23/T23-1</f>
        <v>0.20898887389878684</v>
      </c>
      <c r="AA23" s="57">
        <f>(Y23/T23)^(1/$P$3)-1</f>
        <v>3.8686437284411346E-2</v>
      </c>
      <c r="AB23" s="57">
        <f>$AB$3</f>
        <v>0.05</v>
      </c>
      <c r="AC23" s="61">
        <f>AB23/$AB$3</f>
        <v>1</v>
      </c>
      <c r="AD23" s="61">
        <f>AC23*(1+$AD$3)</f>
        <v>1.08</v>
      </c>
      <c r="AE23" s="61">
        <f>AC23*AB23</f>
        <v>0.05</v>
      </c>
      <c r="AF23" s="61">
        <f>AE23*(1+Z23)</f>
        <v>6.0449443694939348E-2</v>
      </c>
      <c r="AG23" s="57">
        <f>AF23/AD23</f>
        <v>5.5971707124943836E-2</v>
      </c>
      <c r="AH23" s="57">
        <f>AG23-AB23</f>
        <v>5.9717071249438328E-3</v>
      </c>
      <c r="AI23" s="57">
        <f>ROUND(AH23,4)</f>
        <v>6.0000000000000001E-3</v>
      </c>
      <c r="AJ23" s="57" cm="1">
        <f t="array" ref="AJ23">INDEX('Cap Rate to IRR Map'!$F$3:$F$623,MATCH(ROUND(AI23,4),ROUND('Cap Rate to IRR Map'!$E$3:$E$623,4),0))</f>
        <v>5.5999999999999987E-2</v>
      </c>
      <c r="AK23" s="57">
        <f>$AK$3</f>
        <v>0.05</v>
      </c>
      <c r="AL23" s="62">
        <v>0.15000000000000002</v>
      </c>
      <c r="AN23" t="s">
        <v>92</v>
      </c>
    </row>
    <row r="24" spans="2:41" x14ac:dyDescent="0.25">
      <c r="B24" s="53">
        <f t="shared" si="0"/>
        <v>20</v>
      </c>
      <c r="C24" s="54" t="s">
        <v>19</v>
      </c>
      <c r="D24" s="55">
        <f>SUMIFS(Realpage!$I:$I,Realpage!$A:$A,$C24,Realpage!$F:$F,"Rent Roll (Rev/OSF)")</f>
        <v>3.6438245657534734</v>
      </c>
      <c r="E24" s="55">
        <f>SUMIFS(Realpage!$I:$I,Realpage!$A:$A,$C24,Realpage!$F:$F,"Asking RPSF")</f>
        <v>3.6920000000000002</v>
      </c>
      <c r="F24" s="56">
        <f>E24/D24</f>
        <v>1.0132211179153092</v>
      </c>
      <c r="G24" s="64" cm="1">
        <f t="array" ref="G24">SUMPRODUCT(('RP - Unit Starts'!$C$2:$C$101=$C24)*('RP - Unit Starts'!$F$2:$F$101="Unit Starts")*'RP - Unit Starts'!$I$2:$L$101)/SUMIFS('RP - Unit Starts'!$L:$L,'RP - Unit Starts'!$C:$C,$C24,'RP - Unit Starts'!$F:$F,"Existing Units")</f>
        <v>2.9310722900372781E-2</v>
      </c>
      <c r="H24" s="64">
        <f>F24-1</f>
        <v>1.3221117915309222E-2</v>
      </c>
      <c r="I24" s="55">
        <f>SUMIFS(Realpage!$I:$I,Realpage!$A:$A,$C24,Realpage!$F:$F,"Effective RPSF")</f>
        <v>3.6240000000000001</v>
      </c>
      <c r="J24" s="65">
        <f>I24/D24</f>
        <v>0.99455940718447466</v>
      </c>
      <c r="K24" s="64">
        <f>J24-1</f>
        <v>-5.4405928155253358E-3</v>
      </c>
      <c r="L24" s="26"/>
      <c r="M24" s="3">
        <f>AVERAGEIF('Realpage - His. Rent Change'!$A$2:$A$577,'Q2 2026 Summary'!C28,'Realpage - His. Rent Change'!$I$2:$AV$577)</f>
        <v>4.6800000000000001E-2</v>
      </c>
      <c r="N24" s="57">
        <f>AVERAGE(L24:M24)</f>
        <v>4.6800000000000001E-2</v>
      </c>
      <c r="O24" s="60">
        <f>MAX(0,-(K24/M24))</f>
        <v>0.11625198323772085</v>
      </c>
      <c r="P24" s="57">
        <f>($P$3*M24)+K24</f>
        <v>0.22855940718447468</v>
      </c>
      <c r="Q24" s="57">
        <f>(1+P24)^(1/$P$3)-1</f>
        <v>4.2027624338542013E-2</v>
      </c>
      <c r="R24" s="57">
        <f>$R$3+P24</f>
        <v>0.2795594071844747</v>
      </c>
      <c r="S24" s="57">
        <f>$S$3*$P$3</f>
        <v>0.125</v>
      </c>
      <c r="T24" s="57">
        <f>SUMIFS(Realpage!$I:$I,Realpage!$A:$A,$C24,Realpage!$F:$F,"NOI % of Revenue")</f>
        <v>1.0900597892872192</v>
      </c>
      <c r="U24" s="61">
        <v>1</v>
      </c>
      <c r="V24" s="61">
        <f>U24-T24</f>
        <v>-9.005978928721925E-2</v>
      </c>
      <c r="W24" s="61">
        <f>U24*(1+R24)</f>
        <v>1.2795594071844747</v>
      </c>
      <c r="X24" s="61">
        <f>V24*(1+S24)</f>
        <v>-0.10131726294812166</v>
      </c>
      <c r="Y24" s="61">
        <f>W24-X24</f>
        <v>1.3808766701325963</v>
      </c>
      <c r="Z24" s="57">
        <f>Y24/T24-1</f>
        <v>0.26678984373466319</v>
      </c>
      <c r="AA24" s="57">
        <f>(Y24/T24)^(1/$P$3)-1</f>
        <v>4.8433561090638122E-2</v>
      </c>
      <c r="AB24" s="57">
        <f>$AB$3</f>
        <v>0.05</v>
      </c>
      <c r="AC24" s="61">
        <f>AB24/$AB$3</f>
        <v>1</v>
      </c>
      <c r="AD24" s="61">
        <f>AC24*(1+$AD$3)</f>
        <v>1.08</v>
      </c>
      <c r="AE24" s="61">
        <f>AC24*AB24</f>
        <v>0.05</v>
      </c>
      <c r="AF24" s="61">
        <f>AE24*(1+Z24)</f>
        <v>6.3339492186733168E-2</v>
      </c>
      <c r="AG24" s="57">
        <f>AF24/AD24</f>
        <v>5.8647677950678857E-2</v>
      </c>
      <c r="AH24" s="57">
        <f>AG24-AB24</f>
        <v>8.6476779506788545E-3</v>
      </c>
      <c r="AI24" s="57">
        <f>ROUND(AH24,4)</f>
        <v>8.6E-3</v>
      </c>
      <c r="AJ24" s="57" cm="1">
        <f t="array" ref="AJ24">INDEX('Cap Rate to IRR Map'!$F$3:$F$623,MATCH(ROUND(AI24,4),ROUND('Cap Rate to IRR Map'!$E$3:$E$623,4),0))</f>
        <v>0.08</v>
      </c>
      <c r="AK24" s="57">
        <f>$AK$3</f>
        <v>0.05</v>
      </c>
      <c r="AL24" s="62">
        <v>0.10366700000000001</v>
      </c>
    </row>
    <row r="25" spans="2:41" x14ac:dyDescent="0.25">
      <c r="B25" s="53">
        <f t="shared" si="0"/>
        <v>21</v>
      </c>
      <c r="C25" s="54" t="s">
        <v>228</v>
      </c>
      <c r="D25" s="55">
        <f>SUMIFS(Realpage!$I:$I,Realpage!$A:$A,$C25,Realpage!$F:$F,"Rent Roll (Rev/OSF)")</f>
        <v>2.6995688774229847</v>
      </c>
      <c r="E25" s="55">
        <f>SUMIFS(Realpage!$I:$I,Realpage!$A:$A,$C25,Realpage!$F:$F,"Asking RPSF")</f>
        <v>2.734</v>
      </c>
      <c r="F25" s="56">
        <f>E25/D25</f>
        <v>1.0127543041649982</v>
      </c>
      <c r="G25" s="64" cm="1">
        <f t="array" ref="G25">SUMPRODUCT(('RP - Unit Starts'!$C$2:$C$101=$C25)*('RP - Unit Starts'!$F$2:$F$101="Unit Starts")*'RP - Unit Starts'!$I$2:$L$101)/SUMIFS('RP - Unit Starts'!$L:$L,'RP - Unit Starts'!$C:$C,$C25,'RP - Unit Starts'!$F:$F,"Existing Units")</f>
        <v>1.6225482379205868E-2</v>
      </c>
      <c r="H25" s="64">
        <f>F25-1</f>
        <v>1.2754304164998231E-2</v>
      </c>
      <c r="I25" s="55">
        <f>SUMIFS(Realpage!$I:$I,Realpage!$A:$A,$C25,Realpage!$F:$F,"Effective RPSF")</f>
        <v>2.7080000000000002</v>
      </c>
      <c r="J25" s="65">
        <f>I25/D25</f>
        <v>1.0031231366784255</v>
      </c>
      <c r="K25" s="64">
        <f>J25-1</f>
        <v>3.1231366784254533E-3</v>
      </c>
      <c r="L25" s="21"/>
      <c r="M25" s="3">
        <f>AVERAGEIF('Realpage - His. Rent Change'!$A$2:$A$577,'Q2 2026 Summary'!C22,'Realpage - His. Rent Change'!$I$2:$AV$577)</f>
        <v>3.5700000000000003E-2</v>
      </c>
      <c r="N25" s="57">
        <f>AVERAGE(L25:M25)</f>
        <v>3.5700000000000003E-2</v>
      </c>
      <c r="O25" s="63">
        <f>MAX(0,-(K25/M25))</f>
        <v>0</v>
      </c>
      <c r="P25" s="57">
        <f>($P$3*M25)+K25</f>
        <v>0.18162313667842547</v>
      </c>
      <c r="Q25" s="57">
        <f>(1+P25)^(1/$P$3)-1</f>
        <v>3.3941095197637106E-2</v>
      </c>
      <c r="R25" s="57">
        <f>$R$3+P25</f>
        <v>0.23262313667842546</v>
      </c>
      <c r="S25" s="57">
        <f>$S$3*$P$3</f>
        <v>0.125</v>
      </c>
      <c r="T25" s="57">
        <f>SUMIFS(Realpage!$I:$I,Realpage!$A:$A,$C25,Realpage!$F:$F,"NOI % of Revenue")</f>
        <v>1.1093338862166529</v>
      </c>
      <c r="U25" s="61">
        <v>1</v>
      </c>
      <c r="V25" s="61">
        <f>U25-T25</f>
        <v>-0.10933388621665285</v>
      </c>
      <c r="W25" s="61">
        <f>U25*(1+R25)</f>
        <v>1.2326231366784255</v>
      </c>
      <c r="X25" s="61">
        <f>V25*(1+S25)</f>
        <v>-0.12300062199373446</v>
      </c>
      <c r="Y25" s="61">
        <f>W25-X25</f>
        <v>1.35562375867216</v>
      </c>
      <c r="Z25" s="57">
        <f>Y25/T25-1</f>
        <v>0.22201600033644575</v>
      </c>
      <c r="AA25" s="57">
        <f>(Y25/T25)^(1/$P$3)-1</f>
        <v>4.0915267311252501E-2</v>
      </c>
      <c r="AB25" s="57">
        <f>$AB$3</f>
        <v>0.05</v>
      </c>
      <c r="AC25" s="61">
        <f>AB25/$AB$3</f>
        <v>1</v>
      </c>
      <c r="AD25" s="61">
        <f>AC25*(1+$AD$3)</f>
        <v>1.08</v>
      </c>
      <c r="AE25" s="61">
        <f>AC25*AB25</f>
        <v>0.05</v>
      </c>
      <c r="AF25" s="61">
        <f>AE25*(1+Z25)</f>
        <v>6.110080001682229E-2</v>
      </c>
      <c r="AG25" s="57">
        <f>AF25/AD25</f>
        <v>5.6574814830391007E-2</v>
      </c>
      <c r="AH25" s="57">
        <f>AG25-AB25</f>
        <v>6.5748148303910042E-3</v>
      </c>
      <c r="AI25" s="57">
        <f>ROUND(AH25,4)</f>
        <v>6.6E-3</v>
      </c>
      <c r="AJ25" s="57" cm="1">
        <f t="array" ref="AJ25">INDEX('Cap Rate to IRR Map'!$F$3:$F$623,MATCH(ROUND(AI25,4),ROUND('Cap Rate to IRR Map'!$E$3:$E$623,4),0))</f>
        <v>6.2E-2</v>
      </c>
      <c r="AK25" s="57">
        <f>$AK$3</f>
        <v>0.05</v>
      </c>
      <c r="AL25" s="62">
        <v>0.20150000000000001</v>
      </c>
      <c r="AO25" t="s">
        <v>111</v>
      </c>
    </row>
    <row r="26" spans="2:41" x14ac:dyDescent="0.25">
      <c r="B26" s="53">
        <f t="shared" si="0"/>
        <v>22</v>
      </c>
      <c r="C26" s="54" t="s">
        <v>20</v>
      </c>
      <c r="D26" s="55">
        <f>SUMIFS(Realpage!$I:$I,Realpage!$A:$A,$C26,Realpage!$F:$F,"Rent Roll (Rev/OSF)")</f>
        <v>2.9490835828637683</v>
      </c>
      <c r="E26" s="55">
        <f>SUMIFS(Realpage!$I:$I,Realpage!$A:$A,$C26,Realpage!$F:$F,"Asking RPSF")</f>
        <v>2.9859999999999998</v>
      </c>
      <c r="F26" s="56">
        <f>E26/D26</f>
        <v>1.0125179284001111</v>
      </c>
      <c r="G26" s="64" cm="1">
        <f t="array" ref="G26">SUMPRODUCT(('RP - Unit Starts'!$C$2:$C$101=$C26)*('RP - Unit Starts'!$F$2:$F$101="Unit Starts")*'RP - Unit Starts'!$I$2:$L$101)/SUMIFS('RP - Unit Starts'!$L:$L,'RP - Unit Starts'!$C:$C,$C26,'RP - Unit Starts'!$F:$F,"Existing Units")</f>
        <v>5.0482755498205941E-3</v>
      </c>
      <c r="H26" s="64">
        <f>F26-1</f>
        <v>1.2517928400111122E-2</v>
      </c>
      <c r="I26" s="55">
        <f>SUMIFS(Realpage!$I:$I,Realpage!$A:$A,$C26,Realpage!$F:$F,"Effective RPSF")</f>
        <v>2.92</v>
      </c>
      <c r="J26" s="65">
        <f>I26/D26</f>
        <v>0.99013809475161563</v>
      </c>
      <c r="K26" s="64">
        <f>J26-1</f>
        <v>-9.8619052483843728E-3</v>
      </c>
      <c r="L26" s="27"/>
      <c r="M26" s="3">
        <f>AVERAGEIF('Realpage - His. Rent Change'!$A$2:$A$577,'Q2 2026 Summary'!C32,'Realpage - His. Rent Change'!$I$2:$AV$577)</f>
        <v>7.8200000000000006E-2</v>
      </c>
      <c r="N26" s="57">
        <f>AVERAGE(L26:M26)</f>
        <v>7.8200000000000006E-2</v>
      </c>
      <c r="O26" s="60">
        <f>MAX(0,-(K26/M26))</f>
        <v>0.12611132031182062</v>
      </c>
      <c r="P26" s="57">
        <f>($P$3*M26)+K26</f>
        <v>0.38113809475161564</v>
      </c>
      <c r="Q26" s="57">
        <f>(1+P26)^(1/$P$3)-1</f>
        <v>6.6712589775645981E-2</v>
      </c>
      <c r="R26" s="57">
        <f>$R$3+P26</f>
        <v>0.43213809475161563</v>
      </c>
      <c r="S26" s="57">
        <f>$S$3*$P$3</f>
        <v>0.125</v>
      </c>
      <c r="T26" s="57">
        <f>SUMIFS(Realpage!$I:$I,Realpage!$A:$A,$C26,Realpage!$F:$F,"NOI % of Revenue")</f>
        <v>1.2121145081751816</v>
      </c>
      <c r="U26" s="61">
        <v>1</v>
      </c>
      <c r="V26" s="61">
        <f>U26-T26</f>
        <v>-0.21211450817518163</v>
      </c>
      <c r="W26" s="61">
        <f>U26*(1+R26)</f>
        <v>1.4321380947516156</v>
      </c>
      <c r="X26" s="61">
        <f>V26*(1+S26)</f>
        <v>-0.23862882169707933</v>
      </c>
      <c r="Y26" s="61">
        <f>W26-X26</f>
        <v>1.6707669164486949</v>
      </c>
      <c r="Z26" s="57">
        <f>Y26/T26-1</f>
        <v>0.37839032961003571</v>
      </c>
      <c r="AA26" s="57">
        <f>(Y26/T26)^(1/$P$3)-1</f>
        <v>6.6287808066714415E-2</v>
      </c>
      <c r="AB26" s="57">
        <f>$AB$3</f>
        <v>0.05</v>
      </c>
      <c r="AC26" s="61">
        <f>AB26/$AB$3</f>
        <v>1</v>
      </c>
      <c r="AD26" s="61">
        <f>AC26*(1+$AD$3)</f>
        <v>1.08</v>
      </c>
      <c r="AE26" s="61">
        <f>AC26*AB26</f>
        <v>0.05</v>
      </c>
      <c r="AF26" s="61">
        <f>AE26*(1+Z26)</f>
        <v>6.8919516480501791E-2</v>
      </c>
      <c r="AG26" s="57">
        <f>AF26/AD26</f>
        <v>6.3814367111575732E-2</v>
      </c>
      <c r="AH26" s="57">
        <f>AG26-AB26</f>
        <v>1.3814367111575729E-2</v>
      </c>
      <c r="AI26" s="57">
        <f>ROUND(AH26,4)</f>
        <v>1.38E-2</v>
      </c>
      <c r="AJ26" s="57" cm="1">
        <f t="array" ref="AJ26">INDEX('Cap Rate to IRR Map'!$F$3:$F$623,MATCH(ROUND(AI26,4),ROUND('Cap Rate to IRR Map'!$E$3:$E$623,4),0))</f>
        <v>0.122</v>
      </c>
      <c r="AK26" s="57">
        <f>$AK$3</f>
        <v>0.05</v>
      </c>
      <c r="AL26" s="62">
        <v>0.109</v>
      </c>
    </row>
    <row r="27" spans="2:41" x14ac:dyDescent="0.25">
      <c r="B27" s="53">
        <f t="shared" si="0"/>
        <v>23</v>
      </c>
      <c r="C27" s="54" t="s">
        <v>250</v>
      </c>
      <c r="D27" s="55">
        <f>SUMIFS(Realpage!$I:$I,Realpage!$A:$A,$C27,Realpage!$F:$F,"Rent Roll (Rev/OSF)")</f>
        <v>2.5974637498546178</v>
      </c>
      <c r="E27" s="55">
        <f>SUMIFS(Realpage!$I:$I,Realpage!$A:$A,$C27,Realpage!$F:$F,"Asking RPSF")</f>
        <v>2.6269999999999998</v>
      </c>
      <c r="F27" s="56">
        <f>E27/D27</f>
        <v>1.0113711885861874</v>
      </c>
      <c r="G27" s="64" cm="1">
        <f t="array" ref="G27">SUMPRODUCT(('RP - Unit Starts'!$C$2:$C$101=$C27)*('RP - Unit Starts'!$F$2:$F$101="Unit Starts")*'RP - Unit Starts'!$I$2:$L$101)/SUMIFS('RP - Unit Starts'!$L:$L,'RP - Unit Starts'!$C:$C,$C27,'RP - Unit Starts'!$F:$F,"Existing Units")</f>
        <v>1.1765675208041526E-2</v>
      </c>
      <c r="H27" s="64">
        <f>F27-1</f>
        <v>1.1371188586187353E-2</v>
      </c>
      <c r="I27" s="55">
        <f>SUMIFS(Realpage!$I:$I,Realpage!$A:$A,$C27,Realpage!$F:$F,"Effective RPSF")</f>
        <v>2.5709999999999997</v>
      </c>
      <c r="J27" s="65">
        <f>I27/D27</f>
        <v>0.98981169617627995</v>
      </c>
      <c r="K27" s="64">
        <f>J27-1</f>
        <v>-1.0188303823720046E-2</v>
      </c>
      <c r="L27" s="21"/>
      <c r="M27" s="3">
        <f>AVERAGEIF('Realpage - His. Rent Change'!$A$2:$A$577,'Q2 2026 Summary'!C30,'Realpage - His. Rent Change'!$I$2:$AV$577)</f>
        <v>6.8599999999999994E-2</v>
      </c>
      <c r="N27" s="57">
        <f>AVERAGE(L27:M27)</f>
        <v>6.8599999999999994E-2</v>
      </c>
      <c r="O27" s="63">
        <f>MAX(0,-(K27/M27))</f>
        <v>0.14851754845072954</v>
      </c>
      <c r="P27" s="57">
        <f>($P$3*M27)+K27</f>
        <v>0.33281169617627993</v>
      </c>
      <c r="Q27" s="57">
        <f>(1+P27)^(1/$P$3)-1</f>
        <v>5.9140948498877632E-2</v>
      </c>
      <c r="R27" s="57">
        <f>$R$3+P27</f>
        <v>0.38381169617627992</v>
      </c>
      <c r="S27" s="57">
        <f>$S$3*$P$3</f>
        <v>0.125</v>
      </c>
      <c r="T27" s="57">
        <f>SUMIFS(Realpage!$I:$I,Realpage!$A:$A,$C27,Realpage!$F:$F,"NOI % of Revenue")</f>
        <v>1.0647582766757109</v>
      </c>
      <c r="U27" s="61">
        <v>1</v>
      </c>
      <c r="V27" s="61">
        <f>U27-T27</f>
        <v>-6.475827667571088E-2</v>
      </c>
      <c r="W27" s="61">
        <f>U27*(1+R27)</f>
        <v>1.3838116961762799</v>
      </c>
      <c r="X27" s="61">
        <f>V27*(1+S27)</f>
        <v>-7.285306126017474E-2</v>
      </c>
      <c r="Y27" s="61">
        <f>W27-X27</f>
        <v>1.4566647574364546</v>
      </c>
      <c r="Z27" s="57">
        <f>Y27/T27-1</f>
        <v>0.3680708470135754</v>
      </c>
      <c r="AA27" s="57">
        <f>(Y27/T27)^(1/$P$3)-1</f>
        <v>6.4686427273848768E-2</v>
      </c>
      <c r="AB27" s="57">
        <f>$AB$3</f>
        <v>0.05</v>
      </c>
      <c r="AC27" s="61">
        <f>AB27/$AB$3</f>
        <v>1</v>
      </c>
      <c r="AD27" s="61">
        <f>AC27*(1+$AD$3)</f>
        <v>1.08</v>
      </c>
      <c r="AE27" s="61">
        <f>AC27*AB27</f>
        <v>0.05</v>
      </c>
      <c r="AF27" s="61">
        <f>AE27*(1+Z27)</f>
        <v>6.8403542350678775E-2</v>
      </c>
      <c r="AG27" s="57">
        <f>AF27/AD27</f>
        <v>6.333661328766553E-2</v>
      </c>
      <c r="AH27" s="57">
        <f>AG27-AB27</f>
        <v>1.3336613287665527E-2</v>
      </c>
      <c r="AI27" s="57">
        <f>ROUND(AH27,4)</f>
        <v>1.3299999999999999E-2</v>
      </c>
      <c r="AJ27" s="57" cm="1">
        <f t="array" ref="AJ27">INDEX('Cap Rate to IRR Map'!$F$3:$F$623,MATCH(ROUND(AI27,4),ROUND('Cap Rate to IRR Map'!$E$3:$E$623,4),0))</f>
        <v>0.11824999999999999</v>
      </c>
      <c r="AK27" s="57">
        <f>$AK$3</f>
        <v>0.05</v>
      </c>
      <c r="AL27" s="62">
        <v>0.16966700000000001</v>
      </c>
      <c r="AO27" t="s">
        <v>88</v>
      </c>
    </row>
    <row r="28" spans="2:41" x14ac:dyDescent="0.25">
      <c r="B28" s="53">
        <f t="shared" si="0"/>
        <v>24</v>
      </c>
      <c r="C28" s="54" t="s">
        <v>320</v>
      </c>
      <c r="D28" s="55">
        <f>SUMIFS(Realpage!$I:$I,Realpage!$A:$A,$C28,Realpage!$F:$F,"Rent Roll (Rev/OSF)")</f>
        <v>2.6386152461222485</v>
      </c>
      <c r="E28" s="55">
        <f>SUMIFS(Realpage!$I:$I,Realpage!$A:$A,$C28,Realpage!$F:$F,"Asking RPSF")</f>
        <v>2.661</v>
      </c>
      <c r="F28" s="56">
        <f>E28/D28</f>
        <v>1.0084835232839076</v>
      </c>
      <c r="G28" s="64" cm="1">
        <f t="array" ref="G28">SUMPRODUCT(('RP - Unit Starts'!$C$2:$C$101=$C28)*('RP - Unit Starts'!$F$2:$F$101="Unit Starts")*'RP - Unit Starts'!$I$2:$L$101)/SUMIFS('RP - Unit Starts'!$L:$L,'RP - Unit Starts'!$C:$C,$C28,'RP - Unit Starts'!$F:$F,"Existing Units")</f>
        <v>1.5879717387558161E-2</v>
      </c>
      <c r="H28" s="64">
        <f>F28-1</f>
        <v>8.4835232839075569E-3</v>
      </c>
      <c r="I28" s="55">
        <f>SUMIFS(Realpage!$I:$I,Realpage!$A:$A,$C28,Realpage!$F:$F,"Effective RPSF")</f>
        <v>2.63</v>
      </c>
      <c r="J28" s="65">
        <f>I28/D28</f>
        <v>0.99673493657898415</v>
      </c>
      <c r="K28" s="64">
        <f>J28-1</f>
        <v>-3.2650634210158458E-3</v>
      </c>
      <c r="L28" s="21"/>
      <c r="M28" s="3">
        <f>AVERAGEIF('Realpage - His. Rent Change'!$A$2:$A$577,'Q2 2026 Summary'!C25,'Realpage - His. Rent Change'!$I$2:$AV$577)</f>
        <v>4.65E-2</v>
      </c>
      <c r="N28" s="57">
        <f>AVERAGE(L28:M28)</f>
        <v>4.65E-2</v>
      </c>
      <c r="O28" s="63">
        <f>MAX(0,-(K28/M28))</f>
        <v>7.0216417656254748E-2</v>
      </c>
      <c r="P28" s="57">
        <f>($P$3*M28)+K28</f>
        <v>0.22923493657898414</v>
      </c>
      <c r="Q28" s="57">
        <f>(1+P28)^(1/$P$3)-1</f>
        <v>4.2142191939501084E-2</v>
      </c>
      <c r="R28" s="57">
        <f>$R$3+P28</f>
        <v>0.28023493657898413</v>
      </c>
      <c r="S28" s="57">
        <f>$S$3*$P$3</f>
        <v>0.125</v>
      </c>
      <c r="T28" s="57">
        <f>SUMIFS(Realpage!$I:$I,Realpage!$A:$A,$C28,Realpage!$F:$F,"NOI % of Revenue")</f>
        <v>1.0800774032470069</v>
      </c>
      <c r="U28" s="61">
        <v>1</v>
      </c>
      <c r="V28" s="61">
        <f>U28-T28</f>
        <v>-8.0077403247006851E-2</v>
      </c>
      <c r="W28" s="61">
        <f>U28*(1+R28)</f>
        <v>1.2802349365789842</v>
      </c>
      <c r="X28" s="61">
        <f>V28*(1+S28)</f>
        <v>-9.0087078652882707E-2</v>
      </c>
      <c r="Y28" s="61">
        <f>W28-X28</f>
        <v>1.3703220152318669</v>
      </c>
      <c r="Z28" s="57">
        <f>Y28/T28-1</f>
        <v>0.26872575161030654</v>
      </c>
      <c r="AA28" s="57">
        <f>(Y28/T28)^(1/$P$3)-1</f>
        <v>4.8753808563021028E-2</v>
      </c>
      <c r="AB28" s="57">
        <f>$AB$3</f>
        <v>0.05</v>
      </c>
      <c r="AC28" s="61">
        <f>AB28/$AB$3</f>
        <v>1</v>
      </c>
      <c r="AD28" s="61">
        <f>AC28*(1+$AD$3)</f>
        <v>1.08</v>
      </c>
      <c r="AE28" s="61">
        <f>AC28*AB28</f>
        <v>0.05</v>
      </c>
      <c r="AF28" s="61">
        <f>AE28*(1+Z28)</f>
        <v>6.3436287580515324E-2</v>
      </c>
      <c r="AG28" s="57">
        <f>AF28/AD28</f>
        <v>5.8737303315291964E-2</v>
      </c>
      <c r="AH28" s="57">
        <f>AG28-AB28</f>
        <v>8.737303315291961E-3</v>
      </c>
      <c r="AI28" s="57">
        <f>ROUND(AH28,4)</f>
        <v>8.6999999999999994E-3</v>
      </c>
      <c r="AJ28" s="57" cm="1">
        <f t="array" ref="AJ28">INDEX('Cap Rate to IRR Map'!$F$3:$F$623,MATCH(ROUND(AI28,4),ROUND('Cap Rate to IRR Map'!$E$3:$E$623,4),0))</f>
        <v>8.1000000000000003E-2</v>
      </c>
      <c r="AK28" s="57">
        <f>$AK$3</f>
        <v>0.05</v>
      </c>
      <c r="AL28" s="62">
        <v>0.16466700000000001</v>
      </c>
    </row>
    <row r="29" spans="2:41" x14ac:dyDescent="0.25">
      <c r="B29" s="53">
        <f t="shared" si="0"/>
        <v>25</v>
      </c>
      <c r="C29" s="54" t="s">
        <v>590</v>
      </c>
      <c r="D29" s="55">
        <f>SUMIFS(Realpage!$I:$I,Realpage!$A:$A,$C29,Realpage!$F:$F,"Rent Roll (Rev/OSF)")</f>
        <v>3.0998673083863526</v>
      </c>
      <c r="E29" s="55">
        <f>SUMIFS(Realpage!$I:$I,Realpage!$A:$A,$C29,Realpage!$F:$F,"Asking RPSF")</f>
        <v>3.1179999999999999</v>
      </c>
      <c r="F29" s="56">
        <f>E29/D29</f>
        <v>1.005849505740001</v>
      </c>
      <c r="G29" s="64" cm="1">
        <f t="array" ref="G29">SUMPRODUCT(('RP - Unit Starts'!$C$2:$C$101=$C29)*('RP - Unit Starts'!$F$2:$F$101="Unit Starts")*'RP - Unit Starts'!$I$2:$L$101)/SUMIFS('RP - Unit Starts'!$L:$L,'RP - Unit Starts'!$C:$C,$C29,'RP - Unit Starts'!$F:$F,"Existing Units")</f>
        <v>1.1046634371237669E-2</v>
      </c>
      <c r="H29" s="64">
        <f>F29-1</f>
        <v>5.849505740000982E-3</v>
      </c>
      <c r="I29" s="55">
        <f>SUMIFS(Realpage!$I:$I,Realpage!$A:$A,$C29,Realpage!$F:$F,"Effective RPSF")</f>
        <v>3.0910000000000002</v>
      </c>
      <c r="J29" s="65">
        <f>I29/D29</f>
        <v>0.99713945549786509</v>
      </c>
      <c r="K29" s="64">
        <f>J29-1</f>
        <v>-2.8605445021349096E-3</v>
      </c>
      <c r="L29" s="21"/>
      <c r="M29" s="3">
        <f>AVERAGEIF('Realpage - His. Rent Change'!$A$2:$A$577,'Q2 2026 Summary'!C24,'Realpage - His. Rent Change'!$I$2:$AV$577)</f>
        <v>6.1800000000000001E-2</v>
      </c>
      <c r="N29" s="57">
        <f>AVERAGE(L29:M29)</f>
        <v>6.1800000000000001E-2</v>
      </c>
      <c r="O29" s="63">
        <f>MAX(0,-(K29/M29))</f>
        <v>4.6287127866260672E-2</v>
      </c>
      <c r="P29" s="57">
        <f>($P$3*M29)+K29</f>
        <v>0.30613945549786509</v>
      </c>
      <c r="Q29" s="57">
        <f>(1+P29)^(1/$P$3)-1</f>
        <v>5.4867494232391678E-2</v>
      </c>
      <c r="R29" s="57">
        <f>$R$3+P29</f>
        <v>0.35713945549786508</v>
      </c>
      <c r="S29" s="57">
        <f>$S$3*$P$3</f>
        <v>0.125</v>
      </c>
      <c r="T29" s="57">
        <f>SUMIFS(Realpage!$I:$I,Realpage!$A:$A,$C29,Realpage!$F:$F,"NOI % of Revenue")</f>
        <v>1.1196359554949202</v>
      </c>
      <c r="U29" s="61">
        <v>1</v>
      </c>
      <c r="V29" s="61">
        <f>U29-T29</f>
        <v>-0.11963595549492023</v>
      </c>
      <c r="W29" s="61">
        <f>U29*(1+R29)</f>
        <v>1.3571394554978651</v>
      </c>
      <c r="X29" s="61">
        <f>V29*(1+S29)</f>
        <v>-0.13459044993178526</v>
      </c>
      <c r="Y29" s="61">
        <f>W29-X29</f>
        <v>1.4917299054296502</v>
      </c>
      <c r="Z29" s="57">
        <f>Y29/T29-1</f>
        <v>0.33233476301701192</v>
      </c>
      <c r="AA29" s="57">
        <f>(Y29/T29)^(1/$P$3)-1</f>
        <v>5.9065137075663632E-2</v>
      </c>
      <c r="AB29" s="57">
        <f>$AB$3</f>
        <v>0.05</v>
      </c>
      <c r="AC29" s="61">
        <f>AB29/$AB$3</f>
        <v>1</v>
      </c>
      <c r="AD29" s="61">
        <f>AC29*(1+$AD$3)</f>
        <v>1.08</v>
      </c>
      <c r="AE29" s="61">
        <f>AC29*AB29</f>
        <v>0.05</v>
      </c>
      <c r="AF29" s="61">
        <f>AE29*(1+Z29)</f>
        <v>6.6616738150850605E-2</v>
      </c>
      <c r="AG29" s="57">
        <f>AF29/AD29</f>
        <v>6.1682164954491296E-2</v>
      </c>
      <c r="AH29" s="57">
        <f>AG29-AB29</f>
        <v>1.1682164954491293E-2</v>
      </c>
      <c r="AI29" s="57">
        <f>ROUND(AH29,4)</f>
        <v>1.17E-2</v>
      </c>
      <c r="AJ29" s="57" cm="1">
        <f t="array" ref="AJ29">INDEX('Cap Rate to IRR Map'!$F$3:$F$623,MATCH(ROUND(AI29,4),ROUND('Cap Rate to IRR Map'!$E$3:$E$623,4),0))</f>
        <v>0.106</v>
      </c>
      <c r="AK29" s="57">
        <f>$AK$3</f>
        <v>0.05</v>
      </c>
      <c r="AL29" s="62">
        <v>0.17099999999999999</v>
      </c>
      <c r="AN29" t="s">
        <v>100</v>
      </c>
    </row>
    <row r="30" spans="2:41" x14ac:dyDescent="0.25">
      <c r="B30" s="53">
        <f t="shared" si="0"/>
        <v>26</v>
      </c>
      <c r="C30" s="54" t="s">
        <v>18</v>
      </c>
      <c r="D30" s="55">
        <f>SUMIFS(Realpage!$I:$I,Realpage!$A:$A,$C30,Realpage!$F:$F,"Rent Roll (Rev/OSF)")</f>
        <v>4.8866681022736582</v>
      </c>
      <c r="E30" s="55">
        <f>SUMIFS(Realpage!$I:$I,Realpage!$A:$A,$C30,Realpage!$F:$F,"Asking RPSF")</f>
        <v>4.9009999999999998</v>
      </c>
      <c r="F30" s="56">
        <f>E30/D30</f>
        <v>1.0029328567904321</v>
      </c>
      <c r="G30" s="64" cm="1">
        <f t="array" ref="G30">SUMPRODUCT(('RP - Unit Starts'!$C$2:$C$101=$C30)*('RP - Unit Starts'!$F$2:$F$101="Unit Starts")*'RP - Unit Starts'!$I$2:$L$101)/SUMIFS('RP - Unit Starts'!$L:$L,'RP - Unit Starts'!$C:$C,$C30,'RP - Unit Starts'!$F:$F,"Existing Units")</f>
        <v>9.7416072486138372E-3</v>
      </c>
      <c r="H30" s="64">
        <f>F30-1</f>
        <v>2.9328567904320924E-3</v>
      </c>
      <c r="I30" s="55">
        <f>SUMIFS(Realpage!$I:$I,Realpage!$A:$A,$C30,Realpage!$F:$F,"Effective RPSF")</f>
        <v>4.8380000000000001</v>
      </c>
      <c r="J30" s="65">
        <f>I30/D30</f>
        <v>0.99004063683985133</v>
      </c>
      <c r="K30" s="64">
        <f>J30-1</f>
        <v>-9.959363160148671E-3</v>
      </c>
      <c r="L30" s="24">
        <v>4.4400000000000002E-2</v>
      </c>
      <c r="M30" s="3">
        <f>AVERAGEIF('Realpage - His. Rent Change'!$A$2:$A$577,'Q2 2026 Summary'!C26,'Realpage - His. Rent Change'!$I$2:$AV$577)</f>
        <v>6.5799999999999997E-2</v>
      </c>
      <c r="N30" s="57">
        <f>AVERAGE(L30:M30)</f>
        <v>5.5099999999999996E-2</v>
      </c>
      <c r="O30" s="60">
        <f>MAX(0,-(K30/M30))</f>
        <v>0.15135810273782174</v>
      </c>
      <c r="P30" s="57">
        <f>($P$3*M30)+K30</f>
        <v>0.31904063683985129</v>
      </c>
      <c r="Q30" s="57">
        <f>(1+P30)^(1/$P$3)-1</f>
        <v>5.6943166140126067E-2</v>
      </c>
      <c r="R30" s="57">
        <f>$R$3+P30</f>
        <v>0.37004063683985128</v>
      </c>
      <c r="S30" s="57">
        <f>$S$3*$P$3</f>
        <v>0.125</v>
      </c>
      <c r="T30" s="57">
        <f>SUMIFS(Realpage!$I:$I,Realpage!$A:$A,$C30,Realpage!$F:$F,"NOI % of Revenue")</f>
        <v>1.1143069433091988</v>
      </c>
      <c r="U30" s="61">
        <v>1</v>
      </c>
      <c r="V30" s="61">
        <f>U30-T30</f>
        <v>-0.11430694330919877</v>
      </c>
      <c r="W30" s="61">
        <f>U30*(1+R30)</f>
        <v>1.3700406368398512</v>
      </c>
      <c r="X30" s="61">
        <f>V30*(1+S30)</f>
        <v>-0.12859531122284862</v>
      </c>
      <c r="Y30" s="61">
        <f>W30-X30</f>
        <v>1.4986359480626998</v>
      </c>
      <c r="Z30" s="57">
        <f>Y30/T30-1</f>
        <v>0.34490407428687919</v>
      </c>
      <c r="AA30" s="57">
        <f>(Y30/T30)^(1/$P$3)-1</f>
        <v>6.1055893279687856E-2</v>
      </c>
      <c r="AB30" s="57">
        <f>$AB$3</f>
        <v>0.05</v>
      </c>
      <c r="AC30" s="61">
        <f>AB30/$AB$3</f>
        <v>1</v>
      </c>
      <c r="AD30" s="61">
        <f>AC30*(1+$AD$3)</f>
        <v>1.08</v>
      </c>
      <c r="AE30" s="61">
        <f>AC30*AB30</f>
        <v>0.05</v>
      </c>
      <c r="AF30" s="61">
        <f>AE30*(1+Z30)</f>
        <v>6.7245203714343962E-2</v>
      </c>
      <c r="AG30" s="57">
        <f>AF30/AD30</f>
        <v>6.2264077513281439E-2</v>
      </c>
      <c r="AH30" s="57">
        <f>AG30-AB30</f>
        <v>1.2264077513281436E-2</v>
      </c>
      <c r="AI30" s="57">
        <f>ROUND(AH30,4)</f>
        <v>1.23E-2</v>
      </c>
      <c r="AJ30" s="57" cm="1">
        <f t="array" ref="AJ30">INDEX('Cap Rate to IRR Map'!$F$3:$F$623,MATCH(ROUND(AI30,4),ROUND('Cap Rate to IRR Map'!$E$3:$E$623,4),0))</f>
        <v>0.110333</v>
      </c>
      <c r="AK30" s="57">
        <f>$AK$3</f>
        <v>0.05</v>
      </c>
      <c r="AL30" s="62">
        <v>0.126333</v>
      </c>
      <c r="AN30" t="s">
        <v>76</v>
      </c>
    </row>
    <row r="31" spans="2:41" x14ac:dyDescent="0.25">
      <c r="B31" s="53">
        <f t="shared" si="0"/>
        <v>27</v>
      </c>
      <c r="C31" s="54" t="s">
        <v>36</v>
      </c>
      <c r="D31" s="55">
        <f>SUMIFS(Realpage!$I:$I,Realpage!$A:$A,$C31,Realpage!$F:$F,"Rent Roll (Rev/OSF)")</f>
        <v>3.338843034348419</v>
      </c>
      <c r="E31" s="55">
        <f>SUMIFS(Realpage!$I:$I,Realpage!$A:$A,$C31,Realpage!$F:$F,"Asking RPSF")</f>
        <v>3.3479999999999999</v>
      </c>
      <c r="F31" s="56">
        <f>E31/D31</f>
        <v>1.0027425564955819</v>
      </c>
      <c r="G31" s="64" cm="1">
        <f t="array" ref="G31">SUMPRODUCT(('RP - Unit Starts'!$C$2:$C$101=$C31)*('RP - Unit Starts'!$F$2:$F$101="Unit Starts")*'RP - Unit Starts'!$I$2:$L$101)/SUMIFS('RP - Unit Starts'!$L:$L,'RP - Unit Starts'!$C:$C,$C31,'RP - Unit Starts'!$F:$F,"Existing Units")</f>
        <v>1.6965989183393513E-2</v>
      </c>
      <c r="H31" s="64">
        <f>F31-1</f>
        <v>2.7425564955818604E-3</v>
      </c>
      <c r="I31" s="55">
        <f>SUMIFS(Realpage!$I:$I,Realpage!$A:$A,$C31,Realpage!$F:$F,"Effective RPSF")</f>
        <v>3.145</v>
      </c>
      <c r="J31" s="65">
        <f>I31/D31</f>
        <v>0.94194305262204459</v>
      </c>
      <c r="K31" s="64">
        <f>J31-1</f>
        <v>-5.8056947377955415E-2</v>
      </c>
      <c r="L31" s="27"/>
      <c r="M31" s="3">
        <f>AVERAGEIF('Realpage - His. Rent Change'!$A$2:$A$577,'Q2 2026 Summary'!C50,'Realpage - His. Rent Change'!$I$2:$AV$577)</f>
        <v>7.4099999999999999E-2</v>
      </c>
      <c r="N31" s="57">
        <f>AVERAGE(L31:M31)</f>
        <v>7.4099999999999999E-2</v>
      </c>
      <c r="O31" s="60">
        <f>MAX(0,-(K31/M31))</f>
        <v>0.78349456650412164</v>
      </c>
      <c r="P31" s="57">
        <f>($P$3*M31)+K31</f>
        <v>0.31244305262204458</v>
      </c>
      <c r="Q31" s="57">
        <f>(1+P31)^(1/$P$3)-1</f>
        <v>5.5883719607236593E-2</v>
      </c>
      <c r="R31" s="57">
        <f>$R$3+P31</f>
        <v>0.36344305262204457</v>
      </c>
      <c r="S31" s="57">
        <f>$S$3*$P$3</f>
        <v>0.125</v>
      </c>
      <c r="T31" s="57">
        <f>SUMIFS(Realpage!$I:$I,Realpage!$A:$A,$C31,Realpage!$F:$F,"NOI % of Revenue")</f>
        <v>1.0244956395586398</v>
      </c>
      <c r="U31" s="61">
        <v>1</v>
      </c>
      <c r="V31" s="61">
        <f>U31-T31</f>
        <v>-2.4495639558639759E-2</v>
      </c>
      <c r="W31" s="61">
        <f>U31*(1+R31)</f>
        <v>1.3634430526220447</v>
      </c>
      <c r="X31" s="61">
        <f>V31*(1+S31)</f>
        <v>-2.7557594503469729E-2</v>
      </c>
      <c r="Y31" s="61">
        <f>W31-X31</f>
        <v>1.3910006471255145</v>
      </c>
      <c r="Z31" s="57">
        <f>Y31/T31-1</f>
        <v>0.35774189114632815</v>
      </c>
      <c r="AA31" s="57">
        <f>(Y31/T31)^(1/$P$3)-1</f>
        <v>6.30738701905873E-2</v>
      </c>
      <c r="AB31" s="57">
        <f>$AB$3</f>
        <v>0.05</v>
      </c>
      <c r="AC31" s="61">
        <f>AB31/$AB$3</f>
        <v>1</v>
      </c>
      <c r="AD31" s="61">
        <f>AC31*(1+$AD$3)</f>
        <v>1.08</v>
      </c>
      <c r="AE31" s="61">
        <f>AC31*AB31</f>
        <v>0.05</v>
      </c>
      <c r="AF31" s="61">
        <f>AE31*(1+Z31)</f>
        <v>6.788709455731641E-2</v>
      </c>
      <c r="AG31" s="57">
        <f>AF31/AD31</f>
        <v>6.2858420886404073E-2</v>
      </c>
      <c r="AH31" s="57">
        <f>AG31-AB31</f>
        <v>1.2858420886404071E-2</v>
      </c>
      <c r="AI31" s="57">
        <f>ROUND(AH31,4)</f>
        <v>1.29E-2</v>
      </c>
      <c r="AJ31" s="57" cm="1">
        <f t="array" ref="AJ31">INDEX('Cap Rate to IRR Map'!$F$3:$F$623,MATCH(ROUND(AI31,4),ROUND('Cap Rate to IRR Map'!$E$3:$E$623,4),0))</f>
        <v>0.115333</v>
      </c>
      <c r="AK31" s="57">
        <f>$AK$3</f>
        <v>0.05</v>
      </c>
      <c r="AL31" s="62">
        <v>0.1915</v>
      </c>
      <c r="AO31" t="s">
        <v>96</v>
      </c>
    </row>
    <row r="32" spans="2:41" x14ac:dyDescent="0.25">
      <c r="B32" s="53">
        <f t="shared" si="0"/>
        <v>28</v>
      </c>
      <c r="C32" s="54" t="s">
        <v>25</v>
      </c>
      <c r="D32" s="55">
        <f>SUMIFS(Realpage!$I:$I,Realpage!$A:$A,$C32,Realpage!$F:$F,"Rent Roll (Rev/OSF)")</f>
        <v>3.4269126728260115</v>
      </c>
      <c r="E32" s="55">
        <f>SUMIFS(Realpage!$I:$I,Realpage!$A:$A,$C32,Realpage!$F:$F,"Asking RPSF")</f>
        <v>3.4359999999999999</v>
      </c>
      <c r="F32" s="56">
        <f>E32/D32</f>
        <v>1.0026517533539874</v>
      </c>
      <c r="G32" s="64" cm="1">
        <f t="array" ref="G32">SUMPRODUCT(('RP - Unit Starts'!$C$2:$C$101=$C32)*('RP - Unit Starts'!$F$2:$F$101="Unit Starts")*'RP - Unit Starts'!$I$2:$L$101)/SUMIFS('RP - Unit Starts'!$L:$L,'RP - Unit Starts'!$C:$C,$C32,'RP - Unit Starts'!$F:$F,"Existing Units")</f>
        <v>6.7899973280103106E-3</v>
      </c>
      <c r="H32" s="64">
        <f>F32-1</f>
        <v>2.6517533539873739E-3</v>
      </c>
      <c r="I32" s="55">
        <f>SUMIFS(Realpage!$I:$I,Realpage!$A:$A,$C32,Realpage!$F:$F,"Effective RPSF")</f>
        <v>3.3330000000000002</v>
      </c>
      <c r="J32" s="65">
        <f>I32/D32</f>
        <v>0.97259554538091975</v>
      </c>
      <c r="K32" s="64">
        <f>J32-1</f>
        <v>-2.7404454619080254E-2</v>
      </c>
      <c r="L32" s="21"/>
      <c r="M32" s="3">
        <f>AVERAGEIF('Realpage - His. Rent Change'!$A$2:$A$577,'Q2 2026 Summary'!C36,'Realpage - His. Rent Change'!$I$2:$AV$577)</f>
        <v>7.0599999999999996E-2</v>
      </c>
      <c r="N32" s="57">
        <f>AVERAGE(L32:M32)</f>
        <v>7.0599999999999996E-2</v>
      </c>
      <c r="O32" s="60">
        <f>MAX(0,-(K32/M32))</f>
        <v>0.38816507959037189</v>
      </c>
      <c r="P32" s="57">
        <f>($P$3*M32)+K32</f>
        <v>0.32559554538091973</v>
      </c>
      <c r="Q32" s="57">
        <f>(1+P32)^(1/$P$3)-1</f>
        <v>5.7991569781476349E-2</v>
      </c>
      <c r="R32" s="57">
        <f>$R$3+P32</f>
        <v>0.37659554538091972</v>
      </c>
      <c r="S32" s="57">
        <f>$S$3*$P$3</f>
        <v>0.125</v>
      </c>
      <c r="T32" s="57">
        <f>SUMIFS(Realpage!$I:$I,Realpage!$A:$A,$C32,Realpage!$F:$F,"NOI % of Revenue")</f>
        <v>1.279761841636371</v>
      </c>
      <c r="U32" s="61">
        <v>1</v>
      </c>
      <c r="V32" s="61">
        <f>U32-T32</f>
        <v>-0.27976184163637097</v>
      </c>
      <c r="W32" s="61">
        <f>U32*(1+R32)</f>
        <v>1.3765955453809198</v>
      </c>
      <c r="X32" s="61">
        <f>V32*(1+S32)</f>
        <v>-0.31473207184091734</v>
      </c>
      <c r="Y32" s="61">
        <f>W32-X32</f>
        <v>1.691327617221837</v>
      </c>
      <c r="Z32" s="57">
        <f>Y32/T32-1</f>
        <v>0.32159559864608589</v>
      </c>
      <c r="AA32" s="57">
        <f>(Y32/T32)^(1/$P$3)-1</f>
        <v>5.7352305856056995E-2</v>
      </c>
      <c r="AB32" s="57">
        <f>$AB$3</f>
        <v>0.05</v>
      </c>
      <c r="AC32" s="61">
        <f>AB32/$AB$3</f>
        <v>1</v>
      </c>
      <c r="AD32" s="61">
        <f>AC32*(1+$AD$3)</f>
        <v>1.08</v>
      </c>
      <c r="AE32" s="61">
        <f>AC32*AB32</f>
        <v>0.05</v>
      </c>
      <c r="AF32" s="61">
        <f>AE32*(1+Z32)</f>
        <v>6.6079779932304294E-2</v>
      </c>
      <c r="AG32" s="57">
        <f>AF32/AD32</f>
        <v>6.1184981418800272E-2</v>
      </c>
      <c r="AH32" s="57">
        <f>AG32-AB32</f>
        <v>1.1184981418800269E-2</v>
      </c>
      <c r="AI32" s="57">
        <f>ROUND(AH32,4)</f>
        <v>1.12E-2</v>
      </c>
      <c r="AJ32" s="57" cm="1">
        <f t="array" ref="AJ32">INDEX('Cap Rate to IRR Map'!$F$3:$F$623,MATCH(ROUND(AI32,4),ROUND('Cap Rate to IRR Map'!$E$3:$E$623,4),0))</f>
        <v>0.10166699999999999</v>
      </c>
      <c r="AK32" s="57">
        <f>$AK$3</f>
        <v>0.05</v>
      </c>
      <c r="AL32" s="62">
        <v>9.2999999999999999E-2</v>
      </c>
    </row>
    <row r="33" spans="2:41" x14ac:dyDescent="0.25">
      <c r="B33" s="53">
        <f t="shared" si="0"/>
        <v>29</v>
      </c>
      <c r="C33" s="54" t="s">
        <v>126</v>
      </c>
      <c r="D33" s="55">
        <f>SUMIFS(Realpage!$I:$I,Realpage!$A:$A,$C33,Realpage!$F:$F,"Rent Roll (Rev/OSF)")</f>
        <v>1.6280019966678196</v>
      </c>
      <c r="E33" s="55">
        <f>SUMIFS(Realpage!$I:$I,Realpage!$A:$A,$C33,Realpage!$F:$F,"Asking RPSF")</f>
        <v>1.6279999999999999</v>
      </c>
      <c r="F33" s="56">
        <f>E33/D33</f>
        <v>0.99999877354706945</v>
      </c>
      <c r="G33" s="64" cm="1">
        <f t="array" ref="G33">SUMPRODUCT(('RP - Unit Starts'!$C$2:$C$101=$C33)*('RP - Unit Starts'!$F$2:$F$101="Unit Starts")*'RP - Unit Starts'!$I$2:$L$101)/SUMIFS('RP - Unit Starts'!$L:$L,'RP - Unit Starts'!$C:$C,$C33,'RP - Unit Starts'!$F:$F,"Existing Units")</f>
        <v>4.6547842719071074E-3</v>
      </c>
      <c r="H33" s="64">
        <f>F33-1</f>
        <v>-1.2264529305472394E-6</v>
      </c>
      <c r="I33" s="55">
        <f>SUMIFS(Realpage!$I:$I,Realpage!$A:$A,$C33,Realpage!$F:$F,"Effective RPSF")</f>
        <v>1.6120000000000001</v>
      </c>
      <c r="J33" s="65">
        <f>I33/D33</f>
        <v>0.99017077577265122</v>
      </c>
      <c r="K33" s="64">
        <f>J33-1</f>
        <v>-9.8292242273487762E-3</v>
      </c>
      <c r="L33" s="21"/>
      <c r="M33" s="3">
        <f>AVERAGEIF('Realpage - His. Rent Change'!$A$2:$A$577,'Q2 2026 Summary'!C27,'Realpage - His. Rent Change'!$I$2:$AV$577)</f>
        <v>2.6100000000000002E-2</v>
      </c>
      <c r="N33" s="57">
        <f>AVERAGE(L33:M33)</f>
        <v>2.6100000000000002E-2</v>
      </c>
      <c r="O33" s="63">
        <f>MAX(0,-(K33/M33))</f>
        <v>0.37659862940033623</v>
      </c>
      <c r="P33" s="57">
        <f>($P$3*M33)+K33</f>
        <v>0.12067077577265123</v>
      </c>
      <c r="Q33" s="57">
        <f>(1+P33)^(1/$P$3)-1</f>
        <v>2.3047054606772921E-2</v>
      </c>
      <c r="R33" s="57">
        <f>$R$3+P33</f>
        <v>0.17167077577265122</v>
      </c>
      <c r="S33" s="57">
        <f>$S$3*$P$3</f>
        <v>0.125</v>
      </c>
      <c r="T33" s="57">
        <f>SUMIFS(Realpage!$I:$I,Realpage!$A:$A,$C33,Realpage!$F:$F,"NOI % of Revenue")</f>
        <v>0.61413872035526584</v>
      </c>
      <c r="U33" s="61">
        <v>1</v>
      </c>
      <c r="V33" s="61">
        <f>U33-T33</f>
        <v>0.38586127964473416</v>
      </c>
      <c r="W33" s="61">
        <f>U33*(1+R33)</f>
        <v>1.1716707757726512</v>
      </c>
      <c r="X33" s="61">
        <f>V33*(1+S33)</f>
        <v>0.43409393960032594</v>
      </c>
      <c r="Y33" s="61">
        <f>W33-X33</f>
        <v>0.73757683617232528</v>
      </c>
      <c r="Z33" s="57">
        <f>Y33/T33-1</f>
        <v>0.20099386624841564</v>
      </c>
      <c r="AA33" s="57">
        <f>(Y33/T33)^(1/$P$3)-1</f>
        <v>3.7309028408653688E-2</v>
      </c>
      <c r="AB33" s="57">
        <f>$AB$3</f>
        <v>0.05</v>
      </c>
      <c r="AC33" s="61">
        <f>AB33/$AB$3</f>
        <v>1</v>
      </c>
      <c r="AD33" s="61">
        <f>AC33*(1+$AD$3)</f>
        <v>1.08</v>
      </c>
      <c r="AE33" s="61">
        <f>AC33*AB33</f>
        <v>0.05</v>
      </c>
      <c r="AF33" s="61">
        <f>AE33*(1+Z33)</f>
        <v>6.0049693312420785E-2</v>
      </c>
      <c r="AG33" s="57">
        <f>AF33/AD33</f>
        <v>5.5601567881871095E-2</v>
      </c>
      <c r="AH33" s="57">
        <f>AG33-AB33</f>
        <v>5.6015678818710918E-3</v>
      </c>
      <c r="AI33" s="57">
        <f>ROUND(AH33,4)</f>
        <v>5.5999999999999999E-3</v>
      </c>
      <c r="AJ33" s="57" cm="1">
        <f t="array" ref="AJ33">INDEX('Cap Rate to IRR Map'!$F$3:$F$623,MATCH(ROUND(AI33,4),ROUND('Cap Rate to IRR Map'!$E$3:$E$623,4),0))</f>
        <v>5.2999999999999999E-2</v>
      </c>
      <c r="AK33" s="57">
        <f>$AK$3</f>
        <v>0.05</v>
      </c>
      <c r="AL33" s="62">
        <v>0.32432748538011713</v>
      </c>
      <c r="AN33" t="s">
        <v>75</v>
      </c>
    </row>
    <row r="34" spans="2:41" x14ac:dyDescent="0.25">
      <c r="B34" s="53">
        <f t="shared" si="0"/>
        <v>30</v>
      </c>
      <c r="C34" s="54" t="s">
        <v>39</v>
      </c>
      <c r="D34" s="55">
        <f>SUMIFS(Realpage!$I:$I,Realpage!$A:$A,$C34,Realpage!$F:$F,"Rent Roll (Rev/OSF)")</f>
        <v>1.6921103662932706</v>
      </c>
      <c r="E34" s="55">
        <f>SUMIFS(Realpage!$I:$I,Realpage!$A:$A,$C34,Realpage!$F:$F,"Asking RPSF")</f>
        <v>1.6910000000000001</v>
      </c>
      <c r="F34" s="56">
        <f>E34/D34</f>
        <v>0.99934379794876915</v>
      </c>
      <c r="G34" s="64" cm="1">
        <f t="array" ref="G34">SUMPRODUCT(('RP - Unit Starts'!$C$2:$C$101=$C34)*('RP - Unit Starts'!$F$2:$F$101="Unit Starts")*'RP - Unit Starts'!$I$2:$L$101)/SUMIFS('RP - Unit Starts'!$L:$L,'RP - Unit Starts'!$C:$C,$C34,'RP - Unit Starts'!$F:$F,"Existing Units")</f>
        <v>1.5673892500862912E-2</v>
      </c>
      <c r="H34" s="64">
        <f>F34-1</f>
        <v>-6.5620205123084752E-4</v>
      </c>
      <c r="I34" s="55">
        <f>SUMIFS(Realpage!$I:$I,Realpage!$A:$A,$C34,Realpage!$F:$F,"Effective RPSF")</f>
        <v>1.595</v>
      </c>
      <c r="J34" s="65">
        <f>I34/D34</f>
        <v>0.94260990995167759</v>
      </c>
      <c r="K34" s="64">
        <f>J34-1</f>
        <v>-5.7390090048322406E-2</v>
      </c>
      <c r="L34" s="31">
        <v>1.9800000000000002E-2</v>
      </c>
      <c r="M34" s="3">
        <f>AVERAGEIF('Realpage - His. Rent Change'!$A$2:$A$577,'Q2 2026 Summary'!C53,'Realpage - His. Rent Change'!$I$2:$AV$577)</f>
        <v>1.6E-2</v>
      </c>
      <c r="N34" s="57">
        <f>AVERAGE(L34:M34)</f>
        <v>1.7899999999999999E-2</v>
      </c>
      <c r="O34" s="60">
        <f>MAX(0,-(K34/M34))</f>
        <v>3.5868806280201504</v>
      </c>
      <c r="P34" s="57">
        <f>($P$3*M34)+K34</f>
        <v>2.2609909951677595E-2</v>
      </c>
      <c r="Q34" s="57">
        <f>(1+P34)^(1/$P$3)-1</f>
        <v>4.4816315171285481E-3</v>
      </c>
      <c r="R34" s="57">
        <f>$R$3+P34</f>
        <v>7.3609909951677599E-2</v>
      </c>
      <c r="S34" s="57">
        <f>$S$3*$P$3</f>
        <v>0.125</v>
      </c>
      <c r="T34" s="57">
        <f>SUMIFS(Realpage!$I:$I,Realpage!$A:$A,$C34,Realpage!$F:$F,"NOI % of Revenue")</f>
        <v>0.4567592333642958</v>
      </c>
      <c r="U34" s="61">
        <v>1</v>
      </c>
      <c r="V34" s="61">
        <f>U34-T34</f>
        <v>0.5432407666357042</v>
      </c>
      <c r="W34" s="61">
        <f>U34*(1+R34)</f>
        <v>1.0736099099516776</v>
      </c>
      <c r="X34" s="61">
        <f>V34*(1+S34)</f>
        <v>0.61114586246516722</v>
      </c>
      <c r="Y34" s="61">
        <f>W34-X34</f>
        <v>0.46246404748651038</v>
      </c>
      <c r="Z34" s="57">
        <f>Y34/T34-1</f>
        <v>1.2489762013556449E-2</v>
      </c>
      <c r="AA34" s="57">
        <f>(Y34/T34)^(1/$P$3)-1</f>
        <v>2.4855655801887533E-3</v>
      </c>
      <c r="AB34" s="57">
        <f>$AB$3</f>
        <v>0.05</v>
      </c>
      <c r="AC34" s="61">
        <f>AB34/$AB$3</f>
        <v>1</v>
      </c>
      <c r="AD34" s="61">
        <f>AC34*(1+$AD$3)</f>
        <v>1.08</v>
      </c>
      <c r="AE34" s="61">
        <f>AC34*AB34</f>
        <v>0.05</v>
      </c>
      <c r="AF34" s="61">
        <f>AE34*(1+Z34)</f>
        <v>5.0624488100677822E-2</v>
      </c>
      <c r="AG34" s="57">
        <f>AF34/AD34</f>
        <v>4.6874526019146129E-2</v>
      </c>
      <c r="AH34" s="57">
        <f>AG34-AB34</f>
        <v>-3.125473980853874E-3</v>
      </c>
      <c r="AI34" s="57">
        <f>ROUND(AH34,4)</f>
        <v>-3.0999999999999999E-3</v>
      </c>
      <c r="AJ34" s="57" cm="1">
        <f t="array" ref="AJ34">INDEX('Cap Rate to IRR Map'!$F$3:$F$623,MATCH(ROUND(AI34,4),ROUND('Cap Rate to IRR Map'!$E$3:$E$623,4),0))</f>
        <v>-4.4999999999999998E-2</v>
      </c>
      <c r="AK34" s="57">
        <f>$AK$3</f>
        <v>0.05</v>
      </c>
      <c r="AL34" s="62">
        <v>0.26800000000000002</v>
      </c>
      <c r="AN34" t="s">
        <v>73</v>
      </c>
    </row>
    <row r="35" spans="2:41" ht="15.95" customHeight="1" x14ac:dyDescent="0.25">
      <c r="B35" s="53">
        <f t="shared" si="0"/>
        <v>31</v>
      </c>
      <c r="C35" s="54" t="s">
        <v>23</v>
      </c>
      <c r="D35" s="55">
        <f>SUMIFS(Realpage!$I:$I,Realpage!$A:$A,$C35,Realpage!$F:$F,"Rent Roll (Rev/OSF)")</f>
        <v>2.98316858338291</v>
      </c>
      <c r="E35" s="55">
        <f>SUMIFS(Realpage!$I:$I,Realpage!$A:$A,$C35,Realpage!$F:$F,"Asking RPSF")</f>
        <v>2.9790000000000001</v>
      </c>
      <c r="F35" s="56">
        <f>E35/D35</f>
        <v>0.9986026323131284</v>
      </c>
      <c r="G35" s="64" cm="1">
        <f t="array" ref="G35">SUMPRODUCT(('RP - Unit Starts'!$C$2:$C$101=$C35)*('RP - Unit Starts'!$F$2:$F$101="Unit Starts")*'RP - Unit Starts'!$I$2:$L$101)/SUMIFS('RP - Unit Starts'!$L:$L,'RP - Unit Starts'!$C:$C,$C35,'RP - Unit Starts'!$F:$F,"Existing Units")</f>
        <v>1.0989510898527366E-2</v>
      </c>
      <c r="H35" s="64">
        <f>F35-1</f>
        <v>-1.3973676868715978E-3</v>
      </c>
      <c r="I35" s="55">
        <f>SUMIFS(Realpage!$I:$I,Realpage!$A:$A,$C35,Realpage!$F:$F,"Effective RPSF")</f>
        <v>2.9039999999999999</v>
      </c>
      <c r="J35" s="65">
        <f>I35/D35</f>
        <v>0.97346157913303943</v>
      </c>
      <c r="K35" s="64">
        <f>J35-1</f>
        <v>-2.6538420866960566E-2</v>
      </c>
      <c r="L35" s="25">
        <v>4.3499999999999997E-2</v>
      </c>
      <c r="M35" s="3">
        <f>AVERAGEIF('Realpage - His. Rent Change'!$A$2:$A$577,'Q2 2026 Summary'!C38,'Realpage - His. Rent Change'!$I$2:$AV$577)</f>
        <v>6.9500000000000006E-2</v>
      </c>
      <c r="N35" s="57">
        <f>AVERAGE(L35:M35)</f>
        <v>5.6500000000000002E-2</v>
      </c>
      <c r="O35" s="60">
        <f>MAX(0,-(K35/M35))</f>
        <v>0.38184778225842536</v>
      </c>
      <c r="P35" s="57">
        <f>($P$3*M35)+K35</f>
        <v>0.32096157913303947</v>
      </c>
      <c r="Q35" s="57">
        <f>(1+P35)^(1/$P$3)-1</f>
        <v>5.7250835985111825E-2</v>
      </c>
      <c r="R35" s="57">
        <f>$R$3+P35</f>
        <v>0.37196157913303945</v>
      </c>
      <c r="S35" s="57">
        <f>$S$3*$P$3</f>
        <v>0.125</v>
      </c>
      <c r="T35" s="57">
        <f>SUMIFS(Realpage!$I:$I,Realpage!$A:$A,$C35,Realpage!$F:$F,"NOI % of Revenue")</f>
        <v>1.0428326123460094</v>
      </c>
      <c r="U35" s="61">
        <v>1</v>
      </c>
      <c r="V35" s="61">
        <f>U35-T35</f>
        <v>-4.2832612346009435E-2</v>
      </c>
      <c r="W35" s="61">
        <f>U35*(1+R35)</f>
        <v>1.3719615791330395</v>
      </c>
      <c r="X35" s="61">
        <f>V35*(1+S35)</f>
        <v>-4.8186688889260615E-2</v>
      </c>
      <c r="Y35" s="61">
        <f>W35-X35</f>
        <v>1.4201482680223001</v>
      </c>
      <c r="Z35" s="57">
        <f>Y35/T35-1</f>
        <v>0.36181804367190074</v>
      </c>
      <c r="AA35" s="57">
        <f>(Y35/T35)^(1/$P$3)-1</f>
        <v>6.3711407705599798E-2</v>
      </c>
      <c r="AB35" s="57">
        <f>$AB$3</f>
        <v>0.05</v>
      </c>
      <c r="AC35" s="61">
        <f>AB35/$AB$3</f>
        <v>1</v>
      </c>
      <c r="AD35" s="61">
        <f>AC35*(1+$AD$3)</f>
        <v>1.08</v>
      </c>
      <c r="AE35" s="61">
        <f>AC35*AB35</f>
        <v>0.05</v>
      </c>
      <c r="AF35" s="61">
        <f>AE35*(1+Z35)</f>
        <v>6.8090902183595037E-2</v>
      </c>
      <c r="AG35" s="57">
        <f>AF35/AD35</f>
        <v>6.3047131651476879E-2</v>
      </c>
      <c r="AH35" s="57">
        <f>AG35-AB35</f>
        <v>1.3047131651476876E-2</v>
      </c>
      <c r="AI35" s="57">
        <f>ROUND(AH35,4)</f>
        <v>1.2999999999999999E-2</v>
      </c>
      <c r="AJ35" s="57" cm="1">
        <f t="array" ref="AJ35">INDEX('Cap Rate to IRR Map'!$F$3:$F$623,MATCH(ROUND(AI35,4),ROUND('Cap Rate to IRR Map'!$E$3:$E$623,4),0))</f>
        <v>0.11600000000000001</v>
      </c>
      <c r="AK35" s="57">
        <f>$AK$3</f>
        <v>0.05</v>
      </c>
      <c r="AL35" s="62">
        <v>0.152333</v>
      </c>
    </row>
    <row r="36" spans="2:41" ht="15.95" customHeight="1" x14ac:dyDescent="0.25">
      <c r="B36" s="53">
        <f t="shared" si="0"/>
        <v>32</v>
      </c>
      <c r="C36" s="58" t="s">
        <v>501</v>
      </c>
      <c r="D36" s="55">
        <f>SUMIFS(Realpage!$I:$I,Realpage!$A:$A,$C36,Realpage!$F:$F,"Rent Roll (Rev/OSF)")</f>
        <v>3.327207613043047</v>
      </c>
      <c r="E36" s="55">
        <f>SUMIFS(Realpage!$I:$I,Realpage!$A:$A,$C36,Realpage!$F:$F,"Asking RPSF")</f>
        <v>3.3179999999999996</v>
      </c>
      <c r="F36" s="56">
        <f>E36/D36</f>
        <v>0.99723263044754029</v>
      </c>
      <c r="G36" s="64" cm="1">
        <f t="array" ref="G36">SUMPRODUCT(('RP - Unit Starts'!$C$2:$C$101=$C36)*('RP - Unit Starts'!$F$2:$F$101="Unit Starts")*'RP - Unit Starts'!$I$2:$L$101)/SUMIFS('RP - Unit Starts'!$L:$L,'RP - Unit Starts'!$C:$C,$C36,'RP - Unit Starts'!$F:$F,"Existing Units")</f>
        <v>0</v>
      </c>
      <c r="H36" s="64">
        <f>F36-1</f>
        <v>-2.7673695524597086E-3</v>
      </c>
      <c r="I36" s="55">
        <f>SUMIFS(Realpage!$I:$I,Realpage!$A:$A,$C36,Realpage!$F:$F,"Effective RPSF")</f>
        <v>3.2389999999999999</v>
      </c>
      <c r="J36" s="65">
        <f>I36/D36</f>
        <v>0.97348899638926567</v>
      </c>
      <c r="K36" s="64">
        <f>J36-1</f>
        <v>-2.6511003610734329E-2</v>
      </c>
      <c r="L36" s="21"/>
      <c r="M36" s="3">
        <f>AVERAGEIF('Realpage - His. Rent Change'!$A$2:$A$577,'Q2 2026 Summary'!C29,'Realpage - His. Rent Change'!$I$2:$AV$577)</f>
        <v>4.6100000000000002E-2</v>
      </c>
      <c r="N36" s="57">
        <f>AVERAGE(L36:M36)</f>
        <v>4.6100000000000002E-2</v>
      </c>
      <c r="O36" s="63">
        <f>MAX(0,-(K36/M36))</f>
        <v>0.57507600023284877</v>
      </c>
      <c r="P36" s="57">
        <f>($P$3*M36)+K36</f>
        <v>0.20398899638926568</v>
      </c>
      <c r="Q36" s="57">
        <f>(1+P36)^(1/$P$3)-1</f>
        <v>3.7825897143409115E-2</v>
      </c>
      <c r="R36" s="57">
        <f>$R$3+P36</f>
        <v>0.2549889963892657</v>
      </c>
      <c r="S36" s="57">
        <f>$S$3*$P$3</f>
        <v>0.125</v>
      </c>
      <c r="T36" s="57">
        <f>SUMIFS(Realpage!$I:$I,Realpage!$A:$A,$C36,Realpage!$F:$F,"NOI % of Revenue")</f>
        <v>1.0697444489173722</v>
      </c>
      <c r="U36" s="61">
        <v>1</v>
      </c>
      <c r="V36" s="61">
        <f>U36-T36</f>
        <v>-6.9744448917372193E-2</v>
      </c>
      <c r="W36" s="61">
        <f>U36*(1+R36)</f>
        <v>1.2549889963892658</v>
      </c>
      <c r="X36" s="61">
        <f>V36*(1+S36)</f>
        <v>-7.8462505032043717E-2</v>
      </c>
      <c r="Y36" s="61">
        <f>W36-X36</f>
        <v>1.3334515014213095</v>
      </c>
      <c r="Z36" s="57">
        <f>Y36/T36-1</f>
        <v>0.24651406489729433</v>
      </c>
      <c r="AA36" s="57">
        <f>(Y36/T36)^(1/$P$3)-1</f>
        <v>4.5055695876405677E-2</v>
      </c>
      <c r="AB36" s="57">
        <f>$AB$3</f>
        <v>0.05</v>
      </c>
      <c r="AC36" s="61">
        <f>AB36/$AB$3</f>
        <v>1</v>
      </c>
      <c r="AD36" s="61">
        <f>AC36*(1+$AD$3)</f>
        <v>1.08</v>
      </c>
      <c r="AE36" s="61">
        <f>AC36*AB36</f>
        <v>0.05</v>
      </c>
      <c r="AF36" s="61">
        <f>AE36*(1+Z36)</f>
        <v>6.2325703244864722E-2</v>
      </c>
      <c r="AG36" s="57">
        <f>AF36/AD36</f>
        <v>5.7708984485985847E-2</v>
      </c>
      <c r="AH36" s="57">
        <f>AG36-AB36</f>
        <v>7.7089844859858439E-3</v>
      </c>
      <c r="AI36" s="57">
        <f>ROUND(AH36,4)</f>
        <v>7.7000000000000002E-3</v>
      </c>
      <c r="AJ36" s="57" cm="1">
        <f t="array" ref="AJ36">INDEX('Cap Rate to IRR Map'!$F$3:$F$623,MATCH(ROUND(AI36,4),ROUND('Cap Rate to IRR Map'!$E$3:$E$623,4),0))</f>
        <v>7.2000000000000008E-2</v>
      </c>
      <c r="AK36" s="57">
        <f>$AK$3</f>
        <v>0.05</v>
      </c>
      <c r="AL36" s="62">
        <v>0.14500000000000002</v>
      </c>
      <c r="AO36" t="s">
        <v>95</v>
      </c>
    </row>
    <row r="37" spans="2:41" ht="15.95" customHeight="1" x14ac:dyDescent="0.25">
      <c r="B37" s="53">
        <f t="shared" si="0"/>
        <v>33</v>
      </c>
      <c r="C37" s="58" t="s">
        <v>26</v>
      </c>
      <c r="D37" s="55">
        <f>SUMIFS(Realpage!$I:$I,Realpage!$A:$A,$C37,Realpage!$F:$F,"Rent Roll (Rev/OSF)")</f>
        <v>3.6265711007139361</v>
      </c>
      <c r="E37" s="55">
        <f>SUMIFS(Realpage!$I:$I,Realpage!$A:$A,$C37,Realpage!$F:$F,"Asking RPSF")</f>
        <v>3.6150000000000002</v>
      </c>
      <c r="F37" s="56">
        <f>E37/D37</f>
        <v>0.99680935506499291</v>
      </c>
      <c r="G37" s="64" cm="1">
        <f t="array" ref="G37">SUMPRODUCT(('RP - Unit Starts'!$C$2:$C$101=$C37)*('RP - Unit Starts'!$F$2:$F$101="Unit Starts")*'RP - Unit Starts'!$I$2:$L$101)/SUMIFS('RP - Unit Starts'!$L:$L,'RP - Unit Starts'!$C:$C,$C37,'RP - Unit Starts'!$F:$F,"Existing Units")</f>
        <v>1.9573330999969711E-2</v>
      </c>
      <c r="H37" s="64">
        <f>F37-1</f>
        <v>-3.190644935007092E-3</v>
      </c>
      <c r="I37" s="55">
        <f>SUMIFS(Realpage!$I:$I,Realpage!$A:$A,$C37,Realpage!$F:$F,"Effective RPSF")</f>
        <v>3.532</v>
      </c>
      <c r="J37" s="65">
        <f>I37/D37</f>
        <v>0.97392272256972479</v>
      </c>
      <c r="K37" s="64">
        <f>J37-1</f>
        <v>-2.6077277430275214E-2</v>
      </c>
      <c r="L37" s="24">
        <v>4.7E-2</v>
      </c>
      <c r="M37" s="3">
        <f>AVERAGEIF('Realpage - His. Rent Change'!$A$2:$A$577,'Q2 2026 Summary'!C37,'Realpage - His. Rent Change'!$I$2:$AV$577)</f>
        <v>7.7299999999999994E-2</v>
      </c>
      <c r="N37" s="57">
        <f>AVERAGE(L37:M37)</f>
        <v>6.2149999999999997E-2</v>
      </c>
      <c r="O37" s="60">
        <f>MAX(0,-(K37/M37))</f>
        <v>0.33735158383279712</v>
      </c>
      <c r="P37" s="57">
        <f>($P$3*M37)+K37</f>
        <v>0.36042272256972474</v>
      </c>
      <c r="Q37" s="57">
        <f>(1+P37)^(1/$P$3)-1</f>
        <v>6.3493342208782222E-2</v>
      </c>
      <c r="R37" s="57">
        <f>$R$3+P37</f>
        <v>0.41142272256972473</v>
      </c>
      <c r="S37" s="57">
        <f>$S$3*$P$3</f>
        <v>0.125</v>
      </c>
      <c r="T37" s="57">
        <f>SUMIFS(Realpage!$I:$I,Realpage!$A:$A,$C37,Realpage!$F:$F,"NOI % of Revenue")</f>
        <v>1.1173672330554991</v>
      </c>
      <c r="U37" s="61">
        <v>1</v>
      </c>
      <c r="V37" s="61">
        <f>U37-T37</f>
        <v>-0.11736723305549912</v>
      </c>
      <c r="W37" s="61">
        <f>U37*(1+R37)</f>
        <v>1.4114227225697247</v>
      </c>
      <c r="X37" s="61">
        <f>V37*(1+S37)</f>
        <v>-0.13203813718743651</v>
      </c>
      <c r="Y37" s="61">
        <f>W37-X37</f>
        <v>1.5434608597571611</v>
      </c>
      <c r="Z37" s="57">
        <f>Y37/T37-1</f>
        <v>0.38133714153804799</v>
      </c>
      <c r="AA37" s="57">
        <f>(Y37/T37)^(1/$P$3)-1</f>
        <v>6.6743334488999162E-2</v>
      </c>
      <c r="AB37" s="57">
        <f>$AB$3</f>
        <v>0.05</v>
      </c>
      <c r="AC37" s="61">
        <f>AB37/$AB$3</f>
        <v>1</v>
      </c>
      <c r="AD37" s="61">
        <f>AC37*(1+$AD$3)</f>
        <v>1.08</v>
      </c>
      <c r="AE37" s="61">
        <f>AC37*AB37</f>
        <v>0.05</v>
      </c>
      <c r="AF37" s="61">
        <f>AE37*(1+Z37)</f>
        <v>6.9066857076902397E-2</v>
      </c>
      <c r="AG37" s="57">
        <f>AF37/AD37</f>
        <v>6.3950793589724442E-2</v>
      </c>
      <c r="AH37" s="57">
        <f>AG37-AB37</f>
        <v>1.3950793589724439E-2</v>
      </c>
      <c r="AI37" s="57">
        <f>ROUND(AH37,4)</f>
        <v>1.4E-2</v>
      </c>
      <c r="AJ37" s="57" cm="1">
        <f t="array" ref="AJ37">INDEX('Cap Rate to IRR Map'!$F$3:$F$623,MATCH(ROUND(AI37,4),ROUND('Cap Rate to IRR Map'!$E$3:$E$623,4),0))</f>
        <v>0.124</v>
      </c>
      <c r="AK37" s="57">
        <f>$AK$3</f>
        <v>0.05</v>
      </c>
      <c r="AL37" s="62">
        <v>9.4E-2</v>
      </c>
      <c r="AO37" s="18" t="s">
        <v>80</v>
      </c>
    </row>
    <row r="38" spans="2:41" ht="15.95" customHeight="1" x14ac:dyDescent="0.25">
      <c r="B38" s="53">
        <f t="shared" si="0"/>
        <v>34</v>
      </c>
      <c r="C38" s="58" t="s">
        <v>28</v>
      </c>
      <c r="D38" s="55">
        <f>SUMIFS(Realpage!$I:$I,Realpage!$A:$A,$C38,Realpage!$F:$F,"Rent Roll (Rev/OSF)")</f>
        <v>3.1855552173082771</v>
      </c>
      <c r="E38" s="55">
        <f>SUMIFS(Realpage!$I:$I,Realpage!$A:$A,$C38,Realpage!$F:$F,"Asking RPSF")</f>
        <v>3.1680000000000001</v>
      </c>
      <c r="F38" s="56">
        <f>E38/D38</f>
        <v>0.99448911850188848</v>
      </c>
      <c r="G38" s="64" cm="1">
        <f t="array" ref="G38">SUMPRODUCT(('RP - Unit Starts'!$C$2:$C$101=$C38)*('RP - Unit Starts'!$F$2:$F$101="Unit Starts")*'RP - Unit Starts'!$I$2:$L$101)/SUMIFS('RP - Unit Starts'!$L:$L,'RP - Unit Starts'!$C:$C,$C38,'RP - Unit Starts'!$F:$F,"Existing Units")</f>
        <v>6.3787320726763925E-3</v>
      </c>
      <c r="H38" s="64">
        <f>F38-1</f>
        <v>-5.5108814981115195E-3</v>
      </c>
      <c r="I38" s="55">
        <f>SUMIFS(Realpage!$I:$I,Realpage!$A:$A,$C38,Realpage!$F:$F,"Effective RPSF")</f>
        <v>3.0739999999999998</v>
      </c>
      <c r="J38" s="65">
        <f>I38/D38</f>
        <v>0.96498091864735003</v>
      </c>
      <c r="K38" s="64">
        <f>J38-1</f>
        <v>-3.5019081352649972E-2</v>
      </c>
      <c r="L38" s="13">
        <v>4.9200000000000001E-2</v>
      </c>
      <c r="M38" s="3">
        <f>AVERAGEIF('Realpage - His. Rent Change'!$A$2:$A$577,'Q2 2026 Summary'!C39,'Realpage - His. Rent Change'!$I$2:$AV$577)</f>
        <v>7.85E-2</v>
      </c>
      <c r="N38" s="57">
        <f>AVERAGE(L38:M38)</f>
        <v>6.3850000000000004E-2</v>
      </c>
      <c r="O38" s="60">
        <f>MAX(0,-(K38/M38))</f>
        <v>0.44610294716751558</v>
      </c>
      <c r="P38" s="57">
        <f>($P$3*M38)+K38</f>
        <v>0.35748091864735004</v>
      </c>
      <c r="Q38" s="57">
        <f>(1+P38)^(1/$P$3)-1</f>
        <v>6.3033000216844881E-2</v>
      </c>
      <c r="R38" s="57">
        <f>$R$3+P38</f>
        <v>0.40848091864735003</v>
      </c>
      <c r="S38" s="57">
        <f>$S$3*$P$3</f>
        <v>0.125</v>
      </c>
      <c r="T38" s="57">
        <f>SUMIFS(Realpage!$I:$I,Realpage!$A:$A,$C38,Realpage!$F:$F,"NOI % of Revenue")</f>
        <v>1.2623847072175138</v>
      </c>
      <c r="U38" s="61">
        <v>1</v>
      </c>
      <c r="V38" s="61">
        <f>U38-T38</f>
        <v>-0.26238470721751384</v>
      </c>
      <c r="W38" s="61">
        <f>U38*(1+R38)</f>
        <v>1.4084809186473501</v>
      </c>
      <c r="X38" s="61">
        <f>V38*(1+S38)</f>
        <v>-0.29518279561970306</v>
      </c>
      <c r="Y38" s="61">
        <f>W38-X38</f>
        <v>1.7036637142670532</v>
      </c>
      <c r="Z38" s="57">
        <f>Y38/T38-1</f>
        <v>0.34955984853633471</v>
      </c>
      <c r="AA38" s="57">
        <f>(Y38/T38)^(1/$P$3)-1</f>
        <v>6.1789508476101318E-2</v>
      </c>
      <c r="AB38" s="57">
        <f>$AB$3</f>
        <v>0.05</v>
      </c>
      <c r="AC38" s="61">
        <f>AB38/$AB$3</f>
        <v>1</v>
      </c>
      <c r="AD38" s="61">
        <f>AC38*(1+$AD$3)</f>
        <v>1.08</v>
      </c>
      <c r="AE38" s="61">
        <f>AC38*AB38</f>
        <v>0.05</v>
      </c>
      <c r="AF38" s="61">
        <f>AE38*(1+Z38)</f>
        <v>6.7477992426816735E-2</v>
      </c>
      <c r="AG38" s="57">
        <f>AF38/AD38</f>
        <v>6.2479622617422896E-2</v>
      </c>
      <c r="AH38" s="57">
        <f>AG38-AB38</f>
        <v>1.2479622617422893E-2</v>
      </c>
      <c r="AI38" s="57">
        <f>ROUND(AH38,4)</f>
        <v>1.2500000000000001E-2</v>
      </c>
      <c r="AJ38" s="57" cm="1">
        <f t="array" ref="AJ38">INDEX('Cap Rate to IRR Map'!$F$3:$F$623,MATCH(ROUND(AI38,4),ROUND('Cap Rate to IRR Map'!$E$3:$E$623,4),0))</f>
        <v>0.112</v>
      </c>
      <c r="AK38" s="57">
        <f>$AK$3</f>
        <v>0.05</v>
      </c>
      <c r="AL38" s="62">
        <v>0.112</v>
      </c>
      <c r="AN38" t="s">
        <v>77</v>
      </c>
    </row>
    <row r="39" spans="2:41" ht="15.95" customHeight="1" x14ac:dyDescent="0.25">
      <c r="B39" s="53">
        <f t="shared" si="0"/>
        <v>35</v>
      </c>
      <c r="C39" s="58" t="s">
        <v>31</v>
      </c>
      <c r="D39" s="55">
        <f>SUMIFS(Realpage!$I:$I,Realpage!$A:$A,$C39,Realpage!$F:$F,"Rent Roll (Rev/OSF)")</f>
        <v>3.495914952965411</v>
      </c>
      <c r="E39" s="55">
        <f>SUMIFS(Realpage!$I:$I,Realpage!$A:$A,$C39,Realpage!$F:$F,"Asking RPSF")</f>
        <v>3.472</v>
      </c>
      <c r="F39" s="56">
        <f>E39/D39</f>
        <v>0.99315917198010639</v>
      </c>
      <c r="G39" s="64" cm="1">
        <f t="array" ref="G39">SUMPRODUCT(('RP - Unit Starts'!$C$2:$C$101=$C39)*('RP - Unit Starts'!$F$2:$F$101="Unit Starts")*'RP - Unit Starts'!$I$2:$L$101)/SUMIFS('RP - Unit Starts'!$L:$L,'RP - Unit Starts'!$C:$C,$C39,'RP - Unit Starts'!$F:$F,"Existing Units")</f>
        <v>2.942598901630359E-2</v>
      </c>
      <c r="H39" s="64">
        <f>F39-1</f>
        <v>-6.8408280198936078E-3</v>
      </c>
      <c r="I39" s="55">
        <f>SUMIFS(Realpage!$I:$I,Realpage!$A:$A,$C39,Realpage!$F:$F,"Effective RPSF")</f>
        <v>3.3420000000000001</v>
      </c>
      <c r="J39" s="65">
        <f>I39/D39</f>
        <v>0.95597291266057471</v>
      </c>
      <c r="K39" s="64">
        <f>J39-1</f>
        <v>-4.4027087339425286E-2</v>
      </c>
      <c r="L39" s="25">
        <v>5.0700000000000002E-2</v>
      </c>
      <c r="M39" s="3">
        <f>AVERAGEIF('Realpage - His. Rent Change'!$A$2:$A$577,'Q2 2026 Summary'!C46,'Realpage - His. Rent Change'!$I$2:$AV$577)</f>
        <v>3.3000000000000002E-2</v>
      </c>
      <c r="N39" s="57">
        <f>AVERAGE(L39:M39)</f>
        <v>4.1849999999999998E-2</v>
      </c>
      <c r="O39" s="60">
        <f>MAX(0,-(K39/M39))</f>
        <v>1.3341541618007662</v>
      </c>
      <c r="P39" s="57">
        <f>($P$3*M39)+K39</f>
        <v>0.12097291266057472</v>
      </c>
      <c r="Q39" s="57">
        <f>(1+P39)^(1/$P$3)-1</f>
        <v>2.3102212094865404E-2</v>
      </c>
      <c r="R39" s="57">
        <f>$R$3+P39</f>
        <v>0.17197291266057471</v>
      </c>
      <c r="S39" s="57">
        <f>$S$3*$P$3</f>
        <v>0.125</v>
      </c>
      <c r="T39" s="57">
        <f>SUMIFS(Realpage!$I:$I,Realpage!$A:$A,$C39,Realpage!$F:$F,"NOI % of Revenue")</f>
        <v>1.2677487834164847</v>
      </c>
      <c r="U39" s="61">
        <v>1</v>
      </c>
      <c r="V39" s="61">
        <f>U39-T39</f>
        <v>-0.26774878341648467</v>
      </c>
      <c r="W39" s="61">
        <f>U39*(1+R39)</f>
        <v>1.1719729126605747</v>
      </c>
      <c r="X39" s="61">
        <f>V39*(1+S39)</f>
        <v>-0.30121738134354525</v>
      </c>
      <c r="Y39" s="61">
        <f>W39-X39</f>
        <v>1.4731902940041199</v>
      </c>
      <c r="Z39" s="57">
        <f>Y39/T39-1</f>
        <v>0.16205222460082847</v>
      </c>
      <c r="AA39" s="57">
        <f>(Y39/T39)^(1/$P$3)-1</f>
        <v>3.0493197567537322E-2</v>
      </c>
      <c r="AB39" s="57">
        <f>$AB$3</f>
        <v>0.05</v>
      </c>
      <c r="AC39" s="61">
        <f>AB39/$AB$3</f>
        <v>1</v>
      </c>
      <c r="AD39" s="61">
        <f>AC39*(1+$AD$3)</f>
        <v>1.08</v>
      </c>
      <c r="AE39" s="61">
        <f>AC39*AB39</f>
        <v>0.05</v>
      </c>
      <c r="AF39" s="61">
        <f>AE39*(1+Z39)</f>
        <v>5.8102611230041429E-2</v>
      </c>
      <c r="AG39" s="57">
        <f>AF39/AD39</f>
        <v>5.3798714101890209E-2</v>
      </c>
      <c r="AH39" s="57">
        <f>AG39-AB39</f>
        <v>3.7987141018902063E-3</v>
      </c>
      <c r="AI39" s="57">
        <f>ROUND(AH39,4)</f>
        <v>3.8E-3</v>
      </c>
      <c r="AJ39" s="57" cm="1">
        <f t="array" ref="AJ39">INDEX('Cap Rate to IRR Map'!$F$3:$F$623,MATCH(ROUND(AI39,4),ROUND('Cap Rate to IRR Map'!$E$3:$E$623,4),0))</f>
        <v>3.5000000000000003E-2</v>
      </c>
      <c r="AK39" s="57">
        <f>$AK$3</f>
        <v>0.05</v>
      </c>
      <c r="AL39" s="62">
        <v>1.2999999999999991E-2</v>
      </c>
      <c r="AO39" t="s">
        <v>94</v>
      </c>
    </row>
    <row r="40" spans="2:41" ht="15.95" customHeight="1" x14ac:dyDescent="0.25">
      <c r="B40" s="53">
        <f t="shared" si="0"/>
        <v>36</v>
      </c>
      <c r="C40" s="58" t="s">
        <v>22</v>
      </c>
      <c r="D40" s="55">
        <f>SUMIFS(Realpage!$I:$I,Realpage!$A:$A,$C40,Realpage!$F:$F,"Rent Roll (Rev/OSF)")</f>
        <v>5.1815223853491332</v>
      </c>
      <c r="E40" s="55">
        <f>SUMIFS(Realpage!$I:$I,Realpage!$A:$A,$C40,Realpage!$F:$F,"Asking RPSF")</f>
        <v>5.1270000000000007</v>
      </c>
      <c r="F40" s="56">
        <f>E40/D40</f>
        <v>0.98947753550128514</v>
      </c>
      <c r="G40" s="64" cm="1">
        <f t="array" ref="G40">SUMPRODUCT(('RP - Unit Starts'!$C$2:$C$101=$C40)*('RP - Unit Starts'!$F$2:$F$101="Unit Starts")*'RP - Unit Starts'!$I$2:$L$101)/SUMIFS('RP - Unit Starts'!$L:$L,'RP - Unit Starts'!$C:$C,$C40,'RP - Unit Starts'!$F:$F,"Existing Units")</f>
        <v>1.0476269843399753E-2</v>
      </c>
      <c r="H40" s="64">
        <f>F40-1</f>
        <v>-1.0522464498714856E-2</v>
      </c>
      <c r="I40" s="55">
        <f>SUMIFS(Realpage!$I:$I,Realpage!$A:$A,$C40,Realpage!$F:$F,"Effective RPSF")</f>
        <v>5.0410000000000004</v>
      </c>
      <c r="J40" s="65">
        <f>I40/D40</f>
        <v>0.97288009683284149</v>
      </c>
      <c r="K40" s="64">
        <f>J40-1</f>
        <v>-2.711990316715851E-2</v>
      </c>
      <c r="L40" s="28">
        <v>2.75E-2</v>
      </c>
      <c r="M40" s="3">
        <f>AVERAGEIF('Realpage - His. Rent Change'!$A$2:$A$577,'Q2 2026 Summary'!C34,'Realpage - His. Rent Change'!$I$2:$AV$577)</f>
        <v>7.6700000000000004E-2</v>
      </c>
      <c r="N40" s="57">
        <f>AVERAGE(L40:M40)</f>
        <v>5.21E-2</v>
      </c>
      <c r="O40" s="60">
        <f>MAX(0,-(K40/M40))</f>
        <v>0.35358413516503923</v>
      </c>
      <c r="P40" s="57">
        <f>($P$3*M40)+K40</f>
        <v>0.3563800968328415</v>
      </c>
      <c r="Q40" s="57">
        <f>(1+P40)^(1/$P$3)-1</f>
        <v>6.2860535224053882E-2</v>
      </c>
      <c r="R40" s="57">
        <f>$R$3+P40</f>
        <v>0.40738009683284149</v>
      </c>
      <c r="S40" s="57">
        <f>$S$3*$P$3</f>
        <v>0.125</v>
      </c>
      <c r="T40" s="57">
        <f>SUMIFS(Realpage!$I:$I,Realpage!$A:$A,$C40,Realpage!$F:$F,"NOI % of Revenue")</f>
        <v>1.1588665795091428</v>
      </c>
      <c r="U40" s="61">
        <v>1</v>
      </c>
      <c r="V40" s="61">
        <f>U40-T40</f>
        <v>-0.15886657950914285</v>
      </c>
      <c r="W40" s="61">
        <f>U40*(1+R40)</f>
        <v>1.4073800968328416</v>
      </c>
      <c r="X40" s="61">
        <f>V40*(1+S40)</f>
        <v>-0.1787249019477857</v>
      </c>
      <c r="Y40" s="61">
        <f>W40-X40</f>
        <v>1.5861049987806273</v>
      </c>
      <c r="Z40" s="57">
        <f>Y40/T40-1</f>
        <v>0.36866920388061275</v>
      </c>
      <c r="AA40" s="57">
        <f>(Y40/T40)^(1/$P$3)-1</f>
        <v>6.4779543944252005E-2</v>
      </c>
      <c r="AB40" s="57">
        <f>$AB$3</f>
        <v>0.05</v>
      </c>
      <c r="AC40" s="61">
        <f>AB40/$AB$3</f>
        <v>1</v>
      </c>
      <c r="AD40" s="61">
        <f>AC40*(1+$AD$3)</f>
        <v>1.08</v>
      </c>
      <c r="AE40" s="61">
        <f>AC40*AB40</f>
        <v>0.05</v>
      </c>
      <c r="AF40" s="61">
        <f>AE40*(1+Z40)</f>
        <v>6.843346019403064E-2</v>
      </c>
      <c r="AG40" s="57">
        <f>AF40/AD40</f>
        <v>6.3364314994472815E-2</v>
      </c>
      <c r="AH40" s="57">
        <f>AG40-AB40</f>
        <v>1.3364314994472812E-2</v>
      </c>
      <c r="AI40" s="57">
        <f>ROUND(AH40,4)</f>
        <v>1.34E-2</v>
      </c>
      <c r="AJ40" s="57" cm="1">
        <f t="array" ref="AJ40">INDEX('Cap Rate to IRR Map'!$F$3:$F$623,MATCH(ROUND(AI40,4),ROUND('Cap Rate to IRR Map'!$E$3:$E$623,4),0))</f>
        <v>0.11899999999999999</v>
      </c>
      <c r="AK40" s="57">
        <f>$AK$3</f>
        <v>0.05</v>
      </c>
      <c r="AL40" s="62">
        <v>0.127</v>
      </c>
    </row>
    <row r="41" spans="2:41" ht="15.95" customHeight="1" x14ac:dyDescent="0.25">
      <c r="B41" s="53">
        <f t="shared" si="0"/>
        <v>37</v>
      </c>
      <c r="C41" s="58" t="s">
        <v>33</v>
      </c>
      <c r="D41" s="55">
        <f>SUMIFS(Realpage!$I:$I,Realpage!$A:$A,$C41,Realpage!$F:$F,"Rent Roll (Rev/OSF)")</f>
        <v>3.148662421552257</v>
      </c>
      <c r="E41" s="55">
        <f>SUMIFS(Realpage!$I:$I,Realpage!$A:$A,$C41,Realpage!$F:$F,"Asking RPSF")</f>
        <v>3.1109999999999998</v>
      </c>
      <c r="F41" s="56">
        <f>E41/D41</f>
        <v>0.9880385965499312</v>
      </c>
      <c r="G41" s="64" cm="1">
        <f t="array" ref="G41">SUMPRODUCT(('RP - Unit Starts'!$C$2:$C$101=$C41)*('RP - Unit Starts'!$F$2:$F$101="Unit Starts")*'RP - Unit Starts'!$I$2:$L$101)/SUMIFS('RP - Unit Starts'!$L:$L,'RP - Unit Starts'!$C:$C,$C41,'RP - Unit Starts'!$F:$F,"Existing Units")</f>
        <v>4.6989442961512529E-2</v>
      </c>
      <c r="H41" s="64">
        <f>F41-1</f>
        <v>-1.1961403450068797E-2</v>
      </c>
      <c r="I41" s="55">
        <f>SUMIFS(Realpage!$I:$I,Realpage!$A:$A,$C41,Realpage!$F:$F,"Effective RPSF")</f>
        <v>3.0230000000000001</v>
      </c>
      <c r="J41" s="65">
        <f>I41/D41</f>
        <v>0.96009022094839036</v>
      </c>
      <c r="K41" s="64">
        <f>J41-1</f>
        <v>-3.990977905160964E-2</v>
      </c>
      <c r="L41" s="29">
        <v>3.73E-2</v>
      </c>
      <c r="M41" s="3">
        <f>AVERAGEIF('Realpage - His. Rent Change'!$A$2:$A$577,'Q2 2026 Summary'!C44,'Realpage - His. Rent Change'!$I$2:$AV$577)</f>
        <v>4.5100000000000001E-2</v>
      </c>
      <c r="N41" s="57">
        <f>AVERAGE(L41:M41)</f>
        <v>4.1200000000000001E-2</v>
      </c>
      <c r="O41" s="60">
        <f>MAX(0,-(K41/M41))</f>
        <v>0.88491749560110067</v>
      </c>
      <c r="P41" s="57">
        <f>($P$3*M41)+K41</f>
        <v>0.18559022094839037</v>
      </c>
      <c r="Q41" s="57">
        <f>(1+P41)^(1/$P$3)-1</f>
        <v>3.4634418486822138E-2</v>
      </c>
      <c r="R41" s="57">
        <f>$R$3+P41</f>
        <v>0.23659022094839036</v>
      </c>
      <c r="S41" s="57">
        <f>$S$3*$P$3</f>
        <v>0.125</v>
      </c>
      <c r="T41" s="57">
        <f>SUMIFS(Realpage!$I:$I,Realpage!$A:$A,$C41,Realpage!$F:$F,"NOI % of Revenue")</f>
        <v>1.1552490711366217</v>
      </c>
      <c r="U41" s="61">
        <v>1</v>
      </c>
      <c r="V41" s="61">
        <f>U41-T41</f>
        <v>-0.15524907113662167</v>
      </c>
      <c r="W41" s="61">
        <f>U41*(1+R41)</f>
        <v>1.2365902209483903</v>
      </c>
      <c r="X41" s="61">
        <f>V41*(1+S41)</f>
        <v>-0.17465520502869938</v>
      </c>
      <c r="Y41" s="61">
        <f>W41-X41</f>
        <v>1.4112454259770897</v>
      </c>
      <c r="Z41" s="57">
        <f>Y41/T41-1</f>
        <v>0.22159407978454326</v>
      </c>
      <c r="AA41" s="57">
        <f>(Y41/T41)^(1/$P$3)-1</f>
        <v>4.0843378856343593E-2</v>
      </c>
      <c r="AB41" s="57">
        <f>$AB$3</f>
        <v>0.05</v>
      </c>
      <c r="AC41" s="61">
        <f>AB41/$AB$3</f>
        <v>1</v>
      </c>
      <c r="AD41" s="61">
        <f>AC41*(1+$AD$3)</f>
        <v>1.08</v>
      </c>
      <c r="AE41" s="61">
        <f>AC41*AB41</f>
        <v>0.05</v>
      </c>
      <c r="AF41" s="61">
        <f>AE41*(1+Z41)</f>
        <v>6.1079703989227165E-2</v>
      </c>
      <c r="AG41" s="57">
        <f>AF41/AD41</f>
        <v>5.6555281471506631E-2</v>
      </c>
      <c r="AH41" s="57">
        <f>AG41-AB41</f>
        <v>6.5552814715066285E-3</v>
      </c>
      <c r="AI41" s="57">
        <f>ROUND(AH41,4)</f>
        <v>6.6E-3</v>
      </c>
      <c r="AJ41" s="57" cm="1">
        <f t="array" ref="AJ41">INDEX('Cap Rate to IRR Map'!$F$3:$F$623,MATCH(ROUND(AI41,4),ROUND('Cap Rate to IRR Map'!$E$3:$E$623,4),0))</f>
        <v>6.2E-2</v>
      </c>
      <c r="AK41" s="57">
        <f>$AK$3</f>
        <v>0.05</v>
      </c>
      <c r="AL41" s="62">
        <v>7.3000000000000009E-2</v>
      </c>
    </row>
    <row r="42" spans="2:41" ht="15.95" customHeight="1" x14ac:dyDescent="0.25">
      <c r="B42" s="53">
        <f t="shared" si="0"/>
        <v>38</v>
      </c>
      <c r="C42" s="58" t="s">
        <v>30</v>
      </c>
      <c r="D42" s="55">
        <f>SUMIFS(Realpage!$I:$I,Realpage!$A:$A,$C42,Realpage!$F:$F,"Rent Roll (Rev/OSF)")</f>
        <v>1.6321102137675261</v>
      </c>
      <c r="E42" s="55">
        <f>SUMIFS(Realpage!$I:$I,Realpage!$A:$A,$C42,Realpage!$F:$F,"Asking RPSF")</f>
        <v>1.607</v>
      </c>
      <c r="F42" s="56">
        <f>E42/D42</f>
        <v>0.98461487860580066</v>
      </c>
      <c r="G42" s="64" cm="1">
        <f t="array" ref="G42">SUMPRODUCT(('RP - Unit Starts'!$C$2:$C$101=$C42)*('RP - Unit Starts'!$F$2:$F$101="Unit Starts")*'RP - Unit Starts'!$I$2:$L$101)/SUMIFS('RP - Unit Starts'!$L:$L,'RP - Unit Starts'!$C:$C,$C42,'RP - Unit Starts'!$F:$F,"Existing Units")</f>
        <v>1.4393886349314315E-2</v>
      </c>
      <c r="H42" s="64">
        <f>F42-1</f>
        <v>-1.5385121394199341E-2</v>
      </c>
      <c r="I42" s="55">
        <f>SUMIFS(Realpage!$I:$I,Realpage!$A:$A,$C42,Realpage!$F:$F,"Effective RPSF")</f>
        <v>1.5620000000000001</v>
      </c>
      <c r="J42" s="65">
        <f>I42/D42</f>
        <v>0.95704321118995683</v>
      </c>
      <c r="K42" s="64">
        <f>J42-1</f>
        <v>-4.2956788810043167E-2</v>
      </c>
      <c r="L42" s="28">
        <v>3.9399999999999998E-2</v>
      </c>
      <c r="M42" s="3">
        <f>AVERAGEIF('Realpage - His. Rent Change'!$A$2:$A$577,'Q2 2026 Summary'!C43,'Realpage - His. Rent Change'!$I$2:$AV$577)</f>
        <v>6.1600000000000002E-2</v>
      </c>
      <c r="N42" s="57">
        <f>AVERAGE(L42:M42)</f>
        <v>5.0500000000000003E-2</v>
      </c>
      <c r="O42" s="60">
        <f>MAX(0,-(K42/M42))</f>
        <v>0.6973504676955059</v>
      </c>
      <c r="P42" s="57">
        <f>($P$3*M42)+K42</f>
        <v>0.26504321118995683</v>
      </c>
      <c r="Q42" s="57">
        <f>(1+P42)^(1/$P$3)-1</f>
        <v>4.8144288331924301E-2</v>
      </c>
      <c r="R42" s="57">
        <f>$R$3+P42</f>
        <v>0.31604321118995682</v>
      </c>
      <c r="S42" s="57">
        <f>$S$3*$P$3</f>
        <v>0.125</v>
      </c>
      <c r="T42" s="57">
        <f>SUMIFS(Realpage!$I:$I,Realpage!$A:$A,$C42,Realpage!$F:$F,"NOI % of Revenue")</f>
        <v>0.51648927180609627</v>
      </c>
      <c r="U42" s="61">
        <v>1</v>
      </c>
      <c r="V42" s="61">
        <f>U42-T42</f>
        <v>0.48351072819390373</v>
      </c>
      <c r="W42" s="61">
        <f>U42*(1+R42)</f>
        <v>1.3160432111899567</v>
      </c>
      <c r="X42" s="61">
        <f>V42*(1+S42)</f>
        <v>0.54394956921814175</v>
      </c>
      <c r="Y42" s="61">
        <f>W42-X42</f>
        <v>0.77209364197181496</v>
      </c>
      <c r="Z42" s="57">
        <f>Y42/T42-1</f>
        <v>0.49488805308947303</v>
      </c>
      <c r="AA42" s="57">
        <f>(Y42/T42)^(1/$P$3)-1</f>
        <v>8.3731593225954359E-2</v>
      </c>
      <c r="AB42" s="57">
        <f>$AB$3</f>
        <v>0.05</v>
      </c>
      <c r="AC42" s="61">
        <f>AB42/$AB$3</f>
        <v>1</v>
      </c>
      <c r="AD42" s="61">
        <f>AC42*(1+$AD$3)</f>
        <v>1.08</v>
      </c>
      <c r="AE42" s="61">
        <f>AC42*AB42</f>
        <v>0.05</v>
      </c>
      <c r="AF42" s="61">
        <f>AE42*(1+Z42)</f>
        <v>7.4744402654473657E-2</v>
      </c>
      <c r="AG42" s="57">
        <f>AF42/AD42</f>
        <v>6.9207780235623753E-2</v>
      </c>
      <c r="AH42" s="57">
        <f>AG42-AB42</f>
        <v>1.920778023562375E-2</v>
      </c>
      <c r="AI42" s="57">
        <f>ROUND(AH42,4)</f>
        <v>1.9199999999999998E-2</v>
      </c>
      <c r="AJ42" s="57" cm="1">
        <f t="array" ref="AJ42">INDEX('Cap Rate to IRR Map'!$F$3:$F$623,MATCH(ROUND(AI42,4),ROUND('Cap Rate to IRR Map'!$E$3:$E$623,4),0))</f>
        <v>0.16075</v>
      </c>
      <c r="AK42" s="57">
        <f>$AK$3</f>
        <v>0.05</v>
      </c>
      <c r="AL42" s="62">
        <v>0.24149999999999999</v>
      </c>
    </row>
    <row r="43" spans="2:41" ht="15.95" customHeight="1" x14ac:dyDescent="0.25">
      <c r="B43" s="53">
        <f t="shared" si="0"/>
        <v>39</v>
      </c>
      <c r="C43" s="58" t="s">
        <v>38</v>
      </c>
      <c r="D43" s="55">
        <f>SUMIFS(Realpage!$I:$I,Realpage!$A:$A,$C43,Realpage!$F:$F,"Rent Roll (Rev/OSF)")</f>
        <v>4.2098846249512123</v>
      </c>
      <c r="E43" s="55">
        <f>SUMIFS(Realpage!$I:$I,Realpage!$A:$A,$C43,Realpage!$F:$F,"Asking RPSF")</f>
        <v>4.1400000000000006</v>
      </c>
      <c r="F43" s="56">
        <f>E43/D43</f>
        <v>0.98339987168840248</v>
      </c>
      <c r="G43" s="64" cm="1">
        <f t="array" ref="G43">SUMPRODUCT(('RP - Unit Starts'!$C$2:$C$101=$C43)*('RP - Unit Starts'!$F$2:$F$101="Unit Starts")*'RP - Unit Starts'!$I$2:$L$101)/SUMIFS('RP - Unit Starts'!$L:$L,'RP - Unit Starts'!$C:$C,$C43,'RP - Unit Starts'!$F:$F,"Existing Units")</f>
        <v>1.9471732501104788E-2</v>
      </c>
      <c r="H43" s="64">
        <f>F43-1</f>
        <v>-1.6600128311597517E-2</v>
      </c>
      <c r="I43" s="55">
        <f>SUMIFS(Realpage!$I:$I,Realpage!$A:$A,$C43,Realpage!$F:$F,"Effective RPSF")</f>
        <v>3.9290000000000003</v>
      </c>
      <c r="J43" s="65">
        <f>I43/D43</f>
        <v>0.93327973330041858</v>
      </c>
      <c r="K43" s="64">
        <f>J43-1</f>
        <v>-6.6720266699581421E-2</v>
      </c>
      <c r="L43" s="30">
        <v>2.9899999999999999E-2</v>
      </c>
      <c r="M43" s="3">
        <f>AVERAGEIF('Realpage - His. Rent Change'!$A$2:$A$577,'Q2 2026 Summary'!C51,'Realpage - His. Rent Change'!$I$2:$AV$577)</f>
        <v>8.3500000000000005E-2</v>
      </c>
      <c r="N43" s="57">
        <f>AVERAGE(L43:M43)</f>
        <v>5.67E-2</v>
      </c>
      <c r="O43" s="60">
        <f>MAX(0,-(K43/M43))</f>
        <v>0.79904511017462776</v>
      </c>
      <c r="P43" s="57">
        <f>($P$3*M43)+K43</f>
        <v>0.35077973330041862</v>
      </c>
      <c r="Q43" s="57">
        <f>(1+P43)^(1/$P$3)-1</f>
        <v>6.1981392189597528E-2</v>
      </c>
      <c r="R43" s="57">
        <f>$R$3+P43</f>
        <v>0.40177973330041861</v>
      </c>
      <c r="S43" s="57">
        <f>$S$3*$P$3</f>
        <v>0.125</v>
      </c>
      <c r="T43" s="57">
        <f>SUMIFS(Realpage!$I:$I,Realpage!$A:$A,$C43,Realpage!$F:$F,"NOI % of Revenue")</f>
        <v>1.2121119604177872</v>
      </c>
      <c r="U43" s="61">
        <v>1</v>
      </c>
      <c r="V43" s="61">
        <f>U43-T43</f>
        <v>-0.21211196041778724</v>
      </c>
      <c r="W43" s="61">
        <f>U43*(1+R43)</f>
        <v>1.4017797333004185</v>
      </c>
      <c r="X43" s="61">
        <f>V43*(1+S43)</f>
        <v>-0.23862595547001064</v>
      </c>
      <c r="Y43" s="61">
        <f>W43-X43</f>
        <v>1.640405688770429</v>
      </c>
      <c r="Z43" s="57">
        <f>Y43/T43-1</f>
        <v>0.35334502285169989</v>
      </c>
      <c r="AA43" s="57">
        <f>(Y43/T43)^(1/$P$3)-1</f>
        <v>6.2384451631234628E-2</v>
      </c>
      <c r="AB43" s="57">
        <f>$AB$3</f>
        <v>0.05</v>
      </c>
      <c r="AC43" s="61">
        <f>AB43/$AB$3</f>
        <v>1</v>
      </c>
      <c r="AD43" s="61">
        <f>AC43*(1+$AD$3)</f>
        <v>1.08</v>
      </c>
      <c r="AE43" s="61">
        <f>AC43*AB43</f>
        <v>0.05</v>
      </c>
      <c r="AF43" s="61">
        <f>AE43*(1+Z43)</f>
        <v>6.7667251142584997E-2</v>
      </c>
      <c r="AG43" s="57">
        <f>AF43/AD43</f>
        <v>6.2654862169060174E-2</v>
      </c>
      <c r="AH43" s="57">
        <f>AG43-AB43</f>
        <v>1.2654862169060171E-2</v>
      </c>
      <c r="AI43" s="57">
        <f>ROUND(AH43,4)</f>
        <v>1.2699999999999999E-2</v>
      </c>
      <c r="AJ43" s="57" cm="1">
        <f t="array" ref="AJ43">INDEX('Cap Rate to IRR Map'!$F$3:$F$623,MATCH(ROUND(AI43,4),ROUND('Cap Rate to IRR Map'!$E$3:$E$623,4),0))</f>
        <v>0.114</v>
      </c>
      <c r="AK43" s="57">
        <f>$AK$3</f>
        <v>0.05</v>
      </c>
      <c r="AL43" s="62">
        <v>0.16400000000000001</v>
      </c>
      <c r="AO43" s="18" t="s">
        <v>79</v>
      </c>
    </row>
    <row r="44" spans="2:41" ht="15.95" customHeight="1" x14ac:dyDescent="0.25">
      <c r="B44" s="53">
        <f t="shared" si="0"/>
        <v>40</v>
      </c>
      <c r="C44" s="58" t="s">
        <v>386</v>
      </c>
      <c r="D44" s="55">
        <f>SUMIFS(Realpage!$I:$I,Realpage!$A:$A,$C44,Realpage!$F:$F,"Rent Roll (Rev/OSF)")</f>
        <v>3.1503675301926153</v>
      </c>
      <c r="E44" s="55">
        <f>SUMIFS(Realpage!$I:$I,Realpage!$A:$A,$C44,Realpage!$F:$F,"Asking RPSF")</f>
        <v>3.0960000000000001</v>
      </c>
      <c r="F44" s="56">
        <f>E44/D44</f>
        <v>0.98274248014824761</v>
      </c>
      <c r="G44" s="64" cm="1">
        <f t="array" ref="G44">SUMPRODUCT(('RP - Unit Starts'!$C$2:$C$101=$C44)*('RP - Unit Starts'!$F$2:$F$101="Unit Starts")*'RP - Unit Starts'!$I$2:$L$101)/SUMIFS('RP - Unit Starts'!$L:$L,'RP - Unit Starts'!$C:$C,$C44,'RP - Unit Starts'!$F:$F,"Existing Units")</f>
        <v>0</v>
      </c>
      <c r="H44" s="64">
        <f>F44-1</f>
        <v>-1.725751985175239E-2</v>
      </c>
      <c r="I44" s="55">
        <f>SUMIFS(Realpage!$I:$I,Realpage!$A:$A,$C44,Realpage!$F:$F,"Effective RPSF")</f>
        <v>3.0529999999999999</v>
      </c>
      <c r="J44" s="65">
        <f>I44/D44</f>
        <v>0.96909327903507747</v>
      </c>
      <c r="K44" s="64">
        <f>J44-1</f>
        <v>-3.0906720964922529E-2</v>
      </c>
      <c r="L44" s="21"/>
      <c r="M44" s="3">
        <f>AVERAGEIF('Realpage - His. Rent Change'!$A$2:$A$577,'Q2 2026 Summary'!C35,'Realpage - His. Rent Change'!$I$2:$AV$577)</f>
        <v>6.3500000000000001E-2</v>
      </c>
      <c r="N44" s="57">
        <f>AVERAGE(L44:M44)</f>
        <v>6.3500000000000001E-2</v>
      </c>
      <c r="O44" s="63">
        <f>MAX(0,-(K44/M44))</f>
        <v>0.48672001519563035</v>
      </c>
      <c r="P44" s="57">
        <f>($P$3*M44)+K44</f>
        <v>0.28659327903507748</v>
      </c>
      <c r="Q44" s="57">
        <f>(1+P44)^(1/$P$3)-1</f>
        <v>5.169123799637565E-2</v>
      </c>
      <c r="R44" s="57">
        <f>$R$3+P44</f>
        <v>0.33759327903507746</v>
      </c>
      <c r="S44" s="57">
        <f>$S$3*$P$3</f>
        <v>0.125</v>
      </c>
      <c r="T44" s="57">
        <f>SUMIFS(Realpage!$I:$I,Realpage!$A:$A,$C44,Realpage!$F:$F,"NOI % of Revenue")</f>
        <v>1.2481542748192958</v>
      </c>
      <c r="U44" s="61">
        <v>1</v>
      </c>
      <c r="V44" s="61">
        <f>U44-T44</f>
        <v>-0.24815427481929575</v>
      </c>
      <c r="W44" s="61">
        <f>U44*(1+R44)</f>
        <v>1.3375932790350775</v>
      </c>
      <c r="X44" s="61">
        <f>V44*(1+S44)</f>
        <v>-0.27917355917170772</v>
      </c>
      <c r="Y44" s="61">
        <f>W44-X44</f>
        <v>1.6167668382067852</v>
      </c>
      <c r="Z44" s="57">
        <f>Y44/T44-1</f>
        <v>0.29532612339997488</v>
      </c>
      <c r="AA44" s="57">
        <f>(Y44/T44)^(1/$P$3)-1</f>
        <v>5.3115063474513224E-2</v>
      </c>
      <c r="AB44" s="57">
        <f>$AB$3</f>
        <v>0.05</v>
      </c>
      <c r="AC44" s="61">
        <f>AB44/$AB$3</f>
        <v>1</v>
      </c>
      <c r="AD44" s="61">
        <f>AC44*(1+$AD$3)</f>
        <v>1.08</v>
      </c>
      <c r="AE44" s="61">
        <f>AC44*AB44</f>
        <v>0.05</v>
      </c>
      <c r="AF44" s="61">
        <f>AE44*(1+Z44)</f>
        <v>6.4766306169998747E-2</v>
      </c>
      <c r="AG44" s="57">
        <f>AF44/AD44</f>
        <v>5.9968802009258096E-2</v>
      </c>
      <c r="AH44" s="57">
        <f>AG44-AB44</f>
        <v>9.9688020092580931E-3</v>
      </c>
      <c r="AI44" s="57">
        <f>ROUND(AH44,4)</f>
        <v>0.01</v>
      </c>
      <c r="AJ44" s="57" cm="1">
        <f t="array" ref="AJ44">INDEX('Cap Rate to IRR Map'!$F$3:$F$623,MATCH(ROUND(AI44,4),ROUND('Cap Rate to IRR Map'!$E$3:$E$623,4),0))</f>
        <v>9.1499999999999998E-2</v>
      </c>
      <c r="AK44" s="57">
        <f>$AK$3</f>
        <v>0.05</v>
      </c>
      <c r="AL44" s="62">
        <v>9.0999999999999998E-2</v>
      </c>
      <c r="AO44" t="s">
        <v>90</v>
      </c>
    </row>
    <row r="45" spans="2:41" ht="15.95" customHeight="1" x14ac:dyDescent="0.25">
      <c r="B45" s="53">
        <f t="shared" si="0"/>
        <v>41</v>
      </c>
      <c r="C45" s="58" t="s">
        <v>300</v>
      </c>
      <c r="D45" s="55">
        <f>SUMIFS(Realpage!$I:$I,Realpage!$A:$A,$C45,Realpage!$F:$F,"Rent Roll (Rev/OSF)")</f>
        <v>3.2572526809558959</v>
      </c>
      <c r="E45" s="55">
        <f>SUMIFS(Realpage!$I:$I,Realpage!$A:$A,$C45,Realpage!$F:$F,"Asking RPSF")</f>
        <v>3.1970000000000001</v>
      </c>
      <c r="F45" s="56">
        <f>E45/D45</f>
        <v>0.98150199359473278</v>
      </c>
      <c r="G45" s="64" cm="1">
        <f t="array" ref="G45">SUMPRODUCT(('RP - Unit Starts'!$C$2:$C$101=$C45)*('RP - Unit Starts'!$F$2:$F$101="Unit Starts")*'RP - Unit Starts'!$I$2:$L$101)/SUMIFS('RP - Unit Starts'!$L:$L,'RP - Unit Starts'!$C:$C,$C45,'RP - Unit Starts'!$F:$F,"Existing Units")</f>
        <v>2.1879052597242443E-2</v>
      </c>
      <c r="H45" s="64">
        <f>F45-1</f>
        <v>-1.849800640526722E-2</v>
      </c>
      <c r="I45" s="55">
        <f>SUMIFS(Realpage!$I:$I,Realpage!$A:$A,$C45,Realpage!$F:$F,"Effective RPSF")</f>
        <v>3.12</v>
      </c>
      <c r="J45" s="65">
        <f>I45/D45</f>
        <v>0.95786243979216967</v>
      </c>
      <c r="K45" s="64">
        <f>J45-1</f>
        <v>-4.2137560207830327E-2</v>
      </c>
      <c r="L45" s="21"/>
      <c r="M45" s="3">
        <f>AVERAGEIF('Realpage - His. Rent Change'!$A$2:$A$577,'Q2 2026 Summary'!C42,'Realpage - His. Rent Change'!$I$2:$AV$577)</f>
        <v>7.2099999999999997E-2</v>
      </c>
      <c r="N45" s="57">
        <f>AVERAGE(L45:M45)</f>
        <v>7.2099999999999997E-2</v>
      </c>
      <c r="O45" s="63">
        <f>MAX(0,-(K45/M45))</f>
        <v>0.58443218041373546</v>
      </c>
      <c r="P45" s="57">
        <f>($P$3*M45)+K45</f>
        <v>0.31836243979216966</v>
      </c>
      <c r="Q45" s="57">
        <f>(1+P45)^(1/$P$3)-1</f>
        <v>5.6834456342518047E-2</v>
      </c>
      <c r="R45" s="57">
        <f>$R$3+P45</f>
        <v>0.36936243979216965</v>
      </c>
      <c r="S45" s="57">
        <f>$S$3*$P$3</f>
        <v>0.125</v>
      </c>
      <c r="T45" s="57">
        <f>SUMIFS(Realpage!$I:$I,Realpage!$A:$A,$C45,Realpage!$F:$F,"NOI % of Revenue")</f>
        <v>1.0011724249275304</v>
      </c>
      <c r="U45" s="61">
        <v>1</v>
      </c>
      <c r="V45" s="61">
        <f>U45-T45</f>
        <v>-1.1724249275304466E-3</v>
      </c>
      <c r="W45" s="61">
        <f>U45*(1+R45)</f>
        <v>1.3693624397921695</v>
      </c>
      <c r="X45" s="61">
        <f>V45*(1+S45)</f>
        <v>-1.3189780434717524E-3</v>
      </c>
      <c r="Y45" s="61">
        <f>W45-X45</f>
        <v>1.3706814178356412</v>
      </c>
      <c r="Z45" s="57">
        <f>Y45/T45-1</f>
        <v>0.36907627867882753</v>
      </c>
      <c r="AA45" s="57">
        <f>(Y45/T45)^(1/$P$3)-1</f>
        <v>6.4842874566323649E-2</v>
      </c>
      <c r="AB45" s="57">
        <f>$AB$3</f>
        <v>0.05</v>
      </c>
      <c r="AC45" s="61">
        <f>AB45/$AB$3</f>
        <v>1</v>
      </c>
      <c r="AD45" s="61">
        <f>AC45*(1+$AD$3)</f>
        <v>1.08</v>
      </c>
      <c r="AE45" s="61">
        <f>AC45*AB45</f>
        <v>0.05</v>
      </c>
      <c r="AF45" s="61">
        <f>AE45*(1+Z45)</f>
        <v>6.8453813933941385E-2</v>
      </c>
      <c r="AG45" s="57">
        <f>AF45/AD45</f>
        <v>6.3383161049945722E-2</v>
      </c>
      <c r="AH45" s="57">
        <f>AG45-AB45</f>
        <v>1.3383161049945719E-2</v>
      </c>
      <c r="AI45" s="57">
        <f>ROUND(AH45,4)</f>
        <v>1.34E-2</v>
      </c>
      <c r="AJ45" s="57" cm="1">
        <f t="array" ref="AJ45">INDEX('Cap Rate to IRR Map'!$F$3:$F$623,MATCH(ROUND(AI45,4),ROUND('Cap Rate to IRR Map'!$E$3:$E$623,4),0))</f>
        <v>0.11899999999999999</v>
      </c>
      <c r="AK45" s="57">
        <f>$AK$3</f>
        <v>0.05</v>
      </c>
      <c r="AL45" s="62">
        <v>0.16600000000000001</v>
      </c>
      <c r="AO45" t="s">
        <v>112</v>
      </c>
    </row>
    <row r="46" spans="2:41" ht="15.95" customHeight="1" x14ac:dyDescent="0.25">
      <c r="B46" s="53">
        <f t="shared" si="0"/>
        <v>42</v>
      </c>
      <c r="C46" s="58" t="s">
        <v>29</v>
      </c>
      <c r="D46" s="55">
        <f>SUMIFS(Realpage!$I:$I,Realpage!$A:$A,$C46,Realpage!$F:$F,"Rent Roll (Rev/OSF)")</f>
        <v>2.9395598649557484</v>
      </c>
      <c r="E46" s="55">
        <f>SUMIFS(Realpage!$I:$I,Realpage!$A:$A,$C46,Realpage!$F:$F,"Asking RPSF")</f>
        <v>2.879</v>
      </c>
      <c r="F46" s="56">
        <f>E46/D46</f>
        <v>0.97939832228704748</v>
      </c>
      <c r="G46" s="64" cm="1">
        <f t="array" ref="G46">SUMPRODUCT(('RP - Unit Starts'!$C$2:$C$101=$C46)*('RP - Unit Starts'!$F$2:$F$101="Unit Starts")*'RP - Unit Starts'!$I$2:$L$101)/SUMIFS('RP - Unit Starts'!$L:$L,'RP - Unit Starts'!$C:$C,$C46,'RP - Unit Starts'!$F:$F,"Existing Units")</f>
        <v>1.6665342338763076E-2</v>
      </c>
      <c r="H46" s="64">
        <f>F46-1</f>
        <v>-2.0601677712952515E-2</v>
      </c>
      <c r="I46" s="55">
        <f>SUMIFS(Realpage!$I:$I,Realpage!$A:$A,$C46,Realpage!$F:$F,"Effective RPSF")</f>
        <v>2.851</v>
      </c>
      <c r="J46" s="65">
        <f>I46/D46</f>
        <v>0.96987308678026141</v>
      </c>
      <c r="K46" s="64">
        <f>J46-1</f>
        <v>-3.0126913219738594E-2</v>
      </c>
      <c r="L46" s="15">
        <v>4.5900000000000003E-2</v>
      </c>
      <c r="M46" s="3">
        <f>AVERAGEIF('Realpage - His. Rent Change'!$A$2:$A$577,'Q2 2026 Summary'!C41,'Realpage - His. Rent Change'!$I$2:$AV$577)</f>
        <v>6.5600000000000006E-2</v>
      </c>
      <c r="N46" s="57">
        <f>AVERAGE(L46:M46)</f>
        <v>5.5750000000000008E-2</v>
      </c>
      <c r="O46" s="60">
        <f>MAX(0,-(K46/M46))</f>
        <v>0.45925172591064928</v>
      </c>
      <c r="P46" s="57">
        <f>($P$3*M46)+K46</f>
        <v>0.29787308678026142</v>
      </c>
      <c r="Q46" s="57">
        <f>(1+P46)^(1/$P$3)-1</f>
        <v>5.3528880246876298E-2</v>
      </c>
      <c r="R46" s="57">
        <f>$R$3+P46</f>
        <v>0.34887308678026141</v>
      </c>
      <c r="S46" s="57">
        <f>$S$3*$P$3</f>
        <v>0.125</v>
      </c>
      <c r="T46" s="57">
        <f>SUMIFS(Realpage!$I:$I,Realpage!$A:$A,$C46,Realpage!$F:$F,"NOI % of Revenue")</f>
        <v>1.0869247628867589</v>
      </c>
      <c r="U46" s="61">
        <v>1</v>
      </c>
      <c r="V46" s="61">
        <f>U46-T46</f>
        <v>-8.6924762886758877E-2</v>
      </c>
      <c r="W46" s="61">
        <f>U46*(1+R46)</f>
        <v>1.3488730867802614</v>
      </c>
      <c r="X46" s="61">
        <f>V46*(1+S46)</f>
        <v>-9.7790358247603737E-2</v>
      </c>
      <c r="Y46" s="61">
        <f>W46-X46</f>
        <v>1.4466634450278653</v>
      </c>
      <c r="Z46" s="57">
        <f>Y46/T46-1</f>
        <v>0.33096925787731424</v>
      </c>
      <c r="AA46" s="57">
        <f>(Y46/T46)^(1/$P$3)-1</f>
        <v>5.8847961609229893E-2</v>
      </c>
      <c r="AB46" s="57">
        <f>$AB$3</f>
        <v>0.05</v>
      </c>
      <c r="AC46" s="61">
        <f>AB46/$AB$3</f>
        <v>1</v>
      </c>
      <c r="AD46" s="61">
        <f>AC46*(1+$AD$3)</f>
        <v>1.08</v>
      </c>
      <c r="AE46" s="61">
        <f>AC46*AB46</f>
        <v>0.05</v>
      </c>
      <c r="AF46" s="61">
        <f>AE46*(1+Z46)</f>
        <v>6.654846289386572E-2</v>
      </c>
      <c r="AG46" s="57">
        <f>AF46/AD46</f>
        <v>6.161894712394974E-2</v>
      </c>
      <c r="AH46" s="57">
        <f>AG46-AB46</f>
        <v>1.1618947123949737E-2</v>
      </c>
      <c r="AI46" s="57">
        <f>ROUND(AH46,4)</f>
        <v>1.1599999999999999E-2</v>
      </c>
      <c r="AJ46" s="57" cm="1">
        <f t="array" ref="AJ46">INDEX('Cap Rate to IRR Map'!$F$3:$F$623,MATCH(ROUND(AI46,4),ROUND('Cap Rate to IRR Map'!$E$3:$E$623,4),0))</f>
        <v>0.105</v>
      </c>
      <c r="AK46" s="57">
        <f>$AK$3</f>
        <v>0.05</v>
      </c>
      <c r="AL46" s="62">
        <v>0.17199999999999999</v>
      </c>
      <c r="AN46" t="s">
        <v>110</v>
      </c>
    </row>
    <row r="47" spans="2:41" x14ac:dyDescent="0.25">
      <c r="B47" s="53">
        <f t="shared" si="0"/>
        <v>43</v>
      </c>
      <c r="C47" s="58" t="s">
        <v>32</v>
      </c>
      <c r="D47" s="55">
        <f>SUMIFS(Realpage!$I:$I,Realpage!$A:$A,$C47,Realpage!$F:$F,"Rent Roll (Rev/OSF)")</f>
        <v>3.1375055253912301</v>
      </c>
      <c r="E47" s="55">
        <f>SUMIFS(Realpage!$I:$I,Realpage!$A:$A,$C47,Realpage!$F:$F,"Asking RPSF")</f>
        <v>3.0609999999999999</v>
      </c>
      <c r="F47" s="56">
        <f>E47/D47</f>
        <v>0.97561581174213541</v>
      </c>
      <c r="G47" s="64" cm="1">
        <f t="array" ref="G47">SUMPRODUCT(('RP - Unit Starts'!$C$2:$C$101=$C47)*('RP - Unit Starts'!$F$2:$F$101="Unit Starts")*'RP - Unit Starts'!$I$2:$L$101)/SUMIFS('RP - Unit Starts'!$L:$L,'RP - Unit Starts'!$C:$C,$C47,'RP - Unit Starts'!$F:$F,"Existing Units")</f>
        <v>1.6723491645731149E-2</v>
      </c>
      <c r="H47" s="64">
        <f>F47-1</f>
        <v>-2.4384188257864592E-2</v>
      </c>
      <c r="I47" s="55">
        <f>SUMIFS(Realpage!$I:$I,Realpage!$A:$A,$C47,Realpage!$F:$F,"Effective RPSF")</f>
        <v>2.9850000000000003</v>
      </c>
      <c r="J47" s="65">
        <f>I47/D47</f>
        <v>0.95139274683119068</v>
      </c>
      <c r="K47" s="64">
        <f>J47-1</f>
        <v>-4.8607253168809317E-2</v>
      </c>
      <c r="L47" s="30">
        <v>1.8599999999999998E-2</v>
      </c>
      <c r="M47" s="3">
        <f>AVERAGEIF('Realpage - His. Rent Change'!$A$2:$A$577,'Q2 2026 Summary'!C45,'Realpage - His. Rent Change'!$I$2:$AV$577)</f>
        <v>7.3099999999999998E-2</v>
      </c>
      <c r="N47" s="57">
        <f>AVERAGE(L47:M47)</f>
        <v>4.5850000000000002E-2</v>
      </c>
      <c r="O47" s="60">
        <f>MAX(0,-(K47/M47))</f>
        <v>0.66494190381408091</v>
      </c>
      <c r="P47" s="57">
        <f>($P$3*M47)+K47</f>
        <v>0.31689274683119067</v>
      </c>
      <c r="Q47" s="57">
        <f>(1+P47)^(1/$P$3)-1</f>
        <v>5.6598722194955098E-2</v>
      </c>
      <c r="R47" s="57">
        <f>$R$3+P47</f>
        <v>0.36789274683119066</v>
      </c>
      <c r="S47" s="57">
        <f>$S$3*$P$3</f>
        <v>0.125</v>
      </c>
      <c r="T47" s="57">
        <f>SUMIFS(Realpage!$I:$I,Realpage!$A:$A,$C47,Realpage!$F:$F,"NOI % of Revenue")</f>
        <v>0.99891272164259126</v>
      </c>
      <c r="U47" s="61">
        <v>1</v>
      </c>
      <c r="V47" s="61">
        <f>U47-T47</f>
        <v>1.0872783574087386E-3</v>
      </c>
      <c r="W47" s="61">
        <f>U47*(1+R47)</f>
        <v>1.3678927468311906</v>
      </c>
      <c r="X47" s="61">
        <f>V47*(1+S47)</f>
        <v>1.2231881520848309E-3</v>
      </c>
      <c r="Y47" s="61">
        <f>W47-X47</f>
        <v>1.3666695586791058</v>
      </c>
      <c r="Z47" s="57">
        <f>Y47/T47-1</f>
        <v>0.36815712631207953</v>
      </c>
      <c r="AA47" s="57">
        <f>(Y47/T47)^(1/$P$3)-1</f>
        <v>6.4699856122367505E-2</v>
      </c>
      <c r="AB47" s="57">
        <f>$AB$3</f>
        <v>0.05</v>
      </c>
      <c r="AC47" s="61">
        <f>AB47/$AB$3</f>
        <v>1</v>
      </c>
      <c r="AD47" s="61">
        <f>AC47*(1+$AD$3)</f>
        <v>1.08</v>
      </c>
      <c r="AE47" s="61">
        <f>AC47*AB47</f>
        <v>0.05</v>
      </c>
      <c r="AF47" s="61">
        <f>AE47*(1+Z47)</f>
        <v>6.8407856315603977E-2</v>
      </c>
      <c r="AG47" s="57">
        <f>AF47/AD47</f>
        <v>6.3340607699633303E-2</v>
      </c>
      <c r="AH47" s="57">
        <f>AG47-AB47</f>
        <v>1.33406076996333E-2</v>
      </c>
      <c r="AI47" s="57">
        <f>ROUND(AH47,4)</f>
        <v>1.3299999999999999E-2</v>
      </c>
      <c r="AJ47" s="57" cm="1">
        <f t="array" ref="AJ47">INDEX('Cap Rate to IRR Map'!$F$3:$F$623,MATCH(ROUND(AI47,4),ROUND('Cap Rate to IRR Map'!$E$3:$E$623,4),0))</f>
        <v>0.11824999999999999</v>
      </c>
      <c r="AK47" s="57">
        <f>$AK$3</f>
        <v>0.05</v>
      </c>
      <c r="AL47" s="62">
        <v>9.9000000000000005E-2</v>
      </c>
    </row>
    <row r="48" spans="2:41" x14ac:dyDescent="0.25">
      <c r="B48" s="53">
        <f t="shared" si="0"/>
        <v>44</v>
      </c>
      <c r="C48" s="59" t="s">
        <v>37</v>
      </c>
      <c r="D48" s="55">
        <f>SUMIFS(Realpage!$I:$I,Realpage!$A:$A,$C48,Realpage!$F:$F,"Rent Roll (Rev/OSF)")</f>
        <v>3.3420672390046908</v>
      </c>
      <c r="E48" s="55">
        <f>SUMIFS(Realpage!$I:$I,Realpage!$A:$A,$C48,Realpage!$F:$F,"Asking RPSF")</f>
        <v>3.258</v>
      </c>
      <c r="F48" s="56">
        <f>E48/D48</f>
        <v>0.97484573678723263</v>
      </c>
      <c r="G48" s="64" cm="1">
        <f t="array" ref="G48">SUMPRODUCT(('RP - Unit Starts'!$C$2:$C$101=$C48)*('RP - Unit Starts'!$F$2:$F$101="Unit Starts")*'RP - Unit Starts'!$I$2:$L$101)/SUMIFS('RP - Unit Starts'!$L:$L,'RP - Unit Starts'!$C:$C,$C48,'RP - Unit Starts'!$F:$F,"Existing Units")</f>
        <v>1.9942910930337562E-2</v>
      </c>
      <c r="H48" s="64">
        <f>F48-1</f>
        <v>-2.5154263212767369E-2</v>
      </c>
      <c r="I48" s="55">
        <f>SUMIFS(Realpage!$I:$I,Realpage!$A:$A,$C48,Realpage!$F:$F,"Effective RPSF")</f>
        <v>3.15</v>
      </c>
      <c r="J48" s="65">
        <f>I48/D48</f>
        <v>0.94253040849594305</v>
      </c>
      <c r="K48" s="64">
        <f>J48-1</f>
        <v>-5.7469591504056949E-2</v>
      </c>
      <c r="L48" s="29">
        <v>3.61E-2</v>
      </c>
      <c r="M48" s="3">
        <f>AVERAGEIF('Realpage - His. Rent Change'!$A$2:$A$577,'Q2 2026 Summary'!C49,'Realpage - His. Rent Change'!$I$2:$AV$577)</f>
        <v>-1.5E-3</v>
      </c>
      <c r="N48" s="57">
        <f>AVERAGE(L48:M48)</f>
        <v>1.7299999999999999E-2</v>
      </c>
      <c r="O48" s="60">
        <f>MAX(0,-(K48/M48))</f>
        <v>0</v>
      </c>
      <c r="P48" s="57">
        <f>($P$3*M48)+K48</f>
        <v>-6.4969591504056956E-2</v>
      </c>
      <c r="Q48" s="57">
        <f>(1+P48)^(1/$P$3)-1</f>
        <v>-1.3345395477859734E-2</v>
      </c>
      <c r="R48" s="57">
        <f>$R$3+P48</f>
        <v>-1.3969591504056959E-2</v>
      </c>
      <c r="S48" s="57">
        <f>$S$3*$P$3</f>
        <v>0.125</v>
      </c>
      <c r="T48" s="57">
        <f>SUMIFS(Realpage!$I:$I,Realpage!$A:$A,$C48,Realpage!$F:$F,"NOI % of Revenue")</f>
        <v>1.1603773098124417</v>
      </c>
      <c r="U48" s="61">
        <v>1</v>
      </c>
      <c r="V48" s="61">
        <f>U48-T48</f>
        <v>-0.16037730981244169</v>
      </c>
      <c r="W48" s="61">
        <f>U48*(1+R48)</f>
        <v>0.98603040849594303</v>
      </c>
      <c r="X48" s="61">
        <f>V48*(1+S48)</f>
        <v>-0.1804244735389969</v>
      </c>
      <c r="Y48" s="61">
        <f>W48-X48</f>
        <v>1.1664548820349399</v>
      </c>
      <c r="Z48" s="57">
        <f>Y48/T48-1</f>
        <v>5.2375827854480583E-3</v>
      </c>
      <c r="AA48" s="57">
        <f>(Y48/T48)^(1/$P$3)-1</f>
        <v>1.0453288466125699E-3</v>
      </c>
      <c r="AB48" s="57">
        <f>$AB$3</f>
        <v>0.05</v>
      </c>
      <c r="AC48" s="61">
        <f>AB48/$AB$3</f>
        <v>1</v>
      </c>
      <c r="AD48" s="61">
        <f>AC48*(1+$AD$3)</f>
        <v>1.08</v>
      </c>
      <c r="AE48" s="61">
        <f>AC48*AB48</f>
        <v>0.05</v>
      </c>
      <c r="AF48" s="61">
        <f>AE48*(1+Z48)</f>
        <v>5.0261879139272408E-2</v>
      </c>
      <c r="AG48" s="57">
        <f>AF48/AD48</f>
        <v>4.6538776980807779E-2</v>
      </c>
      <c r="AH48" s="57">
        <f>AG48-AB48</f>
        <v>-3.4612230191922236E-3</v>
      </c>
      <c r="AI48" s="57">
        <f>ROUND(AH48,4)</f>
        <v>-3.5000000000000001E-3</v>
      </c>
      <c r="AJ48" s="57" cm="1">
        <f t="array" ref="AJ48">INDEX('Cap Rate to IRR Map'!$F$3:$F$623,MATCH(ROUND(AI48,4),ROUND('Cap Rate to IRR Map'!$E$3:$E$623,4),0))</f>
        <v>-0.05</v>
      </c>
      <c r="AK48" s="57">
        <f>$AK$3</f>
        <v>0.05</v>
      </c>
      <c r="AL48" s="62">
        <v>0.10800000000000001</v>
      </c>
    </row>
    <row r="49" spans="2:41" x14ac:dyDescent="0.25">
      <c r="B49" s="53">
        <f t="shared" si="0"/>
        <v>45</v>
      </c>
      <c r="C49" s="58" t="s">
        <v>27</v>
      </c>
      <c r="D49" s="55">
        <f>SUMIFS(Realpage!$I:$I,Realpage!$A:$A,$C49,Realpage!$F:$F,"Rent Roll (Rev/OSF)")</f>
        <v>2.5480473835044242</v>
      </c>
      <c r="E49" s="55">
        <f>SUMIFS(Realpage!$I:$I,Realpage!$A:$A,$C49,Realpage!$F:$F,"Asking RPSF")</f>
        <v>2.4790000000000001</v>
      </c>
      <c r="F49" s="56">
        <f>E49/D49</f>
        <v>0.97290184478066466</v>
      </c>
      <c r="G49" s="64" cm="1">
        <f t="array" ref="G49">SUMPRODUCT(('RP - Unit Starts'!$C$2:$C$101=$C49)*('RP - Unit Starts'!$F$2:$F$101="Unit Starts")*'RP - Unit Starts'!$I$2:$L$101)/SUMIFS('RP - Unit Starts'!$L:$L,'RP - Unit Starts'!$C:$C,$C49,'RP - Unit Starts'!$F:$F,"Existing Units")</f>
        <v>0</v>
      </c>
      <c r="H49" s="64">
        <f>F49-1</f>
        <v>-2.709815521933534E-2</v>
      </c>
      <c r="I49" s="55">
        <f>SUMIFS(Realpage!$I:$I,Realpage!$A:$A,$C49,Realpage!$F:$F,"Effective RPSF")</f>
        <v>2.4550000000000001</v>
      </c>
      <c r="J49" s="65">
        <f>I49/D49</f>
        <v>0.96348286766298175</v>
      </c>
      <c r="K49" s="64">
        <f>J49-1</f>
        <v>-3.6517132337018254E-2</v>
      </c>
      <c r="L49" s="21"/>
      <c r="M49" s="3">
        <f>AVERAGEIF('Realpage - His. Rent Change'!$A$2:$A$577,'Q2 2026 Summary'!C40,'Realpage - His. Rent Change'!$I$2:$AV$577)</f>
        <v>3.4299999999999997E-2</v>
      </c>
      <c r="N49" s="57">
        <f>AVERAGE(L49:M49)</f>
        <v>3.4299999999999997E-2</v>
      </c>
      <c r="O49" s="60">
        <f>MAX(0,-(K49/M49))</f>
        <v>1.0646394267352262</v>
      </c>
      <c r="P49" s="57">
        <f>($P$3*M49)+K49</f>
        <v>0.13498286766298173</v>
      </c>
      <c r="Q49" s="57">
        <f>(1+P49)^(1/$P$3)-1</f>
        <v>2.5646875160871829E-2</v>
      </c>
      <c r="R49" s="57">
        <f>$R$3+P49</f>
        <v>0.18598286766298172</v>
      </c>
      <c r="S49" s="57">
        <f>$S$3*$P$3</f>
        <v>0.125</v>
      </c>
      <c r="T49" s="57">
        <f>SUMIFS(Realpage!$I:$I,Realpage!$A:$A,$C49,Realpage!$F:$F,"NOI % of Revenue")</f>
        <v>0.98095280679023555</v>
      </c>
      <c r="U49" s="61">
        <v>1</v>
      </c>
      <c r="V49" s="61">
        <f>U49-T49</f>
        <v>1.9047193209764446E-2</v>
      </c>
      <c r="W49" s="61">
        <f>U49*(1+R49)</f>
        <v>1.1859828676629818</v>
      </c>
      <c r="X49" s="61">
        <f>V49*(1+S49)</f>
        <v>2.1428092360985002E-2</v>
      </c>
      <c r="Y49" s="61">
        <f>W49-X49</f>
        <v>1.1645547753019967</v>
      </c>
      <c r="Z49" s="57">
        <f>Y49/T49-1</f>
        <v>0.18716697402857019</v>
      </c>
      <c r="AA49" s="57">
        <f>(Y49/T49)^(1/$P$3)-1</f>
        <v>3.4909470664078901E-2</v>
      </c>
      <c r="AB49" s="57">
        <f>$AB$3</f>
        <v>0.05</v>
      </c>
      <c r="AC49" s="61">
        <f>AB49/$AB$3</f>
        <v>1</v>
      </c>
      <c r="AD49" s="61">
        <f>AC49*(1+$AD$3)</f>
        <v>1.08</v>
      </c>
      <c r="AE49" s="61">
        <f>AC49*AB49</f>
        <v>0.05</v>
      </c>
      <c r="AF49" s="61">
        <f>AE49*(1+Z49)</f>
        <v>5.9358348701428511E-2</v>
      </c>
      <c r="AG49" s="57">
        <f>AF49/AD49</f>
        <v>5.4961433982804175E-2</v>
      </c>
      <c r="AH49" s="57">
        <f>AG49-AB49</f>
        <v>4.9614339828041726E-3</v>
      </c>
      <c r="AI49" s="57">
        <f>ROUND(AH49,4)</f>
        <v>5.0000000000000001E-3</v>
      </c>
      <c r="AJ49" s="57" cm="1">
        <f t="array" ref="AJ49">INDEX('Cap Rate to IRR Map'!$F$3:$F$623,MATCH(ROUND(AI49,4),ROUND('Cap Rate to IRR Map'!$E$3:$E$623,4),0))</f>
        <v>4.7E-2</v>
      </c>
      <c r="AK49" s="57">
        <f>$AK$3</f>
        <v>0.05</v>
      </c>
      <c r="AL49" s="62">
        <v>9.7000000000000003E-2</v>
      </c>
    </row>
    <row r="50" spans="2:41" x14ac:dyDescent="0.25">
      <c r="B50" s="53">
        <f t="shared" si="0"/>
        <v>46</v>
      </c>
      <c r="C50" s="58" t="s">
        <v>35</v>
      </c>
      <c r="D50" s="55">
        <f>SUMIFS(Realpage!$I:$I,Realpage!$A:$A,$C50,Realpage!$F:$F,"Rent Roll (Rev/OSF)")</f>
        <v>3.6002066552234879</v>
      </c>
      <c r="E50" s="55">
        <f>SUMIFS(Realpage!$I:$I,Realpage!$A:$A,$C50,Realpage!$F:$F,"Asking RPSF")</f>
        <v>3.4820000000000002</v>
      </c>
      <c r="F50" s="56">
        <f>E50/D50</f>
        <v>0.96716670276358074</v>
      </c>
      <c r="G50" s="64" cm="1">
        <f t="array" ref="G50">SUMPRODUCT(('RP - Unit Starts'!$C$2:$C$101=$C50)*('RP - Unit Starts'!$F$2:$F$101="Unit Starts")*'RP - Unit Starts'!$I$2:$L$101)/SUMIFS('RP - Unit Starts'!$L:$L,'RP - Unit Starts'!$C:$C,$C50,'RP - Unit Starts'!$F:$F,"Existing Units")</f>
        <v>2.4494410417040747E-2</v>
      </c>
      <c r="H50" s="64">
        <f>F50-1</f>
        <v>-3.2833297236419257E-2</v>
      </c>
      <c r="I50" s="55">
        <f>SUMIFS(Realpage!$I:$I,Realpage!$A:$A,$C50,Realpage!$F:$F,"Effective RPSF")</f>
        <v>3.387</v>
      </c>
      <c r="J50" s="65">
        <f>I50/D50</f>
        <v>0.940779328621553</v>
      </c>
      <c r="K50" s="64">
        <f>J50-1</f>
        <v>-5.9220671378446998E-2</v>
      </c>
      <c r="L50" s="29">
        <v>3.4799999999999998E-2</v>
      </c>
      <c r="M50" s="3">
        <f>AVERAGEIF('Realpage - His. Rent Change'!$A$2:$A$577,'Q2 2026 Summary'!C48,'Realpage - His. Rent Change'!$I$2:$AV$577)</f>
        <v>8.2299999999999998E-2</v>
      </c>
      <c r="N50" s="57">
        <f>AVERAGE(L50:M50)</f>
        <v>5.8549999999999998E-2</v>
      </c>
      <c r="O50" s="60">
        <f>MAX(0,-(K50/M50))</f>
        <v>0.71957073363848112</v>
      </c>
      <c r="P50" s="57">
        <f>($P$3*M50)+K50</f>
        <v>0.35227932862155298</v>
      </c>
      <c r="Q50" s="57">
        <f>(1+P50)^(1/$P$3)-1</f>
        <v>6.2217083555279551E-2</v>
      </c>
      <c r="R50" s="57">
        <f>$R$3+P50</f>
        <v>0.40327932862155297</v>
      </c>
      <c r="S50" s="57">
        <f>$S$3*$P$3</f>
        <v>0.125</v>
      </c>
      <c r="T50" s="57">
        <f>SUMIFS(Realpage!$I:$I,Realpage!$A:$A,$C50,Realpage!$F:$F,"NOI % of Revenue")</f>
        <v>1.0424319468527128</v>
      </c>
      <c r="U50" s="61">
        <v>1</v>
      </c>
      <c r="V50" s="61">
        <f>U50-T50</f>
        <v>-4.2431946852712787E-2</v>
      </c>
      <c r="W50" s="61">
        <f>U50*(1+R50)</f>
        <v>1.403279328621553</v>
      </c>
      <c r="X50" s="61">
        <f>V50*(1+S50)</f>
        <v>-4.7735940209301886E-2</v>
      </c>
      <c r="Y50" s="61">
        <f>W50-X50</f>
        <v>1.4510152688308549</v>
      </c>
      <c r="Z50" s="57">
        <f>Y50/T50-1</f>
        <v>0.39195203409846346</v>
      </c>
      <c r="AA50" s="57">
        <f>(Y50/T50)^(1/$P$3)-1</f>
        <v>6.837779712387837E-2</v>
      </c>
      <c r="AB50" s="57">
        <f>$AB$3</f>
        <v>0.05</v>
      </c>
      <c r="AC50" s="61">
        <f>AB50/$AB$3</f>
        <v>1</v>
      </c>
      <c r="AD50" s="61">
        <f>AC50*(1+$AD$3)</f>
        <v>1.08</v>
      </c>
      <c r="AE50" s="61">
        <f>AC50*AB50</f>
        <v>0.05</v>
      </c>
      <c r="AF50" s="61">
        <f>AE50*(1+Z50)</f>
        <v>6.959760170492317E-2</v>
      </c>
      <c r="AG50" s="57">
        <f>AF50/AD50</f>
        <v>6.4442223800854778E-2</v>
      </c>
      <c r="AH50" s="57">
        <f>AG50-AB50</f>
        <v>1.4442223800854775E-2</v>
      </c>
      <c r="AI50" s="57">
        <f>ROUND(AH50,4)</f>
        <v>1.44E-2</v>
      </c>
      <c r="AJ50" s="57" cm="1">
        <f t="array" ref="AJ50">INDEX('Cap Rate to IRR Map'!$F$3:$F$623,MATCH(ROUND(AI50,4),ROUND('Cap Rate to IRR Map'!$E$3:$E$623,4),0))</f>
        <v>0.12675</v>
      </c>
      <c r="AK50" s="57">
        <f>$AK$3</f>
        <v>0.05</v>
      </c>
      <c r="AL50" s="62">
        <v>0.17675000000000002</v>
      </c>
    </row>
    <row r="51" spans="2:41" x14ac:dyDescent="0.25">
      <c r="B51" s="53">
        <f t="shared" si="0"/>
        <v>47</v>
      </c>
      <c r="C51" s="58" t="s">
        <v>34</v>
      </c>
      <c r="D51" s="55">
        <f>SUMIFS(Realpage!$I:$I,Realpage!$A:$A,$C51,Realpage!$F:$F,"Rent Roll (Rev/OSF)")</f>
        <v>3.9911093572594307</v>
      </c>
      <c r="E51" s="55">
        <f>SUMIFS(Realpage!$I:$I,Realpage!$A:$A,$C51,Realpage!$F:$F,"Asking RPSF")</f>
        <v>3.8570000000000002</v>
      </c>
      <c r="F51" s="56">
        <f>E51/D51</f>
        <v>0.96639797478475531</v>
      </c>
      <c r="G51" s="64" cm="1">
        <f t="array" ref="G51">SUMPRODUCT(('RP - Unit Starts'!$C$2:$C$101=$C51)*('RP - Unit Starts'!$F$2:$F$101="Unit Starts")*'RP - Unit Starts'!$I$2:$L$101)/SUMIFS('RP - Unit Starts'!$L:$L,'RP - Unit Starts'!$C:$C,$C51,'RP - Unit Starts'!$F:$F,"Existing Units")</f>
        <v>1.8187611270603539E-2</v>
      </c>
      <c r="H51" s="64">
        <f>F51-1</f>
        <v>-3.3602025215244691E-2</v>
      </c>
      <c r="I51" s="55">
        <f>SUMIFS(Realpage!$I:$I,Realpage!$A:$A,$C51,Realpage!$F:$F,"Effective RPSF")</f>
        <v>3.75</v>
      </c>
      <c r="J51" s="65">
        <f>I51/D51</f>
        <v>0.93958838616614782</v>
      </c>
      <c r="K51" s="64">
        <f>J51-1</f>
        <v>-6.0411613833852185E-2</v>
      </c>
      <c r="L51" s="24">
        <v>5.3699999999999998E-2</v>
      </c>
      <c r="M51" s="3">
        <f>AVERAGEIF('Realpage - His. Rent Change'!$A$2:$A$577,'Q2 2026 Summary'!C47,'Realpage - His. Rent Change'!$I$2:$AV$577)</f>
        <v>3.8600000000000002E-2</v>
      </c>
      <c r="N51" s="57">
        <f>AVERAGE(L51:M51)</f>
        <v>4.6149999999999997E-2</v>
      </c>
      <c r="O51" s="60">
        <f>MAX(0,-(K51/M51))</f>
        <v>1.5650677159029063</v>
      </c>
      <c r="P51" s="57">
        <f>($P$3*M51)+K51</f>
        <v>0.13258838616614782</v>
      </c>
      <c r="Q51" s="57">
        <f>(1+P51)^(1/$P$3)-1</f>
        <v>2.5213746582855245E-2</v>
      </c>
      <c r="R51" s="57">
        <f>$R$3+P51</f>
        <v>0.18358838616614781</v>
      </c>
      <c r="S51" s="57">
        <f>$S$3*$P$3</f>
        <v>0.125</v>
      </c>
      <c r="T51" s="57">
        <f>SUMIFS(Realpage!$I:$I,Realpage!$A:$A,$C51,Realpage!$F:$F,"NOI % of Revenue")</f>
        <v>1.0906093641948431</v>
      </c>
      <c r="U51" s="61">
        <v>1</v>
      </c>
      <c r="V51" s="61">
        <f>U51-T51</f>
        <v>-9.0609364194843112E-2</v>
      </c>
      <c r="W51" s="61">
        <f>U51*(1+R51)</f>
        <v>1.1835883861661478</v>
      </c>
      <c r="X51" s="61">
        <f>V51*(1+S51)</f>
        <v>-0.1019355347191985</v>
      </c>
      <c r="Y51" s="61">
        <f>W51-X51</f>
        <v>1.2855239208853464</v>
      </c>
      <c r="Z51" s="57">
        <f>Y51/T51-1</f>
        <v>0.17872078040921791</v>
      </c>
      <c r="AA51" s="57">
        <f>(Y51/T51)^(1/$P$3)-1</f>
        <v>3.3432672837982125E-2</v>
      </c>
      <c r="AB51" s="57">
        <f>$AB$3</f>
        <v>0.05</v>
      </c>
      <c r="AC51" s="61">
        <f>AB51/$AB$3</f>
        <v>1</v>
      </c>
      <c r="AD51" s="61">
        <f>AC51*(1+$AD$3)</f>
        <v>1.08</v>
      </c>
      <c r="AE51" s="61">
        <f>AC51*AB51</f>
        <v>0.05</v>
      </c>
      <c r="AF51" s="61">
        <f>AE51*(1+Z51)</f>
        <v>5.8936039020460899E-2</v>
      </c>
      <c r="AG51" s="57">
        <f>AF51/AD51</f>
        <v>5.4570406500426757E-2</v>
      </c>
      <c r="AH51" s="57">
        <f>AG51-AB51</f>
        <v>4.5704065004267547E-3</v>
      </c>
      <c r="AI51" s="57">
        <f>ROUND(AH51,4)</f>
        <v>4.5999999999999999E-3</v>
      </c>
      <c r="AJ51" s="57" cm="1">
        <f t="array" ref="AJ51">INDEX('Cap Rate to IRR Map'!$F$3:$F$623,MATCH(ROUND(AI51,4),ROUND('Cap Rate to IRR Map'!$E$3:$E$623,4),0))</f>
        <v>4.2000000000000003E-2</v>
      </c>
      <c r="AK51" s="57">
        <f>$AK$3</f>
        <v>0.05</v>
      </c>
      <c r="AL51" s="62">
        <v>0.14074999999999999</v>
      </c>
    </row>
    <row r="52" spans="2:41" x14ac:dyDescent="0.25">
      <c r="B52" s="53">
        <f t="shared" si="0"/>
        <v>48</v>
      </c>
      <c r="C52" s="58" t="s">
        <v>40</v>
      </c>
      <c r="D52" s="55">
        <f>SUMIFS(Realpage!$I:$I,Realpage!$A:$A,$C52,Realpage!$F:$F,"Rent Roll (Rev/OSF)")</f>
        <v>2.85930921346365</v>
      </c>
      <c r="E52" s="55">
        <f>SUMIFS(Realpage!$I:$I,Realpage!$A:$A,$C52,Realpage!$F:$F,"Asking RPSF")</f>
        <v>2.7610000000000001</v>
      </c>
      <c r="F52" s="56">
        <f>E52/D52</f>
        <v>0.96561784468754186</v>
      </c>
      <c r="G52" s="64" cm="1">
        <f t="array" ref="G52">SUMPRODUCT(('RP - Unit Starts'!$C$2:$C$101=$C52)*('RP - Unit Starts'!$F$2:$F$101="Unit Starts")*'RP - Unit Starts'!$I$2:$L$101)/SUMIFS('RP - Unit Starts'!$L:$L,'RP - Unit Starts'!$C:$C,$C52,'RP - Unit Starts'!$F:$F,"Existing Units")</f>
        <v>2.5948698938682096E-3</v>
      </c>
      <c r="H52" s="64">
        <f>F52-1</f>
        <v>-3.438215531245814E-2</v>
      </c>
      <c r="I52" s="55">
        <f>SUMIFS(Realpage!$I:$I,Realpage!$A:$A,$C52,Realpage!$F:$F,"Effective RPSF")</f>
        <v>2.6429999999999998</v>
      </c>
      <c r="J52" s="65">
        <f>I52/D52</f>
        <v>0.92434913564258336</v>
      </c>
      <c r="K52" s="64">
        <f>J52-1</f>
        <v>-7.5650864357416636E-2</v>
      </c>
      <c r="L52" s="30">
        <v>2.12E-2</v>
      </c>
      <c r="M52" s="3">
        <f>AVERAGEIF('Realpage - His. Rent Change'!$A$2:$A$577,'Q2 2026 Summary'!C52,'Realpage - His. Rent Change'!$I$2:$AV$577)</f>
        <v>4.9299999999999997E-2</v>
      </c>
      <c r="N52" s="57">
        <f>AVERAGE(L52:M52)</f>
        <v>3.5249999999999997E-2</v>
      </c>
      <c r="O52" s="60">
        <f>MAX(0,-(K52/M52))</f>
        <v>1.5345002912254897</v>
      </c>
      <c r="P52" s="57">
        <f>($P$3*M52)+K52</f>
        <v>0.17084913564258336</v>
      </c>
      <c r="Q52" s="57">
        <f>(1+P52)^(1/$P$3)-1</f>
        <v>3.2048692402614654E-2</v>
      </c>
      <c r="R52" s="57">
        <f>$R$3+P52</f>
        <v>0.22184913564258335</v>
      </c>
      <c r="S52" s="57">
        <f>$S$3*$P$3</f>
        <v>0.125</v>
      </c>
      <c r="T52" s="57">
        <f>SUMIFS(Realpage!$I:$I,Realpage!$A:$A,$C52,Realpage!$F:$F,"NOI % of Revenue")</f>
        <v>0.91780537331489764</v>
      </c>
      <c r="U52" s="61">
        <v>1</v>
      </c>
      <c r="V52" s="61">
        <f>U52-T52</f>
        <v>8.2194626685102357E-2</v>
      </c>
      <c r="W52" s="61">
        <f>U52*(1+R52)</f>
        <v>1.2218491356425834</v>
      </c>
      <c r="X52" s="61">
        <f>V52*(1+S52)</f>
        <v>9.2468955020740151E-2</v>
      </c>
      <c r="Y52" s="61">
        <f>W52-X52</f>
        <v>1.1293801806218431</v>
      </c>
      <c r="Z52" s="57">
        <f>Y52/T52-1</f>
        <v>0.23052251976122884</v>
      </c>
      <c r="AA52" s="57">
        <f>(Y52/T52)^(1/$P$3)-1</f>
        <v>4.2360422459592817E-2</v>
      </c>
      <c r="AB52" s="57">
        <f>$AB$3</f>
        <v>0.05</v>
      </c>
      <c r="AC52" s="61">
        <f>AB52/$AB$3</f>
        <v>1</v>
      </c>
      <c r="AD52" s="61">
        <f>AC52*(1+$AD$3)</f>
        <v>1.08</v>
      </c>
      <c r="AE52" s="61">
        <f>AC52*AB52</f>
        <v>0.05</v>
      </c>
      <c r="AF52" s="61">
        <f>AE52*(1+Z52)</f>
        <v>6.1526125988061446E-2</v>
      </c>
      <c r="AG52" s="57">
        <f>AF52/AD52</f>
        <v>5.6968635174130963E-2</v>
      </c>
      <c r="AH52" s="57">
        <f>AG52-AB52</f>
        <v>6.9686351741309605E-3</v>
      </c>
      <c r="AI52" s="57">
        <f>ROUND(AH52,4)</f>
        <v>7.0000000000000001E-3</v>
      </c>
      <c r="AJ52" s="57" cm="1">
        <f t="array" ref="AJ52">INDEX('Cap Rate to IRR Map'!$F$3:$F$623,MATCH(ROUND(AI52,4),ROUND('Cap Rate to IRR Map'!$E$3:$E$623,4),0))</f>
        <v>6.5333000000000002E-2</v>
      </c>
      <c r="AK52" s="57">
        <f>$AK$3</f>
        <v>0.05</v>
      </c>
      <c r="AL52" s="62">
        <v>2.6500000000000003E-2</v>
      </c>
    </row>
    <row r="53" spans="2:41" x14ac:dyDescent="0.25">
      <c r="B53" s="53">
        <f t="shared" si="0"/>
        <v>49</v>
      </c>
      <c r="C53" s="58" t="s">
        <v>24</v>
      </c>
      <c r="D53" s="55">
        <f>SUMIFS(Realpage!$I:$I,Realpage!$A:$A,$C53,Realpage!$F:$F,"Rent Roll (Rev/OSF)")</f>
        <v>2.567835445769187</v>
      </c>
      <c r="E53" s="55">
        <f>SUMIFS(Realpage!$I:$I,Realpage!$A:$A,$C53,Realpage!$F:$F,"Asking RPSF")</f>
        <v>2.4750000000000001</v>
      </c>
      <c r="F53" s="56">
        <f>E53/D53</f>
        <v>0.96384680882797835</v>
      </c>
      <c r="G53" s="64" cm="1">
        <f t="array" ref="G53">SUMPRODUCT(('RP - Unit Starts'!$C$2:$C$101=$C53)*('RP - Unit Starts'!$F$2:$F$101="Unit Starts")*'RP - Unit Starts'!$I$2:$L$101)/SUMIFS('RP - Unit Starts'!$L:$L,'RP - Unit Starts'!$C:$C,$C53,'RP - Unit Starts'!$F:$F,"Existing Units")</f>
        <v>0</v>
      </c>
      <c r="H53" s="64">
        <f>F53-1</f>
        <v>-3.6153191172021648E-2</v>
      </c>
      <c r="I53" s="55">
        <f>SUMIFS(Realpage!$I:$I,Realpage!$A:$A,$C53,Realpage!$F:$F,"Effective RPSF")</f>
        <v>2.46</v>
      </c>
      <c r="J53" s="65">
        <f>I53/D53</f>
        <v>0.95800531301689962</v>
      </c>
      <c r="K53" s="64">
        <f>J53-1</f>
        <v>-4.1994686983100382E-2</v>
      </c>
      <c r="L53" s="27"/>
      <c r="M53" s="3">
        <f>AVERAGEIF('Realpage - His. Rent Change'!$A$2:$A$577,'Q2 2026 Summary'!C33,'Realpage - His. Rent Change'!$I$2:$AV$577)</f>
        <v>2.3099999999999999E-2</v>
      </c>
      <c r="N53" s="57">
        <f>AVERAGE(L53:M53)</f>
        <v>2.3099999999999999E-2</v>
      </c>
      <c r="O53" s="60">
        <f>MAX(0,-(K53/M53))</f>
        <v>1.8179518174502332</v>
      </c>
      <c r="P53" s="57">
        <f>($P$3*M53)+K53</f>
        <v>7.3505313016899609E-2</v>
      </c>
      <c r="Q53" s="57">
        <f>(1+P53)^(1/$P$3)-1</f>
        <v>1.4286954273457164E-2</v>
      </c>
      <c r="R53" s="57">
        <f>$R$3+P53</f>
        <v>0.1245053130168996</v>
      </c>
      <c r="S53" s="57">
        <f>$S$3*$P$3</f>
        <v>0.125</v>
      </c>
      <c r="T53" s="57">
        <f>SUMIFS(Realpage!$I:$I,Realpage!$A:$A,$C53,Realpage!$F:$F,"NOI % of Revenue")</f>
        <v>0.96988966949210353</v>
      </c>
      <c r="U53" s="61">
        <v>1</v>
      </c>
      <c r="V53" s="61">
        <f>U53-T53</f>
        <v>3.0110330507896466E-2</v>
      </c>
      <c r="W53" s="61">
        <f>U53*(1+R53)</f>
        <v>1.1245053130168996</v>
      </c>
      <c r="X53" s="61">
        <f>V53*(1+S53)</f>
        <v>3.3874121821383524E-2</v>
      </c>
      <c r="Y53" s="61">
        <f>W53-X53</f>
        <v>1.090631191195516</v>
      </c>
      <c r="Z53" s="57">
        <f>Y53/T53-1</f>
        <v>0.12448995540558805</v>
      </c>
      <c r="AA53" s="57">
        <f>(Y53/T53)^(1/$P$3)-1</f>
        <v>2.3743402761937427E-2</v>
      </c>
      <c r="AB53" s="57">
        <f>$AB$3</f>
        <v>0.05</v>
      </c>
      <c r="AC53" s="61">
        <f>AB53/$AB$3</f>
        <v>1</v>
      </c>
      <c r="AD53" s="61">
        <f>AC53*(1+$AD$3)</f>
        <v>1.08</v>
      </c>
      <c r="AE53" s="61">
        <f>AC53*AB53</f>
        <v>0.05</v>
      </c>
      <c r="AF53" s="61">
        <f>AE53*(1+Z53)</f>
        <v>5.6224497770279408E-2</v>
      </c>
      <c r="AG53" s="57">
        <f>AF53/AD53</f>
        <v>5.2059720157666113E-2</v>
      </c>
      <c r="AH53" s="57">
        <f>AG53-AB53</f>
        <v>2.0597201576661103E-3</v>
      </c>
      <c r="AI53" s="57">
        <f>ROUND(AH53,4)</f>
        <v>2.0999999999999999E-3</v>
      </c>
      <c r="AJ53" s="57" cm="1">
        <f t="array" ref="AJ53">INDEX('Cap Rate to IRR Map'!$F$3:$F$623,MATCH(ROUND(AI53,4),ROUND('Cap Rate to IRR Map'!$E$3:$E$623,4),0))</f>
        <v>1.7000000000000001E-2</v>
      </c>
      <c r="AK53" s="57">
        <f>$AK$3</f>
        <v>0.05</v>
      </c>
      <c r="AL53" s="62">
        <v>0.16675000000000001</v>
      </c>
    </row>
    <row r="54" spans="2:41" x14ac:dyDescent="0.25">
      <c r="B54" s="53">
        <f t="shared" si="0"/>
        <v>50</v>
      </c>
      <c r="C54" s="58" t="s">
        <v>41</v>
      </c>
      <c r="D54" s="55">
        <f>SUMIFS(Realpage!$I:$I,Realpage!$A:$A,$C54,Realpage!$F:$F,"Rent Roll (Rev/OSF)")</f>
        <v>2.9758330463613429</v>
      </c>
      <c r="E54" s="55">
        <f>SUMIFS(Realpage!$I:$I,Realpage!$A:$A,$C54,Realpage!$F:$F,"Asking RPSF")</f>
        <v>2.7789999999999999</v>
      </c>
      <c r="F54" s="56">
        <f>E54/D54</f>
        <v>0.9338561527831617</v>
      </c>
      <c r="G54" s="64" cm="1">
        <f t="array" ref="G54">SUMPRODUCT(('RP - Unit Starts'!$C$2:$C$101=$C54)*('RP - Unit Starts'!$F$2:$F$101="Unit Starts")*'RP - Unit Starts'!$I$2:$L$101)/SUMIFS('RP - Unit Starts'!$L:$L,'RP - Unit Starts'!$C:$C,$C54,'RP - Unit Starts'!$F:$F,"Existing Units")</f>
        <v>1.8915353791781777E-3</v>
      </c>
      <c r="H54" s="64">
        <f>F54-1</f>
        <v>-6.6143847216838303E-2</v>
      </c>
      <c r="I54" s="55">
        <f>SUMIFS(Realpage!$I:$I,Realpage!$A:$A,$C54,Realpage!$F:$F,"Effective RPSF")</f>
        <v>2.7309999999999999</v>
      </c>
      <c r="J54" s="65">
        <f>I54/D54</f>
        <v>0.91772621563541368</v>
      </c>
      <c r="K54" s="64">
        <f>J54-1</f>
        <v>-8.2273784364586322E-2</v>
      </c>
      <c r="L54" s="4"/>
      <c r="M54" s="3">
        <f>AVERAGEIF('Realpage - His. Rent Change'!$A$2:$A$577,'Q2 2026 Summary'!C54,'Realpage - His. Rent Change'!$I$2:$AV$577)</f>
        <v>5.8599999999999999E-2</v>
      </c>
      <c r="N54" s="57">
        <f>AVERAGE(L54:M54)</f>
        <v>5.8599999999999999E-2</v>
      </c>
      <c r="O54" s="63">
        <f>MAX(0,-(K54/M54))</f>
        <v>1.4039894942762172</v>
      </c>
      <c r="P54" s="57">
        <f>($P$3*M54)+K54</f>
        <v>0.21072621563541366</v>
      </c>
      <c r="Q54" s="57">
        <f>(1+P54)^(1/$P$3)-1</f>
        <v>3.8984788569381923E-2</v>
      </c>
      <c r="R54" s="57">
        <f>$R$3+P54</f>
        <v>0.26172621563541365</v>
      </c>
      <c r="S54" s="57">
        <f>$S$3*$P$3</f>
        <v>0.125</v>
      </c>
      <c r="T54" s="57">
        <f>SUMIFS(Realpage!$I:$I,Realpage!$A:$A,$C54,Realpage!$F:$F,"NOI % of Revenue")</f>
        <v>1.1044922980649954</v>
      </c>
      <c r="U54" s="61">
        <v>1</v>
      </c>
      <c r="V54" s="61">
        <f>U54-T54</f>
        <v>-0.10449229806499538</v>
      </c>
      <c r="W54" s="61">
        <f>U54*(1+R54)</f>
        <v>1.2617262156354137</v>
      </c>
      <c r="X54" s="61">
        <f>V54*(1+S54)</f>
        <v>-0.1175538353231198</v>
      </c>
      <c r="Y54" s="61">
        <f>W54-X54</f>
        <v>1.3792800509585335</v>
      </c>
      <c r="Z54" s="57">
        <f>Y54/T54-1</f>
        <v>0.24879100866067594</v>
      </c>
      <c r="AA54" s="57">
        <f>(Y54/T54)^(1/$P$3)-1</f>
        <v>4.5437207227207344E-2</v>
      </c>
      <c r="AB54" s="57">
        <f>$AB$3</f>
        <v>0.05</v>
      </c>
      <c r="AC54" s="61">
        <f>AB54/$AB$3</f>
        <v>1</v>
      </c>
      <c r="AD54" s="61">
        <f>AC54*(1+$AD$3)</f>
        <v>1.08</v>
      </c>
      <c r="AE54" s="61">
        <f>AC54*AB54</f>
        <v>0.05</v>
      </c>
      <c r="AF54" s="61">
        <f>AE54*(1+Z54)</f>
        <v>6.24395504330338E-2</v>
      </c>
      <c r="AG54" s="57">
        <f>AF54/AD54</f>
        <v>5.7814398549105368E-2</v>
      </c>
      <c r="AH54" s="57">
        <f>AG54-AB54</f>
        <v>7.8143985491053655E-3</v>
      </c>
      <c r="AI54" s="57">
        <f>ROUND(AH54,4)</f>
        <v>7.7999999999999996E-3</v>
      </c>
      <c r="AJ54" s="57" cm="1">
        <f t="array" ref="AJ54">INDEX('Cap Rate to IRR Map'!$F$3:$F$623,MATCH(ROUND(AI54,4),ROUND('Cap Rate to IRR Map'!$E$3:$E$623,4),0))</f>
        <v>7.2999999999999995E-2</v>
      </c>
      <c r="AK54" s="57">
        <f>$AK$3</f>
        <v>0.05</v>
      </c>
      <c r="AL54" s="62">
        <v>0.10500000000000001</v>
      </c>
      <c r="AO54" t="s">
        <v>81</v>
      </c>
    </row>
    <row r="56" spans="2:41" x14ac:dyDescent="0.25">
      <c r="C56" s="66"/>
      <c r="AO56" t="s">
        <v>97</v>
      </c>
    </row>
    <row r="57" spans="2:41" x14ac:dyDescent="0.25">
      <c r="C57" s="67"/>
      <c r="D57" s="42" t="s">
        <v>42</v>
      </c>
      <c r="E57" s="42"/>
      <c r="F57" s="42"/>
      <c r="H57" s="42"/>
      <c r="I57" s="43"/>
      <c r="J57" s="43"/>
      <c r="K57" s="19"/>
      <c r="L57" s="19"/>
      <c r="M57" s="19"/>
      <c r="N57" s="19"/>
      <c r="AO57" t="s">
        <v>98</v>
      </c>
    </row>
    <row r="58" spans="2:41" x14ac:dyDescent="0.25">
      <c r="C58" s="68"/>
      <c r="D58" s="42" t="s">
        <v>43</v>
      </c>
      <c r="E58" s="42"/>
      <c r="F58" s="42"/>
      <c r="H58" s="42"/>
      <c r="I58" s="43"/>
      <c r="J58" s="43"/>
      <c r="AO58" t="s">
        <v>99</v>
      </c>
    </row>
    <row r="59" spans="2:41" x14ac:dyDescent="0.25">
      <c r="C59" s="69"/>
      <c r="D59" s="42" t="s">
        <v>44</v>
      </c>
      <c r="E59" s="42"/>
      <c r="F59" s="42"/>
      <c r="H59" s="42"/>
      <c r="I59" s="43"/>
      <c r="J59" s="43"/>
    </row>
    <row r="60" spans="2:41" x14ac:dyDescent="0.25">
      <c r="C60" s="70"/>
      <c r="D60" s="42" t="s">
        <v>45</v>
      </c>
      <c r="E60" s="42"/>
      <c r="F60" s="42"/>
      <c r="H60" s="42"/>
      <c r="I60" s="43"/>
      <c r="J60" s="43"/>
      <c r="AN60" t="s">
        <v>101</v>
      </c>
    </row>
    <row r="61" spans="2:41" x14ac:dyDescent="0.25">
      <c r="AO61" t="s">
        <v>102</v>
      </c>
    </row>
    <row r="62" spans="2:41" x14ac:dyDescent="0.25">
      <c r="AO62" t="s">
        <v>103</v>
      </c>
    </row>
    <row r="63" spans="2:41" x14ac:dyDescent="0.25">
      <c r="AO63" t="s">
        <v>104</v>
      </c>
    </row>
    <row r="64" spans="2:41" x14ac:dyDescent="0.25">
      <c r="AO64" t="s">
        <v>105</v>
      </c>
    </row>
    <row r="65" spans="41:41" x14ac:dyDescent="0.25">
      <c r="AO65" t="s">
        <v>106</v>
      </c>
    </row>
  </sheetData>
  <autoFilter ref="C4:AL54" xr:uid="{00000000-0001-0000-0000-000000000000}">
    <sortState xmlns:xlrd2="http://schemas.microsoft.com/office/spreadsheetml/2017/richdata2" ref="C5:AL54">
      <sortCondition descending="1" ref="H4:H54"/>
    </sortState>
  </autoFilter>
  <sortState xmlns:xlrd2="http://schemas.microsoft.com/office/spreadsheetml/2017/richdata2" ref="C5:AL54">
    <sortCondition descending="1" ref="K5:K54"/>
  </sortState>
  <conditionalFormatting sqref="L5:M54">
    <cfRule type="expression" dxfId="3" priority="11">
      <formula>$K5&gt;=0.05</formula>
    </cfRule>
    <cfRule type="expression" dxfId="2" priority="12">
      <formula>AND($K5&gt;=0,$K5&lt;0.05)</formula>
    </cfRule>
    <cfRule type="expression" dxfId="1" priority="13">
      <formula>AND($K5&gt;=-0.03,$K5&lt;0)</formula>
    </cfRule>
    <cfRule type="expression" dxfId="0" priority="14">
      <formula>$K5&lt;-0.03</formula>
    </cfRule>
  </conditionalFormatting>
  <conditionalFormatting sqref="G5:G5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5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F839-0E3D-493D-9B4C-50D251E136BE}">
  <dimension ref="A1:I1617"/>
  <sheetViews>
    <sheetView zoomScaleNormal="100" workbookViewId="0">
      <selection activeCell="I2" sqref="I2"/>
    </sheetView>
  </sheetViews>
  <sheetFormatPr defaultColWidth="16" defaultRowHeight="15" x14ac:dyDescent="0.25"/>
  <cols>
    <col min="1" max="1" width="33.42578125" customWidth="1"/>
    <col min="5" max="5" width="36.5703125" customWidth="1"/>
    <col min="6" max="6" width="41.42578125" customWidth="1"/>
  </cols>
  <sheetData>
    <row r="1" spans="1:9" x14ac:dyDescent="0.25">
      <c r="A1" s="51" t="s">
        <v>660</v>
      </c>
      <c r="B1" s="51" t="s">
        <v>661</v>
      </c>
      <c r="C1" s="51" t="s">
        <v>662</v>
      </c>
      <c r="D1" s="51" t="s">
        <v>663</v>
      </c>
      <c r="E1" s="51" t="s">
        <v>664</v>
      </c>
      <c r="F1" s="51" t="s">
        <v>665</v>
      </c>
      <c r="G1" s="51" t="s">
        <v>666</v>
      </c>
      <c r="H1" s="51" t="s">
        <v>667</v>
      </c>
      <c r="I1" s="51" t="s">
        <v>718</v>
      </c>
    </row>
    <row r="2" spans="1:9" x14ac:dyDescent="0.25">
      <c r="A2" t="s">
        <v>126</v>
      </c>
      <c r="B2" t="s">
        <v>2</v>
      </c>
      <c r="C2" t="s">
        <v>126</v>
      </c>
      <c r="D2">
        <v>10740</v>
      </c>
      <c r="E2" t="s">
        <v>669</v>
      </c>
      <c r="F2" t="s">
        <v>118</v>
      </c>
      <c r="G2" t="s">
        <v>670</v>
      </c>
      <c r="H2" t="s">
        <v>670</v>
      </c>
      <c r="I2">
        <v>1.6280019966678196</v>
      </c>
    </row>
    <row r="3" spans="1:9" x14ac:dyDescent="0.25">
      <c r="A3" t="s">
        <v>126</v>
      </c>
      <c r="B3" t="s">
        <v>2</v>
      </c>
      <c r="C3" t="s">
        <v>126</v>
      </c>
      <c r="D3">
        <v>10740</v>
      </c>
      <c r="E3" t="s">
        <v>671</v>
      </c>
      <c r="F3" t="s">
        <v>116</v>
      </c>
      <c r="G3" t="s">
        <v>670</v>
      </c>
      <c r="H3" t="s">
        <v>670</v>
      </c>
      <c r="I3">
        <v>0.61413872035526584</v>
      </c>
    </row>
    <row r="4" spans="1:9" x14ac:dyDescent="0.25">
      <c r="A4" t="s">
        <v>126</v>
      </c>
      <c r="B4" t="s">
        <v>2</v>
      </c>
      <c r="C4" t="s">
        <v>126</v>
      </c>
      <c r="D4">
        <v>10740</v>
      </c>
      <c r="E4" t="s">
        <v>672</v>
      </c>
      <c r="F4" t="s">
        <v>3</v>
      </c>
      <c r="G4" t="s">
        <v>670</v>
      </c>
      <c r="H4" t="s">
        <v>670</v>
      </c>
      <c r="I4">
        <v>1.6120000000000001</v>
      </c>
    </row>
    <row r="5" spans="1:9" x14ac:dyDescent="0.25">
      <c r="A5" t="s">
        <v>126</v>
      </c>
      <c r="B5" t="s">
        <v>2</v>
      </c>
      <c r="C5" t="s">
        <v>126</v>
      </c>
      <c r="D5">
        <v>10740</v>
      </c>
      <c r="E5" t="s">
        <v>672</v>
      </c>
      <c r="F5" t="s">
        <v>113</v>
      </c>
      <c r="G5" t="s">
        <v>670</v>
      </c>
      <c r="H5" t="s">
        <v>670</v>
      </c>
      <c r="I5">
        <v>1.6279999999999999</v>
      </c>
    </row>
    <row r="6" spans="1:9" x14ac:dyDescent="0.25">
      <c r="A6" t="s">
        <v>30</v>
      </c>
      <c r="B6" t="s">
        <v>2</v>
      </c>
      <c r="C6" t="s">
        <v>30</v>
      </c>
      <c r="D6">
        <v>12060</v>
      </c>
      <c r="E6" t="s">
        <v>669</v>
      </c>
      <c r="F6" t="s">
        <v>118</v>
      </c>
      <c r="G6" t="s">
        <v>670</v>
      </c>
      <c r="H6" t="s">
        <v>670</v>
      </c>
      <c r="I6">
        <v>1.6321102137675261</v>
      </c>
    </row>
    <row r="7" spans="1:9" x14ac:dyDescent="0.25">
      <c r="A7" t="s">
        <v>30</v>
      </c>
      <c r="B7" t="s">
        <v>2</v>
      </c>
      <c r="C7" t="s">
        <v>30</v>
      </c>
      <c r="D7">
        <v>12060</v>
      </c>
      <c r="E7" t="s">
        <v>671</v>
      </c>
      <c r="F7" t="s">
        <v>116</v>
      </c>
      <c r="G7" t="s">
        <v>670</v>
      </c>
      <c r="H7" t="s">
        <v>670</v>
      </c>
      <c r="I7">
        <v>0.51648927180609627</v>
      </c>
    </row>
    <row r="8" spans="1:9" x14ac:dyDescent="0.25">
      <c r="A8" t="s">
        <v>30</v>
      </c>
      <c r="B8" t="s">
        <v>2</v>
      </c>
      <c r="C8" t="s">
        <v>30</v>
      </c>
      <c r="D8">
        <v>12060</v>
      </c>
      <c r="E8" t="s">
        <v>672</v>
      </c>
      <c r="F8" t="s">
        <v>3</v>
      </c>
      <c r="G8" t="s">
        <v>670</v>
      </c>
      <c r="H8" t="s">
        <v>670</v>
      </c>
      <c r="I8">
        <v>1.5620000000000001</v>
      </c>
    </row>
    <row r="9" spans="1:9" x14ac:dyDescent="0.25">
      <c r="A9" t="s">
        <v>30</v>
      </c>
      <c r="B9" t="s">
        <v>2</v>
      </c>
      <c r="C9" t="s">
        <v>30</v>
      </c>
      <c r="D9">
        <v>12060</v>
      </c>
      <c r="E9" t="s">
        <v>672</v>
      </c>
      <c r="F9" t="s">
        <v>113</v>
      </c>
      <c r="G9" t="s">
        <v>670</v>
      </c>
      <c r="H9" t="s">
        <v>670</v>
      </c>
      <c r="I9">
        <v>1.607</v>
      </c>
    </row>
    <row r="10" spans="1:9" x14ac:dyDescent="0.25">
      <c r="A10" t="s">
        <v>39</v>
      </c>
      <c r="B10" t="s">
        <v>2</v>
      </c>
      <c r="C10" t="s">
        <v>39</v>
      </c>
      <c r="D10">
        <v>12420</v>
      </c>
      <c r="E10" t="s">
        <v>669</v>
      </c>
      <c r="F10" t="s">
        <v>118</v>
      </c>
      <c r="G10" t="s">
        <v>670</v>
      </c>
      <c r="H10" t="s">
        <v>670</v>
      </c>
      <c r="I10">
        <v>1.6921103662932706</v>
      </c>
    </row>
    <row r="11" spans="1:9" x14ac:dyDescent="0.25">
      <c r="A11" t="s">
        <v>39</v>
      </c>
      <c r="B11" t="s">
        <v>2</v>
      </c>
      <c r="C11" t="s">
        <v>39</v>
      </c>
      <c r="D11">
        <v>12420</v>
      </c>
      <c r="E11" t="s">
        <v>671</v>
      </c>
      <c r="F11" t="s">
        <v>116</v>
      </c>
      <c r="G11" t="s">
        <v>670</v>
      </c>
      <c r="H11" t="s">
        <v>670</v>
      </c>
      <c r="I11">
        <v>0.4567592333642958</v>
      </c>
    </row>
    <row r="12" spans="1:9" x14ac:dyDescent="0.25">
      <c r="A12" t="s">
        <v>39</v>
      </c>
      <c r="B12" t="s">
        <v>2</v>
      </c>
      <c r="C12" t="s">
        <v>39</v>
      </c>
      <c r="D12">
        <v>12420</v>
      </c>
      <c r="E12" t="s">
        <v>672</v>
      </c>
      <c r="F12" t="s">
        <v>3</v>
      </c>
      <c r="G12" t="s">
        <v>670</v>
      </c>
      <c r="H12" t="s">
        <v>670</v>
      </c>
      <c r="I12">
        <v>1.595</v>
      </c>
    </row>
    <row r="13" spans="1:9" x14ac:dyDescent="0.25">
      <c r="A13" t="s">
        <v>39</v>
      </c>
      <c r="B13" t="s">
        <v>2</v>
      </c>
      <c r="C13" t="s">
        <v>39</v>
      </c>
      <c r="D13">
        <v>12420</v>
      </c>
      <c r="E13" t="s">
        <v>672</v>
      </c>
      <c r="F13" t="s">
        <v>113</v>
      </c>
      <c r="G13" t="s">
        <v>670</v>
      </c>
      <c r="H13" t="s">
        <v>670</v>
      </c>
      <c r="I13">
        <v>1.6910000000000001</v>
      </c>
    </row>
    <row r="14" spans="1:9" x14ac:dyDescent="0.25">
      <c r="A14" t="s">
        <v>176</v>
      </c>
      <c r="B14" t="s">
        <v>2</v>
      </c>
      <c r="C14" t="s">
        <v>176</v>
      </c>
      <c r="D14">
        <v>13820</v>
      </c>
      <c r="E14" t="s">
        <v>669</v>
      </c>
      <c r="F14" t="s">
        <v>118</v>
      </c>
      <c r="G14" t="s">
        <v>670</v>
      </c>
      <c r="H14" t="s">
        <v>670</v>
      </c>
      <c r="I14">
        <v>1.2727550075477836</v>
      </c>
    </row>
    <row r="15" spans="1:9" x14ac:dyDescent="0.25">
      <c r="A15" t="s">
        <v>176</v>
      </c>
      <c r="B15" t="s">
        <v>2</v>
      </c>
      <c r="C15" t="s">
        <v>176</v>
      </c>
      <c r="D15">
        <v>13820</v>
      </c>
      <c r="E15" t="s">
        <v>671</v>
      </c>
      <c r="F15" t="s">
        <v>116</v>
      </c>
      <c r="G15" t="s">
        <v>670</v>
      </c>
      <c r="H15" t="s">
        <v>670</v>
      </c>
      <c r="I15">
        <v>0.51096298845370935</v>
      </c>
    </row>
    <row r="16" spans="1:9" x14ac:dyDescent="0.25">
      <c r="A16" t="s">
        <v>176</v>
      </c>
      <c r="B16" t="s">
        <v>2</v>
      </c>
      <c r="C16" t="s">
        <v>176</v>
      </c>
      <c r="D16">
        <v>13820</v>
      </c>
      <c r="E16" t="s">
        <v>672</v>
      </c>
      <c r="F16" t="s">
        <v>3</v>
      </c>
      <c r="G16" t="s">
        <v>670</v>
      </c>
      <c r="H16" t="s">
        <v>670</v>
      </c>
      <c r="I16">
        <v>1.2729999999999999</v>
      </c>
    </row>
    <row r="17" spans="1:9" x14ac:dyDescent="0.25">
      <c r="A17" t="s">
        <v>176</v>
      </c>
      <c r="B17" t="s">
        <v>2</v>
      </c>
      <c r="C17" t="s">
        <v>176</v>
      </c>
      <c r="D17">
        <v>13820</v>
      </c>
      <c r="E17" t="s">
        <v>672</v>
      </c>
      <c r="F17" t="s">
        <v>113</v>
      </c>
      <c r="G17" t="s">
        <v>670</v>
      </c>
      <c r="H17" t="s">
        <v>670</v>
      </c>
      <c r="I17">
        <v>1.3029999999999999</v>
      </c>
    </row>
    <row r="18" spans="1:9" x14ac:dyDescent="0.25">
      <c r="A18" t="s">
        <v>181</v>
      </c>
      <c r="B18" t="s">
        <v>2</v>
      </c>
      <c r="C18" t="s">
        <v>181</v>
      </c>
      <c r="D18">
        <v>14260</v>
      </c>
      <c r="E18" t="s">
        <v>669</v>
      </c>
      <c r="F18" t="s">
        <v>118</v>
      </c>
      <c r="G18" t="s">
        <v>670</v>
      </c>
      <c r="H18" t="s">
        <v>670</v>
      </c>
      <c r="I18">
        <v>1.7530691875757165</v>
      </c>
    </row>
    <row r="19" spans="1:9" x14ac:dyDescent="0.25">
      <c r="A19" t="s">
        <v>181</v>
      </c>
      <c r="B19" t="s">
        <v>2</v>
      </c>
      <c r="C19" t="s">
        <v>181</v>
      </c>
      <c r="D19">
        <v>14260</v>
      </c>
      <c r="E19" t="s">
        <v>671</v>
      </c>
      <c r="F19" t="s">
        <v>116</v>
      </c>
      <c r="G19" t="s">
        <v>670</v>
      </c>
      <c r="H19" t="s">
        <v>670</v>
      </c>
      <c r="I19">
        <v>0.66685537225220959</v>
      </c>
    </row>
    <row r="20" spans="1:9" x14ac:dyDescent="0.25">
      <c r="A20" t="s">
        <v>181</v>
      </c>
      <c r="B20" t="s">
        <v>2</v>
      </c>
      <c r="C20" t="s">
        <v>181</v>
      </c>
      <c r="D20">
        <v>14260</v>
      </c>
      <c r="E20" t="s">
        <v>672</v>
      </c>
      <c r="F20" t="s">
        <v>3</v>
      </c>
      <c r="G20" t="s">
        <v>670</v>
      </c>
      <c r="H20" t="s">
        <v>670</v>
      </c>
      <c r="I20">
        <v>1.8240000000000001</v>
      </c>
    </row>
    <row r="21" spans="1:9" x14ac:dyDescent="0.25">
      <c r="A21" t="s">
        <v>181</v>
      </c>
      <c r="B21" t="s">
        <v>2</v>
      </c>
      <c r="C21" t="s">
        <v>181</v>
      </c>
      <c r="D21">
        <v>14260</v>
      </c>
      <c r="E21" t="s">
        <v>672</v>
      </c>
      <c r="F21" t="s">
        <v>113</v>
      </c>
      <c r="G21" t="s">
        <v>670</v>
      </c>
      <c r="H21" t="s">
        <v>670</v>
      </c>
      <c r="I21">
        <v>1.8380000000000001</v>
      </c>
    </row>
    <row r="22" spans="1:9" x14ac:dyDescent="0.25">
      <c r="A22" t="s">
        <v>36</v>
      </c>
      <c r="B22" t="s">
        <v>2</v>
      </c>
      <c r="C22" t="s">
        <v>36</v>
      </c>
      <c r="D22">
        <v>15980</v>
      </c>
      <c r="E22" t="s">
        <v>669</v>
      </c>
      <c r="F22" t="s">
        <v>118</v>
      </c>
      <c r="G22" t="s">
        <v>670</v>
      </c>
      <c r="H22" t="s">
        <v>670</v>
      </c>
      <c r="I22">
        <v>1.6539426514851572</v>
      </c>
    </row>
    <row r="23" spans="1:9" x14ac:dyDescent="0.25">
      <c r="A23" t="s">
        <v>36</v>
      </c>
      <c r="B23" t="s">
        <v>2</v>
      </c>
      <c r="C23" t="s">
        <v>36</v>
      </c>
      <c r="D23">
        <v>15980</v>
      </c>
      <c r="E23" t="s">
        <v>671</v>
      </c>
      <c r="F23" t="s">
        <v>116</v>
      </c>
      <c r="G23" t="s">
        <v>670</v>
      </c>
      <c r="H23" t="s">
        <v>670</v>
      </c>
      <c r="I23">
        <v>0.49446235563862084</v>
      </c>
    </row>
    <row r="24" spans="1:9" x14ac:dyDescent="0.25">
      <c r="A24" t="s">
        <v>36</v>
      </c>
      <c r="B24" t="s">
        <v>2</v>
      </c>
      <c r="C24" t="s">
        <v>36</v>
      </c>
      <c r="D24">
        <v>15980</v>
      </c>
      <c r="E24" t="s">
        <v>672</v>
      </c>
      <c r="F24" t="s">
        <v>3</v>
      </c>
      <c r="G24" t="s">
        <v>670</v>
      </c>
      <c r="H24" t="s">
        <v>670</v>
      </c>
      <c r="I24">
        <v>1.5820000000000001</v>
      </c>
    </row>
    <row r="25" spans="1:9" x14ac:dyDescent="0.25">
      <c r="A25" t="s">
        <v>36</v>
      </c>
      <c r="B25" t="s">
        <v>2</v>
      </c>
      <c r="C25" t="s">
        <v>36</v>
      </c>
      <c r="D25">
        <v>15980</v>
      </c>
      <c r="E25" t="s">
        <v>672</v>
      </c>
      <c r="F25" t="s">
        <v>113</v>
      </c>
      <c r="G25" t="s">
        <v>670</v>
      </c>
      <c r="H25" t="s">
        <v>670</v>
      </c>
      <c r="I25">
        <v>1.6819999999999999</v>
      </c>
    </row>
    <row r="26" spans="1:9" x14ac:dyDescent="0.25">
      <c r="A26" t="s">
        <v>19</v>
      </c>
      <c r="B26" t="s">
        <v>2</v>
      </c>
      <c r="C26" t="s">
        <v>19</v>
      </c>
      <c r="D26">
        <v>16700</v>
      </c>
      <c r="E26" t="s">
        <v>669</v>
      </c>
      <c r="F26" t="s">
        <v>118</v>
      </c>
      <c r="G26" t="s">
        <v>670</v>
      </c>
      <c r="H26" t="s">
        <v>670</v>
      </c>
      <c r="I26">
        <v>1.8196395346266281</v>
      </c>
    </row>
    <row r="27" spans="1:9" x14ac:dyDescent="0.25">
      <c r="A27" t="s">
        <v>19</v>
      </c>
      <c r="B27" t="s">
        <v>2</v>
      </c>
      <c r="C27" t="s">
        <v>19</v>
      </c>
      <c r="D27">
        <v>16700</v>
      </c>
      <c r="E27" t="s">
        <v>671</v>
      </c>
      <c r="F27" t="s">
        <v>116</v>
      </c>
      <c r="G27" t="s">
        <v>670</v>
      </c>
      <c r="H27" t="s">
        <v>670</v>
      </c>
      <c r="I27">
        <v>0.54293339265984031</v>
      </c>
    </row>
    <row r="28" spans="1:9" x14ac:dyDescent="0.25">
      <c r="A28" t="s">
        <v>19</v>
      </c>
      <c r="B28" t="s">
        <v>2</v>
      </c>
      <c r="C28" t="s">
        <v>19</v>
      </c>
      <c r="D28">
        <v>16700</v>
      </c>
      <c r="E28" t="s">
        <v>672</v>
      </c>
      <c r="F28" t="s">
        <v>3</v>
      </c>
      <c r="G28" t="s">
        <v>670</v>
      </c>
      <c r="H28" t="s">
        <v>670</v>
      </c>
      <c r="I28">
        <v>1.83</v>
      </c>
    </row>
    <row r="29" spans="1:9" x14ac:dyDescent="0.25">
      <c r="A29" t="s">
        <v>19</v>
      </c>
      <c r="B29" t="s">
        <v>2</v>
      </c>
      <c r="C29" t="s">
        <v>19</v>
      </c>
      <c r="D29">
        <v>16700</v>
      </c>
      <c r="E29" t="s">
        <v>672</v>
      </c>
      <c r="F29" t="s">
        <v>113</v>
      </c>
      <c r="G29" t="s">
        <v>670</v>
      </c>
      <c r="H29" t="s">
        <v>670</v>
      </c>
      <c r="I29">
        <v>1.867</v>
      </c>
    </row>
    <row r="30" spans="1:9" x14ac:dyDescent="0.25">
      <c r="A30" t="s">
        <v>37</v>
      </c>
      <c r="B30" t="s">
        <v>2</v>
      </c>
      <c r="C30" t="s">
        <v>37</v>
      </c>
      <c r="D30">
        <v>16740</v>
      </c>
      <c r="E30" t="s">
        <v>669</v>
      </c>
      <c r="F30" t="s">
        <v>118</v>
      </c>
      <c r="G30" t="s">
        <v>670</v>
      </c>
      <c r="H30" t="s">
        <v>670</v>
      </c>
      <c r="I30">
        <v>1.6613359757559909</v>
      </c>
    </row>
    <row r="31" spans="1:9" x14ac:dyDescent="0.25">
      <c r="A31" t="s">
        <v>37</v>
      </c>
      <c r="B31" t="s">
        <v>2</v>
      </c>
      <c r="C31" t="s">
        <v>37</v>
      </c>
      <c r="D31">
        <v>16740</v>
      </c>
      <c r="E31" t="s">
        <v>671</v>
      </c>
      <c r="F31" t="s">
        <v>116</v>
      </c>
      <c r="G31" t="s">
        <v>670</v>
      </c>
      <c r="H31" t="s">
        <v>670</v>
      </c>
      <c r="I31">
        <v>0.58086069220898162</v>
      </c>
    </row>
    <row r="32" spans="1:9" x14ac:dyDescent="0.25">
      <c r="A32" t="s">
        <v>37</v>
      </c>
      <c r="B32" t="s">
        <v>2</v>
      </c>
      <c r="C32" t="s">
        <v>37</v>
      </c>
      <c r="D32">
        <v>16740</v>
      </c>
      <c r="E32" t="s">
        <v>672</v>
      </c>
      <c r="F32" t="s">
        <v>3</v>
      </c>
      <c r="G32" t="s">
        <v>670</v>
      </c>
      <c r="H32" t="s">
        <v>670</v>
      </c>
      <c r="I32">
        <v>1.585</v>
      </c>
    </row>
    <row r="33" spans="1:9" x14ac:dyDescent="0.25">
      <c r="A33" t="s">
        <v>37</v>
      </c>
      <c r="B33" t="s">
        <v>2</v>
      </c>
      <c r="C33" t="s">
        <v>37</v>
      </c>
      <c r="D33">
        <v>16740</v>
      </c>
      <c r="E33" t="s">
        <v>672</v>
      </c>
      <c r="F33" t="s">
        <v>113</v>
      </c>
      <c r="G33" t="s">
        <v>670</v>
      </c>
      <c r="H33" t="s">
        <v>670</v>
      </c>
      <c r="I33">
        <v>1.6419999999999999</v>
      </c>
    </row>
    <row r="34" spans="1:9" x14ac:dyDescent="0.25">
      <c r="A34" t="s">
        <v>218</v>
      </c>
      <c r="B34" t="s">
        <v>2</v>
      </c>
      <c r="C34" t="s">
        <v>218</v>
      </c>
      <c r="D34">
        <v>17140</v>
      </c>
      <c r="E34" t="s">
        <v>669</v>
      </c>
      <c r="F34" t="s">
        <v>118</v>
      </c>
      <c r="G34" t="s">
        <v>670</v>
      </c>
      <c r="H34" t="s">
        <v>670</v>
      </c>
      <c r="I34">
        <v>1.5800060903858997</v>
      </c>
    </row>
    <row r="35" spans="1:9" x14ac:dyDescent="0.25">
      <c r="A35" t="s">
        <v>218</v>
      </c>
      <c r="B35" t="s">
        <v>2</v>
      </c>
      <c r="C35" t="s">
        <v>218</v>
      </c>
      <c r="D35">
        <v>17140</v>
      </c>
      <c r="E35" t="s">
        <v>671</v>
      </c>
      <c r="F35" t="s">
        <v>116</v>
      </c>
      <c r="G35" t="s">
        <v>670</v>
      </c>
      <c r="H35" t="s">
        <v>670</v>
      </c>
      <c r="I35">
        <v>0.47816103115947312</v>
      </c>
    </row>
    <row r="36" spans="1:9" x14ac:dyDescent="0.25">
      <c r="A36" t="s">
        <v>218</v>
      </c>
      <c r="B36" t="s">
        <v>2</v>
      </c>
      <c r="C36" t="s">
        <v>218</v>
      </c>
      <c r="D36">
        <v>17140</v>
      </c>
      <c r="E36" t="s">
        <v>672</v>
      </c>
      <c r="F36" t="s">
        <v>3</v>
      </c>
      <c r="G36" t="s">
        <v>670</v>
      </c>
      <c r="H36" t="s">
        <v>670</v>
      </c>
      <c r="I36">
        <v>1.619</v>
      </c>
    </row>
    <row r="37" spans="1:9" x14ac:dyDescent="0.25">
      <c r="A37" t="s">
        <v>218</v>
      </c>
      <c r="B37" t="s">
        <v>2</v>
      </c>
      <c r="C37" t="s">
        <v>218</v>
      </c>
      <c r="D37">
        <v>17140</v>
      </c>
      <c r="E37" t="s">
        <v>672</v>
      </c>
      <c r="F37" t="s">
        <v>113</v>
      </c>
      <c r="G37" t="s">
        <v>670</v>
      </c>
      <c r="H37" t="s">
        <v>670</v>
      </c>
      <c r="I37">
        <v>1.63</v>
      </c>
    </row>
    <row r="38" spans="1:9" x14ac:dyDescent="0.25">
      <c r="A38" t="s">
        <v>25</v>
      </c>
      <c r="B38" t="s">
        <v>2</v>
      </c>
      <c r="C38" t="s">
        <v>25</v>
      </c>
      <c r="D38">
        <v>17820</v>
      </c>
      <c r="E38" t="s">
        <v>669</v>
      </c>
      <c r="F38" t="s">
        <v>118</v>
      </c>
      <c r="G38" t="s">
        <v>670</v>
      </c>
      <c r="H38" t="s">
        <v>670</v>
      </c>
      <c r="I38">
        <v>1.718895464657817</v>
      </c>
    </row>
    <row r="39" spans="1:9" x14ac:dyDescent="0.25">
      <c r="A39" t="s">
        <v>25</v>
      </c>
      <c r="B39" t="s">
        <v>2</v>
      </c>
      <c r="C39" t="s">
        <v>25</v>
      </c>
      <c r="D39">
        <v>17820</v>
      </c>
      <c r="E39" t="s">
        <v>671</v>
      </c>
      <c r="F39" t="s">
        <v>116</v>
      </c>
      <c r="G39" t="s">
        <v>670</v>
      </c>
      <c r="H39" t="s">
        <v>670</v>
      </c>
      <c r="I39">
        <v>0.64265159262045879</v>
      </c>
    </row>
    <row r="40" spans="1:9" x14ac:dyDescent="0.25">
      <c r="A40" t="s">
        <v>25</v>
      </c>
      <c r="B40" t="s">
        <v>2</v>
      </c>
      <c r="C40" t="s">
        <v>25</v>
      </c>
      <c r="D40">
        <v>17820</v>
      </c>
      <c r="E40" t="s">
        <v>672</v>
      </c>
      <c r="F40" t="s">
        <v>3</v>
      </c>
      <c r="G40" t="s">
        <v>670</v>
      </c>
      <c r="H40" t="s">
        <v>670</v>
      </c>
      <c r="I40">
        <v>1.6819999999999999</v>
      </c>
    </row>
    <row r="41" spans="1:9" x14ac:dyDescent="0.25">
      <c r="A41" t="s">
        <v>25</v>
      </c>
      <c r="B41" t="s">
        <v>2</v>
      </c>
      <c r="C41" t="s">
        <v>25</v>
      </c>
      <c r="D41">
        <v>17820</v>
      </c>
      <c r="E41" t="s">
        <v>672</v>
      </c>
      <c r="F41" t="s">
        <v>113</v>
      </c>
      <c r="G41" t="s">
        <v>670</v>
      </c>
      <c r="H41" t="s">
        <v>670</v>
      </c>
      <c r="I41">
        <v>1.7370000000000001</v>
      </c>
    </row>
    <row r="42" spans="1:9" x14ac:dyDescent="0.25">
      <c r="A42" t="s">
        <v>228</v>
      </c>
      <c r="B42" t="s">
        <v>2</v>
      </c>
      <c r="C42" t="s">
        <v>228</v>
      </c>
      <c r="D42">
        <v>17900</v>
      </c>
      <c r="E42" t="s">
        <v>669</v>
      </c>
      <c r="F42" t="s">
        <v>118</v>
      </c>
      <c r="G42" t="s">
        <v>670</v>
      </c>
      <c r="H42" t="s">
        <v>670</v>
      </c>
      <c r="I42">
        <v>1.3496651377417224</v>
      </c>
    </row>
    <row r="43" spans="1:9" x14ac:dyDescent="0.25">
      <c r="A43" t="s">
        <v>228</v>
      </c>
      <c r="B43" t="s">
        <v>2</v>
      </c>
      <c r="C43" t="s">
        <v>228</v>
      </c>
      <c r="D43">
        <v>17900</v>
      </c>
      <c r="E43" t="s">
        <v>671</v>
      </c>
      <c r="F43" t="s">
        <v>116</v>
      </c>
      <c r="G43" t="s">
        <v>670</v>
      </c>
      <c r="H43" t="s">
        <v>670</v>
      </c>
      <c r="I43">
        <v>0.54004470323089693</v>
      </c>
    </row>
    <row r="44" spans="1:9" x14ac:dyDescent="0.25">
      <c r="A44" t="s">
        <v>228</v>
      </c>
      <c r="B44" t="s">
        <v>2</v>
      </c>
      <c r="C44" t="s">
        <v>228</v>
      </c>
      <c r="D44">
        <v>17900</v>
      </c>
      <c r="E44" t="s">
        <v>672</v>
      </c>
      <c r="F44" t="s">
        <v>3</v>
      </c>
      <c r="G44" t="s">
        <v>670</v>
      </c>
      <c r="H44" t="s">
        <v>670</v>
      </c>
      <c r="I44">
        <v>1.3640000000000001</v>
      </c>
    </row>
    <row r="45" spans="1:9" x14ac:dyDescent="0.25">
      <c r="A45" t="s">
        <v>228</v>
      </c>
      <c r="B45" t="s">
        <v>2</v>
      </c>
      <c r="C45" t="s">
        <v>228</v>
      </c>
      <c r="D45">
        <v>17900</v>
      </c>
      <c r="E45" t="s">
        <v>672</v>
      </c>
      <c r="F45" t="s">
        <v>113</v>
      </c>
      <c r="G45" t="s">
        <v>670</v>
      </c>
      <c r="H45" t="s">
        <v>670</v>
      </c>
      <c r="I45">
        <v>1.375</v>
      </c>
    </row>
    <row r="46" spans="1:9" x14ac:dyDescent="0.25">
      <c r="A46" t="s">
        <v>7</v>
      </c>
      <c r="B46" t="s">
        <v>2</v>
      </c>
      <c r="C46" t="s">
        <v>7</v>
      </c>
      <c r="D46">
        <v>18140</v>
      </c>
      <c r="E46" t="s">
        <v>669</v>
      </c>
      <c r="F46" t="s">
        <v>118</v>
      </c>
      <c r="G46" t="s">
        <v>670</v>
      </c>
      <c r="H46" t="s">
        <v>670</v>
      </c>
      <c r="I46">
        <v>1.4230406466515984</v>
      </c>
    </row>
    <row r="47" spans="1:9" x14ac:dyDescent="0.25">
      <c r="A47" t="s">
        <v>7</v>
      </c>
      <c r="B47" t="s">
        <v>2</v>
      </c>
      <c r="C47" t="s">
        <v>7</v>
      </c>
      <c r="D47">
        <v>18140</v>
      </c>
      <c r="E47" t="s">
        <v>671</v>
      </c>
      <c r="F47" t="s">
        <v>116</v>
      </c>
      <c r="G47" t="s">
        <v>670</v>
      </c>
      <c r="H47" t="s">
        <v>670</v>
      </c>
      <c r="I47">
        <v>0.55059916788151664</v>
      </c>
    </row>
    <row r="48" spans="1:9" x14ac:dyDescent="0.25">
      <c r="A48" t="s">
        <v>7</v>
      </c>
      <c r="B48" t="s">
        <v>2</v>
      </c>
      <c r="C48" t="s">
        <v>7</v>
      </c>
      <c r="D48">
        <v>18140</v>
      </c>
      <c r="E48" t="s">
        <v>672</v>
      </c>
      <c r="F48" t="s">
        <v>3</v>
      </c>
      <c r="G48" t="s">
        <v>670</v>
      </c>
      <c r="H48" t="s">
        <v>670</v>
      </c>
      <c r="I48">
        <v>1.494</v>
      </c>
    </row>
    <row r="49" spans="1:9" x14ac:dyDescent="0.25">
      <c r="A49" t="s">
        <v>7</v>
      </c>
      <c r="B49" t="s">
        <v>2</v>
      </c>
      <c r="C49" t="s">
        <v>7</v>
      </c>
      <c r="D49">
        <v>18140</v>
      </c>
      <c r="E49" t="s">
        <v>672</v>
      </c>
      <c r="F49" t="s">
        <v>113</v>
      </c>
      <c r="G49" t="s">
        <v>670</v>
      </c>
      <c r="H49" t="s">
        <v>670</v>
      </c>
      <c r="I49">
        <v>1.5109999999999999</v>
      </c>
    </row>
    <row r="50" spans="1:9" x14ac:dyDescent="0.25">
      <c r="A50" t="s">
        <v>35</v>
      </c>
      <c r="B50" t="s">
        <v>2</v>
      </c>
      <c r="C50" t="s">
        <v>35</v>
      </c>
      <c r="D50">
        <v>19124</v>
      </c>
      <c r="E50" t="s">
        <v>669</v>
      </c>
      <c r="F50" t="s">
        <v>118</v>
      </c>
      <c r="G50" t="s">
        <v>670</v>
      </c>
      <c r="H50" t="s">
        <v>670</v>
      </c>
      <c r="I50">
        <v>1.7971567886303068</v>
      </c>
    </row>
    <row r="51" spans="1:9" x14ac:dyDescent="0.25">
      <c r="A51" t="s">
        <v>35</v>
      </c>
      <c r="B51" t="s">
        <v>2</v>
      </c>
      <c r="C51" t="s">
        <v>35</v>
      </c>
      <c r="D51">
        <v>19124</v>
      </c>
      <c r="E51" t="s">
        <v>671</v>
      </c>
      <c r="F51" t="s">
        <v>116</v>
      </c>
      <c r="G51" t="s">
        <v>670</v>
      </c>
      <c r="H51" t="s">
        <v>670</v>
      </c>
      <c r="I51">
        <v>0.52028953703104497</v>
      </c>
    </row>
    <row r="52" spans="1:9" x14ac:dyDescent="0.25">
      <c r="A52" t="s">
        <v>35</v>
      </c>
      <c r="B52" t="s">
        <v>2</v>
      </c>
      <c r="C52" t="s">
        <v>35</v>
      </c>
      <c r="D52">
        <v>19124</v>
      </c>
      <c r="E52" t="s">
        <v>672</v>
      </c>
      <c r="F52" t="s">
        <v>3</v>
      </c>
      <c r="G52" t="s">
        <v>670</v>
      </c>
      <c r="H52" t="s">
        <v>670</v>
      </c>
      <c r="I52">
        <v>1.6990000000000001</v>
      </c>
    </row>
    <row r="53" spans="1:9" x14ac:dyDescent="0.25">
      <c r="A53" t="s">
        <v>35</v>
      </c>
      <c r="B53" t="s">
        <v>2</v>
      </c>
      <c r="C53" t="s">
        <v>35</v>
      </c>
      <c r="D53">
        <v>19124</v>
      </c>
      <c r="E53" t="s">
        <v>672</v>
      </c>
      <c r="F53" t="s">
        <v>113</v>
      </c>
      <c r="G53" t="s">
        <v>670</v>
      </c>
      <c r="H53" t="s">
        <v>670</v>
      </c>
      <c r="I53">
        <v>1.7490000000000001</v>
      </c>
    </row>
    <row r="54" spans="1:9" x14ac:dyDescent="0.25">
      <c r="A54" t="s">
        <v>38</v>
      </c>
      <c r="B54" t="s">
        <v>2</v>
      </c>
      <c r="C54" t="s">
        <v>38</v>
      </c>
      <c r="D54">
        <v>19740</v>
      </c>
      <c r="E54" t="s">
        <v>669</v>
      </c>
      <c r="F54" t="s">
        <v>118</v>
      </c>
      <c r="G54" t="s">
        <v>670</v>
      </c>
      <c r="H54" t="s">
        <v>670</v>
      </c>
      <c r="I54">
        <v>2.0991214446569639</v>
      </c>
    </row>
    <row r="55" spans="1:9" x14ac:dyDescent="0.25">
      <c r="A55" t="s">
        <v>38</v>
      </c>
      <c r="B55" t="s">
        <v>2</v>
      </c>
      <c r="C55" t="s">
        <v>38</v>
      </c>
      <c r="D55">
        <v>19740</v>
      </c>
      <c r="E55" t="s">
        <v>671</v>
      </c>
      <c r="F55" t="s">
        <v>116</v>
      </c>
      <c r="G55" t="s">
        <v>670</v>
      </c>
      <c r="H55" t="s">
        <v>670</v>
      </c>
      <c r="I55">
        <v>0.59759015780689917</v>
      </c>
    </row>
    <row r="56" spans="1:9" x14ac:dyDescent="0.25">
      <c r="A56" t="s">
        <v>38</v>
      </c>
      <c r="B56" t="s">
        <v>2</v>
      </c>
      <c r="C56" t="s">
        <v>38</v>
      </c>
      <c r="D56">
        <v>19740</v>
      </c>
      <c r="E56" t="s">
        <v>672</v>
      </c>
      <c r="F56" t="s">
        <v>3</v>
      </c>
      <c r="G56" t="s">
        <v>670</v>
      </c>
      <c r="H56" t="s">
        <v>670</v>
      </c>
      <c r="I56">
        <v>1.9790000000000001</v>
      </c>
    </row>
    <row r="57" spans="1:9" x14ac:dyDescent="0.25">
      <c r="A57" t="s">
        <v>38</v>
      </c>
      <c r="B57" t="s">
        <v>2</v>
      </c>
      <c r="C57" t="s">
        <v>38</v>
      </c>
      <c r="D57">
        <v>19740</v>
      </c>
      <c r="E57" t="s">
        <v>672</v>
      </c>
      <c r="F57" t="s">
        <v>113</v>
      </c>
      <c r="G57" t="s">
        <v>670</v>
      </c>
      <c r="H57" t="s">
        <v>670</v>
      </c>
      <c r="I57">
        <v>2.0870000000000002</v>
      </c>
    </row>
    <row r="58" spans="1:9" x14ac:dyDescent="0.25">
      <c r="A58" t="s">
        <v>250</v>
      </c>
      <c r="B58" t="s">
        <v>2</v>
      </c>
      <c r="C58" t="s">
        <v>250</v>
      </c>
      <c r="D58">
        <v>19780</v>
      </c>
      <c r="E58" t="s">
        <v>669</v>
      </c>
      <c r="F58" t="s">
        <v>118</v>
      </c>
      <c r="G58" t="s">
        <v>670</v>
      </c>
      <c r="H58" t="s">
        <v>670</v>
      </c>
      <c r="I58">
        <v>1.297018015403171</v>
      </c>
    </row>
    <row r="59" spans="1:9" x14ac:dyDescent="0.25">
      <c r="A59" t="s">
        <v>250</v>
      </c>
      <c r="B59" t="s">
        <v>2</v>
      </c>
      <c r="C59" t="s">
        <v>250</v>
      </c>
      <c r="D59">
        <v>19780</v>
      </c>
      <c r="E59" t="s">
        <v>671</v>
      </c>
      <c r="F59" t="s">
        <v>116</v>
      </c>
      <c r="G59" t="s">
        <v>670</v>
      </c>
      <c r="H59" t="s">
        <v>670</v>
      </c>
      <c r="I59">
        <v>0.49450138739831867</v>
      </c>
    </row>
    <row r="60" spans="1:9" x14ac:dyDescent="0.25">
      <c r="A60" t="s">
        <v>250</v>
      </c>
      <c r="B60" t="s">
        <v>2</v>
      </c>
      <c r="C60" t="s">
        <v>250</v>
      </c>
      <c r="D60">
        <v>19780</v>
      </c>
      <c r="E60" t="s">
        <v>672</v>
      </c>
      <c r="F60" t="s">
        <v>3</v>
      </c>
      <c r="G60" t="s">
        <v>670</v>
      </c>
      <c r="H60" t="s">
        <v>670</v>
      </c>
      <c r="I60">
        <v>1.2969999999999999</v>
      </c>
    </row>
    <row r="61" spans="1:9" x14ac:dyDescent="0.25">
      <c r="A61" t="s">
        <v>250</v>
      </c>
      <c r="B61" t="s">
        <v>2</v>
      </c>
      <c r="C61" t="s">
        <v>250</v>
      </c>
      <c r="D61">
        <v>19780</v>
      </c>
      <c r="E61" t="s">
        <v>672</v>
      </c>
      <c r="F61" t="s">
        <v>113</v>
      </c>
      <c r="G61" t="s">
        <v>670</v>
      </c>
      <c r="H61" t="s">
        <v>670</v>
      </c>
      <c r="I61">
        <v>1.3240000000000001</v>
      </c>
    </row>
    <row r="62" spans="1:9" x14ac:dyDescent="0.25">
      <c r="A62" t="s">
        <v>18</v>
      </c>
      <c r="B62" t="s">
        <v>2</v>
      </c>
      <c r="C62" t="s">
        <v>18</v>
      </c>
      <c r="D62">
        <v>22744</v>
      </c>
      <c r="E62" t="s">
        <v>669</v>
      </c>
      <c r="F62" t="s">
        <v>118</v>
      </c>
      <c r="G62" t="s">
        <v>670</v>
      </c>
      <c r="H62" t="s">
        <v>670</v>
      </c>
      <c r="I62">
        <v>2.4435238015330767</v>
      </c>
    </row>
    <row r="63" spans="1:9" x14ac:dyDescent="0.25">
      <c r="A63" t="s">
        <v>18</v>
      </c>
      <c r="B63" t="s">
        <v>2</v>
      </c>
      <c r="C63" t="s">
        <v>18</v>
      </c>
      <c r="D63">
        <v>22744</v>
      </c>
      <c r="E63" t="s">
        <v>671</v>
      </c>
      <c r="F63" t="s">
        <v>116</v>
      </c>
      <c r="G63" t="s">
        <v>670</v>
      </c>
      <c r="H63" t="s">
        <v>670</v>
      </c>
      <c r="I63">
        <v>0.55641013006208617</v>
      </c>
    </row>
    <row r="64" spans="1:9" x14ac:dyDescent="0.25">
      <c r="A64" t="s">
        <v>18</v>
      </c>
      <c r="B64" t="s">
        <v>2</v>
      </c>
      <c r="C64" t="s">
        <v>18</v>
      </c>
      <c r="D64">
        <v>22744</v>
      </c>
      <c r="E64" t="s">
        <v>672</v>
      </c>
      <c r="F64" t="s">
        <v>3</v>
      </c>
      <c r="G64" t="s">
        <v>670</v>
      </c>
      <c r="H64" t="s">
        <v>670</v>
      </c>
      <c r="I64">
        <v>2.4300000000000002</v>
      </c>
    </row>
    <row r="65" spans="1:9" x14ac:dyDescent="0.25">
      <c r="A65" t="s">
        <v>18</v>
      </c>
      <c r="B65" t="s">
        <v>2</v>
      </c>
      <c r="C65" t="s">
        <v>18</v>
      </c>
      <c r="D65">
        <v>22744</v>
      </c>
      <c r="E65" t="s">
        <v>672</v>
      </c>
      <c r="F65" t="s">
        <v>113</v>
      </c>
      <c r="G65" t="s">
        <v>670</v>
      </c>
      <c r="H65" t="s">
        <v>670</v>
      </c>
      <c r="I65">
        <v>2.4609999999999999</v>
      </c>
    </row>
    <row r="66" spans="1:9" x14ac:dyDescent="0.25">
      <c r="A66" t="s">
        <v>300</v>
      </c>
      <c r="B66" t="s">
        <v>2</v>
      </c>
      <c r="C66" t="s">
        <v>300</v>
      </c>
      <c r="D66">
        <v>223104</v>
      </c>
      <c r="E66" t="s">
        <v>669</v>
      </c>
      <c r="F66" t="s">
        <v>118</v>
      </c>
      <c r="G66" t="s">
        <v>670</v>
      </c>
      <c r="H66" t="s">
        <v>670</v>
      </c>
      <c r="I66">
        <v>1.6282666322264414</v>
      </c>
    </row>
    <row r="67" spans="1:9" x14ac:dyDescent="0.25">
      <c r="A67" t="s">
        <v>300</v>
      </c>
      <c r="B67" t="s">
        <v>2</v>
      </c>
      <c r="C67" t="s">
        <v>300</v>
      </c>
      <c r="D67">
        <v>223104</v>
      </c>
      <c r="E67" t="s">
        <v>671</v>
      </c>
      <c r="F67" t="s">
        <v>116</v>
      </c>
      <c r="G67" t="s">
        <v>670</v>
      </c>
      <c r="H67" t="s">
        <v>670</v>
      </c>
      <c r="I67">
        <v>0.4996119212452948</v>
      </c>
    </row>
    <row r="68" spans="1:9" x14ac:dyDescent="0.25">
      <c r="A68" t="s">
        <v>300</v>
      </c>
      <c r="B68" t="s">
        <v>2</v>
      </c>
      <c r="C68" t="s">
        <v>300</v>
      </c>
      <c r="D68">
        <v>223104</v>
      </c>
      <c r="E68" t="s">
        <v>672</v>
      </c>
      <c r="F68" t="s">
        <v>3</v>
      </c>
      <c r="G68" t="s">
        <v>670</v>
      </c>
      <c r="H68" t="s">
        <v>670</v>
      </c>
      <c r="I68">
        <v>1.5660000000000001</v>
      </c>
    </row>
    <row r="69" spans="1:9" x14ac:dyDescent="0.25">
      <c r="A69" t="s">
        <v>300</v>
      </c>
      <c r="B69" t="s">
        <v>2</v>
      </c>
      <c r="C69" t="s">
        <v>300</v>
      </c>
      <c r="D69">
        <v>223104</v>
      </c>
      <c r="E69" t="s">
        <v>672</v>
      </c>
      <c r="F69" t="s">
        <v>113</v>
      </c>
      <c r="G69" t="s">
        <v>670</v>
      </c>
      <c r="H69" t="s">
        <v>670</v>
      </c>
      <c r="I69">
        <v>1.607</v>
      </c>
    </row>
    <row r="70" spans="1:9" x14ac:dyDescent="0.25">
      <c r="A70" t="s">
        <v>320</v>
      </c>
      <c r="B70" t="s">
        <v>2</v>
      </c>
      <c r="C70" t="s">
        <v>320</v>
      </c>
      <c r="D70">
        <v>324660</v>
      </c>
      <c r="E70" t="s">
        <v>669</v>
      </c>
      <c r="F70" t="s">
        <v>118</v>
      </c>
      <c r="G70" t="s">
        <v>670</v>
      </c>
      <c r="H70" t="s">
        <v>670</v>
      </c>
      <c r="I70">
        <v>1.31735688368418</v>
      </c>
    </row>
    <row r="71" spans="1:9" x14ac:dyDescent="0.25">
      <c r="A71" t="s">
        <v>320</v>
      </c>
      <c r="B71" t="s">
        <v>2</v>
      </c>
      <c r="C71" t="s">
        <v>320</v>
      </c>
      <c r="D71">
        <v>324660</v>
      </c>
      <c r="E71" t="s">
        <v>671</v>
      </c>
      <c r="F71" t="s">
        <v>116</v>
      </c>
      <c r="G71" t="s">
        <v>670</v>
      </c>
      <c r="H71" t="s">
        <v>670</v>
      </c>
      <c r="I71">
        <v>0.53836450444617223</v>
      </c>
    </row>
    <row r="72" spans="1:9" x14ac:dyDescent="0.25">
      <c r="A72" t="s">
        <v>320</v>
      </c>
      <c r="B72" t="s">
        <v>2</v>
      </c>
      <c r="C72" t="s">
        <v>320</v>
      </c>
      <c r="D72">
        <v>324660</v>
      </c>
      <c r="E72" t="s">
        <v>672</v>
      </c>
      <c r="F72" t="s">
        <v>3</v>
      </c>
      <c r="G72" t="s">
        <v>670</v>
      </c>
      <c r="H72" t="s">
        <v>670</v>
      </c>
      <c r="I72">
        <v>1.323</v>
      </c>
    </row>
    <row r="73" spans="1:9" x14ac:dyDescent="0.25">
      <c r="A73" t="s">
        <v>320</v>
      </c>
      <c r="B73" t="s">
        <v>2</v>
      </c>
      <c r="C73" t="s">
        <v>320</v>
      </c>
      <c r="D73">
        <v>324660</v>
      </c>
      <c r="E73" t="s">
        <v>672</v>
      </c>
      <c r="F73" t="s">
        <v>113</v>
      </c>
      <c r="G73" t="s">
        <v>670</v>
      </c>
      <c r="H73" t="s">
        <v>670</v>
      </c>
      <c r="I73">
        <v>1.34</v>
      </c>
    </row>
    <row r="74" spans="1:9" x14ac:dyDescent="0.25">
      <c r="A74" t="s">
        <v>41</v>
      </c>
      <c r="B74" t="s">
        <v>2</v>
      </c>
      <c r="C74" t="s">
        <v>41</v>
      </c>
      <c r="D74">
        <v>224860</v>
      </c>
      <c r="E74" t="s">
        <v>669</v>
      </c>
      <c r="F74" t="s">
        <v>118</v>
      </c>
      <c r="G74" t="s">
        <v>670</v>
      </c>
      <c r="H74" t="s">
        <v>670</v>
      </c>
      <c r="I74">
        <v>1.4713288927796961</v>
      </c>
    </row>
    <row r="75" spans="1:9" x14ac:dyDescent="0.25">
      <c r="A75" t="s">
        <v>41</v>
      </c>
      <c r="B75" t="s">
        <v>2</v>
      </c>
      <c r="C75" t="s">
        <v>41</v>
      </c>
      <c r="D75">
        <v>224860</v>
      </c>
      <c r="E75" t="s">
        <v>671</v>
      </c>
      <c r="F75" t="s">
        <v>116</v>
      </c>
      <c r="G75" t="s">
        <v>670</v>
      </c>
      <c r="H75" t="s">
        <v>670</v>
      </c>
      <c r="I75">
        <v>0.54650976542212792</v>
      </c>
    </row>
    <row r="76" spans="1:9" x14ac:dyDescent="0.25">
      <c r="A76" t="s">
        <v>41</v>
      </c>
      <c r="B76" t="s">
        <v>2</v>
      </c>
      <c r="C76" t="s">
        <v>41</v>
      </c>
      <c r="D76">
        <v>224860</v>
      </c>
      <c r="E76" t="s">
        <v>672</v>
      </c>
      <c r="F76" t="s">
        <v>3</v>
      </c>
      <c r="G76" t="s">
        <v>670</v>
      </c>
      <c r="H76" t="s">
        <v>670</v>
      </c>
      <c r="I76">
        <v>1.379</v>
      </c>
    </row>
    <row r="77" spans="1:9" x14ac:dyDescent="0.25">
      <c r="A77" t="s">
        <v>41</v>
      </c>
      <c r="B77" t="s">
        <v>2</v>
      </c>
      <c r="C77" t="s">
        <v>41</v>
      </c>
      <c r="D77">
        <v>224860</v>
      </c>
      <c r="E77" t="s">
        <v>672</v>
      </c>
      <c r="F77" t="s">
        <v>113</v>
      </c>
      <c r="G77" t="s">
        <v>670</v>
      </c>
      <c r="H77" t="s">
        <v>670</v>
      </c>
      <c r="I77">
        <v>1.401</v>
      </c>
    </row>
    <row r="78" spans="1:9" x14ac:dyDescent="0.25">
      <c r="A78" t="s">
        <v>32</v>
      </c>
      <c r="B78" t="s">
        <v>2</v>
      </c>
      <c r="C78" t="s">
        <v>32</v>
      </c>
      <c r="D78">
        <v>26420</v>
      </c>
      <c r="E78" t="s">
        <v>669</v>
      </c>
      <c r="F78" t="s">
        <v>118</v>
      </c>
      <c r="G78" t="s">
        <v>670</v>
      </c>
      <c r="H78" t="s">
        <v>670</v>
      </c>
      <c r="I78">
        <v>1.5658007691605667</v>
      </c>
    </row>
    <row r="79" spans="1:9" x14ac:dyDescent="0.25">
      <c r="A79" t="s">
        <v>32</v>
      </c>
      <c r="B79" t="s">
        <v>2</v>
      </c>
      <c r="C79" t="s">
        <v>32</v>
      </c>
      <c r="D79">
        <v>26420</v>
      </c>
      <c r="E79" t="s">
        <v>671</v>
      </c>
      <c r="F79" t="s">
        <v>116</v>
      </c>
      <c r="G79" t="s">
        <v>670</v>
      </c>
      <c r="H79" t="s">
        <v>670</v>
      </c>
      <c r="I79">
        <v>0.49595278706615475</v>
      </c>
    </row>
    <row r="80" spans="1:9" x14ac:dyDescent="0.25">
      <c r="A80" t="s">
        <v>32</v>
      </c>
      <c r="B80" t="s">
        <v>2</v>
      </c>
      <c r="C80" t="s">
        <v>32</v>
      </c>
      <c r="D80">
        <v>26420</v>
      </c>
      <c r="E80" t="s">
        <v>672</v>
      </c>
      <c r="F80" t="s">
        <v>3</v>
      </c>
      <c r="G80" t="s">
        <v>670</v>
      </c>
      <c r="H80" t="s">
        <v>670</v>
      </c>
      <c r="I80">
        <v>1.4950000000000001</v>
      </c>
    </row>
    <row r="81" spans="1:9" x14ac:dyDescent="0.25">
      <c r="A81" t="s">
        <v>32</v>
      </c>
      <c r="B81" t="s">
        <v>2</v>
      </c>
      <c r="C81" t="s">
        <v>32</v>
      </c>
      <c r="D81">
        <v>26420</v>
      </c>
      <c r="E81" t="s">
        <v>672</v>
      </c>
      <c r="F81" t="s">
        <v>113</v>
      </c>
      <c r="G81" t="s">
        <v>670</v>
      </c>
      <c r="H81" t="s">
        <v>670</v>
      </c>
      <c r="I81">
        <v>1.5349999999999999</v>
      </c>
    </row>
    <row r="82" spans="1:9" x14ac:dyDescent="0.25">
      <c r="A82" t="s">
        <v>349</v>
      </c>
      <c r="B82" t="s">
        <v>2</v>
      </c>
      <c r="C82" t="s">
        <v>349</v>
      </c>
      <c r="D82">
        <v>26620</v>
      </c>
      <c r="E82" t="s">
        <v>669</v>
      </c>
      <c r="F82" t="s">
        <v>118</v>
      </c>
      <c r="G82" t="s">
        <v>670</v>
      </c>
      <c r="H82" t="s">
        <v>670</v>
      </c>
      <c r="I82">
        <v>1.1527831218644575</v>
      </c>
    </row>
    <row r="83" spans="1:9" x14ac:dyDescent="0.25">
      <c r="A83" t="s">
        <v>349</v>
      </c>
      <c r="B83" t="s">
        <v>2</v>
      </c>
      <c r="C83" t="s">
        <v>349</v>
      </c>
      <c r="D83">
        <v>26620</v>
      </c>
      <c r="E83" t="s">
        <v>671</v>
      </c>
      <c r="F83" t="s">
        <v>116</v>
      </c>
      <c r="G83" t="s">
        <v>670</v>
      </c>
      <c r="H83" t="s">
        <v>670</v>
      </c>
      <c r="I83">
        <v>0.51494761507221409</v>
      </c>
    </row>
    <row r="84" spans="1:9" x14ac:dyDescent="0.25">
      <c r="A84" t="s">
        <v>349</v>
      </c>
      <c r="B84" t="s">
        <v>2</v>
      </c>
      <c r="C84" t="s">
        <v>349</v>
      </c>
      <c r="D84">
        <v>26620</v>
      </c>
      <c r="E84" t="s">
        <v>672</v>
      </c>
      <c r="F84" t="s">
        <v>3</v>
      </c>
      <c r="G84" t="s">
        <v>670</v>
      </c>
      <c r="H84" t="s">
        <v>670</v>
      </c>
      <c r="I84">
        <v>1.175</v>
      </c>
    </row>
    <row r="85" spans="1:9" x14ac:dyDescent="0.25">
      <c r="A85" t="s">
        <v>349</v>
      </c>
      <c r="B85" t="s">
        <v>2</v>
      </c>
      <c r="C85" t="s">
        <v>349</v>
      </c>
      <c r="D85">
        <v>26620</v>
      </c>
      <c r="E85" t="s">
        <v>672</v>
      </c>
      <c r="F85" t="s">
        <v>113</v>
      </c>
      <c r="G85" t="s">
        <v>670</v>
      </c>
      <c r="H85" t="s">
        <v>670</v>
      </c>
      <c r="I85">
        <v>1.2330000000000001</v>
      </c>
    </row>
    <row r="86" spans="1:9" x14ac:dyDescent="0.25">
      <c r="A86" t="s">
        <v>29</v>
      </c>
      <c r="B86" t="s">
        <v>2</v>
      </c>
      <c r="C86" t="s">
        <v>29</v>
      </c>
      <c r="D86">
        <v>226900</v>
      </c>
      <c r="E86" t="s">
        <v>669</v>
      </c>
      <c r="F86" t="s">
        <v>118</v>
      </c>
      <c r="G86" t="s">
        <v>670</v>
      </c>
      <c r="H86" t="s">
        <v>670</v>
      </c>
      <c r="I86">
        <v>1.464687967944722</v>
      </c>
    </row>
    <row r="87" spans="1:9" x14ac:dyDescent="0.25">
      <c r="A87" t="s">
        <v>29</v>
      </c>
      <c r="B87" t="s">
        <v>2</v>
      </c>
      <c r="C87" t="s">
        <v>29</v>
      </c>
      <c r="D87">
        <v>226900</v>
      </c>
      <c r="E87" t="s">
        <v>671</v>
      </c>
      <c r="F87" t="s">
        <v>116</v>
      </c>
      <c r="G87" t="s">
        <v>670</v>
      </c>
      <c r="H87" t="s">
        <v>670</v>
      </c>
      <c r="I87">
        <v>0.53390193385420492</v>
      </c>
    </row>
    <row r="88" spans="1:9" x14ac:dyDescent="0.25">
      <c r="A88" t="s">
        <v>29</v>
      </c>
      <c r="B88" t="s">
        <v>2</v>
      </c>
      <c r="C88" t="s">
        <v>29</v>
      </c>
      <c r="D88">
        <v>226900</v>
      </c>
      <c r="E88" t="s">
        <v>672</v>
      </c>
      <c r="F88" t="s">
        <v>3</v>
      </c>
      <c r="G88" t="s">
        <v>670</v>
      </c>
      <c r="H88" t="s">
        <v>670</v>
      </c>
      <c r="I88">
        <v>1.4350000000000001</v>
      </c>
    </row>
    <row r="89" spans="1:9" x14ac:dyDescent="0.25">
      <c r="A89" t="s">
        <v>29</v>
      </c>
      <c r="B89" t="s">
        <v>2</v>
      </c>
      <c r="C89" t="s">
        <v>29</v>
      </c>
      <c r="D89">
        <v>226900</v>
      </c>
      <c r="E89" t="s">
        <v>672</v>
      </c>
      <c r="F89" t="s">
        <v>113</v>
      </c>
      <c r="G89" t="s">
        <v>670</v>
      </c>
      <c r="H89" t="s">
        <v>670</v>
      </c>
      <c r="I89">
        <v>1.4490000000000001</v>
      </c>
    </row>
    <row r="90" spans="1:9" x14ac:dyDescent="0.25">
      <c r="A90" t="s">
        <v>23</v>
      </c>
      <c r="B90" t="s">
        <v>2</v>
      </c>
      <c r="C90" t="s">
        <v>23</v>
      </c>
      <c r="D90">
        <v>27260</v>
      </c>
      <c r="E90" t="s">
        <v>669</v>
      </c>
      <c r="F90" t="s">
        <v>118</v>
      </c>
      <c r="G90" t="s">
        <v>670</v>
      </c>
      <c r="H90" t="s">
        <v>670</v>
      </c>
      <c r="I90">
        <v>1.4923288633762215</v>
      </c>
    </row>
    <row r="91" spans="1:9" x14ac:dyDescent="0.25">
      <c r="A91" t="s">
        <v>23</v>
      </c>
      <c r="B91" t="s">
        <v>2</v>
      </c>
      <c r="C91" t="s">
        <v>23</v>
      </c>
      <c r="D91">
        <v>27260</v>
      </c>
      <c r="E91" t="s">
        <v>671</v>
      </c>
      <c r="F91" t="s">
        <v>116</v>
      </c>
      <c r="G91" t="s">
        <v>670</v>
      </c>
      <c r="H91" t="s">
        <v>670</v>
      </c>
      <c r="I91">
        <v>0.51964334722454186</v>
      </c>
    </row>
    <row r="92" spans="1:9" x14ac:dyDescent="0.25">
      <c r="A92" t="s">
        <v>23</v>
      </c>
      <c r="B92" t="s">
        <v>2</v>
      </c>
      <c r="C92" t="s">
        <v>23</v>
      </c>
      <c r="D92">
        <v>27260</v>
      </c>
      <c r="E92" t="s">
        <v>672</v>
      </c>
      <c r="F92" t="s">
        <v>3</v>
      </c>
      <c r="G92" t="s">
        <v>670</v>
      </c>
      <c r="H92" t="s">
        <v>670</v>
      </c>
      <c r="I92">
        <v>1.464</v>
      </c>
    </row>
    <row r="93" spans="1:9" x14ac:dyDescent="0.25">
      <c r="A93" t="s">
        <v>23</v>
      </c>
      <c r="B93" t="s">
        <v>2</v>
      </c>
      <c r="C93" t="s">
        <v>23</v>
      </c>
      <c r="D93">
        <v>27260</v>
      </c>
      <c r="E93" t="s">
        <v>672</v>
      </c>
      <c r="F93" t="s">
        <v>113</v>
      </c>
      <c r="G93" t="s">
        <v>670</v>
      </c>
      <c r="H93" t="s">
        <v>670</v>
      </c>
      <c r="I93">
        <v>1.5029999999999999</v>
      </c>
    </row>
    <row r="94" spans="1:9" x14ac:dyDescent="0.25">
      <c r="A94" t="s">
        <v>13</v>
      </c>
      <c r="B94" t="s">
        <v>2</v>
      </c>
      <c r="C94" t="s">
        <v>13</v>
      </c>
      <c r="D94">
        <v>28140</v>
      </c>
      <c r="E94" t="s">
        <v>669</v>
      </c>
      <c r="F94" t="s">
        <v>118</v>
      </c>
      <c r="G94" t="s">
        <v>670</v>
      </c>
      <c r="H94" t="s">
        <v>670</v>
      </c>
      <c r="I94">
        <v>1.4885340703903072</v>
      </c>
    </row>
    <row r="95" spans="1:9" x14ac:dyDescent="0.25">
      <c r="A95" t="s">
        <v>13</v>
      </c>
      <c r="B95" t="s">
        <v>2</v>
      </c>
      <c r="C95" t="s">
        <v>13</v>
      </c>
      <c r="D95">
        <v>28140</v>
      </c>
      <c r="E95" t="s">
        <v>671</v>
      </c>
      <c r="F95" t="s">
        <v>116</v>
      </c>
      <c r="G95" t="s">
        <v>670</v>
      </c>
      <c r="H95" t="s">
        <v>670</v>
      </c>
      <c r="I95">
        <v>0.54428824779130369</v>
      </c>
    </row>
    <row r="96" spans="1:9" x14ac:dyDescent="0.25">
      <c r="A96" t="s">
        <v>13</v>
      </c>
      <c r="B96" t="s">
        <v>2</v>
      </c>
      <c r="C96" t="s">
        <v>13</v>
      </c>
      <c r="D96">
        <v>28140</v>
      </c>
      <c r="E96" t="s">
        <v>672</v>
      </c>
      <c r="F96" t="s">
        <v>3</v>
      </c>
      <c r="G96" t="s">
        <v>670</v>
      </c>
      <c r="H96" t="s">
        <v>670</v>
      </c>
      <c r="I96">
        <v>1.5229999999999999</v>
      </c>
    </row>
    <row r="97" spans="1:9" x14ac:dyDescent="0.25">
      <c r="A97" t="s">
        <v>13</v>
      </c>
      <c r="B97" t="s">
        <v>2</v>
      </c>
      <c r="C97" t="s">
        <v>13</v>
      </c>
      <c r="D97">
        <v>28140</v>
      </c>
      <c r="E97" t="s">
        <v>672</v>
      </c>
      <c r="F97" t="s">
        <v>113</v>
      </c>
      <c r="G97" t="s">
        <v>670</v>
      </c>
      <c r="H97" t="s">
        <v>670</v>
      </c>
      <c r="I97">
        <v>1.536</v>
      </c>
    </row>
    <row r="98" spans="1:9" x14ac:dyDescent="0.25">
      <c r="A98" t="s">
        <v>386</v>
      </c>
      <c r="B98" t="s">
        <v>2</v>
      </c>
      <c r="C98" t="s">
        <v>386</v>
      </c>
      <c r="D98">
        <v>28940</v>
      </c>
      <c r="E98" t="s">
        <v>669</v>
      </c>
      <c r="F98" t="s">
        <v>118</v>
      </c>
      <c r="G98" t="s">
        <v>670</v>
      </c>
      <c r="H98" t="s">
        <v>670</v>
      </c>
      <c r="I98">
        <v>1.5867627467043139</v>
      </c>
    </row>
    <row r="99" spans="1:9" x14ac:dyDescent="0.25">
      <c r="A99" t="s">
        <v>386</v>
      </c>
      <c r="B99" t="s">
        <v>2</v>
      </c>
      <c r="C99" t="s">
        <v>386</v>
      </c>
      <c r="D99">
        <v>28940</v>
      </c>
      <c r="E99" t="s">
        <v>671</v>
      </c>
      <c r="F99" t="s">
        <v>116</v>
      </c>
      <c r="G99" t="s">
        <v>670</v>
      </c>
      <c r="H99" t="s">
        <v>670</v>
      </c>
      <c r="I99">
        <v>0.63465412639948493</v>
      </c>
    </row>
    <row r="100" spans="1:9" x14ac:dyDescent="0.25">
      <c r="A100" t="s">
        <v>386</v>
      </c>
      <c r="B100" t="s">
        <v>2</v>
      </c>
      <c r="C100" t="s">
        <v>386</v>
      </c>
      <c r="D100">
        <v>28940</v>
      </c>
      <c r="E100" t="s">
        <v>672</v>
      </c>
      <c r="F100" t="s">
        <v>3</v>
      </c>
      <c r="G100" t="s">
        <v>670</v>
      </c>
      <c r="H100" t="s">
        <v>670</v>
      </c>
      <c r="I100">
        <v>1.534</v>
      </c>
    </row>
    <row r="101" spans="1:9" x14ac:dyDescent="0.25">
      <c r="A101" t="s">
        <v>386</v>
      </c>
      <c r="B101" t="s">
        <v>2</v>
      </c>
      <c r="C101" t="s">
        <v>386</v>
      </c>
      <c r="D101">
        <v>28940</v>
      </c>
      <c r="E101" t="s">
        <v>672</v>
      </c>
      <c r="F101" t="s">
        <v>113</v>
      </c>
      <c r="G101" t="s">
        <v>670</v>
      </c>
      <c r="H101" t="s">
        <v>670</v>
      </c>
      <c r="I101">
        <v>1.5569999999999999</v>
      </c>
    </row>
    <row r="102" spans="1:9" x14ac:dyDescent="0.25">
      <c r="A102" t="s">
        <v>28</v>
      </c>
      <c r="B102" t="s">
        <v>2</v>
      </c>
      <c r="C102" t="s">
        <v>28</v>
      </c>
      <c r="D102">
        <v>29820</v>
      </c>
      <c r="E102" t="s">
        <v>669</v>
      </c>
      <c r="F102" t="s">
        <v>118</v>
      </c>
      <c r="G102" t="s">
        <v>670</v>
      </c>
      <c r="H102" t="s">
        <v>670</v>
      </c>
      <c r="I102">
        <v>1.5942625976124889</v>
      </c>
    </row>
    <row r="103" spans="1:9" x14ac:dyDescent="0.25">
      <c r="A103" t="s">
        <v>28</v>
      </c>
      <c r="B103" t="s">
        <v>2</v>
      </c>
      <c r="C103" t="s">
        <v>28</v>
      </c>
      <c r="D103">
        <v>29820</v>
      </c>
      <c r="E103" t="s">
        <v>671</v>
      </c>
      <c r="F103" t="s">
        <v>116</v>
      </c>
      <c r="G103" t="s">
        <v>670</v>
      </c>
      <c r="H103" t="s">
        <v>670</v>
      </c>
      <c r="I103">
        <v>0.62544183702557676</v>
      </c>
    </row>
    <row r="104" spans="1:9" x14ac:dyDescent="0.25">
      <c r="A104" t="s">
        <v>28</v>
      </c>
      <c r="B104" t="s">
        <v>2</v>
      </c>
      <c r="C104" t="s">
        <v>28</v>
      </c>
      <c r="D104">
        <v>29820</v>
      </c>
      <c r="E104" t="s">
        <v>672</v>
      </c>
      <c r="F104" t="s">
        <v>3</v>
      </c>
      <c r="G104" t="s">
        <v>670</v>
      </c>
      <c r="H104" t="s">
        <v>670</v>
      </c>
      <c r="I104">
        <v>1.5409999999999999</v>
      </c>
    </row>
    <row r="105" spans="1:9" x14ac:dyDescent="0.25">
      <c r="A105" t="s">
        <v>28</v>
      </c>
      <c r="B105" t="s">
        <v>2</v>
      </c>
      <c r="C105" t="s">
        <v>28</v>
      </c>
      <c r="D105">
        <v>29820</v>
      </c>
      <c r="E105" t="s">
        <v>672</v>
      </c>
      <c r="F105" t="s">
        <v>113</v>
      </c>
      <c r="G105" t="s">
        <v>670</v>
      </c>
      <c r="H105" t="s">
        <v>670</v>
      </c>
      <c r="I105">
        <v>1.5880000000000001</v>
      </c>
    </row>
    <row r="106" spans="1:9" x14ac:dyDescent="0.25">
      <c r="A106" t="s">
        <v>418</v>
      </c>
      <c r="B106" t="s">
        <v>2</v>
      </c>
      <c r="C106" t="s">
        <v>418</v>
      </c>
      <c r="D106">
        <v>31140</v>
      </c>
      <c r="E106" t="s">
        <v>669</v>
      </c>
      <c r="F106" t="s">
        <v>118</v>
      </c>
      <c r="G106" t="s">
        <v>670</v>
      </c>
      <c r="H106" t="s">
        <v>670</v>
      </c>
      <c r="I106">
        <v>1.3221156806636061</v>
      </c>
    </row>
    <row r="107" spans="1:9" x14ac:dyDescent="0.25">
      <c r="A107" t="s">
        <v>418</v>
      </c>
      <c r="B107" t="s">
        <v>2</v>
      </c>
      <c r="C107" t="s">
        <v>418</v>
      </c>
      <c r="D107">
        <v>31140</v>
      </c>
      <c r="E107" t="s">
        <v>671</v>
      </c>
      <c r="F107" t="s">
        <v>116</v>
      </c>
      <c r="G107" t="s">
        <v>670</v>
      </c>
      <c r="H107" t="s">
        <v>670</v>
      </c>
      <c r="I107">
        <v>0.50580014210427626</v>
      </c>
    </row>
    <row r="108" spans="1:9" x14ac:dyDescent="0.25">
      <c r="A108" t="s">
        <v>418</v>
      </c>
      <c r="B108" t="s">
        <v>2</v>
      </c>
      <c r="C108" t="s">
        <v>418</v>
      </c>
      <c r="D108">
        <v>31140</v>
      </c>
      <c r="E108" t="s">
        <v>672</v>
      </c>
      <c r="F108" t="s">
        <v>3</v>
      </c>
      <c r="G108" t="s">
        <v>670</v>
      </c>
      <c r="H108" t="s">
        <v>670</v>
      </c>
      <c r="I108">
        <v>1.335</v>
      </c>
    </row>
    <row r="109" spans="1:9" x14ac:dyDescent="0.25">
      <c r="A109" t="s">
        <v>418</v>
      </c>
      <c r="B109" t="s">
        <v>2</v>
      </c>
      <c r="C109" t="s">
        <v>418</v>
      </c>
      <c r="D109">
        <v>31140</v>
      </c>
      <c r="E109" t="s">
        <v>672</v>
      </c>
      <c r="F109" t="s">
        <v>113</v>
      </c>
      <c r="G109" t="s">
        <v>670</v>
      </c>
      <c r="H109" t="s">
        <v>670</v>
      </c>
      <c r="I109">
        <v>1.36</v>
      </c>
    </row>
    <row r="110" spans="1:9" x14ac:dyDescent="0.25">
      <c r="A110" t="s">
        <v>447</v>
      </c>
      <c r="B110" t="s">
        <v>2</v>
      </c>
      <c r="C110" t="s">
        <v>447</v>
      </c>
      <c r="D110">
        <v>33124</v>
      </c>
      <c r="E110" t="s">
        <v>669</v>
      </c>
      <c r="F110" t="s">
        <v>118</v>
      </c>
      <c r="G110" t="s">
        <v>670</v>
      </c>
      <c r="H110" t="s">
        <v>670</v>
      </c>
      <c r="I110">
        <v>2.8306600139284055</v>
      </c>
    </row>
    <row r="111" spans="1:9" x14ac:dyDescent="0.25">
      <c r="A111" t="s">
        <v>447</v>
      </c>
      <c r="B111" t="s">
        <v>2</v>
      </c>
      <c r="C111" t="s">
        <v>447</v>
      </c>
      <c r="D111">
        <v>33124</v>
      </c>
      <c r="E111" t="s">
        <v>671</v>
      </c>
      <c r="F111" t="s">
        <v>116</v>
      </c>
      <c r="G111" t="s">
        <v>670</v>
      </c>
      <c r="H111" t="s">
        <v>670</v>
      </c>
      <c r="I111">
        <v>0.58180050100940772</v>
      </c>
    </row>
    <row r="112" spans="1:9" x14ac:dyDescent="0.25">
      <c r="A112" t="s">
        <v>447</v>
      </c>
      <c r="B112" t="s">
        <v>2</v>
      </c>
      <c r="C112" t="s">
        <v>447</v>
      </c>
      <c r="D112">
        <v>33124</v>
      </c>
      <c r="E112" t="s">
        <v>672</v>
      </c>
      <c r="F112" t="s">
        <v>3</v>
      </c>
      <c r="G112" t="s">
        <v>670</v>
      </c>
      <c r="H112" t="s">
        <v>670</v>
      </c>
      <c r="I112">
        <v>2.9460000000000002</v>
      </c>
    </row>
    <row r="113" spans="1:9" x14ac:dyDescent="0.25">
      <c r="A113" t="s">
        <v>447</v>
      </c>
      <c r="B113" t="s">
        <v>2</v>
      </c>
      <c r="C113" t="s">
        <v>447</v>
      </c>
      <c r="D113">
        <v>33124</v>
      </c>
      <c r="E113" t="s">
        <v>672</v>
      </c>
      <c r="F113" t="s">
        <v>113</v>
      </c>
      <c r="G113" t="s">
        <v>670</v>
      </c>
      <c r="H113" t="s">
        <v>670</v>
      </c>
      <c r="I113">
        <v>3.0030000000000001</v>
      </c>
    </row>
    <row r="114" spans="1:9" x14ac:dyDescent="0.25">
      <c r="A114" t="s">
        <v>14</v>
      </c>
      <c r="B114" t="s">
        <v>2</v>
      </c>
      <c r="C114" t="s">
        <v>14</v>
      </c>
      <c r="D114">
        <v>33460</v>
      </c>
      <c r="E114" t="s">
        <v>669</v>
      </c>
      <c r="F114" t="s">
        <v>118</v>
      </c>
      <c r="G114" t="s">
        <v>670</v>
      </c>
      <c r="H114" t="s">
        <v>670</v>
      </c>
      <c r="I114">
        <v>1.8543448478173041</v>
      </c>
    </row>
    <row r="115" spans="1:9" x14ac:dyDescent="0.25">
      <c r="A115" t="s">
        <v>14</v>
      </c>
      <c r="B115" t="s">
        <v>2</v>
      </c>
      <c r="C115" t="s">
        <v>14</v>
      </c>
      <c r="D115">
        <v>33460</v>
      </c>
      <c r="E115" t="s">
        <v>671</v>
      </c>
      <c r="F115" t="s">
        <v>116</v>
      </c>
      <c r="G115" t="s">
        <v>670</v>
      </c>
      <c r="H115" t="s">
        <v>670</v>
      </c>
      <c r="I115">
        <v>0.53005987459451731</v>
      </c>
    </row>
    <row r="116" spans="1:9" x14ac:dyDescent="0.25">
      <c r="A116" t="s">
        <v>14</v>
      </c>
      <c r="B116" t="s">
        <v>2</v>
      </c>
      <c r="C116" t="s">
        <v>14</v>
      </c>
      <c r="D116">
        <v>33460</v>
      </c>
      <c r="E116" t="s">
        <v>672</v>
      </c>
      <c r="F116" t="s">
        <v>3</v>
      </c>
      <c r="G116" t="s">
        <v>670</v>
      </c>
      <c r="H116" t="s">
        <v>670</v>
      </c>
      <c r="I116">
        <v>1.8839999999999999</v>
      </c>
    </row>
    <row r="117" spans="1:9" x14ac:dyDescent="0.25">
      <c r="A117" t="s">
        <v>14</v>
      </c>
      <c r="B117" t="s">
        <v>2</v>
      </c>
      <c r="C117" t="s">
        <v>14</v>
      </c>
      <c r="D117">
        <v>33460</v>
      </c>
      <c r="E117" t="s">
        <v>672</v>
      </c>
      <c r="F117" t="s">
        <v>113</v>
      </c>
      <c r="G117" t="s">
        <v>670</v>
      </c>
      <c r="H117" t="s">
        <v>670</v>
      </c>
      <c r="I117">
        <v>1.911</v>
      </c>
    </row>
    <row r="118" spans="1:9" x14ac:dyDescent="0.25">
      <c r="A118" t="s">
        <v>15</v>
      </c>
      <c r="B118" t="s">
        <v>2</v>
      </c>
      <c r="C118" t="s">
        <v>15</v>
      </c>
      <c r="D118">
        <v>34980</v>
      </c>
      <c r="E118" t="s">
        <v>669</v>
      </c>
      <c r="F118" t="s">
        <v>118</v>
      </c>
      <c r="G118" t="s">
        <v>670</v>
      </c>
      <c r="H118" t="s">
        <v>670</v>
      </c>
      <c r="I118">
        <v>1.685381168559607</v>
      </c>
    </row>
    <row r="119" spans="1:9" x14ac:dyDescent="0.25">
      <c r="A119" t="s">
        <v>15</v>
      </c>
      <c r="B119" t="s">
        <v>2</v>
      </c>
      <c r="C119" t="s">
        <v>15</v>
      </c>
      <c r="D119">
        <v>34980</v>
      </c>
      <c r="E119" t="s">
        <v>671</v>
      </c>
      <c r="F119" t="s">
        <v>116</v>
      </c>
      <c r="G119" t="s">
        <v>670</v>
      </c>
      <c r="H119" t="s">
        <v>670</v>
      </c>
      <c r="I119">
        <v>0.57754202705817026</v>
      </c>
    </row>
    <row r="120" spans="1:9" x14ac:dyDescent="0.25">
      <c r="A120" t="s">
        <v>15</v>
      </c>
      <c r="B120" t="s">
        <v>2</v>
      </c>
      <c r="C120" t="s">
        <v>15</v>
      </c>
      <c r="D120">
        <v>34980</v>
      </c>
      <c r="E120" t="s">
        <v>672</v>
      </c>
      <c r="F120" t="s">
        <v>3</v>
      </c>
      <c r="G120" t="s">
        <v>670</v>
      </c>
      <c r="H120" t="s">
        <v>670</v>
      </c>
      <c r="I120">
        <v>1.6930000000000001</v>
      </c>
    </row>
    <row r="121" spans="1:9" x14ac:dyDescent="0.25">
      <c r="A121" t="s">
        <v>15</v>
      </c>
      <c r="B121" t="s">
        <v>2</v>
      </c>
      <c r="C121" t="s">
        <v>15</v>
      </c>
      <c r="D121">
        <v>34980</v>
      </c>
      <c r="E121" t="s">
        <v>672</v>
      </c>
      <c r="F121" t="s">
        <v>113</v>
      </c>
      <c r="G121" t="s">
        <v>670</v>
      </c>
      <c r="H121" t="s">
        <v>670</v>
      </c>
      <c r="I121">
        <v>1.7629999999999999</v>
      </c>
    </row>
    <row r="122" spans="1:9" x14ac:dyDescent="0.25">
      <c r="A122" t="s">
        <v>27</v>
      </c>
      <c r="B122" t="s">
        <v>2</v>
      </c>
      <c r="C122" t="s">
        <v>27</v>
      </c>
      <c r="D122">
        <v>36420</v>
      </c>
      <c r="E122" t="s">
        <v>669</v>
      </c>
      <c r="F122" t="s">
        <v>118</v>
      </c>
      <c r="G122" t="s">
        <v>670</v>
      </c>
      <c r="H122" t="s">
        <v>670</v>
      </c>
      <c r="I122">
        <v>1.2745137100701045</v>
      </c>
    </row>
    <row r="123" spans="1:9" x14ac:dyDescent="0.25">
      <c r="A123" t="s">
        <v>27</v>
      </c>
      <c r="B123" t="s">
        <v>2</v>
      </c>
      <c r="C123" t="s">
        <v>27</v>
      </c>
      <c r="D123">
        <v>36420</v>
      </c>
      <c r="E123" t="s">
        <v>671</v>
      </c>
      <c r="F123" t="s">
        <v>116</v>
      </c>
      <c r="G123" t="s">
        <v>670</v>
      </c>
      <c r="H123" t="s">
        <v>670</v>
      </c>
      <c r="I123">
        <v>0.50488371159228296</v>
      </c>
    </row>
    <row r="124" spans="1:9" x14ac:dyDescent="0.25">
      <c r="A124" t="s">
        <v>27</v>
      </c>
      <c r="B124" t="s">
        <v>2</v>
      </c>
      <c r="C124" t="s">
        <v>27</v>
      </c>
      <c r="D124">
        <v>36420</v>
      </c>
      <c r="E124" t="s">
        <v>672</v>
      </c>
      <c r="F124" t="s">
        <v>3</v>
      </c>
      <c r="G124" t="s">
        <v>670</v>
      </c>
      <c r="H124" t="s">
        <v>670</v>
      </c>
      <c r="I124">
        <v>1.232</v>
      </c>
    </row>
    <row r="125" spans="1:9" x14ac:dyDescent="0.25">
      <c r="A125" t="s">
        <v>27</v>
      </c>
      <c r="B125" t="s">
        <v>2</v>
      </c>
      <c r="C125" t="s">
        <v>27</v>
      </c>
      <c r="D125">
        <v>36420</v>
      </c>
      <c r="E125" t="s">
        <v>672</v>
      </c>
      <c r="F125" t="s">
        <v>113</v>
      </c>
      <c r="G125" t="s">
        <v>670</v>
      </c>
      <c r="H125" t="s">
        <v>670</v>
      </c>
      <c r="I125">
        <v>1.244</v>
      </c>
    </row>
    <row r="126" spans="1:9" x14ac:dyDescent="0.25">
      <c r="A126" t="s">
        <v>491</v>
      </c>
      <c r="B126" t="s">
        <v>2</v>
      </c>
      <c r="C126" t="s">
        <v>491</v>
      </c>
      <c r="D126">
        <v>36540</v>
      </c>
      <c r="E126" t="s">
        <v>669</v>
      </c>
      <c r="F126" t="s">
        <v>118</v>
      </c>
      <c r="G126" t="s">
        <v>670</v>
      </c>
      <c r="H126" t="s">
        <v>670</v>
      </c>
      <c r="I126">
        <v>1.3838733140204391</v>
      </c>
    </row>
    <row r="127" spans="1:9" x14ac:dyDescent="0.25">
      <c r="A127" t="s">
        <v>491</v>
      </c>
      <c r="B127" t="s">
        <v>2</v>
      </c>
      <c r="C127" t="s">
        <v>491</v>
      </c>
      <c r="D127">
        <v>36540</v>
      </c>
      <c r="E127" t="s">
        <v>671</v>
      </c>
      <c r="F127" t="s">
        <v>116</v>
      </c>
      <c r="G127" t="s">
        <v>670</v>
      </c>
      <c r="H127" t="s">
        <v>670</v>
      </c>
      <c r="I127">
        <v>0.56629044584631705</v>
      </c>
    </row>
    <row r="128" spans="1:9" x14ac:dyDescent="0.25">
      <c r="A128" t="s">
        <v>491</v>
      </c>
      <c r="B128" t="s">
        <v>2</v>
      </c>
      <c r="C128" t="s">
        <v>491</v>
      </c>
      <c r="D128">
        <v>36540</v>
      </c>
      <c r="E128" t="s">
        <v>672</v>
      </c>
      <c r="F128" t="s">
        <v>3</v>
      </c>
      <c r="G128" t="s">
        <v>670</v>
      </c>
      <c r="H128" t="s">
        <v>670</v>
      </c>
      <c r="I128">
        <v>1.431</v>
      </c>
    </row>
    <row r="129" spans="1:9" x14ac:dyDescent="0.25">
      <c r="A129" t="s">
        <v>491</v>
      </c>
      <c r="B129" t="s">
        <v>2</v>
      </c>
      <c r="C129" t="s">
        <v>491</v>
      </c>
      <c r="D129">
        <v>36540</v>
      </c>
      <c r="E129" t="s">
        <v>672</v>
      </c>
      <c r="F129" t="s">
        <v>113</v>
      </c>
      <c r="G129" t="s">
        <v>670</v>
      </c>
      <c r="H129" t="s">
        <v>670</v>
      </c>
      <c r="I129">
        <v>1.4450000000000001</v>
      </c>
    </row>
    <row r="130" spans="1:9" x14ac:dyDescent="0.25">
      <c r="A130" t="s">
        <v>26</v>
      </c>
      <c r="B130" t="s">
        <v>2</v>
      </c>
      <c r="C130" t="s">
        <v>26</v>
      </c>
      <c r="D130">
        <v>36740</v>
      </c>
      <c r="E130" t="s">
        <v>669</v>
      </c>
      <c r="F130" t="s">
        <v>118</v>
      </c>
      <c r="G130" t="s">
        <v>670</v>
      </c>
      <c r="H130" t="s">
        <v>670</v>
      </c>
      <c r="I130">
        <v>1.8090215767431863</v>
      </c>
    </row>
    <row r="131" spans="1:9" x14ac:dyDescent="0.25">
      <c r="A131" t="s">
        <v>26</v>
      </c>
      <c r="B131" t="s">
        <v>2</v>
      </c>
      <c r="C131" t="s">
        <v>26</v>
      </c>
      <c r="D131">
        <v>36740</v>
      </c>
      <c r="E131" t="s">
        <v>671</v>
      </c>
      <c r="F131" t="s">
        <v>116</v>
      </c>
      <c r="G131" t="s">
        <v>670</v>
      </c>
      <c r="H131" t="s">
        <v>670</v>
      </c>
      <c r="I131">
        <v>0.55149013272423364</v>
      </c>
    </row>
    <row r="132" spans="1:9" x14ac:dyDescent="0.25">
      <c r="A132" t="s">
        <v>26</v>
      </c>
      <c r="B132" t="s">
        <v>2</v>
      </c>
      <c r="C132" t="s">
        <v>26</v>
      </c>
      <c r="D132">
        <v>36740</v>
      </c>
      <c r="E132" t="s">
        <v>672</v>
      </c>
      <c r="F132" t="s">
        <v>3</v>
      </c>
      <c r="G132" t="s">
        <v>670</v>
      </c>
      <c r="H132" t="s">
        <v>670</v>
      </c>
      <c r="I132">
        <v>1.776</v>
      </c>
    </row>
    <row r="133" spans="1:9" x14ac:dyDescent="0.25">
      <c r="A133" t="s">
        <v>26</v>
      </c>
      <c r="B133" t="s">
        <v>2</v>
      </c>
      <c r="C133" t="s">
        <v>26</v>
      </c>
      <c r="D133">
        <v>36740</v>
      </c>
      <c r="E133" t="s">
        <v>672</v>
      </c>
      <c r="F133" t="s">
        <v>113</v>
      </c>
      <c r="G133" t="s">
        <v>670</v>
      </c>
      <c r="H133" t="s">
        <v>670</v>
      </c>
      <c r="I133">
        <v>1.819</v>
      </c>
    </row>
    <row r="134" spans="1:9" x14ac:dyDescent="0.25">
      <c r="A134" t="s">
        <v>501</v>
      </c>
      <c r="B134" t="s">
        <v>2</v>
      </c>
      <c r="C134" t="s">
        <v>501</v>
      </c>
      <c r="D134">
        <v>37340</v>
      </c>
      <c r="E134" t="s">
        <v>669</v>
      </c>
      <c r="F134" t="s">
        <v>118</v>
      </c>
      <c r="G134" t="s">
        <v>670</v>
      </c>
      <c r="H134" t="s">
        <v>670</v>
      </c>
      <c r="I134">
        <v>1.6683239662896789</v>
      </c>
    </row>
    <row r="135" spans="1:9" x14ac:dyDescent="0.25">
      <c r="A135" t="s">
        <v>501</v>
      </c>
      <c r="B135" t="s">
        <v>2</v>
      </c>
      <c r="C135" t="s">
        <v>501</v>
      </c>
      <c r="D135">
        <v>37340</v>
      </c>
      <c r="E135" t="s">
        <v>671</v>
      </c>
      <c r="F135" t="s">
        <v>116</v>
      </c>
      <c r="G135" t="s">
        <v>670</v>
      </c>
      <c r="H135" t="s">
        <v>670</v>
      </c>
      <c r="I135">
        <v>0.52387586685005838</v>
      </c>
    </row>
    <row r="136" spans="1:9" x14ac:dyDescent="0.25">
      <c r="A136" t="s">
        <v>501</v>
      </c>
      <c r="B136" t="s">
        <v>2</v>
      </c>
      <c r="C136" t="s">
        <v>501</v>
      </c>
      <c r="D136">
        <v>37340</v>
      </c>
      <c r="E136" t="s">
        <v>672</v>
      </c>
      <c r="F136" t="s">
        <v>3</v>
      </c>
      <c r="G136" t="s">
        <v>670</v>
      </c>
      <c r="H136" t="s">
        <v>670</v>
      </c>
      <c r="I136">
        <v>1.6120000000000001</v>
      </c>
    </row>
    <row r="137" spans="1:9" x14ac:dyDescent="0.25">
      <c r="A137" t="s">
        <v>501</v>
      </c>
      <c r="B137" t="s">
        <v>2</v>
      </c>
      <c r="C137" t="s">
        <v>501</v>
      </c>
      <c r="D137">
        <v>37340</v>
      </c>
      <c r="E137" t="s">
        <v>672</v>
      </c>
      <c r="F137" t="s">
        <v>113</v>
      </c>
      <c r="G137" t="s">
        <v>670</v>
      </c>
      <c r="H137" t="s">
        <v>670</v>
      </c>
      <c r="I137">
        <v>1.66</v>
      </c>
    </row>
    <row r="138" spans="1:9" x14ac:dyDescent="0.25">
      <c r="A138" t="s">
        <v>31</v>
      </c>
      <c r="B138" t="s">
        <v>2</v>
      </c>
      <c r="C138" t="s">
        <v>31</v>
      </c>
      <c r="D138">
        <v>38060</v>
      </c>
      <c r="E138" t="s">
        <v>669</v>
      </c>
      <c r="F138" t="s">
        <v>118</v>
      </c>
      <c r="G138" t="s">
        <v>670</v>
      </c>
      <c r="H138" t="s">
        <v>670</v>
      </c>
      <c r="I138">
        <v>1.7390571196919486</v>
      </c>
    </row>
    <row r="139" spans="1:9" x14ac:dyDescent="0.25">
      <c r="A139" t="s">
        <v>31</v>
      </c>
      <c r="B139" t="s">
        <v>2</v>
      </c>
      <c r="C139" t="s">
        <v>31</v>
      </c>
      <c r="D139">
        <v>38060</v>
      </c>
      <c r="E139" t="s">
        <v>671</v>
      </c>
      <c r="F139" t="s">
        <v>116</v>
      </c>
      <c r="G139" t="s">
        <v>670</v>
      </c>
      <c r="H139" t="s">
        <v>670</v>
      </c>
      <c r="I139">
        <v>0.62319670729192034</v>
      </c>
    </row>
    <row r="140" spans="1:9" x14ac:dyDescent="0.25">
      <c r="A140" t="s">
        <v>31</v>
      </c>
      <c r="B140" t="s">
        <v>2</v>
      </c>
      <c r="C140" t="s">
        <v>31</v>
      </c>
      <c r="D140">
        <v>38060</v>
      </c>
      <c r="E140" t="s">
        <v>672</v>
      </c>
      <c r="F140" t="s">
        <v>3</v>
      </c>
      <c r="G140" t="s">
        <v>670</v>
      </c>
      <c r="H140" t="s">
        <v>670</v>
      </c>
      <c r="I140">
        <v>1.677</v>
      </c>
    </row>
    <row r="141" spans="1:9" x14ac:dyDescent="0.25">
      <c r="A141" t="s">
        <v>31</v>
      </c>
      <c r="B141" t="s">
        <v>2</v>
      </c>
      <c r="C141" t="s">
        <v>31</v>
      </c>
      <c r="D141">
        <v>38060</v>
      </c>
      <c r="E141" t="s">
        <v>672</v>
      </c>
      <c r="F141" t="s">
        <v>113</v>
      </c>
      <c r="G141" t="s">
        <v>670</v>
      </c>
      <c r="H141" t="s">
        <v>670</v>
      </c>
      <c r="I141">
        <v>1.742</v>
      </c>
    </row>
    <row r="142" spans="1:9" x14ac:dyDescent="0.25">
      <c r="A142" t="s">
        <v>33</v>
      </c>
      <c r="B142" t="s">
        <v>2</v>
      </c>
      <c r="C142" t="s">
        <v>33</v>
      </c>
      <c r="D142">
        <v>239580</v>
      </c>
      <c r="E142" t="s">
        <v>669</v>
      </c>
      <c r="F142" t="s">
        <v>118</v>
      </c>
      <c r="G142" t="s">
        <v>670</v>
      </c>
      <c r="H142" t="s">
        <v>670</v>
      </c>
      <c r="I142">
        <v>1.571069981827687</v>
      </c>
    </row>
    <row r="143" spans="1:9" x14ac:dyDescent="0.25">
      <c r="A143" t="s">
        <v>33</v>
      </c>
      <c r="B143" t="s">
        <v>2</v>
      </c>
      <c r="C143" t="s">
        <v>33</v>
      </c>
      <c r="D143">
        <v>239580</v>
      </c>
      <c r="E143" t="s">
        <v>671</v>
      </c>
      <c r="F143" t="s">
        <v>116</v>
      </c>
      <c r="G143" t="s">
        <v>670</v>
      </c>
      <c r="H143" t="s">
        <v>670</v>
      </c>
      <c r="I143">
        <v>0.57885314327856685</v>
      </c>
    </row>
    <row r="144" spans="1:9" x14ac:dyDescent="0.25">
      <c r="A144" t="s">
        <v>33</v>
      </c>
      <c r="B144" t="s">
        <v>2</v>
      </c>
      <c r="C144" t="s">
        <v>33</v>
      </c>
      <c r="D144">
        <v>239580</v>
      </c>
      <c r="E144" t="s">
        <v>672</v>
      </c>
      <c r="F144" t="s">
        <v>3</v>
      </c>
      <c r="G144" t="s">
        <v>670</v>
      </c>
      <c r="H144" t="s">
        <v>670</v>
      </c>
      <c r="I144">
        <v>1.526</v>
      </c>
    </row>
    <row r="145" spans="1:9" x14ac:dyDescent="0.25">
      <c r="A145" t="s">
        <v>33</v>
      </c>
      <c r="B145" t="s">
        <v>2</v>
      </c>
      <c r="C145" t="s">
        <v>33</v>
      </c>
      <c r="D145">
        <v>239580</v>
      </c>
      <c r="E145" t="s">
        <v>672</v>
      </c>
      <c r="F145" t="s">
        <v>113</v>
      </c>
      <c r="G145" t="s">
        <v>670</v>
      </c>
      <c r="H145" t="s">
        <v>670</v>
      </c>
      <c r="I145">
        <v>1.571</v>
      </c>
    </row>
    <row r="146" spans="1:9" x14ac:dyDescent="0.25">
      <c r="A146" t="s">
        <v>8</v>
      </c>
      <c r="B146" t="s">
        <v>2</v>
      </c>
      <c r="C146" t="s">
        <v>8</v>
      </c>
      <c r="D146">
        <v>39900</v>
      </c>
      <c r="E146" t="s">
        <v>669</v>
      </c>
      <c r="F146" t="s">
        <v>118</v>
      </c>
      <c r="G146" t="s">
        <v>670</v>
      </c>
      <c r="H146" t="s">
        <v>670</v>
      </c>
      <c r="I146">
        <v>1.8198141363442277</v>
      </c>
    </row>
    <row r="147" spans="1:9" x14ac:dyDescent="0.25">
      <c r="A147" t="s">
        <v>8</v>
      </c>
      <c r="B147" t="s">
        <v>2</v>
      </c>
      <c r="C147" t="s">
        <v>8</v>
      </c>
      <c r="D147">
        <v>39900</v>
      </c>
      <c r="E147" t="s">
        <v>671</v>
      </c>
      <c r="F147" t="s">
        <v>116</v>
      </c>
      <c r="G147" t="s">
        <v>670</v>
      </c>
      <c r="H147" t="s">
        <v>670</v>
      </c>
      <c r="I147">
        <v>0.6043235327800911</v>
      </c>
    </row>
    <row r="148" spans="1:9" x14ac:dyDescent="0.25">
      <c r="A148" t="s">
        <v>8</v>
      </c>
      <c r="B148" t="s">
        <v>2</v>
      </c>
      <c r="C148" t="s">
        <v>8</v>
      </c>
      <c r="D148">
        <v>39900</v>
      </c>
      <c r="E148" t="s">
        <v>672</v>
      </c>
      <c r="F148" t="s">
        <v>3</v>
      </c>
      <c r="G148" t="s">
        <v>670</v>
      </c>
      <c r="H148" t="s">
        <v>670</v>
      </c>
      <c r="I148">
        <v>2.008</v>
      </c>
    </row>
    <row r="149" spans="1:9" x14ac:dyDescent="0.25">
      <c r="A149" t="s">
        <v>8</v>
      </c>
      <c r="B149" t="s">
        <v>2</v>
      </c>
      <c r="C149" t="s">
        <v>8</v>
      </c>
      <c r="D149">
        <v>39900</v>
      </c>
      <c r="E149" t="s">
        <v>672</v>
      </c>
      <c r="F149" t="s">
        <v>113</v>
      </c>
      <c r="G149" t="s">
        <v>670</v>
      </c>
      <c r="H149" t="s">
        <v>670</v>
      </c>
      <c r="I149">
        <v>2.0249999999999999</v>
      </c>
    </row>
    <row r="150" spans="1:9" x14ac:dyDescent="0.25">
      <c r="A150" t="s">
        <v>9</v>
      </c>
      <c r="B150" t="s">
        <v>2</v>
      </c>
      <c r="C150" t="s">
        <v>9</v>
      </c>
      <c r="D150">
        <v>40060</v>
      </c>
      <c r="E150" t="s">
        <v>669</v>
      </c>
      <c r="F150" t="s">
        <v>118</v>
      </c>
      <c r="G150" t="s">
        <v>670</v>
      </c>
      <c r="H150" t="s">
        <v>670</v>
      </c>
      <c r="I150">
        <v>1.717355315409886</v>
      </c>
    </row>
    <row r="151" spans="1:9" x14ac:dyDescent="0.25">
      <c r="A151" t="s">
        <v>9</v>
      </c>
      <c r="B151" t="s">
        <v>2</v>
      </c>
      <c r="C151" t="s">
        <v>9</v>
      </c>
      <c r="D151">
        <v>40060</v>
      </c>
      <c r="E151" t="s">
        <v>671</v>
      </c>
      <c r="F151" t="s">
        <v>116</v>
      </c>
      <c r="G151" t="s">
        <v>670</v>
      </c>
      <c r="H151" t="s">
        <v>670</v>
      </c>
      <c r="I151">
        <v>0.53845935262977174</v>
      </c>
    </row>
    <row r="152" spans="1:9" x14ac:dyDescent="0.25">
      <c r="A152" t="s">
        <v>9</v>
      </c>
      <c r="B152" t="s">
        <v>2</v>
      </c>
      <c r="C152" t="s">
        <v>9</v>
      </c>
      <c r="D152">
        <v>40060</v>
      </c>
      <c r="E152" t="s">
        <v>672</v>
      </c>
      <c r="F152" t="s">
        <v>3</v>
      </c>
      <c r="G152" t="s">
        <v>670</v>
      </c>
      <c r="H152" t="s">
        <v>670</v>
      </c>
      <c r="I152">
        <v>1.7929999999999999</v>
      </c>
    </row>
    <row r="153" spans="1:9" x14ac:dyDescent="0.25">
      <c r="A153" t="s">
        <v>9</v>
      </c>
      <c r="B153" t="s">
        <v>2</v>
      </c>
      <c r="C153" t="s">
        <v>9</v>
      </c>
      <c r="D153">
        <v>40060</v>
      </c>
      <c r="E153" t="s">
        <v>672</v>
      </c>
      <c r="F153" t="s">
        <v>113</v>
      </c>
      <c r="G153" t="s">
        <v>670</v>
      </c>
      <c r="H153" t="s">
        <v>670</v>
      </c>
      <c r="I153">
        <v>1.8120000000000001</v>
      </c>
    </row>
    <row r="154" spans="1:9" x14ac:dyDescent="0.25">
      <c r="A154" t="s">
        <v>10</v>
      </c>
      <c r="B154" t="s">
        <v>2</v>
      </c>
      <c r="C154" t="s">
        <v>10</v>
      </c>
      <c r="D154">
        <v>341620</v>
      </c>
      <c r="E154" t="s">
        <v>669</v>
      </c>
      <c r="F154" t="s">
        <v>118</v>
      </c>
      <c r="G154" t="s">
        <v>670</v>
      </c>
      <c r="H154" t="s">
        <v>670</v>
      </c>
      <c r="I154">
        <v>1.5784583919878479</v>
      </c>
    </row>
    <row r="155" spans="1:9" x14ac:dyDescent="0.25">
      <c r="A155" t="s">
        <v>10</v>
      </c>
      <c r="B155" t="s">
        <v>2</v>
      </c>
      <c r="C155" t="s">
        <v>10</v>
      </c>
      <c r="D155">
        <v>341620</v>
      </c>
      <c r="E155" t="s">
        <v>671</v>
      </c>
      <c r="F155" t="s">
        <v>116</v>
      </c>
      <c r="G155" t="s">
        <v>670</v>
      </c>
      <c r="H155" t="s">
        <v>670</v>
      </c>
      <c r="I155">
        <v>0.63014337886647998</v>
      </c>
    </row>
    <row r="156" spans="1:9" x14ac:dyDescent="0.25">
      <c r="A156" t="s">
        <v>10</v>
      </c>
      <c r="B156" t="s">
        <v>2</v>
      </c>
      <c r="C156" t="s">
        <v>10</v>
      </c>
      <c r="D156">
        <v>341620</v>
      </c>
      <c r="E156" t="s">
        <v>672</v>
      </c>
      <c r="F156" t="s">
        <v>3</v>
      </c>
      <c r="G156" t="s">
        <v>670</v>
      </c>
      <c r="H156" t="s">
        <v>670</v>
      </c>
      <c r="I156">
        <v>1.6950000000000001</v>
      </c>
    </row>
    <row r="157" spans="1:9" x14ac:dyDescent="0.25">
      <c r="A157" t="s">
        <v>10</v>
      </c>
      <c r="B157" t="s">
        <v>2</v>
      </c>
      <c r="C157" t="s">
        <v>10</v>
      </c>
      <c r="D157">
        <v>341620</v>
      </c>
      <c r="E157" t="s">
        <v>672</v>
      </c>
      <c r="F157" t="s">
        <v>113</v>
      </c>
      <c r="G157" t="s">
        <v>670</v>
      </c>
      <c r="H157" t="s">
        <v>670</v>
      </c>
      <c r="I157">
        <v>1.744</v>
      </c>
    </row>
    <row r="158" spans="1:9" x14ac:dyDescent="0.25">
      <c r="A158" t="s">
        <v>40</v>
      </c>
      <c r="B158" t="s">
        <v>2</v>
      </c>
      <c r="C158" t="s">
        <v>40</v>
      </c>
      <c r="D158">
        <v>41700</v>
      </c>
      <c r="E158" t="s">
        <v>669</v>
      </c>
      <c r="F158" t="s">
        <v>118</v>
      </c>
      <c r="G158" t="s">
        <v>670</v>
      </c>
      <c r="H158" t="s">
        <v>670</v>
      </c>
      <c r="I158">
        <v>1.4270591176438441</v>
      </c>
    </row>
    <row r="159" spans="1:9" x14ac:dyDescent="0.25">
      <c r="A159" t="s">
        <v>40</v>
      </c>
      <c r="B159" t="s">
        <v>2</v>
      </c>
      <c r="C159" t="s">
        <v>40</v>
      </c>
      <c r="D159">
        <v>41700</v>
      </c>
      <c r="E159" t="s">
        <v>671</v>
      </c>
      <c r="F159" t="s">
        <v>116</v>
      </c>
      <c r="G159" t="s">
        <v>670</v>
      </c>
      <c r="H159" t="s">
        <v>670</v>
      </c>
      <c r="I159">
        <v>0.45345366045422547</v>
      </c>
    </row>
    <row r="160" spans="1:9" x14ac:dyDescent="0.25">
      <c r="A160" t="s">
        <v>40</v>
      </c>
      <c r="B160" t="s">
        <v>2</v>
      </c>
      <c r="C160" t="s">
        <v>40</v>
      </c>
      <c r="D160">
        <v>41700</v>
      </c>
      <c r="E160" t="s">
        <v>672</v>
      </c>
      <c r="F160" t="s">
        <v>3</v>
      </c>
      <c r="G160" t="s">
        <v>670</v>
      </c>
      <c r="H160" t="s">
        <v>670</v>
      </c>
      <c r="I160">
        <v>1.325</v>
      </c>
    </row>
    <row r="161" spans="1:9" x14ac:dyDescent="0.25">
      <c r="A161" t="s">
        <v>40</v>
      </c>
      <c r="B161" t="s">
        <v>2</v>
      </c>
      <c r="C161" t="s">
        <v>40</v>
      </c>
      <c r="D161">
        <v>41700</v>
      </c>
      <c r="E161" t="s">
        <v>672</v>
      </c>
      <c r="F161" t="s">
        <v>113</v>
      </c>
      <c r="G161" t="s">
        <v>670</v>
      </c>
      <c r="H161" t="s">
        <v>670</v>
      </c>
      <c r="I161">
        <v>1.387</v>
      </c>
    </row>
    <row r="162" spans="1:9" x14ac:dyDescent="0.25">
      <c r="A162" t="s">
        <v>557</v>
      </c>
      <c r="B162" t="s">
        <v>2</v>
      </c>
      <c r="C162" t="s">
        <v>557</v>
      </c>
      <c r="D162">
        <v>42340</v>
      </c>
      <c r="E162" t="s">
        <v>669</v>
      </c>
      <c r="F162" t="s">
        <v>118</v>
      </c>
      <c r="G162" t="s">
        <v>670</v>
      </c>
      <c r="H162" t="s">
        <v>670</v>
      </c>
      <c r="I162">
        <v>1.4967522046143567</v>
      </c>
    </row>
    <row r="163" spans="1:9" x14ac:dyDescent="0.25">
      <c r="A163" t="s">
        <v>557</v>
      </c>
      <c r="B163" t="s">
        <v>2</v>
      </c>
      <c r="C163" t="s">
        <v>557</v>
      </c>
      <c r="D163">
        <v>42340</v>
      </c>
      <c r="E163" t="s">
        <v>671</v>
      </c>
      <c r="F163" t="s">
        <v>116</v>
      </c>
      <c r="G163" t="s">
        <v>670</v>
      </c>
      <c r="H163" t="s">
        <v>670</v>
      </c>
      <c r="I163">
        <v>0.51995630347927835</v>
      </c>
    </row>
    <row r="164" spans="1:9" x14ac:dyDescent="0.25">
      <c r="A164" t="s">
        <v>557</v>
      </c>
      <c r="B164" t="s">
        <v>2</v>
      </c>
      <c r="C164" t="s">
        <v>557</v>
      </c>
      <c r="D164">
        <v>42340</v>
      </c>
      <c r="E164" t="s">
        <v>672</v>
      </c>
      <c r="F164" t="s">
        <v>3</v>
      </c>
      <c r="G164" t="s">
        <v>670</v>
      </c>
      <c r="H164" t="s">
        <v>670</v>
      </c>
      <c r="I164">
        <v>1.538</v>
      </c>
    </row>
    <row r="165" spans="1:9" x14ac:dyDescent="0.25">
      <c r="A165" t="s">
        <v>557</v>
      </c>
      <c r="B165" t="s">
        <v>2</v>
      </c>
      <c r="C165" t="s">
        <v>557</v>
      </c>
      <c r="D165">
        <v>42340</v>
      </c>
      <c r="E165" t="s">
        <v>672</v>
      </c>
      <c r="F165" t="s">
        <v>113</v>
      </c>
      <c r="G165" t="s">
        <v>670</v>
      </c>
      <c r="H165" t="s">
        <v>670</v>
      </c>
      <c r="I165">
        <v>1.593</v>
      </c>
    </row>
    <row r="166" spans="1:9" x14ac:dyDescent="0.25">
      <c r="A166" t="s">
        <v>590</v>
      </c>
      <c r="B166" t="s">
        <v>2</v>
      </c>
      <c r="C166" t="s">
        <v>590</v>
      </c>
      <c r="D166">
        <v>41180</v>
      </c>
      <c r="E166" t="s">
        <v>669</v>
      </c>
      <c r="F166" t="s">
        <v>118</v>
      </c>
      <c r="G166" t="s">
        <v>670</v>
      </c>
      <c r="H166" t="s">
        <v>670</v>
      </c>
      <c r="I166">
        <v>1.5535560810365419</v>
      </c>
    </row>
    <row r="167" spans="1:9" x14ac:dyDescent="0.25">
      <c r="A167" t="s">
        <v>590</v>
      </c>
      <c r="B167" t="s">
        <v>2</v>
      </c>
      <c r="C167" t="s">
        <v>590</v>
      </c>
      <c r="D167">
        <v>41180</v>
      </c>
      <c r="E167" t="s">
        <v>671</v>
      </c>
      <c r="F167" t="s">
        <v>116</v>
      </c>
      <c r="G167" t="s">
        <v>670</v>
      </c>
      <c r="H167" t="s">
        <v>670</v>
      </c>
      <c r="I167">
        <v>0.56012590914738491</v>
      </c>
    </row>
    <row r="168" spans="1:9" x14ac:dyDescent="0.25">
      <c r="A168" t="s">
        <v>590</v>
      </c>
      <c r="B168" t="s">
        <v>2</v>
      </c>
      <c r="C168" t="s">
        <v>590</v>
      </c>
      <c r="D168">
        <v>41180</v>
      </c>
      <c r="E168" t="s">
        <v>672</v>
      </c>
      <c r="F168" t="s">
        <v>3</v>
      </c>
      <c r="G168" t="s">
        <v>670</v>
      </c>
      <c r="H168" t="s">
        <v>670</v>
      </c>
      <c r="I168">
        <v>1.5589999999999999</v>
      </c>
    </row>
    <row r="169" spans="1:9" x14ac:dyDescent="0.25">
      <c r="A169" t="s">
        <v>590</v>
      </c>
      <c r="B169" t="s">
        <v>2</v>
      </c>
      <c r="C169" t="s">
        <v>590</v>
      </c>
      <c r="D169">
        <v>41180</v>
      </c>
      <c r="E169" t="s">
        <v>672</v>
      </c>
      <c r="F169" t="s">
        <v>113</v>
      </c>
      <c r="G169" t="s">
        <v>670</v>
      </c>
      <c r="H169" t="s">
        <v>670</v>
      </c>
      <c r="I169">
        <v>1.573</v>
      </c>
    </row>
    <row r="170" spans="1:9" x14ac:dyDescent="0.25">
      <c r="A170" t="s">
        <v>34</v>
      </c>
      <c r="B170" t="s">
        <v>2</v>
      </c>
      <c r="C170" t="s">
        <v>34</v>
      </c>
      <c r="D170">
        <v>45300</v>
      </c>
      <c r="E170" t="s">
        <v>669</v>
      </c>
      <c r="F170" t="s">
        <v>118</v>
      </c>
      <c r="G170" t="s">
        <v>670</v>
      </c>
      <c r="H170" t="s">
        <v>670</v>
      </c>
      <c r="I170">
        <v>1.9930989111160167</v>
      </c>
    </row>
    <row r="171" spans="1:9" x14ac:dyDescent="0.25">
      <c r="A171" t="s">
        <v>34</v>
      </c>
      <c r="B171" t="s">
        <v>2</v>
      </c>
      <c r="C171" t="s">
        <v>34</v>
      </c>
      <c r="D171">
        <v>45300</v>
      </c>
      <c r="E171" t="s">
        <v>671</v>
      </c>
      <c r="F171" t="s">
        <v>116</v>
      </c>
      <c r="G171" t="s">
        <v>670</v>
      </c>
      <c r="H171" t="s">
        <v>670</v>
      </c>
      <c r="I171">
        <v>0.54661576963299763</v>
      </c>
    </row>
    <row r="172" spans="1:9" x14ac:dyDescent="0.25">
      <c r="A172" t="s">
        <v>34</v>
      </c>
      <c r="B172" t="s">
        <v>2</v>
      </c>
      <c r="C172" t="s">
        <v>34</v>
      </c>
      <c r="D172">
        <v>45300</v>
      </c>
      <c r="E172" t="s">
        <v>672</v>
      </c>
      <c r="F172" t="s">
        <v>3</v>
      </c>
      <c r="G172" t="s">
        <v>670</v>
      </c>
      <c r="H172" t="s">
        <v>670</v>
      </c>
      <c r="I172">
        <v>1.8740000000000001</v>
      </c>
    </row>
    <row r="173" spans="1:9" x14ac:dyDescent="0.25">
      <c r="A173" t="s">
        <v>34</v>
      </c>
      <c r="B173" t="s">
        <v>2</v>
      </c>
      <c r="C173" t="s">
        <v>34</v>
      </c>
      <c r="D173">
        <v>45300</v>
      </c>
      <c r="E173" t="s">
        <v>672</v>
      </c>
      <c r="F173" t="s">
        <v>113</v>
      </c>
      <c r="G173" t="s">
        <v>670</v>
      </c>
      <c r="H173" t="s">
        <v>670</v>
      </c>
      <c r="I173">
        <v>1.931</v>
      </c>
    </row>
    <row r="174" spans="1:9" x14ac:dyDescent="0.25">
      <c r="A174" t="s">
        <v>20</v>
      </c>
      <c r="B174" t="s">
        <v>2</v>
      </c>
      <c r="C174" t="s">
        <v>20</v>
      </c>
      <c r="D174">
        <v>46060</v>
      </c>
      <c r="E174" t="s">
        <v>669</v>
      </c>
      <c r="F174" t="s">
        <v>118</v>
      </c>
      <c r="G174" t="s">
        <v>670</v>
      </c>
      <c r="H174" t="s">
        <v>670</v>
      </c>
      <c r="I174">
        <v>1.4713143786635492</v>
      </c>
    </row>
    <row r="175" spans="1:9" x14ac:dyDescent="0.25">
      <c r="A175" t="s">
        <v>20</v>
      </c>
      <c r="B175" t="s">
        <v>2</v>
      </c>
      <c r="C175" t="s">
        <v>20</v>
      </c>
      <c r="D175">
        <v>46060</v>
      </c>
      <c r="E175" t="s">
        <v>671</v>
      </c>
      <c r="F175" t="s">
        <v>116</v>
      </c>
      <c r="G175" t="s">
        <v>670</v>
      </c>
      <c r="H175" t="s">
        <v>670</v>
      </c>
      <c r="I175">
        <v>0.60771213103491695</v>
      </c>
    </row>
    <row r="176" spans="1:9" x14ac:dyDescent="0.25">
      <c r="A176" t="s">
        <v>20</v>
      </c>
      <c r="B176" t="s">
        <v>2</v>
      </c>
      <c r="C176" t="s">
        <v>20</v>
      </c>
      <c r="D176">
        <v>46060</v>
      </c>
      <c r="E176" t="s">
        <v>672</v>
      </c>
      <c r="F176" t="s">
        <v>3</v>
      </c>
      <c r="G176" t="s">
        <v>670</v>
      </c>
      <c r="H176" t="s">
        <v>670</v>
      </c>
      <c r="I176">
        <v>1.474</v>
      </c>
    </row>
    <row r="177" spans="1:9" x14ac:dyDescent="0.25">
      <c r="A177" t="s">
        <v>20</v>
      </c>
      <c r="B177" t="s">
        <v>2</v>
      </c>
      <c r="C177" t="s">
        <v>20</v>
      </c>
      <c r="D177">
        <v>46060</v>
      </c>
      <c r="E177" t="s">
        <v>672</v>
      </c>
      <c r="F177" t="s">
        <v>113</v>
      </c>
      <c r="G177" t="s">
        <v>670</v>
      </c>
      <c r="H177" t="s">
        <v>670</v>
      </c>
      <c r="I177">
        <v>1.506</v>
      </c>
    </row>
    <row r="178" spans="1:9" x14ac:dyDescent="0.25">
      <c r="A178" t="s">
        <v>24</v>
      </c>
      <c r="B178" t="s">
        <v>2</v>
      </c>
      <c r="C178" t="s">
        <v>24</v>
      </c>
      <c r="D178">
        <v>46140</v>
      </c>
      <c r="E178" t="s">
        <v>669</v>
      </c>
      <c r="F178" t="s">
        <v>118</v>
      </c>
      <c r="G178" t="s">
        <v>670</v>
      </c>
      <c r="H178" t="s">
        <v>670</v>
      </c>
      <c r="I178">
        <v>1.3135569037681638</v>
      </c>
    </row>
    <row r="179" spans="1:9" x14ac:dyDescent="0.25">
      <c r="A179" t="s">
        <v>24</v>
      </c>
      <c r="B179" t="s">
        <v>2</v>
      </c>
      <c r="C179" t="s">
        <v>24</v>
      </c>
      <c r="D179">
        <v>46140</v>
      </c>
      <c r="E179" t="s">
        <v>671</v>
      </c>
      <c r="F179" t="s">
        <v>116</v>
      </c>
      <c r="G179" t="s">
        <v>670</v>
      </c>
      <c r="H179" t="s">
        <v>670</v>
      </c>
      <c r="I179">
        <v>0.49856046001693144</v>
      </c>
    </row>
    <row r="180" spans="1:9" x14ac:dyDescent="0.25">
      <c r="A180" t="s">
        <v>24</v>
      </c>
      <c r="B180" t="s">
        <v>2</v>
      </c>
      <c r="C180" t="s">
        <v>24</v>
      </c>
      <c r="D180">
        <v>46140</v>
      </c>
      <c r="E180" t="s">
        <v>672</v>
      </c>
      <c r="F180" t="s">
        <v>3</v>
      </c>
      <c r="G180" t="s">
        <v>670</v>
      </c>
      <c r="H180" t="s">
        <v>670</v>
      </c>
      <c r="I180">
        <v>1.2350000000000001</v>
      </c>
    </row>
    <row r="181" spans="1:9" x14ac:dyDescent="0.25">
      <c r="A181" t="s">
        <v>24</v>
      </c>
      <c r="B181" t="s">
        <v>2</v>
      </c>
      <c r="C181" t="s">
        <v>24</v>
      </c>
      <c r="D181">
        <v>46140</v>
      </c>
      <c r="E181" t="s">
        <v>672</v>
      </c>
      <c r="F181" t="s">
        <v>113</v>
      </c>
      <c r="G181" t="s">
        <v>670</v>
      </c>
      <c r="H181" t="s">
        <v>670</v>
      </c>
      <c r="I181">
        <v>1.2410000000000001</v>
      </c>
    </row>
    <row r="182" spans="1:9" x14ac:dyDescent="0.25">
      <c r="A182" t="s">
        <v>626</v>
      </c>
      <c r="B182" t="s">
        <v>2</v>
      </c>
      <c r="C182" t="s">
        <v>626</v>
      </c>
      <c r="D182">
        <v>47260</v>
      </c>
      <c r="E182" t="s">
        <v>669</v>
      </c>
      <c r="F182" t="s">
        <v>118</v>
      </c>
      <c r="G182" t="s">
        <v>670</v>
      </c>
      <c r="H182" t="s">
        <v>670</v>
      </c>
      <c r="I182">
        <v>1.673675999417469</v>
      </c>
    </row>
    <row r="183" spans="1:9" x14ac:dyDescent="0.25">
      <c r="A183" t="s">
        <v>626</v>
      </c>
      <c r="B183" t="s">
        <v>2</v>
      </c>
      <c r="C183" t="s">
        <v>626</v>
      </c>
      <c r="D183">
        <v>47260</v>
      </c>
      <c r="E183" t="s">
        <v>671</v>
      </c>
      <c r="F183" t="s">
        <v>116</v>
      </c>
      <c r="G183" t="s">
        <v>670</v>
      </c>
      <c r="H183" t="s">
        <v>670</v>
      </c>
      <c r="I183">
        <v>0.57213209908404861</v>
      </c>
    </row>
    <row r="184" spans="1:9" x14ac:dyDescent="0.25">
      <c r="A184" t="s">
        <v>626</v>
      </c>
      <c r="B184" t="s">
        <v>2</v>
      </c>
      <c r="C184" t="s">
        <v>626</v>
      </c>
      <c r="D184">
        <v>47260</v>
      </c>
      <c r="E184" t="s">
        <v>672</v>
      </c>
      <c r="F184" t="s">
        <v>3</v>
      </c>
      <c r="G184" t="s">
        <v>670</v>
      </c>
      <c r="H184" t="s">
        <v>670</v>
      </c>
      <c r="I184">
        <v>1.746</v>
      </c>
    </row>
    <row r="185" spans="1:9" x14ac:dyDescent="0.25">
      <c r="A185" t="s">
        <v>626</v>
      </c>
      <c r="B185" t="s">
        <v>2</v>
      </c>
      <c r="C185" t="s">
        <v>626</v>
      </c>
      <c r="D185">
        <v>47260</v>
      </c>
      <c r="E185" t="s">
        <v>672</v>
      </c>
      <c r="F185" t="s">
        <v>113</v>
      </c>
      <c r="G185" t="s">
        <v>670</v>
      </c>
      <c r="H185" t="s">
        <v>670</v>
      </c>
      <c r="I185">
        <v>1.752</v>
      </c>
    </row>
    <row r="186" spans="1:9" x14ac:dyDescent="0.25">
      <c r="A186" t="s">
        <v>22</v>
      </c>
      <c r="B186" t="s">
        <v>2</v>
      </c>
      <c r="C186" t="s">
        <v>22</v>
      </c>
      <c r="D186">
        <v>47900</v>
      </c>
      <c r="E186" t="s">
        <v>669</v>
      </c>
      <c r="F186" t="s">
        <v>118</v>
      </c>
      <c r="G186" t="s">
        <v>670</v>
      </c>
      <c r="H186" t="s">
        <v>670</v>
      </c>
      <c r="I186">
        <v>2.6010180615907861</v>
      </c>
    </row>
    <row r="187" spans="1:9" x14ac:dyDescent="0.25">
      <c r="A187" t="s">
        <v>22</v>
      </c>
      <c r="B187" t="s">
        <v>2</v>
      </c>
      <c r="C187" t="s">
        <v>22</v>
      </c>
      <c r="D187">
        <v>47900</v>
      </c>
      <c r="E187" t="s">
        <v>671</v>
      </c>
      <c r="F187" t="s">
        <v>116</v>
      </c>
      <c r="G187" t="s">
        <v>670</v>
      </c>
      <c r="H187" t="s">
        <v>670</v>
      </c>
      <c r="I187">
        <v>0.58253992188037373</v>
      </c>
    </row>
    <row r="188" spans="1:9" x14ac:dyDescent="0.25">
      <c r="A188" t="s">
        <v>22</v>
      </c>
      <c r="B188" t="s">
        <v>2</v>
      </c>
      <c r="C188" t="s">
        <v>22</v>
      </c>
      <c r="D188">
        <v>47900</v>
      </c>
      <c r="E188" t="s">
        <v>672</v>
      </c>
      <c r="F188" t="s">
        <v>3</v>
      </c>
      <c r="G188" t="s">
        <v>670</v>
      </c>
      <c r="H188" t="s">
        <v>670</v>
      </c>
      <c r="I188">
        <v>2.5310000000000001</v>
      </c>
    </row>
    <row r="189" spans="1:9" x14ac:dyDescent="0.25">
      <c r="A189" t="s">
        <v>22</v>
      </c>
      <c r="B189" t="s">
        <v>2</v>
      </c>
      <c r="C189" t="s">
        <v>22</v>
      </c>
      <c r="D189">
        <v>47900</v>
      </c>
      <c r="E189" t="s">
        <v>672</v>
      </c>
      <c r="F189" t="s">
        <v>113</v>
      </c>
      <c r="G189" t="s">
        <v>670</v>
      </c>
      <c r="H189" t="s">
        <v>670</v>
      </c>
      <c r="I189">
        <v>2.5760000000000001</v>
      </c>
    </row>
    <row r="190" spans="1:9" x14ac:dyDescent="0.25">
      <c r="A190" t="s">
        <v>12</v>
      </c>
      <c r="B190" t="s">
        <v>2</v>
      </c>
      <c r="C190" t="s">
        <v>12</v>
      </c>
      <c r="D190">
        <v>48424</v>
      </c>
      <c r="E190" t="s">
        <v>669</v>
      </c>
      <c r="F190" t="s">
        <v>118</v>
      </c>
      <c r="G190" t="s">
        <v>670</v>
      </c>
      <c r="H190" t="s">
        <v>670</v>
      </c>
      <c r="I190">
        <v>2.4266298846302421</v>
      </c>
    </row>
    <row r="191" spans="1:9" x14ac:dyDescent="0.25">
      <c r="A191" t="s">
        <v>12</v>
      </c>
      <c r="B191" t="s">
        <v>2</v>
      </c>
      <c r="C191" t="s">
        <v>12</v>
      </c>
      <c r="D191">
        <v>48424</v>
      </c>
      <c r="E191" t="s">
        <v>671</v>
      </c>
      <c r="F191" t="s">
        <v>116</v>
      </c>
      <c r="G191" t="s">
        <v>670</v>
      </c>
      <c r="H191" t="s">
        <v>670</v>
      </c>
      <c r="I191">
        <v>0.59360095324088691</v>
      </c>
    </row>
    <row r="192" spans="1:9" x14ac:dyDescent="0.25">
      <c r="A192" t="s">
        <v>12</v>
      </c>
      <c r="B192" t="s">
        <v>2</v>
      </c>
      <c r="C192" t="s">
        <v>12</v>
      </c>
      <c r="D192">
        <v>48424</v>
      </c>
      <c r="E192" t="s">
        <v>672</v>
      </c>
      <c r="F192" t="s">
        <v>3</v>
      </c>
      <c r="G192" t="s">
        <v>670</v>
      </c>
      <c r="H192" t="s">
        <v>670</v>
      </c>
      <c r="I192">
        <v>2.4489999999999998</v>
      </c>
    </row>
    <row r="193" spans="1:9" x14ac:dyDescent="0.25">
      <c r="A193" t="s">
        <v>12</v>
      </c>
      <c r="B193" t="s">
        <v>2</v>
      </c>
      <c r="C193" t="s">
        <v>12</v>
      </c>
      <c r="D193">
        <v>48424</v>
      </c>
      <c r="E193" t="s">
        <v>672</v>
      </c>
      <c r="F193" t="s">
        <v>113</v>
      </c>
      <c r="G193" t="s">
        <v>670</v>
      </c>
      <c r="H193" t="s">
        <v>670</v>
      </c>
      <c r="I193">
        <v>2.4609999999999999</v>
      </c>
    </row>
    <row r="194" spans="1:9" x14ac:dyDescent="0.25">
      <c r="A194" t="s">
        <v>642</v>
      </c>
      <c r="B194" t="s">
        <v>2</v>
      </c>
      <c r="C194" t="s">
        <v>642</v>
      </c>
      <c r="D194">
        <v>48620</v>
      </c>
      <c r="E194" t="s">
        <v>669</v>
      </c>
      <c r="F194" t="s">
        <v>118</v>
      </c>
      <c r="G194" t="s">
        <v>670</v>
      </c>
      <c r="H194" t="s">
        <v>670</v>
      </c>
      <c r="I194">
        <v>1.0705833044944091</v>
      </c>
    </row>
    <row r="195" spans="1:9" x14ac:dyDescent="0.25">
      <c r="A195" t="s">
        <v>642</v>
      </c>
      <c r="B195" t="s">
        <v>2</v>
      </c>
      <c r="C195" t="s">
        <v>642</v>
      </c>
      <c r="D195">
        <v>48620</v>
      </c>
      <c r="E195" t="s">
        <v>671</v>
      </c>
      <c r="F195" t="s">
        <v>116</v>
      </c>
      <c r="G195" t="s">
        <v>670</v>
      </c>
      <c r="H195" t="s">
        <v>670</v>
      </c>
      <c r="I195">
        <v>0.58237705022985997</v>
      </c>
    </row>
    <row r="196" spans="1:9" x14ac:dyDescent="0.25">
      <c r="A196" t="s">
        <v>642</v>
      </c>
      <c r="B196" t="s">
        <v>2</v>
      </c>
      <c r="C196" t="s">
        <v>642</v>
      </c>
      <c r="D196">
        <v>48620</v>
      </c>
      <c r="E196" t="s">
        <v>672</v>
      </c>
      <c r="F196" t="s">
        <v>3</v>
      </c>
      <c r="G196" t="s">
        <v>670</v>
      </c>
      <c r="H196" t="s">
        <v>670</v>
      </c>
      <c r="I196">
        <v>1.173</v>
      </c>
    </row>
    <row r="197" spans="1:9" x14ac:dyDescent="0.25">
      <c r="A197" t="s">
        <v>642</v>
      </c>
      <c r="B197" t="s">
        <v>2</v>
      </c>
      <c r="C197" t="s">
        <v>642</v>
      </c>
      <c r="D197">
        <v>48620</v>
      </c>
      <c r="E197" t="s">
        <v>672</v>
      </c>
      <c r="F197" t="s">
        <v>113</v>
      </c>
      <c r="G197" t="s">
        <v>670</v>
      </c>
      <c r="H197" t="s">
        <v>670</v>
      </c>
      <c r="I197">
        <v>1.1759999999999999</v>
      </c>
    </row>
    <row r="198" spans="1:9" x14ac:dyDescent="0.25">
      <c r="A198" t="s">
        <v>647</v>
      </c>
      <c r="B198" t="s">
        <v>2</v>
      </c>
      <c r="C198" t="s">
        <v>647</v>
      </c>
      <c r="D198">
        <v>48900</v>
      </c>
      <c r="E198" t="s">
        <v>669</v>
      </c>
      <c r="F198" t="s">
        <v>118</v>
      </c>
      <c r="G198" t="s">
        <v>670</v>
      </c>
      <c r="H198" t="s">
        <v>670</v>
      </c>
      <c r="I198">
        <v>1.5112200831022262</v>
      </c>
    </row>
    <row r="199" spans="1:9" x14ac:dyDescent="0.25">
      <c r="A199" t="s">
        <v>647</v>
      </c>
      <c r="B199" t="s">
        <v>2</v>
      </c>
      <c r="C199" t="s">
        <v>647</v>
      </c>
      <c r="D199">
        <v>48900</v>
      </c>
      <c r="E199" t="s">
        <v>671</v>
      </c>
      <c r="F199" t="s">
        <v>116</v>
      </c>
      <c r="G199" t="s">
        <v>670</v>
      </c>
      <c r="H199" t="s">
        <v>670</v>
      </c>
      <c r="I199">
        <v>0.62097355954089151</v>
      </c>
    </row>
    <row r="200" spans="1:9" x14ac:dyDescent="0.25">
      <c r="A200" t="s">
        <v>647</v>
      </c>
      <c r="B200" t="s">
        <v>2</v>
      </c>
      <c r="C200" t="s">
        <v>647</v>
      </c>
      <c r="D200">
        <v>48900</v>
      </c>
      <c r="E200" t="s">
        <v>672</v>
      </c>
      <c r="F200" t="s">
        <v>3</v>
      </c>
      <c r="G200" t="s">
        <v>670</v>
      </c>
      <c r="H200" t="s">
        <v>670</v>
      </c>
      <c r="I200">
        <v>1.5589999999999999</v>
      </c>
    </row>
    <row r="201" spans="1:9" x14ac:dyDescent="0.25">
      <c r="A201" t="s">
        <v>647</v>
      </c>
      <c r="B201" t="s">
        <v>2</v>
      </c>
      <c r="C201" t="s">
        <v>647</v>
      </c>
      <c r="D201">
        <v>48900</v>
      </c>
      <c r="E201" t="s">
        <v>672</v>
      </c>
      <c r="F201" t="s">
        <v>113</v>
      </c>
      <c r="G201" t="s">
        <v>670</v>
      </c>
      <c r="H201" t="s">
        <v>670</v>
      </c>
      <c r="I201">
        <v>1.5960000000000001</v>
      </c>
    </row>
    <row r="202" spans="1:9" x14ac:dyDescent="0.25">
      <c r="A202" t="s">
        <v>190</v>
      </c>
      <c r="B202" t="s">
        <v>2</v>
      </c>
      <c r="C202" t="s">
        <v>190</v>
      </c>
      <c r="D202">
        <v>14720</v>
      </c>
      <c r="E202" t="s">
        <v>672</v>
      </c>
      <c r="F202" t="s">
        <v>3</v>
      </c>
      <c r="G202" t="s">
        <v>670</v>
      </c>
      <c r="H202" t="s">
        <v>670</v>
      </c>
      <c r="I202" t="s">
        <v>673</v>
      </c>
    </row>
    <row r="203" spans="1:9" x14ac:dyDescent="0.25">
      <c r="A203" t="s">
        <v>190</v>
      </c>
      <c r="B203" t="s">
        <v>2</v>
      </c>
      <c r="C203" t="s">
        <v>190</v>
      </c>
      <c r="D203">
        <v>14720</v>
      </c>
      <c r="E203" t="s">
        <v>672</v>
      </c>
      <c r="F203" t="s">
        <v>113</v>
      </c>
      <c r="G203" t="s">
        <v>670</v>
      </c>
      <c r="H203" t="s">
        <v>670</v>
      </c>
      <c r="I203" t="s">
        <v>673</v>
      </c>
    </row>
    <row r="204" spans="1:9" x14ac:dyDescent="0.25">
      <c r="A204" t="s">
        <v>191</v>
      </c>
      <c r="B204" t="s">
        <v>2</v>
      </c>
      <c r="C204" t="s">
        <v>191</v>
      </c>
      <c r="D204">
        <v>14740</v>
      </c>
      <c r="E204" t="s">
        <v>669</v>
      </c>
      <c r="F204" t="s">
        <v>118</v>
      </c>
      <c r="G204" t="s">
        <v>670</v>
      </c>
      <c r="H204" t="s">
        <v>670</v>
      </c>
      <c r="I204">
        <v>2.1683211692470539</v>
      </c>
    </row>
    <row r="205" spans="1:9" x14ac:dyDescent="0.25">
      <c r="A205" t="s">
        <v>191</v>
      </c>
      <c r="B205" t="s">
        <v>2</v>
      </c>
      <c r="C205" t="s">
        <v>191</v>
      </c>
      <c r="D205">
        <v>14740</v>
      </c>
      <c r="E205" t="s">
        <v>672</v>
      </c>
      <c r="F205" t="s">
        <v>3</v>
      </c>
      <c r="G205" t="s">
        <v>670</v>
      </c>
      <c r="H205" t="s">
        <v>670</v>
      </c>
      <c r="I205">
        <v>2.2029999999999998</v>
      </c>
    </row>
    <row r="206" spans="1:9" x14ac:dyDescent="0.25">
      <c r="A206" t="s">
        <v>191</v>
      </c>
      <c r="B206" t="s">
        <v>2</v>
      </c>
      <c r="C206" t="s">
        <v>191</v>
      </c>
      <c r="D206">
        <v>14740</v>
      </c>
      <c r="E206" t="s">
        <v>672</v>
      </c>
      <c r="F206" t="s">
        <v>113</v>
      </c>
      <c r="G206" t="s">
        <v>670</v>
      </c>
      <c r="H206" t="s">
        <v>670</v>
      </c>
      <c r="I206">
        <v>2.2189999999999999</v>
      </c>
    </row>
    <row r="207" spans="1:9" x14ac:dyDescent="0.25">
      <c r="A207" t="s">
        <v>192</v>
      </c>
      <c r="B207" t="s">
        <v>2</v>
      </c>
      <c r="C207" t="s">
        <v>192</v>
      </c>
      <c r="D207">
        <v>14780</v>
      </c>
      <c r="E207" t="s">
        <v>672</v>
      </c>
      <c r="F207" t="s">
        <v>3</v>
      </c>
      <c r="G207" t="s">
        <v>670</v>
      </c>
      <c r="H207" t="s">
        <v>670</v>
      </c>
      <c r="I207" t="s">
        <v>673</v>
      </c>
    </row>
    <row r="208" spans="1:9" x14ac:dyDescent="0.25">
      <c r="A208" t="s">
        <v>192</v>
      </c>
      <c r="B208" t="s">
        <v>2</v>
      </c>
      <c r="C208" t="s">
        <v>192</v>
      </c>
      <c r="D208">
        <v>14780</v>
      </c>
      <c r="E208" t="s">
        <v>672</v>
      </c>
      <c r="F208" t="s">
        <v>113</v>
      </c>
      <c r="G208" t="s">
        <v>670</v>
      </c>
      <c r="H208" t="s">
        <v>670</v>
      </c>
      <c r="I208" t="s">
        <v>673</v>
      </c>
    </row>
    <row r="209" spans="1:9" x14ac:dyDescent="0.25">
      <c r="A209" t="s">
        <v>193</v>
      </c>
      <c r="B209" t="s">
        <v>2</v>
      </c>
      <c r="C209" t="s">
        <v>193</v>
      </c>
      <c r="D209">
        <v>14860</v>
      </c>
      <c r="E209" t="s">
        <v>669</v>
      </c>
      <c r="F209" t="s">
        <v>118</v>
      </c>
      <c r="G209" t="s">
        <v>670</v>
      </c>
      <c r="H209" t="s">
        <v>670</v>
      </c>
      <c r="I209">
        <v>3.0911999698449097</v>
      </c>
    </row>
    <row r="210" spans="1:9" x14ac:dyDescent="0.25">
      <c r="A210" t="s">
        <v>193</v>
      </c>
      <c r="B210" t="s">
        <v>2</v>
      </c>
      <c r="C210" t="s">
        <v>193</v>
      </c>
      <c r="D210">
        <v>14860</v>
      </c>
      <c r="E210" t="s">
        <v>671</v>
      </c>
      <c r="F210" t="s">
        <v>116</v>
      </c>
      <c r="G210" t="s">
        <v>670</v>
      </c>
      <c r="H210" t="s">
        <v>670</v>
      </c>
      <c r="I210">
        <v>0.58514459219867643</v>
      </c>
    </row>
    <row r="211" spans="1:9" x14ac:dyDescent="0.25">
      <c r="A211" t="s">
        <v>193</v>
      </c>
      <c r="B211" t="s">
        <v>2</v>
      </c>
      <c r="C211" t="s">
        <v>193</v>
      </c>
      <c r="D211">
        <v>14860</v>
      </c>
      <c r="E211" t="s">
        <v>672</v>
      </c>
      <c r="F211" t="s">
        <v>3</v>
      </c>
      <c r="G211" t="s">
        <v>670</v>
      </c>
      <c r="H211" t="s">
        <v>670</v>
      </c>
      <c r="I211">
        <v>3.0870000000000002</v>
      </c>
    </row>
    <row r="212" spans="1:9" x14ac:dyDescent="0.25">
      <c r="A212" t="s">
        <v>193</v>
      </c>
      <c r="B212" t="s">
        <v>2</v>
      </c>
      <c r="C212" t="s">
        <v>193</v>
      </c>
      <c r="D212">
        <v>14860</v>
      </c>
      <c r="E212" t="s">
        <v>672</v>
      </c>
      <c r="F212" t="s">
        <v>113</v>
      </c>
      <c r="G212" t="s">
        <v>670</v>
      </c>
      <c r="H212" t="s">
        <v>670</v>
      </c>
      <c r="I212">
        <v>3.141</v>
      </c>
    </row>
    <row r="213" spans="1:9" x14ac:dyDescent="0.25">
      <c r="A213" t="s">
        <v>194</v>
      </c>
      <c r="B213" t="s">
        <v>2</v>
      </c>
      <c r="C213" t="s">
        <v>194</v>
      </c>
      <c r="D213">
        <v>15020</v>
      </c>
      <c r="E213" t="s">
        <v>672</v>
      </c>
      <c r="F213" t="s">
        <v>3</v>
      </c>
      <c r="G213" t="s">
        <v>670</v>
      </c>
      <c r="H213" t="s">
        <v>670</v>
      </c>
      <c r="I213" t="s">
        <v>673</v>
      </c>
    </row>
    <row r="214" spans="1:9" x14ac:dyDescent="0.25">
      <c r="A214" t="s">
        <v>194</v>
      </c>
      <c r="B214" t="s">
        <v>2</v>
      </c>
      <c r="C214" t="s">
        <v>194</v>
      </c>
      <c r="D214">
        <v>15020</v>
      </c>
      <c r="E214" t="s">
        <v>672</v>
      </c>
      <c r="F214" t="s">
        <v>113</v>
      </c>
      <c r="G214" t="s">
        <v>670</v>
      </c>
      <c r="H214" t="s">
        <v>670</v>
      </c>
      <c r="I214" t="s">
        <v>673</v>
      </c>
    </row>
    <row r="215" spans="1:9" x14ac:dyDescent="0.25">
      <c r="A215" t="s">
        <v>195</v>
      </c>
      <c r="B215" t="s">
        <v>2</v>
      </c>
      <c r="C215" t="s">
        <v>195</v>
      </c>
      <c r="D215">
        <v>15100</v>
      </c>
      <c r="E215" t="s">
        <v>672</v>
      </c>
      <c r="F215" t="s">
        <v>3</v>
      </c>
      <c r="G215" t="s">
        <v>670</v>
      </c>
      <c r="H215" t="s">
        <v>670</v>
      </c>
      <c r="I215" t="s">
        <v>673</v>
      </c>
    </row>
    <row r="216" spans="1:9" x14ac:dyDescent="0.25">
      <c r="A216" t="s">
        <v>195</v>
      </c>
      <c r="B216" t="s">
        <v>2</v>
      </c>
      <c r="C216" t="s">
        <v>195</v>
      </c>
      <c r="D216">
        <v>15100</v>
      </c>
      <c r="E216" t="s">
        <v>672</v>
      </c>
      <c r="F216" t="s">
        <v>113</v>
      </c>
      <c r="G216" t="s">
        <v>670</v>
      </c>
      <c r="H216" t="s">
        <v>670</v>
      </c>
      <c r="I216" t="s">
        <v>673</v>
      </c>
    </row>
    <row r="217" spans="1:9" x14ac:dyDescent="0.25">
      <c r="A217" t="s">
        <v>196</v>
      </c>
      <c r="B217" t="s">
        <v>2</v>
      </c>
      <c r="C217" t="s">
        <v>196</v>
      </c>
      <c r="D217">
        <v>15220</v>
      </c>
      <c r="E217" t="s">
        <v>672</v>
      </c>
      <c r="F217" t="s">
        <v>3</v>
      </c>
      <c r="G217" t="s">
        <v>670</v>
      </c>
      <c r="H217" t="s">
        <v>670</v>
      </c>
      <c r="I217" t="s">
        <v>673</v>
      </c>
    </row>
    <row r="218" spans="1:9" x14ac:dyDescent="0.25">
      <c r="A218" t="s">
        <v>196</v>
      </c>
      <c r="B218" t="s">
        <v>2</v>
      </c>
      <c r="C218" t="s">
        <v>196</v>
      </c>
      <c r="D218">
        <v>15220</v>
      </c>
      <c r="E218" t="s">
        <v>672</v>
      </c>
      <c r="F218" t="s">
        <v>113</v>
      </c>
      <c r="G218" t="s">
        <v>670</v>
      </c>
      <c r="H218" t="s">
        <v>670</v>
      </c>
      <c r="I218" t="s">
        <v>673</v>
      </c>
    </row>
    <row r="219" spans="1:9" x14ac:dyDescent="0.25">
      <c r="A219" t="s">
        <v>197</v>
      </c>
      <c r="B219" t="s">
        <v>2</v>
      </c>
      <c r="C219" t="s">
        <v>197</v>
      </c>
      <c r="D219">
        <v>15260</v>
      </c>
      <c r="E219" t="s">
        <v>669</v>
      </c>
      <c r="F219" t="s">
        <v>118</v>
      </c>
      <c r="G219" t="s">
        <v>670</v>
      </c>
      <c r="H219" t="s">
        <v>670</v>
      </c>
      <c r="I219">
        <v>1.2320263880349911</v>
      </c>
    </row>
    <row r="220" spans="1:9" x14ac:dyDescent="0.25">
      <c r="A220" t="s">
        <v>197</v>
      </c>
      <c r="B220" t="s">
        <v>2</v>
      </c>
      <c r="C220" t="s">
        <v>197</v>
      </c>
      <c r="D220">
        <v>15260</v>
      </c>
      <c r="E220" t="s">
        <v>672</v>
      </c>
      <c r="F220" t="s">
        <v>3</v>
      </c>
      <c r="G220" t="s">
        <v>670</v>
      </c>
      <c r="H220" t="s">
        <v>670</v>
      </c>
      <c r="I220">
        <v>1.2529999999999999</v>
      </c>
    </row>
    <row r="221" spans="1:9" x14ac:dyDescent="0.25">
      <c r="A221" t="s">
        <v>197</v>
      </c>
      <c r="B221" t="s">
        <v>2</v>
      </c>
      <c r="C221" t="s">
        <v>197</v>
      </c>
      <c r="D221">
        <v>15260</v>
      </c>
      <c r="E221" t="s">
        <v>672</v>
      </c>
      <c r="F221" t="s">
        <v>113</v>
      </c>
      <c r="G221" t="s">
        <v>670</v>
      </c>
      <c r="H221" t="s">
        <v>670</v>
      </c>
      <c r="I221">
        <v>1.304</v>
      </c>
    </row>
    <row r="222" spans="1:9" x14ac:dyDescent="0.25">
      <c r="A222" t="s">
        <v>198</v>
      </c>
      <c r="B222" t="s">
        <v>2</v>
      </c>
      <c r="C222" t="s">
        <v>198</v>
      </c>
      <c r="D222">
        <v>15380</v>
      </c>
      <c r="E222" t="s">
        <v>669</v>
      </c>
      <c r="F222" t="s">
        <v>118</v>
      </c>
      <c r="G222" t="s">
        <v>670</v>
      </c>
      <c r="H222" t="s">
        <v>670</v>
      </c>
      <c r="I222">
        <v>1.5429200743977005</v>
      </c>
    </row>
    <row r="223" spans="1:9" x14ac:dyDescent="0.25">
      <c r="A223" t="s">
        <v>198</v>
      </c>
      <c r="B223" t="s">
        <v>2</v>
      </c>
      <c r="C223" t="s">
        <v>198</v>
      </c>
      <c r="D223">
        <v>15380</v>
      </c>
      <c r="E223" t="s">
        <v>671</v>
      </c>
      <c r="F223" t="s">
        <v>116</v>
      </c>
      <c r="G223" t="s">
        <v>670</v>
      </c>
      <c r="H223" t="s">
        <v>670</v>
      </c>
      <c r="I223">
        <v>0.53133675076080522</v>
      </c>
    </row>
    <row r="224" spans="1:9" x14ac:dyDescent="0.25">
      <c r="A224" t="s">
        <v>198</v>
      </c>
      <c r="B224" t="s">
        <v>2</v>
      </c>
      <c r="C224" t="s">
        <v>198</v>
      </c>
      <c r="D224">
        <v>15380</v>
      </c>
      <c r="E224" t="s">
        <v>672</v>
      </c>
      <c r="F224" t="s">
        <v>3</v>
      </c>
      <c r="G224" t="s">
        <v>670</v>
      </c>
      <c r="H224" t="s">
        <v>670</v>
      </c>
      <c r="I224">
        <v>1.6970000000000001</v>
      </c>
    </row>
    <row r="225" spans="1:9" x14ac:dyDescent="0.25">
      <c r="A225" t="s">
        <v>198</v>
      </c>
      <c r="B225" t="s">
        <v>2</v>
      </c>
      <c r="C225" t="s">
        <v>198</v>
      </c>
      <c r="D225">
        <v>15380</v>
      </c>
      <c r="E225" t="s">
        <v>672</v>
      </c>
      <c r="F225" t="s">
        <v>113</v>
      </c>
      <c r="G225" t="s">
        <v>670</v>
      </c>
      <c r="H225" t="s">
        <v>670</v>
      </c>
      <c r="I225">
        <v>1.7010000000000001</v>
      </c>
    </row>
    <row r="226" spans="1:9" x14ac:dyDescent="0.25">
      <c r="A226" t="s">
        <v>199</v>
      </c>
      <c r="B226" t="s">
        <v>2</v>
      </c>
      <c r="C226" t="s">
        <v>199</v>
      </c>
      <c r="D226">
        <v>15460</v>
      </c>
      <c r="E226" t="s">
        <v>672</v>
      </c>
      <c r="F226" t="s">
        <v>3</v>
      </c>
      <c r="G226" t="s">
        <v>670</v>
      </c>
      <c r="H226" t="s">
        <v>670</v>
      </c>
      <c r="I226" t="s">
        <v>673</v>
      </c>
    </row>
    <row r="227" spans="1:9" x14ac:dyDescent="0.25">
      <c r="A227" t="s">
        <v>199</v>
      </c>
      <c r="B227" t="s">
        <v>2</v>
      </c>
      <c r="C227" t="s">
        <v>199</v>
      </c>
      <c r="D227">
        <v>15460</v>
      </c>
      <c r="E227" t="s">
        <v>672</v>
      </c>
      <c r="F227" t="s">
        <v>113</v>
      </c>
      <c r="G227" t="s">
        <v>670</v>
      </c>
      <c r="H227" t="s">
        <v>670</v>
      </c>
      <c r="I227" t="s">
        <v>673</v>
      </c>
    </row>
    <row r="228" spans="1:9" x14ac:dyDescent="0.25">
      <c r="A228" t="s">
        <v>200</v>
      </c>
      <c r="B228" t="s">
        <v>2</v>
      </c>
      <c r="C228" t="s">
        <v>200</v>
      </c>
      <c r="D228">
        <v>15540</v>
      </c>
      <c r="E228" t="s">
        <v>669</v>
      </c>
      <c r="F228" t="s">
        <v>118</v>
      </c>
      <c r="G228" t="s">
        <v>670</v>
      </c>
      <c r="H228" t="s">
        <v>670</v>
      </c>
      <c r="I228">
        <v>2.136241434253336</v>
      </c>
    </row>
    <row r="229" spans="1:9" x14ac:dyDescent="0.25">
      <c r="A229" t="s">
        <v>200</v>
      </c>
      <c r="B229" t="s">
        <v>2</v>
      </c>
      <c r="C229" t="s">
        <v>200</v>
      </c>
      <c r="D229">
        <v>15540</v>
      </c>
      <c r="E229" t="s">
        <v>672</v>
      </c>
      <c r="F229" t="s">
        <v>3</v>
      </c>
      <c r="G229" t="s">
        <v>670</v>
      </c>
      <c r="H229" t="s">
        <v>670</v>
      </c>
      <c r="I229">
        <v>2.395</v>
      </c>
    </row>
    <row r="230" spans="1:9" x14ac:dyDescent="0.25">
      <c r="A230" t="s">
        <v>200</v>
      </c>
      <c r="B230" t="s">
        <v>2</v>
      </c>
      <c r="C230" t="s">
        <v>200</v>
      </c>
      <c r="D230">
        <v>15540</v>
      </c>
      <c r="E230" t="s">
        <v>672</v>
      </c>
      <c r="F230" t="s">
        <v>113</v>
      </c>
      <c r="G230" t="s">
        <v>670</v>
      </c>
      <c r="H230" t="s">
        <v>670</v>
      </c>
      <c r="I230">
        <v>2.4</v>
      </c>
    </row>
    <row r="231" spans="1:9" x14ac:dyDescent="0.25">
      <c r="A231" t="s">
        <v>201</v>
      </c>
      <c r="B231" t="s">
        <v>2</v>
      </c>
      <c r="C231" t="s">
        <v>201</v>
      </c>
      <c r="D231">
        <v>15860</v>
      </c>
      <c r="E231" t="s">
        <v>672</v>
      </c>
      <c r="F231" t="s">
        <v>3</v>
      </c>
      <c r="G231" t="s">
        <v>670</v>
      </c>
      <c r="H231" t="s">
        <v>670</v>
      </c>
      <c r="I231" t="s">
        <v>673</v>
      </c>
    </row>
    <row r="232" spans="1:9" x14ac:dyDescent="0.25">
      <c r="A232" t="s">
        <v>201</v>
      </c>
      <c r="B232" t="s">
        <v>2</v>
      </c>
      <c r="C232" t="s">
        <v>201</v>
      </c>
      <c r="D232">
        <v>15860</v>
      </c>
      <c r="E232" t="s">
        <v>672</v>
      </c>
      <c r="F232" t="s">
        <v>113</v>
      </c>
      <c r="G232" t="s">
        <v>670</v>
      </c>
      <c r="H232" t="s">
        <v>670</v>
      </c>
      <c r="I232" t="s">
        <v>673</v>
      </c>
    </row>
    <row r="233" spans="1:9" x14ac:dyDescent="0.25">
      <c r="A233" t="s">
        <v>202</v>
      </c>
      <c r="B233" t="s">
        <v>2</v>
      </c>
      <c r="C233" t="s">
        <v>202</v>
      </c>
      <c r="D233">
        <v>15940</v>
      </c>
      <c r="E233" t="s">
        <v>669</v>
      </c>
      <c r="F233" t="s">
        <v>118</v>
      </c>
      <c r="G233" t="s">
        <v>670</v>
      </c>
      <c r="H233" t="s">
        <v>670</v>
      </c>
      <c r="I233">
        <v>1.2103323825329038</v>
      </c>
    </row>
    <row r="234" spans="1:9" x14ac:dyDescent="0.25">
      <c r="A234" t="s">
        <v>202</v>
      </c>
      <c r="B234" t="s">
        <v>2</v>
      </c>
      <c r="C234" t="s">
        <v>202</v>
      </c>
      <c r="D234">
        <v>15940</v>
      </c>
      <c r="E234" t="s">
        <v>672</v>
      </c>
      <c r="F234" t="s">
        <v>3</v>
      </c>
      <c r="G234" t="s">
        <v>670</v>
      </c>
      <c r="H234" t="s">
        <v>670</v>
      </c>
      <c r="I234">
        <v>1.339</v>
      </c>
    </row>
    <row r="235" spans="1:9" x14ac:dyDescent="0.25">
      <c r="A235" t="s">
        <v>202</v>
      </c>
      <c r="B235" t="s">
        <v>2</v>
      </c>
      <c r="C235" t="s">
        <v>202</v>
      </c>
      <c r="D235">
        <v>15940</v>
      </c>
      <c r="E235" t="s">
        <v>672</v>
      </c>
      <c r="F235" t="s">
        <v>113</v>
      </c>
      <c r="G235" t="s">
        <v>670</v>
      </c>
      <c r="H235" t="s">
        <v>670</v>
      </c>
      <c r="I235">
        <v>1.3520000000000001</v>
      </c>
    </row>
    <row r="236" spans="1:9" x14ac:dyDescent="0.25">
      <c r="A236" t="s">
        <v>36</v>
      </c>
      <c r="B236" t="s">
        <v>2</v>
      </c>
      <c r="C236" t="s">
        <v>36</v>
      </c>
      <c r="D236">
        <v>15980</v>
      </c>
      <c r="E236" t="s">
        <v>669</v>
      </c>
      <c r="F236" t="s">
        <v>118</v>
      </c>
      <c r="G236" t="s">
        <v>670</v>
      </c>
      <c r="H236" t="s">
        <v>670</v>
      </c>
      <c r="I236">
        <v>1.6849003828632618</v>
      </c>
    </row>
    <row r="237" spans="1:9" x14ac:dyDescent="0.25">
      <c r="A237" t="s">
        <v>36</v>
      </c>
      <c r="B237" t="s">
        <v>2</v>
      </c>
      <c r="C237" t="s">
        <v>36</v>
      </c>
      <c r="D237">
        <v>15980</v>
      </c>
      <c r="E237" t="s">
        <v>671</v>
      </c>
      <c r="F237" t="s">
        <v>116</v>
      </c>
      <c r="G237" t="s">
        <v>670</v>
      </c>
      <c r="H237" t="s">
        <v>670</v>
      </c>
      <c r="I237">
        <v>0.53003328392001892</v>
      </c>
    </row>
    <row r="238" spans="1:9" x14ac:dyDescent="0.25">
      <c r="A238" t="s">
        <v>36</v>
      </c>
      <c r="B238" t="s">
        <v>2</v>
      </c>
      <c r="C238" t="s">
        <v>36</v>
      </c>
      <c r="D238">
        <v>15980</v>
      </c>
      <c r="E238" t="s">
        <v>672</v>
      </c>
      <c r="F238" t="s">
        <v>3</v>
      </c>
      <c r="G238" t="s">
        <v>670</v>
      </c>
      <c r="H238" t="s">
        <v>670</v>
      </c>
      <c r="I238">
        <v>1.5629999999999999</v>
      </c>
    </row>
    <row r="239" spans="1:9" x14ac:dyDescent="0.25">
      <c r="A239" t="s">
        <v>36</v>
      </c>
      <c r="B239" t="s">
        <v>2</v>
      </c>
      <c r="C239" t="s">
        <v>36</v>
      </c>
      <c r="D239">
        <v>15980</v>
      </c>
      <c r="E239" t="s">
        <v>672</v>
      </c>
      <c r="F239" t="s">
        <v>113</v>
      </c>
      <c r="G239" t="s">
        <v>670</v>
      </c>
      <c r="H239" t="s">
        <v>670</v>
      </c>
      <c r="I239">
        <v>1.6659999999999999</v>
      </c>
    </row>
    <row r="240" spans="1:9" x14ac:dyDescent="0.25">
      <c r="A240" t="s">
        <v>203</v>
      </c>
      <c r="B240" t="s">
        <v>2</v>
      </c>
      <c r="C240" t="s">
        <v>203</v>
      </c>
      <c r="D240">
        <v>216060</v>
      </c>
      <c r="E240" t="s">
        <v>672</v>
      </c>
      <c r="F240" t="s">
        <v>3</v>
      </c>
      <c r="G240" t="s">
        <v>670</v>
      </c>
      <c r="H240" t="s">
        <v>670</v>
      </c>
      <c r="I240" t="s">
        <v>673</v>
      </c>
    </row>
    <row r="241" spans="1:9" x14ac:dyDescent="0.25">
      <c r="A241" t="s">
        <v>203</v>
      </c>
      <c r="B241" t="s">
        <v>2</v>
      </c>
      <c r="C241" t="s">
        <v>203</v>
      </c>
      <c r="D241">
        <v>216060</v>
      </c>
      <c r="E241" t="s">
        <v>672</v>
      </c>
      <c r="F241" t="s">
        <v>113</v>
      </c>
      <c r="G241" t="s">
        <v>670</v>
      </c>
      <c r="H241" t="s">
        <v>670</v>
      </c>
      <c r="I241" t="s">
        <v>673</v>
      </c>
    </row>
    <row r="242" spans="1:9" x14ac:dyDescent="0.25">
      <c r="A242" t="s">
        <v>204</v>
      </c>
      <c r="B242" t="s">
        <v>2</v>
      </c>
      <c r="C242" t="s">
        <v>204</v>
      </c>
      <c r="D242">
        <v>16100</v>
      </c>
      <c r="E242" t="s">
        <v>672</v>
      </c>
      <c r="F242" t="s">
        <v>3</v>
      </c>
      <c r="G242" t="s">
        <v>670</v>
      </c>
      <c r="H242" t="s">
        <v>670</v>
      </c>
      <c r="I242">
        <v>1.6719999999999999</v>
      </c>
    </row>
    <row r="243" spans="1:9" x14ac:dyDescent="0.25">
      <c r="A243" t="s">
        <v>204</v>
      </c>
      <c r="B243" t="s">
        <v>2</v>
      </c>
      <c r="C243" t="s">
        <v>204</v>
      </c>
      <c r="D243">
        <v>16100</v>
      </c>
      <c r="E243" t="s">
        <v>672</v>
      </c>
      <c r="F243" t="s">
        <v>113</v>
      </c>
      <c r="G243" t="s">
        <v>670</v>
      </c>
      <c r="H243" t="s">
        <v>670</v>
      </c>
      <c r="I243">
        <v>1.6719999999999999</v>
      </c>
    </row>
    <row r="244" spans="1:9" x14ac:dyDescent="0.25">
      <c r="A244" t="s">
        <v>205</v>
      </c>
      <c r="B244" t="s">
        <v>2</v>
      </c>
      <c r="C244" t="s">
        <v>205</v>
      </c>
      <c r="D244">
        <v>16180</v>
      </c>
      <c r="E244" t="s">
        <v>669</v>
      </c>
      <c r="F244" t="s">
        <v>118</v>
      </c>
      <c r="G244" t="s">
        <v>670</v>
      </c>
      <c r="H244" t="s">
        <v>670</v>
      </c>
      <c r="I244">
        <v>1.7585912985451084</v>
      </c>
    </row>
    <row r="245" spans="1:9" x14ac:dyDescent="0.25">
      <c r="A245" t="s">
        <v>205</v>
      </c>
      <c r="B245" t="s">
        <v>2</v>
      </c>
      <c r="C245" t="s">
        <v>205</v>
      </c>
      <c r="D245">
        <v>16180</v>
      </c>
      <c r="E245" t="s">
        <v>672</v>
      </c>
      <c r="F245" t="s">
        <v>3</v>
      </c>
      <c r="G245" t="s">
        <v>670</v>
      </c>
      <c r="H245" t="s">
        <v>670</v>
      </c>
      <c r="I245">
        <v>2.032</v>
      </c>
    </row>
    <row r="246" spans="1:9" x14ac:dyDescent="0.25">
      <c r="A246" t="s">
        <v>205</v>
      </c>
      <c r="B246" t="s">
        <v>2</v>
      </c>
      <c r="C246" t="s">
        <v>205</v>
      </c>
      <c r="D246">
        <v>16180</v>
      </c>
      <c r="E246" t="s">
        <v>672</v>
      </c>
      <c r="F246" t="s">
        <v>113</v>
      </c>
      <c r="G246" t="s">
        <v>670</v>
      </c>
      <c r="H246" t="s">
        <v>670</v>
      </c>
      <c r="I246">
        <v>2.0779999999999998</v>
      </c>
    </row>
    <row r="247" spans="1:9" x14ac:dyDescent="0.25">
      <c r="A247" t="s">
        <v>206</v>
      </c>
      <c r="B247" t="s">
        <v>2</v>
      </c>
      <c r="C247" t="s">
        <v>206</v>
      </c>
      <c r="D247">
        <v>16220</v>
      </c>
      <c r="E247" t="s">
        <v>672</v>
      </c>
      <c r="F247" t="s">
        <v>3</v>
      </c>
      <c r="G247" t="s">
        <v>670</v>
      </c>
      <c r="H247" t="s">
        <v>670</v>
      </c>
      <c r="I247">
        <v>1.228</v>
      </c>
    </row>
    <row r="248" spans="1:9" x14ac:dyDescent="0.25">
      <c r="A248" t="s">
        <v>206</v>
      </c>
      <c r="B248" t="s">
        <v>2</v>
      </c>
      <c r="C248" t="s">
        <v>206</v>
      </c>
      <c r="D248">
        <v>16220</v>
      </c>
      <c r="E248" t="s">
        <v>672</v>
      </c>
      <c r="F248" t="s">
        <v>113</v>
      </c>
      <c r="G248" t="s">
        <v>670</v>
      </c>
      <c r="H248" t="s">
        <v>670</v>
      </c>
      <c r="I248">
        <v>1.2310000000000001</v>
      </c>
    </row>
    <row r="249" spans="1:9" x14ac:dyDescent="0.25">
      <c r="A249" t="s">
        <v>207</v>
      </c>
      <c r="B249" t="s">
        <v>2</v>
      </c>
      <c r="C249" t="s">
        <v>207</v>
      </c>
      <c r="D249">
        <v>16300</v>
      </c>
      <c r="E249" t="s">
        <v>669</v>
      </c>
      <c r="F249" t="s">
        <v>118</v>
      </c>
      <c r="G249" t="s">
        <v>670</v>
      </c>
      <c r="H249" t="s">
        <v>670</v>
      </c>
      <c r="I249">
        <v>1.1500395081083752</v>
      </c>
    </row>
    <row r="250" spans="1:9" x14ac:dyDescent="0.25">
      <c r="A250" t="s">
        <v>207</v>
      </c>
      <c r="B250" t="s">
        <v>2</v>
      </c>
      <c r="C250" t="s">
        <v>207</v>
      </c>
      <c r="D250">
        <v>16300</v>
      </c>
      <c r="E250" t="s">
        <v>672</v>
      </c>
      <c r="F250" t="s">
        <v>3</v>
      </c>
      <c r="G250" t="s">
        <v>670</v>
      </c>
      <c r="H250" t="s">
        <v>670</v>
      </c>
      <c r="I250">
        <v>1.24</v>
      </c>
    </row>
    <row r="251" spans="1:9" x14ac:dyDescent="0.25">
      <c r="A251" t="s">
        <v>207</v>
      </c>
      <c r="B251" t="s">
        <v>2</v>
      </c>
      <c r="C251" t="s">
        <v>207</v>
      </c>
      <c r="D251">
        <v>16300</v>
      </c>
      <c r="E251" t="s">
        <v>672</v>
      </c>
      <c r="F251" t="s">
        <v>113</v>
      </c>
      <c r="G251" t="s">
        <v>670</v>
      </c>
      <c r="H251" t="s">
        <v>670</v>
      </c>
      <c r="I251">
        <v>1.24</v>
      </c>
    </row>
    <row r="252" spans="1:9" x14ac:dyDescent="0.25">
      <c r="A252" t="s">
        <v>208</v>
      </c>
      <c r="B252" t="s">
        <v>2</v>
      </c>
      <c r="C252" t="s">
        <v>208</v>
      </c>
      <c r="D252">
        <v>16540</v>
      </c>
      <c r="E252" t="s">
        <v>672</v>
      </c>
      <c r="F252" t="s">
        <v>3</v>
      </c>
      <c r="G252" t="s">
        <v>670</v>
      </c>
      <c r="H252" t="s">
        <v>670</v>
      </c>
      <c r="I252" t="s">
        <v>673</v>
      </c>
    </row>
    <row r="253" spans="1:9" x14ac:dyDescent="0.25">
      <c r="A253" t="s">
        <v>208</v>
      </c>
      <c r="B253" t="s">
        <v>2</v>
      </c>
      <c r="C253" t="s">
        <v>208</v>
      </c>
      <c r="D253">
        <v>16540</v>
      </c>
      <c r="E253" t="s">
        <v>672</v>
      </c>
      <c r="F253" t="s">
        <v>113</v>
      </c>
      <c r="G253" t="s">
        <v>670</v>
      </c>
      <c r="H253" t="s">
        <v>670</v>
      </c>
      <c r="I253" t="s">
        <v>673</v>
      </c>
    </row>
    <row r="254" spans="1:9" x14ac:dyDescent="0.25">
      <c r="A254" t="s">
        <v>209</v>
      </c>
      <c r="B254" t="s">
        <v>2</v>
      </c>
      <c r="C254" t="s">
        <v>209</v>
      </c>
      <c r="D254">
        <v>16580</v>
      </c>
      <c r="E254" t="s">
        <v>672</v>
      </c>
      <c r="F254" t="s">
        <v>3</v>
      </c>
      <c r="G254" t="s">
        <v>670</v>
      </c>
      <c r="H254" t="s">
        <v>670</v>
      </c>
      <c r="I254">
        <v>1.3169999999999999</v>
      </c>
    </row>
    <row r="255" spans="1:9" x14ac:dyDescent="0.25">
      <c r="A255" t="s">
        <v>209</v>
      </c>
      <c r="B255" t="s">
        <v>2</v>
      </c>
      <c r="C255" t="s">
        <v>209</v>
      </c>
      <c r="D255">
        <v>16580</v>
      </c>
      <c r="E255" t="s">
        <v>672</v>
      </c>
      <c r="F255" t="s">
        <v>113</v>
      </c>
      <c r="G255" t="s">
        <v>670</v>
      </c>
      <c r="H255" t="s">
        <v>670</v>
      </c>
      <c r="I255">
        <v>1.3320000000000001</v>
      </c>
    </row>
    <row r="256" spans="1:9" x14ac:dyDescent="0.25">
      <c r="A256" t="s">
        <v>210</v>
      </c>
      <c r="B256" t="s">
        <v>2</v>
      </c>
      <c r="C256" t="s">
        <v>210</v>
      </c>
      <c r="D256">
        <v>16660</v>
      </c>
      <c r="E256" t="s">
        <v>672</v>
      </c>
      <c r="F256" t="s">
        <v>3</v>
      </c>
      <c r="G256" t="s">
        <v>670</v>
      </c>
      <c r="H256" t="s">
        <v>670</v>
      </c>
      <c r="I256" t="s">
        <v>673</v>
      </c>
    </row>
    <row r="257" spans="1:9" x14ac:dyDescent="0.25">
      <c r="A257" t="s">
        <v>210</v>
      </c>
      <c r="B257" t="s">
        <v>2</v>
      </c>
      <c r="C257" t="s">
        <v>210</v>
      </c>
      <c r="D257">
        <v>16660</v>
      </c>
      <c r="E257" t="s">
        <v>672</v>
      </c>
      <c r="F257" t="s">
        <v>113</v>
      </c>
      <c r="G257" t="s">
        <v>670</v>
      </c>
      <c r="H257" t="s">
        <v>670</v>
      </c>
      <c r="I257" t="s">
        <v>673</v>
      </c>
    </row>
    <row r="258" spans="1:9" x14ac:dyDescent="0.25">
      <c r="A258" t="s">
        <v>19</v>
      </c>
      <c r="B258" t="s">
        <v>2</v>
      </c>
      <c r="C258" t="s">
        <v>19</v>
      </c>
      <c r="D258">
        <v>16700</v>
      </c>
      <c r="E258" t="s">
        <v>669</v>
      </c>
      <c r="F258" t="s">
        <v>118</v>
      </c>
      <c r="G258" t="s">
        <v>670</v>
      </c>
      <c r="H258" t="s">
        <v>670</v>
      </c>
      <c r="I258">
        <v>1.8241850311268453</v>
      </c>
    </row>
    <row r="259" spans="1:9" x14ac:dyDescent="0.25">
      <c r="A259" t="s">
        <v>19</v>
      </c>
      <c r="B259" t="s">
        <v>2</v>
      </c>
      <c r="C259" t="s">
        <v>19</v>
      </c>
      <c r="D259">
        <v>16700</v>
      </c>
      <c r="E259" t="s">
        <v>671</v>
      </c>
      <c r="F259" t="s">
        <v>116</v>
      </c>
      <c r="G259" t="s">
        <v>670</v>
      </c>
      <c r="H259" t="s">
        <v>670</v>
      </c>
      <c r="I259">
        <v>0.54712639662737894</v>
      </c>
    </row>
    <row r="260" spans="1:9" x14ac:dyDescent="0.25">
      <c r="A260" t="s">
        <v>19</v>
      </c>
      <c r="B260" t="s">
        <v>2</v>
      </c>
      <c r="C260" t="s">
        <v>19</v>
      </c>
      <c r="D260">
        <v>16700</v>
      </c>
      <c r="E260" t="s">
        <v>672</v>
      </c>
      <c r="F260" t="s">
        <v>3</v>
      </c>
      <c r="G260" t="s">
        <v>670</v>
      </c>
      <c r="H260" t="s">
        <v>670</v>
      </c>
      <c r="I260">
        <v>1.794</v>
      </c>
    </row>
    <row r="261" spans="1:9" x14ac:dyDescent="0.25">
      <c r="A261" t="s">
        <v>19</v>
      </c>
      <c r="B261" t="s">
        <v>2</v>
      </c>
      <c r="C261" t="s">
        <v>19</v>
      </c>
      <c r="D261">
        <v>16700</v>
      </c>
      <c r="E261" t="s">
        <v>672</v>
      </c>
      <c r="F261" t="s">
        <v>113</v>
      </c>
      <c r="G261" t="s">
        <v>670</v>
      </c>
      <c r="H261" t="s">
        <v>670</v>
      </c>
      <c r="I261">
        <v>1.825</v>
      </c>
    </row>
    <row r="262" spans="1:9" x14ac:dyDescent="0.25">
      <c r="A262" t="s">
        <v>211</v>
      </c>
      <c r="B262" t="s">
        <v>2</v>
      </c>
      <c r="C262" t="s">
        <v>211</v>
      </c>
      <c r="D262">
        <v>16620</v>
      </c>
      <c r="E262" t="s">
        <v>669</v>
      </c>
      <c r="F262" t="s">
        <v>118</v>
      </c>
      <c r="G262" t="s">
        <v>670</v>
      </c>
      <c r="H262" t="s">
        <v>670</v>
      </c>
      <c r="I262">
        <v>0.79879218451088818</v>
      </c>
    </row>
    <row r="263" spans="1:9" x14ac:dyDescent="0.25">
      <c r="A263" t="s">
        <v>211</v>
      </c>
      <c r="B263" t="s">
        <v>2</v>
      </c>
      <c r="C263" t="s">
        <v>211</v>
      </c>
      <c r="D263">
        <v>16620</v>
      </c>
      <c r="E263" t="s">
        <v>672</v>
      </c>
      <c r="F263" t="s">
        <v>3</v>
      </c>
      <c r="G263" t="s">
        <v>670</v>
      </c>
      <c r="H263" t="s">
        <v>670</v>
      </c>
      <c r="I263" t="s">
        <v>673</v>
      </c>
    </row>
    <row r="264" spans="1:9" x14ac:dyDescent="0.25">
      <c r="A264" t="s">
        <v>211</v>
      </c>
      <c r="B264" t="s">
        <v>2</v>
      </c>
      <c r="C264" t="s">
        <v>211</v>
      </c>
      <c r="D264">
        <v>16620</v>
      </c>
      <c r="E264" t="s">
        <v>672</v>
      </c>
      <c r="F264" t="s">
        <v>113</v>
      </c>
      <c r="G264" t="s">
        <v>670</v>
      </c>
      <c r="H264" t="s">
        <v>670</v>
      </c>
      <c r="I264" t="s">
        <v>673</v>
      </c>
    </row>
    <row r="265" spans="1:9" x14ac:dyDescent="0.25">
      <c r="A265" t="s">
        <v>37</v>
      </c>
      <c r="B265" t="s">
        <v>2</v>
      </c>
      <c r="C265" t="s">
        <v>37</v>
      </c>
      <c r="D265">
        <v>16740</v>
      </c>
      <c r="E265" t="s">
        <v>669</v>
      </c>
      <c r="F265" t="s">
        <v>118</v>
      </c>
      <c r="G265" t="s">
        <v>670</v>
      </c>
      <c r="H265" t="s">
        <v>670</v>
      </c>
      <c r="I265">
        <v>1.6807312632487001</v>
      </c>
    </row>
    <row r="266" spans="1:9" x14ac:dyDescent="0.25">
      <c r="A266" t="s">
        <v>37</v>
      </c>
      <c r="B266" t="s">
        <v>2</v>
      </c>
      <c r="C266" t="s">
        <v>37</v>
      </c>
      <c r="D266">
        <v>16740</v>
      </c>
      <c r="E266" t="s">
        <v>671</v>
      </c>
      <c r="F266" t="s">
        <v>116</v>
      </c>
      <c r="G266" t="s">
        <v>670</v>
      </c>
      <c r="H266" t="s">
        <v>670</v>
      </c>
      <c r="I266">
        <v>0.57951661760346007</v>
      </c>
    </row>
    <row r="267" spans="1:9" x14ac:dyDescent="0.25">
      <c r="A267" t="s">
        <v>37</v>
      </c>
      <c r="B267" t="s">
        <v>2</v>
      </c>
      <c r="C267" t="s">
        <v>37</v>
      </c>
      <c r="D267">
        <v>16740</v>
      </c>
      <c r="E267" t="s">
        <v>672</v>
      </c>
      <c r="F267" t="s">
        <v>3</v>
      </c>
      <c r="G267" t="s">
        <v>670</v>
      </c>
      <c r="H267" t="s">
        <v>670</v>
      </c>
      <c r="I267">
        <v>1.5649999999999999</v>
      </c>
    </row>
    <row r="268" spans="1:9" x14ac:dyDescent="0.25">
      <c r="A268" t="s">
        <v>37</v>
      </c>
      <c r="B268" t="s">
        <v>2</v>
      </c>
      <c r="C268" t="s">
        <v>37</v>
      </c>
      <c r="D268">
        <v>16740</v>
      </c>
      <c r="E268" t="s">
        <v>672</v>
      </c>
      <c r="F268" t="s">
        <v>113</v>
      </c>
      <c r="G268" t="s">
        <v>670</v>
      </c>
      <c r="H268" t="s">
        <v>670</v>
      </c>
      <c r="I268">
        <v>1.6160000000000001</v>
      </c>
    </row>
    <row r="269" spans="1:9" x14ac:dyDescent="0.25">
      <c r="A269" t="s">
        <v>212</v>
      </c>
      <c r="B269" t="s">
        <v>2</v>
      </c>
      <c r="C269" t="s">
        <v>212</v>
      </c>
      <c r="D269">
        <v>16820</v>
      </c>
      <c r="E269" t="s">
        <v>669</v>
      </c>
      <c r="F269" t="s">
        <v>118</v>
      </c>
      <c r="G269" t="s">
        <v>670</v>
      </c>
      <c r="H269" t="s">
        <v>670</v>
      </c>
      <c r="I269">
        <v>1.8751721376485651</v>
      </c>
    </row>
    <row r="270" spans="1:9" x14ac:dyDescent="0.25">
      <c r="A270" t="s">
        <v>212</v>
      </c>
      <c r="B270" t="s">
        <v>2</v>
      </c>
      <c r="C270" t="s">
        <v>212</v>
      </c>
      <c r="D270">
        <v>16820</v>
      </c>
      <c r="E270" t="s">
        <v>671</v>
      </c>
      <c r="F270" t="s">
        <v>116</v>
      </c>
      <c r="G270" t="s">
        <v>670</v>
      </c>
      <c r="H270" t="s">
        <v>670</v>
      </c>
      <c r="I270">
        <v>0.66087457327416876</v>
      </c>
    </row>
    <row r="271" spans="1:9" x14ac:dyDescent="0.25">
      <c r="A271" t="s">
        <v>212</v>
      </c>
      <c r="B271" t="s">
        <v>2</v>
      </c>
      <c r="C271" t="s">
        <v>212</v>
      </c>
      <c r="D271">
        <v>16820</v>
      </c>
      <c r="E271" t="s">
        <v>672</v>
      </c>
      <c r="F271" t="s">
        <v>3</v>
      </c>
      <c r="G271" t="s">
        <v>670</v>
      </c>
      <c r="H271" t="s">
        <v>670</v>
      </c>
      <c r="I271">
        <v>1.8460000000000001</v>
      </c>
    </row>
    <row r="272" spans="1:9" x14ac:dyDescent="0.25">
      <c r="A272" t="s">
        <v>212</v>
      </c>
      <c r="B272" t="s">
        <v>2</v>
      </c>
      <c r="C272" t="s">
        <v>212</v>
      </c>
      <c r="D272">
        <v>16820</v>
      </c>
      <c r="E272" t="s">
        <v>672</v>
      </c>
      <c r="F272" t="s">
        <v>113</v>
      </c>
      <c r="G272" t="s">
        <v>670</v>
      </c>
      <c r="H272" t="s">
        <v>670</v>
      </c>
      <c r="I272">
        <v>1.87</v>
      </c>
    </row>
    <row r="273" spans="1:9" x14ac:dyDescent="0.25">
      <c r="A273" t="s">
        <v>213</v>
      </c>
      <c r="B273" t="s">
        <v>2</v>
      </c>
      <c r="C273" t="s">
        <v>213</v>
      </c>
      <c r="D273">
        <v>16860</v>
      </c>
      <c r="E273" t="s">
        <v>669</v>
      </c>
      <c r="F273" t="s">
        <v>118</v>
      </c>
      <c r="G273" t="s">
        <v>670</v>
      </c>
      <c r="H273" t="s">
        <v>670</v>
      </c>
      <c r="I273">
        <v>1.3655338962657608</v>
      </c>
    </row>
    <row r="274" spans="1:9" x14ac:dyDescent="0.25">
      <c r="A274" t="s">
        <v>213</v>
      </c>
      <c r="B274" t="s">
        <v>2</v>
      </c>
      <c r="C274" t="s">
        <v>213</v>
      </c>
      <c r="D274">
        <v>16860</v>
      </c>
      <c r="E274" t="s">
        <v>671</v>
      </c>
      <c r="F274" t="s">
        <v>116</v>
      </c>
      <c r="G274" t="s">
        <v>670</v>
      </c>
      <c r="H274" t="s">
        <v>670</v>
      </c>
      <c r="I274">
        <v>0.51870587851697725</v>
      </c>
    </row>
    <row r="275" spans="1:9" x14ac:dyDescent="0.25">
      <c r="A275" t="s">
        <v>213</v>
      </c>
      <c r="B275" t="s">
        <v>2</v>
      </c>
      <c r="C275" t="s">
        <v>213</v>
      </c>
      <c r="D275">
        <v>16860</v>
      </c>
      <c r="E275" t="s">
        <v>672</v>
      </c>
      <c r="F275" t="s">
        <v>3</v>
      </c>
      <c r="G275" t="s">
        <v>670</v>
      </c>
      <c r="H275" t="s">
        <v>670</v>
      </c>
      <c r="I275">
        <v>1.3939999999999999</v>
      </c>
    </row>
    <row r="276" spans="1:9" x14ac:dyDescent="0.25">
      <c r="A276" t="s">
        <v>213</v>
      </c>
      <c r="B276" t="s">
        <v>2</v>
      </c>
      <c r="C276" t="s">
        <v>213</v>
      </c>
      <c r="D276">
        <v>16860</v>
      </c>
      <c r="E276" t="s">
        <v>672</v>
      </c>
      <c r="F276" t="s">
        <v>113</v>
      </c>
      <c r="G276" t="s">
        <v>670</v>
      </c>
      <c r="H276" t="s">
        <v>670</v>
      </c>
      <c r="I276">
        <v>1.423</v>
      </c>
    </row>
    <row r="277" spans="1:9" x14ac:dyDescent="0.25">
      <c r="A277" t="s">
        <v>214</v>
      </c>
      <c r="B277" t="s">
        <v>2</v>
      </c>
      <c r="C277" t="s">
        <v>214</v>
      </c>
      <c r="D277">
        <v>16940</v>
      </c>
      <c r="E277" t="s">
        <v>672</v>
      </c>
      <c r="F277" t="s">
        <v>3</v>
      </c>
      <c r="G277" t="s">
        <v>670</v>
      </c>
      <c r="H277" t="s">
        <v>670</v>
      </c>
      <c r="I277">
        <v>1.6020000000000001</v>
      </c>
    </row>
    <row r="278" spans="1:9" x14ac:dyDescent="0.25">
      <c r="A278" t="s">
        <v>214</v>
      </c>
      <c r="B278" t="s">
        <v>2</v>
      </c>
      <c r="C278" t="s">
        <v>214</v>
      </c>
      <c r="D278">
        <v>16940</v>
      </c>
      <c r="E278" t="s">
        <v>672</v>
      </c>
      <c r="F278" t="s">
        <v>113</v>
      </c>
      <c r="G278" t="s">
        <v>670</v>
      </c>
      <c r="H278" t="s">
        <v>670</v>
      </c>
      <c r="I278">
        <v>1.6080000000000001</v>
      </c>
    </row>
    <row r="279" spans="1:9" x14ac:dyDescent="0.25">
      <c r="A279" t="s">
        <v>215</v>
      </c>
      <c r="B279" t="s">
        <v>2</v>
      </c>
      <c r="C279" t="s">
        <v>215</v>
      </c>
      <c r="D279">
        <v>216980</v>
      </c>
      <c r="E279" t="s">
        <v>669</v>
      </c>
      <c r="F279" t="s">
        <v>118</v>
      </c>
      <c r="G279" t="s">
        <v>670</v>
      </c>
      <c r="H279" t="s">
        <v>670</v>
      </c>
      <c r="I279">
        <v>2.5934499143911394</v>
      </c>
    </row>
    <row r="280" spans="1:9" x14ac:dyDescent="0.25">
      <c r="A280" t="s">
        <v>215</v>
      </c>
      <c r="B280" t="s">
        <v>2</v>
      </c>
      <c r="C280" t="s">
        <v>215</v>
      </c>
      <c r="D280">
        <v>216980</v>
      </c>
      <c r="E280" t="s">
        <v>671</v>
      </c>
      <c r="F280" t="s">
        <v>116</v>
      </c>
      <c r="G280" t="s">
        <v>670</v>
      </c>
      <c r="H280" t="s">
        <v>670</v>
      </c>
      <c r="I280">
        <v>0.56538754925837786</v>
      </c>
    </row>
    <row r="281" spans="1:9" x14ac:dyDescent="0.25">
      <c r="A281" t="s">
        <v>215</v>
      </c>
      <c r="B281" t="s">
        <v>2</v>
      </c>
      <c r="C281" t="s">
        <v>215</v>
      </c>
      <c r="D281">
        <v>216980</v>
      </c>
      <c r="E281" t="s">
        <v>672</v>
      </c>
      <c r="F281" t="s">
        <v>3</v>
      </c>
      <c r="G281" t="s">
        <v>670</v>
      </c>
      <c r="H281" t="s">
        <v>670</v>
      </c>
      <c r="I281">
        <v>2.6080000000000001</v>
      </c>
    </row>
    <row r="282" spans="1:9" x14ac:dyDescent="0.25">
      <c r="A282" t="s">
        <v>215</v>
      </c>
      <c r="B282" t="s">
        <v>2</v>
      </c>
      <c r="C282" t="s">
        <v>215</v>
      </c>
      <c r="D282">
        <v>216980</v>
      </c>
      <c r="E282" t="s">
        <v>672</v>
      </c>
      <c r="F282" t="s">
        <v>113</v>
      </c>
      <c r="G282" t="s">
        <v>670</v>
      </c>
      <c r="H282" t="s">
        <v>670</v>
      </c>
      <c r="I282">
        <v>2.6219999999999999</v>
      </c>
    </row>
    <row r="283" spans="1:9" x14ac:dyDescent="0.25">
      <c r="A283" t="s">
        <v>216</v>
      </c>
      <c r="B283" t="s">
        <v>2</v>
      </c>
      <c r="C283" t="s">
        <v>216</v>
      </c>
      <c r="D283">
        <v>17020</v>
      </c>
      <c r="E283" t="s">
        <v>669</v>
      </c>
      <c r="F283" t="s">
        <v>118</v>
      </c>
      <c r="G283" t="s">
        <v>670</v>
      </c>
      <c r="H283" t="s">
        <v>670</v>
      </c>
      <c r="I283">
        <v>1.5043433810617994</v>
      </c>
    </row>
    <row r="284" spans="1:9" x14ac:dyDescent="0.25">
      <c r="A284" t="s">
        <v>216</v>
      </c>
      <c r="B284" t="s">
        <v>2</v>
      </c>
      <c r="C284" t="s">
        <v>216</v>
      </c>
      <c r="D284">
        <v>17020</v>
      </c>
      <c r="E284" t="s">
        <v>672</v>
      </c>
      <c r="F284" t="s">
        <v>3</v>
      </c>
      <c r="G284" t="s">
        <v>670</v>
      </c>
      <c r="H284" t="s">
        <v>670</v>
      </c>
      <c r="I284">
        <v>1.744</v>
      </c>
    </row>
    <row r="285" spans="1:9" x14ac:dyDescent="0.25">
      <c r="A285" t="s">
        <v>216</v>
      </c>
      <c r="B285" t="s">
        <v>2</v>
      </c>
      <c r="C285" t="s">
        <v>216</v>
      </c>
      <c r="D285">
        <v>17020</v>
      </c>
      <c r="E285" t="s">
        <v>672</v>
      </c>
      <c r="F285" t="s">
        <v>113</v>
      </c>
      <c r="G285" t="s">
        <v>670</v>
      </c>
      <c r="H285" t="s">
        <v>670</v>
      </c>
      <c r="I285">
        <v>1.7569999999999999</v>
      </c>
    </row>
    <row r="286" spans="1:9" x14ac:dyDescent="0.25">
      <c r="A286" t="s">
        <v>217</v>
      </c>
      <c r="B286" t="s">
        <v>2</v>
      </c>
      <c r="C286" t="s">
        <v>217</v>
      </c>
      <c r="D286">
        <v>17060</v>
      </c>
      <c r="E286" t="s">
        <v>672</v>
      </c>
      <c r="F286" t="s">
        <v>3</v>
      </c>
      <c r="G286" t="s">
        <v>670</v>
      </c>
      <c r="H286" t="s">
        <v>670</v>
      </c>
      <c r="I286" t="s">
        <v>673</v>
      </c>
    </row>
    <row r="287" spans="1:9" x14ac:dyDescent="0.25">
      <c r="A287" t="s">
        <v>217</v>
      </c>
      <c r="B287" t="s">
        <v>2</v>
      </c>
      <c r="C287" t="s">
        <v>217</v>
      </c>
      <c r="D287">
        <v>17060</v>
      </c>
      <c r="E287" t="s">
        <v>672</v>
      </c>
      <c r="F287" t="s">
        <v>113</v>
      </c>
      <c r="G287" t="s">
        <v>670</v>
      </c>
      <c r="H287" t="s">
        <v>670</v>
      </c>
      <c r="I287" t="s">
        <v>673</v>
      </c>
    </row>
    <row r="288" spans="1:9" x14ac:dyDescent="0.25">
      <c r="A288" t="s">
        <v>218</v>
      </c>
      <c r="B288" t="s">
        <v>2</v>
      </c>
      <c r="C288" t="s">
        <v>218</v>
      </c>
      <c r="D288">
        <v>17140</v>
      </c>
      <c r="E288" t="s">
        <v>669</v>
      </c>
      <c r="F288" t="s">
        <v>118</v>
      </c>
      <c r="G288" t="s">
        <v>670</v>
      </c>
      <c r="H288" t="s">
        <v>670</v>
      </c>
      <c r="I288">
        <v>1.5863210231432918</v>
      </c>
    </row>
    <row r="289" spans="1:9" x14ac:dyDescent="0.25">
      <c r="A289" t="s">
        <v>218</v>
      </c>
      <c r="B289" t="s">
        <v>2</v>
      </c>
      <c r="C289" t="s">
        <v>218</v>
      </c>
      <c r="D289">
        <v>17140</v>
      </c>
      <c r="E289" t="s">
        <v>671</v>
      </c>
      <c r="F289" t="s">
        <v>116</v>
      </c>
      <c r="G289" t="s">
        <v>670</v>
      </c>
      <c r="H289" t="s">
        <v>670</v>
      </c>
      <c r="I289">
        <v>0.53552098697281492</v>
      </c>
    </row>
    <row r="290" spans="1:9" x14ac:dyDescent="0.25">
      <c r="A290" t="s">
        <v>218</v>
      </c>
      <c r="B290" t="s">
        <v>2</v>
      </c>
      <c r="C290" t="s">
        <v>218</v>
      </c>
      <c r="D290">
        <v>17140</v>
      </c>
      <c r="E290" t="s">
        <v>672</v>
      </c>
      <c r="F290" t="s">
        <v>3</v>
      </c>
      <c r="G290" t="s">
        <v>670</v>
      </c>
      <c r="H290" t="s">
        <v>670</v>
      </c>
      <c r="I290">
        <v>1.599</v>
      </c>
    </row>
    <row r="291" spans="1:9" x14ac:dyDescent="0.25">
      <c r="A291" t="s">
        <v>218</v>
      </c>
      <c r="B291" t="s">
        <v>2</v>
      </c>
      <c r="C291" t="s">
        <v>218</v>
      </c>
      <c r="D291">
        <v>17140</v>
      </c>
      <c r="E291" t="s">
        <v>672</v>
      </c>
      <c r="F291" t="s">
        <v>113</v>
      </c>
      <c r="G291" t="s">
        <v>670</v>
      </c>
      <c r="H291" t="s">
        <v>670</v>
      </c>
      <c r="I291">
        <v>1.6080000000000001</v>
      </c>
    </row>
    <row r="292" spans="1:9" x14ac:dyDescent="0.25">
      <c r="A292" t="s">
        <v>219</v>
      </c>
      <c r="B292" t="s">
        <v>2</v>
      </c>
      <c r="C292" t="s">
        <v>219</v>
      </c>
      <c r="D292">
        <v>17300</v>
      </c>
      <c r="E292" t="s">
        <v>669</v>
      </c>
      <c r="F292" t="s">
        <v>118</v>
      </c>
      <c r="G292" t="s">
        <v>670</v>
      </c>
      <c r="H292" t="s">
        <v>670</v>
      </c>
      <c r="I292">
        <v>1.1709025860463909</v>
      </c>
    </row>
    <row r="293" spans="1:9" x14ac:dyDescent="0.25">
      <c r="A293" t="s">
        <v>219</v>
      </c>
      <c r="B293" t="s">
        <v>2</v>
      </c>
      <c r="C293" t="s">
        <v>219</v>
      </c>
      <c r="D293">
        <v>17300</v>
      </c>
      <c r="E293" t="s">
        <v>671</v>
      </c>
      <c r="F293" t="s">
        <v>116</v>
      </c>
      <c r="G293" t="s">
        <v>670</v>
      </c>
      <c r="H293" t="s">
        <v>670</v>
      </c>
      <c r="I293">
        <v>0.50376650178366389</v>
      </c>
    </row>
    <row r="294" spans="1:9" x14ac:dyDescent="0.25">
      <c r="A294" t="s">
        <v>219</v>
      </c>
      <c r="B294" t="s">
        <v>2</v>
      </c>
      <c r="C294" t="s">
        <v>219</v>
      </c>
      <c r="D294">
        <v>17300</v>
      </c>
      <c r="E294" t="s">
        <v>672</v>
      </c>
      <c r="F294" t="s">
        <v>3</v>
      </c>
      <c r="G294" t="s">
        <v>670</v>
      </c>
      <c r="H294" t="s">
        <v>670</v>
      </c>
      <c r="I294">
        <v>1.1850000000000001</v>
      </c>
    </row>
    <row r="295" spans="1:9" x14ac:dyDescent="0.25">
      <c r="A295" t="s">
        <v>219</v>
      </c>
      <c r="B295" t="s">
        <v>2</v>
      </c>
      <c r="C295" t="s">
        <v>219</v>
      </c>
      <c r="D295">
        <v>17300</v>
      </c>
      <c r="E295" t="s">
        <v>672</v>
      </c>
      <c r="F295" t="s">
        <v>113</v>
      </c>
      <c r="G295" t="s">
        <v>670</v>
      </c>
      <c r="H295" t="s">
        <v>670</v>
      </c>
      <c r="I295">
        <v>1.2</v>
      </c>
    </row>
    <row r="296" spans="1:9" x14ac:dyDescent="0.25">
      <c r="A296" t="s">
        <v>220</v>
      </c>
      <c r="B296" t="s">
        <v>2</v>
      </c>
      <c r="C296" t="s">
        <v>220</v>
      </c>
      <c r="D296">
        <v>17410</v>
      </c>
      <c r="E296" t="s">
        <v>669</v>
      </c>
      <c r="F296" t="s">
        <v>118</v>
      </c>
      <c r="G296" t="s">
        <v>670</v>
      </c>
      <c r="H296" t="s">
        <v>670</v>
      </c>
      <c r="I296">
        <v>1.4952371382398078</v>
      </c>
    </row>
    <row r="297" spans="1:9" x14ac:dyDescent="0.25">
      <c r="A297" t="s">
        <v>220</v>
      </c>
      <c r="B297" t="s">
        <v>2</v>
      </c>
      <c r="C297" t="s">
        <v>220</v>
      </c>
      <c r="D297">
        <v>17410</v>
      </c>
      <c r="E297" t="s">
        <v>671</v>
      </c>
      <c r="F297" t="s">
        <v>116</v>
      </c>
      <c r="G297" t="s">
        <v>670</v>
      </c>
      <c r="H297" t="s">
        <v>670</v>
      </c>
      <c r="I297">
        <v>0.48464199652950446</v>
      </c>
    </row>
    <row r="298" spans="1:9" x14ac:dyDescent="0.25">
      <c r="A298" t="s">
        <v>220</v>
      </c>
      <c r="B298" t="s">
        <v>2</v>
      </c>
      <c r="C298" t="s">
        <v>220</v>
      </c>
      <c r="D298">
        <v>17410</v>
      </c>
      <c r="E298" t="s">
        <v>672</v>
      </c>
      <c r="F298" t="s">
        <v>3</v>
      </c>
      <c r="G298" t="s">
        <v>670</v>
      </c>
      <c r="H298" t="s">
        <v>670</v>
      </c>
      <c r="I298">
        <v>1.577</v>
      </c>
    </row>
    <row r="299" spans="1:9" x14ac:dyDescent="0.25">
      <c r="A299" t="s">
        <v>220</v>
      </c>
      <c r="B299" t="s">
        <v>2</v>
      </c>
      <c r="C299" t="s">
        <v>220</v>
      </c>
      <c r="D299">
        <v>17410</v>
      </c>
      <c r="E299" t="s">
        <v>672</v>
      </c>
      <c r="F299" t="s">
        <v>113</v>
      </c>
      <c r="G299" t="s">
        <v>670</v>
      </c>
      <c r="H299" t="s">
        <v>670</v>
      </c>
      <c r="I299">
        <v>1.5960000000000001</v>
      </c>
    </row>
    <row r="300" spans="1:9" x14ac:dyDescent="0.25">
      <c r="A300" t="s">
        <v>221</v>
      </c>
      <c r="B300" t="s">
        <v>2</v>
      </c>
      <c r="C300" t="s">
        <v>221</v>
      </c>
      <c r="D300">
        <v>17420</v>
      </c>
      <c r="E300" t="s">
        <v>672</v>
      </c>
      <c r="F300" t="s">
        <v>3</v>
      </c>
      <c r="G300" t="s">
        <v>670</v>
      </c>
      <c r="H300" t="s">
        <v>670</v>
      </c>
      <c r="I300">
        <v>1.329</v>
      </c>
    </row>
    <row r="301" spans="1:9" x14ac:dyDescent="0.25">
      <c r="A301" t="s">
        <v>221</v>
      </c>
      <c r="B301" t="s">
        <v>2</v>
      </c>
      <c r="C301" t="s">
        <v>221</v>
      </c>
      <c r="D301">
        <v>17420</v>
      </c>
      <c r="E301" t="s">
        <v>672</v>
      </c>
      <c r="F301" t="s">
        <v>113</v>
      </c>
      <c r="G301" t="s">
        <v>670</v>
      </c>
      <c r="H301" t="s">
        <v>670</v>
      </c>
      <c r="I301">
        <v>1.367</v>
      </c>
    </row>
    <row r="302" spans="1:9" x14ac:dyDescent="0.25">
      <c r="A302" t="s">
        <v>222</v>
      </c>
      <c r="B302" t="s">
        <v>2</v>
      </c>
      <c r="C302" t="s">
        <v>222</v>
      </c>
      <c r="D302">
        <v>17540</v>
      </c>
      <c r="E302" t="s">
        <v>672</v>
      </c>
      <c r="F302" t="s">
        <v>3</v>
      </c>
      <c r="G302" t="s">
        <v>670</v>
      </c>
      <c r="H302" t="s">
        <v>670</v>
      </c>
      <c r="I302" t="s">
        <v>673</v>
      </c>
    </row>
    <row r="303" spans="1:9" x14ac:dyDescent="0.25">
      <c r="A303" t="s">
        <v>222</v>
      </c>
      <c r="B303" t="s">
        <v>2</v>
      </c>
      <c r="C303" t="s">
        <v>222</v>
      </c>
      <c r="D303">
        <v>17540</v>
      </c>
      <c r="E303" t="s">
        <v>672</v>
      </c>
      <c r="F303" t="s">
        <v>113</v>
      </c>
      <c r="G303" t="s">
        <v>670</v>
      </c>
      <c r="H303" t="s">
        <v>670</v>
      </c>
      <c r="I303" t="s">
        <v>673</v>
      </c>
    </row>
    <row r="304" spans="1:9" x14ac:dyDescent="0.25">
      <c r="A304" t="s">
        <v>223</v>
      </c>
      <c r="B304" t="s">
        <v>2</v>
      </c>
      <c r="C304" t="s">
        <v>223</v>
      </c>
      <c r="D304">
        <v>17580</v>
      </c>
      <c r="E304" t="s">
        <v>672</v>
      </c>
      <c r="F304" t="s">
        <v>3</v>
      </c>
      <c r="G304" t="s">
        <v>670</v>
      </c>
      <c r="H304" t="s">
        <v>670</v>
      </c>
      <c r="I304" t="s">
        <v>673</v>
      </c>
    </row>
    <row r="305" spans="1:9" x14ac:dyDescent="0.25">
      <c r="A305" t="s">
        <v>223</v>
      </c>
      <c r="B305" t="s">
        <v>2</v>
      </c>
      <c r="C305" t="s">
        <v>223</v>
      </c>
      <c r="D305">
        <v>17580</v>
      </c>
      <c r="E305" t="s">
        <v>672</v>
      </c>
      <c r="F305" t="s">
        <v>113</v>
      </c>
      <c r="G305" t="s">
        <v>670</v>
      </c>
      <c r="H305" t="s">
        <v>670</v>
      </c>
      <c r="I305" t="s">
        <v>673</v>
      </c>
    </row>
    <row r="306" spans="1:9" x14ac:dyDescent="0.25">
      <c r="A306" t="s">
        <v>224</v>
      </c>
      <c r="B306" t="s">
        <v>2</v>
      </c>
      <c r="C306" t="s">
        <v>224</v>
      </c>
      <c r="D306">
        <v>17660</v>
      </c>
      <c r="E306" t="s">
        <v>672</v>
      </c>
      <c r="F306" t="s">
        <v>3</v>
      </c>
      <c r="G306" t="s">
        <v>670</v>
      </c>
      <c r="H306" t="s">
        <v>670</v>
      </c>
      <c r="I306">
        <v>1.6439999999999999</v>
      </c>
    </row>
    <row r="307" spans="1:9" x14ac:dyDescent="0.25">
      <c r="A307" t="s">
        <v>224</v>
      </c>
      <c r="B307" t="s">
        <v>2</v>
      </c>
      <c r="C307" t="s">
        <v>224</v>
      </c>
      <c r="D307">
        <v>17660</v>
      </c>
      <c r="E307" t="s">
        <v>672</v>
      </c>
      <c r="F307" t="s">
        <v>113</v>
      </c>
      <c r="G307" t="s">
        <v>670</v>
      </c>
      <c r="H307" t="s">
        <v>670</v>
      </c>
      <c r="I307">
        <v>1.665</v>
      </c>
    </row>
    <row r="308" spans="1:9" x14ac:dyDescent="0.25">
      <c r="A308" t="s">
        <v>225</v>
      </c>
      <c r="B308" t="s">
        <v>2</v>
      </c>
      <c r="C308" t="s">
        <v>225</v>
      </c>
      <c r="D308">
        <v>17740</v>
      </c>
      <c r="E308" t="s">
        <v>669</v>
      </c>
      <c r="F308" t="s">
        <v>118</v>
      </c>
      <c r="G308" t="s">
        <v>670</v>
      </c>
      <c r="H308" t="s">
        <v>670</v>
      </c>
      <c r="I308">
        <v>1.4624169658819965</v>
      </c>
    </row>
    <row r="309" spans="1:9" x14ac:dyDescent="0.25">
      <c r="A309" t="s">
        <v>225</v>
      </c>
      <c r="B309" t="s">
        <v>2</v>
      </c>
      <c r="C309" t="s">
        <v>225</v>
      </c>
      <c r="D309">
        <v>17740</v>
      </c>
      <c r="E309" t="s">
        <v>672</v>
      </c>
      <c r="F309" t="s">
        <v>3</v>
      </c>
      <c r="G309" t="s">
        <v>670</v>
      </c>
      <c r="H309" t="s">
        <v>670</v>
      </c>
      <c r="I309">
        <v>1.5569999999999999</v>
      </c>
    </row>
    <row r="310" spans="1:9" x14ac:dyDescent="0.25">
      <c r="A310" t="s">
        <v>225</v>
      </c>
      <c r="B310" t="s">
        <v>2</v>
      </c>
      <c r="C310" t="s">
        <v>225</v>
      </c>
      <c r="D310">
        <v>17740</v>
      </c>
      <c r="E310" t="s">
        <v>672</v>
      </c>
      <c r="F310" t="s">
        <v>113</v>
      </c>
      <c r="G310" t="s">
        <v>670</v>
      </c>
      <c r="H310" t="s">
        <v>670</v>
      </c>
      <c r="I310">
        <v>1.5569999999999999</v>
      </c>
    </row>
    <row r="311" spans="1:9" x14ac:dyDescent="0.25">
      <c r="A311" t="s">
        <v>226</v>
      </c>
      <c r="B311" t="s">
        <v>2</v>
      </c>
      <c r="C311" t="s">
        <v>226</v>
      </c>
      <c r="D311">
        <v>17780</v>
      </c>
      <c r="E311" t="s">
        <v>669</v>
      </c>
      <c r="F311" t="s">
        <v>118</v>
      </c>
      <c r="G311" t="s">
        <v>670</v>
      </c>
      <c r="H311" t="s">
        <v>670</v>
      </c>
      <c r="I311">
        <v>2.0201801830838626</v>
      </c>
    </row>
    <row r="312" spans="1:9" x14ac:dyDescent="0.25">
      <c r="A312" t="s">
        <v>226</v>
      </c>
      <c r="B312" t="s">
        <v>2</v>
      </c>
      <c r="C312" t="s">
        <v>226</v>
      </c>
      <c r="D312">
        <v>17780</v>
      </c>
      <c r="E312" t="s">
        <v>671</v>
      </c>
      <c r="F312" t="s">
        <v>116</v>
      </c>
      <c r="G312" t="s">
        <v>670</v>
      </c>
      <c r="H312" t="s">
        <v>670</v>
      </c>
      <c r="I312">
        <v>0.46041780257487985</v>
      </c>
    </row>
    <row r="313" spans="1:9" x14ac:dyDescent="0.25">
      <c r="A313" t="s">
        <v>226</v>
      </c>
      <c r="B313" t="s">
        <v>2</v>
      </c>
      <c r="C313" t="s">
        <v>226</v>
      </c>
      <c r="D313">
        <v>17780</v>
      </c>
      <c r="E313" t="s">
        <v>672</v>
      </c>
      <c r="F313" t="s">
        <v>3</v>
      </c>
      <c r="G313" t="s">
        <v>670</v>
      </c>
      <c r="H313" t="s">
        <v>670</v>
      </c>
      <c r="I313">
        <v>1.413</v>
      </c>
    </row>
    <row r="314" spans="1:9" x14ac:dyDescent="0.25">
      <c r="A314" t="s">
        <v>226</v>
      </c>
      <c r="B314" t="s">
        <v>2</v>
      </c>
      <c r="C314" t="s">
        <v>226</v>
      </c>
      <c r="D314">
        <v>17780</v>
      </c>
      <c r="E314" t="s">
        <v>672</v>
      </c>
      <c r="F314" t="s">
        <v>113</v>
      </c>
      <c r="G314" t="s">
        <v>670</v>
      </c>
      <c r="H314" t="s">
        <v>670</v>
      </c>
      <c r="I314">
        <v>1.4239999999999999</v>
      </c>
    </row>
    <row r="315" spans="1:9" x14ac:dyDescent="0.25">
      <c r="A315" t="s">
        <v>25</v>
      </c>
      <c r="B315" t="s">
        <v>2</v>
      </c>
      <c r="C315" t="s">
        <v>25</v>
      </c>
      <c r="D315">
        <v>17820</v>
      </c>
      <c r="E315" t="s">
        <v>669</v>
      </c>
      <c r="F315" t="s">
        <v>118</v>
      </c>
      <c r="G315" t="s">
        <v>670</v>
      </c>
      <c r="H315" t="s">
        <v>670</v>
      </c>
      <c r="I315">
        <v>1.7080172081681944</v>
      </c>
    </row>
    <row r="316" spans="1:9" x14ac:dyDescent="0.25">
      <c r="A316" t="s">
        <v>25</v>
      </c>
      <c r="B316" t="s">
        <v>2</v>
      </c>
      <c r="C316" t="s">
        <v>25</v>
      </c>
      <c r="D316">
        <v>17820</v>
      </c>
      <c r="E316" t="s">
        <v>671</v>
      </c>
      <c r="F316" t="s">
        <v>116</v>
      </c>
      <c r="G316" t="s">
        <v>670</v>
      </c>
      <c r="H316" t="s">
        <v>670</v>
      </c>
      <c r="I316">
        <v>0.63711024901591229</v>
      </c>
    </row>
    <row r="317" spans="1:9" x14ac:dyDescent="0.25">
      <c r="A317" t="s">
        <v>25</v>
      </c>
      <c r="B317" t="s">
        <v>2</v>
      </c>
      <c r="C317" t="s">
        <v>25</v>
      </c>
      <c r="D317">
        <v>17820</v>
      </c>
      <c r="E317" t="s">
        <v>672</v>
      </c>
      <c r="F317" t="s">
        <v>3</v>
      </c>
      <c r="G317" t="s">
        <v>670</v>
      </c>
      <c r="H317" t="s">
        <v>670</v>
      </c>
      <c r="I317">
        <v>1.651</v>
      </c>
    </row>
    <row r="318" spans="1:9" x14ac:dyDescent="0.25">
      <c r="A318" t="s">
        <v>25</v>
      </c>
      <c r="B318" t="s">
        <v>2</v>
      </c>
      <c r="C318" t="s">
        <v>25</v>
      </c>
      <c r="D318">
        <v>17820</v>
      </c>
      <c r="E318" t="s">
        <v>672</v>
      </c>
      <c r="F318" t="s">
        <v>113</v>
      </c>
      <c r="G318" t="s">
        <v>670</v>
      </c>
      <c r="H318" t="s">
        <v>670</v>
      </c>
      <c r="I318">
        <v>1.6990000000000001</v>
      </c>
    </row>
    <row r="319" spans="1:9" x14ac:dyDescent="0.25">
      <c r="A319" t="s">
        <v>227</v>
      </c>
      <c r="B319" t="s">
        <v>2</v>
      </c>
      <c r="C319" t="s">
        <v>227</v>
      </c>
      <c r="D319">
        <v>17860</v>
      </c>
      <c r="E319" t="s">
        <v>669</v>
      </c>
      <c r="F319" t="s">
        <v>118</v>
      </c>
      <c r="G319" t="s">
        <v>670</v>
      </c>
      <c r="H319" t="s">
        <v>670</v>
      </c>
      <c r="I319">
        <v>1.3258698407237961</v>
      </c>
    </row>
    <row r="320" spans="1:9" x14ac:dyDescent="0.25">
      <c r="A320" t="s">
        <v>227</v>
      </c>
      <c r="B320" t="s">
        <v>2</v>
      </c>
      <c r="C320" t="s">
        <v>227</v>
      </c>
      <c r="D320">
        <v>17860</v>
      </c>
      <c r="E320" t="s">
        <v>672</v>
      </c>
      <c r="F320" t="s">
        <v>3</v>
      </c>
      <c r="G320" t="s">
        <v>670</v>
      </c>
      <c r="H320" t="s">
        <v>670</v>
      </c>
      <c r="I320">
        <v>1.25</v>
      </c>
    </row>
    <row r="321" spans="1:9" x14ac:dyDescent="0.25">
      <c r="A321" t="s">
        <v>227</v>
      </c>
      <c r="B321" t="s">
        <v>2</v>
      </c>
      <c r="C321" t="s">
        <v>227</v>
      </c>
      <c r="D321">
        <v>17860</v>
      </c>
      <c r="E321" t="s">
        <v>672</v>
      </c>
      <c r="F321" t="s">
        <v>113</v>
      </c>
      <c r="G321" t="s">
        <v>670</v>
      </c>
      <c r="H321" t="s">
        <v>670</v>
      </c>
      <c r="I321">
        <v>1.25</v>
      </c>
    </row>
    <row r="322" spans="1:9" x14ac:dyDescent="0.25">
      <c r="A322" t="s">
        <v>228</v>
      </c>
      <c r="B322" t="s">
        <v>2</v>
      </c>
      <c r="C322" t="s">
        <v>228</v>
      </c>
      <c r="D322">
        <v>17900</v>
      </c>
      <c r="E322" t="s">
        <v>669</v>
      </c>
      <c r="F322" t="s">
        <v>118</v>
      </c>
      <c r="G322" t="s">
        <v>670</v>
      </c>
      <c r="H322" t="s">
        <v>670</v>
      </c>
      <c r="I322">
        <v>1.3499037396812623</v>
      </c>
    </row>
    <row r="323" spans="1:9" x14ac:dyDescent="0.25">
      <c r="A323" t="s">
        <v>228</v>
      </c>
      <c r="B323" t="s">
        <v>2</v>
      </c>
      <c r="C323" t="s">
        <v>228</v>
      </c>
      <c r="D323">
        <v>17900</v>
      </c>
      <c r="E323" t="s">
        <v>671</v>
      </c>
      <c r="F323" t="s">
        <v>116</v>
      </c>
      <c r="G323" t="s">
        <v>670</v>
      </c>
      <c r="H323" t="s">
        <v>670</v>
      </c>
      <c r="I323">
        <v>0.56928918298575593</v>
      </c>
    </row>
    <row r="324" spans="1:9" x14ac:dyDescent="0.25">
      <c r="A324" t="s">
        <v>228</v>
      </c>
      <c r="B324" t="s">
        <v>2</v>
      </c>
      <c r="C324" t="s">
        <v>228</v>
      </c>
      <c r="D324">
        <v>17900</v>
      </c>
      <c r="E324" t="s">
        <v>672</v>
      </c>
      <c r="F324" t="s">
        <v>3</v>
      </c>
      <c r="G324" t="s">
        <v>670</v>
      </c>
      <c r="H324" t="s">
        <v>670</v>
      </c>
      <c r="I324">
        <v>1.3440000000000001</v>
      </c>
    </row>
    <row r="325" spans="1:9" x14ac:dyDescent="0.25">
      <c r="A325" t="s">
        <v>228</v>
      </c>
      <c r="B325" t="s">
        <v>2</v>
      </c>
      <c r="C325" t="s">
        <v>228</v>
      </c>
      <c r="D325">
        <v>17900</v>
      </c>
      <c r="E325" t="s">
        <v>672</v>
      </c>
      <c r="F325" t="s">
        <v>113</v>
      </c>
      <c r="G325" t="s">
        <v>670</v>
      </c>
      <c r="H325" t="s">
        <v>670</v>
      </c>
      <c r="I325">
        <v>1.359</v>
      </c>
    </row>
    <row r="326" spans="1:9" x14ac:dyDescent="0.25">
      <c r="A326" t="s">
        <v>229</v>
      </c>
      <c r="B326" t="s">
        <v>2</v>
      </c>
      <c r="C326" t="s">
        <v>229</v>
      </c>
      <c r="D326">
        <v>17980</v>
      </c>
      <c r="E326" t="s">
        <v>669</v>
      </c>
      <c r="F326" t="s">
        <v>118</v>
      </c>
      <c r="G326" t="s">
        <v>670</v>
      </c>
      <c r="H326" t="s">
        <v>670</v>
      </c>
      <c r="I326">
        <v>1.0436411794082079</v>
      </c>
    </row>
    <row r="327" spans="1:9" x14ac:dyDescent="0.25">
      <c r="A327" t="s">
        <v>229</v>
      </c>
      <c r="B327" t="s">
        <v>2</v>
      </c>
      <c r="C327" t="s">
        <v>229</v>
      </c>
      <c r="D327">
        <v>17980</v>
      </c>
      <c r="E327" t="s">
        <v>671</v>
      </c>
      <c r="F327" t="s">
        <v>116</v>
      </c>
      <c r="G327" t="s">
        <v>670</v>
      </c>
      <c r="H327" t="s">
        <v>670</v>
      </c>
      <c r="I327">
        <v>0.61215558549379645</v>
      </c>
    </row>
    <row r="328" spans="1:9" x14ac:dyDescent="0.25">
      <c r="A328" t="s">
        <v>229</v>
      </c>
      <c r="B328" t="s">
        <v>2</v>
      </c>
      <c r="C328" t="s">
        <v>229</v>
      </c>
      <c r="D328">
        <v>17980</v>
      </c>
      <c r="E328" t="s">
        <v>672</v>
      </c>
      <c r="F328" t="s">
        <v>3</v>
      </c>
      <c r="G328" t="s">
        <v>670</v>
      </c>
      <c r="H328" t="s">
        <v>670</v>
      </c>
      <c r="I328">
        <v>1.071</v>
      </c>
    </row>
    <row r="329" spans="1:9" x14ac:dyDescent="0.25">
      <c r="A329" t="s">
        <v>229</v>
      </c>
      <c r="B329" t="s">
        <v>2</v>
      </c>
      <c r="C329" t="s">
        <v>229</v>
      </c>
      <c r="D329">
        <v>17980</v>
      </c>
      <c r="E329" t="s">
        <v>672</v>
      </c>
      <c r="F329" t="s">
        <v>113</v>
      </c>
      <c r="G329" t="s">
        <v>670</v>
      </c>
      <c r="H329" t="s">
        <v>670</v>
      </c>
      <c r="I329">
        <v>1.08</v>
      </c>
    </row>
    <row r="330" spans="1:9" x14ac:dyDescent="0.25">
      <c r="A330" t="s">
        <v>230</v>
      </c>
      <c r="B330" t="s">
        <v>2</v>
      </c>
      <c r="C330" t="s">
        <v>230</v>
      </c>
      <c r="D330">
        <v>18020</v>
      </c>
      <c r="E330" t="s">
        <v>669</v>
      </c>
      <c r="F330" t="s">
        <v>118</v>
      </c>
      <c r="G330" t="s">
        <v>670</v>
      </c>
      <c r="H330" t="s">
        <v>670</v>
      </c>
      <c r="I330">
        <v>1.3598200988745688</v>
      </c>
    </row>
    <row r="331" spans="1:9" x14ac:dyDescent="0.25">
      <c r="A331" t="s">
        <v>230</v>
      </c>
      <c r="B331" t="s">
        <v>2</v>
      </c>
      <c r="C331" t="s">
        <v>230</v>
      </c>
      <c r="D331">
        <v>18020</v>
      </c>
      <c r="E331" t="s">
        <v>672</v>
      </c>
      <c r="F331" t="s">
        <v>3</v>
      </c>
      <c r="G331" t="s">
        <v>670</v>
      </c>
      <c r="H331" t="s">
        <v>670</v>
      </c>
      <c r="I331">
        <v>1.411</v>
      </c>
    </row>
    <row r="332" spans="1:9" x14ac:dyDescent="0.25">
      <c r="A332" t="s">
        <v>230</v>
      </c>
      <c r="B332" t="s">
        <v>2</v>
      </c>
      <c r="C332" t="s">
        <v>230</v>
      </c>
      <c r="D332">
        <v>18020</v>
      </c>
      <c r="E332" t="s">
        <v>672</v>
      </c>
      <c r="F332" t="s">
        <v>113</v>
      </c>
      <c r="G332" t="s">
        <v>670</v>
      </c>
      <c r="H332" t="s">
        <v>670</v>
      </c>
      <c r="I332">
        <v>1.413</v>
      </c>
    </row>
    <row r="333" spans="1:9" x14ac:dyDescent="0.25">
      <c r="A333" t="s">
        <v>231</v>
      </c>
      <c r="B333" t="s">
        <v>2</v>
      </c>
      <c r="C333" t="s">
        <v>231</v>
      </c>
      <c r="D333">
        <v>18060</v>
      </c>
      <c r="E333" t="s">
        <v>669</v>
      </c>
      <c r="F333" t="s">
        <v>118</v>
      </c>
      <c r="G333" t="s">
        <v>670</v>
      </c>
      <c r="H333" t="s">
        <v>670</v>
      </c>
      <c r="I333">
        <v>0.98712239635410981</v>
      </c>
    </row>
    <row r="334" spans="1:9" x14ac:dyDescent="0.25">
      <c r="A334" t="s">
        <v>231</v>
      </c>
      <c r="B334" t="s">
        <v>2</v>
      </c>
      <c r="C334" t="s">
        <v>231</v>
      </c>
      <c r="D334">
        <v>18060</v>
      </c>
      <c r="E334" t="s">
        <v>672</v>
      </c>
      <c r="F334" t="s">
        <v>3</v>
      </c>
      <c r="G334" t="s">
        <v>670</v>
      </c>
      <c r="H334" t="s">
        <v>670</v>
      </c>
      <c r="I334">
        <v>1</v>
      </c>
    </row>
    <row r="335" spans="1:9" x14ac:dyDescent="0.25">
      <c r="A335" t="s">
        <v>231</v>
      </c>
      <c r="B335" t="s">
        <v>2</v>
      </c>
      <c r="C335" t="s">
        <v>231</v>
      </c>
      <c r="D335">
        <v>18060</v>
      </c>
      <c r="E335" t="s">
        <v>672</v>
      </c>
      <c r="F335" t="s">
        <v>113</v>
      </c>
      <c r="G335" t="s">
        <v>670</v>
      </c>
      <c r="H335" t="s">
        <v>670</v>
      </c>
      <c r="I335">
        <v>1.004</v>
      </c>
    </row>
    <row r="336" spans="1:9" x14ac:dyDescent="0.25">
      <c r="A336" t="s">
        <v>232</v>
      </c>
      <c r="B336" t="s">
        <v>2</v>
      </c>
      <c r="C336" t="s">
        <v>232</v>
      </c>
      <c r="D336">
        <v>18100</v>
      </c>
      <c r="E336" t="s">
        <v>672</v>
      </c>
      <c r="F336" t="s">
        <v>3</v>
      </c>
      <c r="G336" t="s">
        <v>670</v>
      </c>
      <c r="H336" t="s">
        <v>670</v>
      </c>
      <c r="I336" t="s">
        <v>673</v>
      </c>
    </row>
    <row r="337" spans="1:9" x14ac:dyDescent="0.25">
      <c r="A337" t="s">
        <v>232</v>
      </c>
      <c r="B337" t="s">
        <v>2</v>
      </c>
      <c r="C337" t="s">
        <v>232</v>
      </c>
      <c r="D337">
        <v>18100</v>
      </c>
      <c r="E337" t="s">
        <v>672</v>
      </c>
      <c r="F337" t="s">
        <v>113</v>
      </c>
      <c r="G337" t="s">
        <v>670</v>
      </c>
      <c r="H337" t="s">
        <v>670</v>
      </c>
      <c r="I337" t="s">
        <v>673</v>
      </c>
    </row>
    <row r="338" spans="1:9" x14ac:dyDescent="0.25">
      <c r="A338" t="s">
        <v>7</v>
      </c>
      <c r="B338" t="s">
        <v>2</v>
      </c>
      <c r="C338" t="s">
        <v>7</v>
      </c>
      <c r="D338">
        <v>18140</v>
      </c>
      <c r="E338" t="s">
        <v>669</v>
      </c>
      <c r="F338" t="s">
        <v>118</v>
      </c>
      <c r="G338" t="s">
        <v>670</v>
      </c>
      <c r="H338" t="s">
        <v>670</v>
      </c>
      <c r="I338">
        <v>1.4035771970147355</v>
      </c>
    </row>
    <row r="339" spans="1:9" x14ac:dyDescent="0.25">
      <c r="A339" t="s">
        <v>7</v>
      </c>
      <c r="B339" t="s">
        <v>2</v>
      </c>
      <c r="C339" t="s">
        <v>7</v>
      </c>
      <c r="D339">
        <v>18140</v>
      </c>
      <c r="E339" t="s">
        <v>671</v>
      </c>
      <c r="F339" t="s">
        <v>116</v>
      </c>
      <c r="G339" t="s">
        <v>670</v>
      </c>
      <c r="H339" t="s">
        <v>670</v>
      </c>
      <c r="I339">
        <v>0.55079470717866474</v>
      </c>
    </row>
    <row r="340" spans="1:9" x14ac:dyDescent="0.25">
      <c r="A340" t="s">
        <v>7</v>
      </c>
      <c r="B340" t="s">
        <v>2</v>
      </c>
      <c r="C340" t="s">
        <v>7</v>
      </c>
      <c r="D340">
        <v>18140</v>
      </c>
      <c r="E340" t="s">
        <v>672</v>
      </c>
      <c r="F340" t="s">
        <v>3</v>
      </c>
      <c r="G340" t="s">
        <v>670</v>
      </c>
      <c r="H340" t="s">
        <v>670</v>
      </c>
      <c r="I340">
        <v>1.47</v>
      </c>
    </row>
    <row r="341" spans="1:9" x14ac:dyDescent="0.25">
      <c r="A341" t="s">
        <v>7</v>
      </c>
      <c r="B341" t="s">
        <v>2</v>
      </c>
      <c r="C341" t="s">
        <v>7</v>
      </c>
      <c r="D341">
        <v>18140</v>
      </c>
      <c r="E341" t="s">
        <v>672</v>
      </c>
      <c r="F341" t="s">
        <v>113</v>
      </c>
      <c r="G341" t="s">
        <v>670</v>
      </c>
      <c r="H341" t="s">
        <v>670</v>
      </c>
      <c r="I341">
        <v>1.488</v>
      </c>
    </row>
    <row r="342" spans="1:9" x14ac:dyDescent="0.25">
      <c r="A342" t="s">
        <v>233</v>
      </c>
      <c r="B342" t="s">
        <v>2</v>
      </c>
      <c r="C342" t="s">
        <v>233</v>
      </c>
      <c r="D342">
        <v>18260</v>
      </c>
      <c r="E342" t="s">
        <v>672</v>
      </c>
      <c r="F342" t="s">
        <v>3</v>
      </c>
      <c r="G342" t="s">
        <v>670</v>
      </c>
      <c r="H342" t="s">
        <v>670</v>
      </c>
      <c r="I342" t="s">
        <v>673</v>
      </c>
    </row>
    <row r="343" spans="1:9" x14ac:dyDescent="0.25">
      <c r="A343" t="s">
        <v>233</v>
      </c>
      <c r="B343" t="s">
        <v>2</v>
      </c>
      <c r="C343" t="s">
        <v>233</v>
      </c>
      <c r="D343">
        <v>18260</v>
      </c>
      <c r="E343" t="s">
        <v>672</v>
      </c>
      <c r="F343" t="s">
        <v>113</v>
      </c>
      <c r="G343" t="s">
        <v>670</v>
      </c>
      <c r="H343" t="s">
        <v>670</v>
      </c>
      <c r="I343" t="s">
        <v>673</v>
      </c>
    </row>
    <row r="344" spans="1:9" x14ac:dyDescent="0.25">
      <c r="A344" t="s">
        <v>234</v>
      </c>
      <c r="B344" t="s">
        <v>2</v>
      </c>
      <c r="C344" t="s">
        <v>234</v>
      </c>
      <c r="D344">
        <v>18380</v>
      </c>
      <c r="E344" t="s">
        <v>672</v>
      </c>
      <c r="F344" t="s">
        <v>3</v>
      </c>
      <c r="G344" t="s">
        <v>670</v>
      </c>
      <c r="H344" t="s">
        <v>670</v>
      </c>
      <c r="I344" t="s">
        <v>673</v>
      </c>
    </row>
    <row r="345" spans="1:9" x14ac:dyDescent="0.25">
      <c r="A345" t="s">
        <v>234</v>
      </c>
      <c r="B345" t="s">
        <v>2</v>
      </c>
      <c r="C345" t="s">
        <v>234</v>
      </c>
      <c r="D345">
        <v>18380</v>
      </c>
      <c r="E345" t="s">
        <v>672</v>
      </c>
      <c r="F345" t="s">
        <v>113</v>
      </c>
      <c r="G345" t="s">
        <v>670</v>
      </c>
      <c r="H345" t="s">
        <v>670</v>
      </c>
      <c r="I345" t="s">
        <v>673</v>
      </c>
    </row>
    <row r="346" spans="1:9" x14ac:dyDescent="0.25">
      <c r="A346" t="s">
        <v>235</v>
      </c>
      <c r="B346" t="s">
        <v>2</v>
      </c>
      <c r="C346" t="s">
        <v>235</v>
      </c>
      <c r="D346">
        <v>18500</v>
      </c>
      <c r="E346" t="s">
        <v>672</v>
      </c>
      <c r="F346" t="s">
        <v>3</v>
      </c>
      <c r="G346" t="s">
        <v>670</v>
      </c>
      <c r="H346" t="s">
        <v>670</v>
      </c>
      <c r="I346">
        <v>1.68</v>
      </c>
    </row>
    <row r="347" spans="1:9" x14ac:dyDescent="0.25">
      <c r="A347" t="s">
        <v>235</v>
      </c>
      <c r="B347" t="s">
        <v>2</v>
      </c>
      <c r="C347" t="s">
        <v>235</v>
      </c>
      <c r="D347">
        <v>18500</v>
      </c>
      <c r="E347" t="s">
        <v>672</v>
      </c>
      <c r="F347" t="s">
        <v>113</v>
      </c>
      <c r="G347" t="s">
        <v>670</v>
      </c>
      <c r="H347" t="s">
        <v>670</v>
      </c>
      <c r="I347">
        <v>1.68</v>
      </c>
    </row>
    <row r="348" spans="1:9" x14ac:dyDescent="0.25">
      <c r="A348" t="s">
        <v>236</v>
      </c>
      <c r="B348" t="s">
        <v>2</v>
      </c>
      <c r="C348" t="s">
        <v>236</v>
      </c>
      <c r="D348">
        <v>18580</v>
      </c>
      <c r="E348" t="s">
        <v>669</v>
      </c>
      <c r="F348" t="s">
        <v>118</v>
      </c>
      <c r="G348" t="s">
        <v>670</v>
      </c>
      <c r="H348" t="s">
        <v>670</v>
      </c>
      <c r="I348">
        <v>1.3077864083409032</v>
      </c>
    </row>
    <row r="349" spans="1:9" x14ac:dyDescent="0.25">
      <c r="A349" t="s">
        <v>236</v>
      </c>
      <c r="B349" t="s">
        <v>2</v>
      </c>
      <c r="C349" t="s">
        <v>236</v>
      </c>
      <c r="D349">
        <v>18580</v>
      </c>
      <c r="E349" t="s">
        <v>671</v>
      </c>
      <c r="F349" t="s">
        <v>116</v>
      </c>
      <c r="G349" t="s">
        <v>670</v>
      </c>
      <c r="H349" t="s">
        <v>670</v>
      </c>
      <c r="I349">
        <v>0.47904495875770392</v>
      </c>
    </row>
    <row r="350" spans="1:9" x14ac:dyDescent="0.25">
      <c r="A350" t="s">
        <v>236</v>
      </c>
      <c r="B350" t="s">
        <v>2</v>
      </c>
      <c r="C350" t="s">
        <v>236</v>
      </c>
      <c r="D350">
        <v>18580</v>
      </c>
      <c r="E350" t="s">
        <v>672</v>
      </c>
      <c r="F350" t="s">
        <v>3</v>
      </c>
      <c r="G350" t="s">
        <v>670</v>
      </c>
      <c r="H350" t="s">
        <v>670</v>
      </c>
      <c r="I350">
        <v>1.3109999999999999</v>
      </c>
    </row>
    <row r="351" spans="1:9" x14ac:dyDescent="0.25">
      <c r="A351" t="s">
        <v>236</v>
      </c>
      <c r="B351" t="s">
        <v>2</v>
      </c>
      <c r="C351" t="s">
        <v>236</v>
      </c>
      <c r="D351">
        <v>18580</v>
      </c>
      <c r="E351" t="s">
        <v>672</v>
      </c>
      <c r="F351" t="s">
        <v>113</v>
      </c>
      <c r="G351" t="s">
        <v>670</v>
      </c>
      <c r="H351" t="s">
        <v>670</v>
      </c>
      <c r="I351">
        <v>1.331</v>
      </c>
    </row>
    <row r="352" spans="1:9" x14ac:dyDescent="0.25">
      <c r="A352" t="s">
        <v>237</v>
      </c>
      <c r="B352" t="s">
        <v>2</v>
      </c>
      <c r="C352" t="s">
        <v>237</v>
      </c>
      <c r="D352">
        <v>18620</v>
      </c>
      <c r="E352" t="s">
        <v>672</v>
      </c>
      <c r="F352" t="s">
        <v>3</v>
      </c>
      <c r="G352" t="s">
        <v>670</v>
      </c>
      <c r="H352" t="s">
        <v>670</v>
      </c>
      <c r="I352" t="s">
        <v>673</v>
      </c>
    </row>
    <row r="353" spans="1:9" x14ac:dyDescent="0.25">
      <c r="A353" t="s">
        <v>237</v>
      </c>
      <c r="B353" t="s">
        <v>2</v>
      </c>
      <c r="C353" t="s">
        <v>237</v>
      </c>
      <c r="D353">
        <v>18620</v>
      </c>
      <c r="E353" t="s">
        <v>672</v>
      </c>
      <c r="F353" t="s">
        <v>113</v>
      </c>
      <c r="G353" t="s">
        <v>670</v>
      </c>
      <c r="H353" t="s">
        <v>670</v>
      </c>
      <c r="I353" t="s">
        <v>673</v>
      </c>
    </row>
    <row r="354" spans="1:9" x14ac:dyDescent="0.25">
      <c r="A354" t="s">
        <v>238</v>
      </c>
      <c r="B354" t="s">
        <v>2</v>
      </c>
      <c r="C354" t="s">
        <v>238</v>
      </c>
      <c r="D354">
        <v>18700</v>
      </c>
      <c r="E354" t="s">
        <v>669</v>
      </c>
      <c r="F354" t="s">
        <v>118</v>
      </c>
      <c r="G354" t="s">
        <v>670</v>
      </c>
      <c r="H354" t="s">
        <v>670</v>
      </c>
      <c r="I354">
        <v>1.9461628972395897</v>
      </c>
    </row>
    <row r="355" spans="1:9" x14ac:dyDescent="0.25">
      <c r="A355" t="s">
        <v>238</v>
      </c>
      <c r="B355" t="s">
        <v>2</v>
      </c>
      <c r="C355" t="s">
        <v>238</v>
      </c>
      <c r="D355">
        <v>18700</v>
      </c>
      <c r="E355" t="s">
        <v>672</v>
      </c>
      <c r="F355" t="s">
        <v>3</v>
      </c>
      <c r="G355" t="s">
        <v>670</v>
      </c>
      <c r="H355" t="s">
        <v>670</v>
      </c>
      <c r="I355">
        <v>2.1040000000000001</v>
      </c>
    </row>
    <row r="356" spans="1:9" x14ac:dyDescent="0.25">
      <c r="A356" t="s">
        <v>238</v>
      </c>
      <c r="B356" t="s">
        <v>2</v>
      </c>
      <c r="C356" t="s">
        <v>238</v>
      </c>
      <c r="D356">
        <v>18700</v>
      </c>
      <c r="E356" t="s">
        <v>672</v>
      </c>
      <c r="F356" t="s">
        <v>113</v>
      </c>
      <c r="G356" t="s">
        <v>670</v>
      </c>
      <c r="H356" t="s">
        <v>670</v>
      </c>
      <c r="I356">
        <v>2.1080000000000001</v>
      </c>
    </row>
    <row r="357" spans="1:9" x14ac:dyDescent="0.25">
      <c r="A357" t="s">
        <v>239</v>
      </c>
      <c r="B357" t="s">
        <v>2</v>
      </c>
      <c r="C357" t="s">
        <v>239</v>
      </c>
      <c r="D357">
        <v>18820</v>
      </c>
      <c r="E357" t="s">
        <v>669</v>
      </c>
      <c r="F357" t="s">
        <v>118</v>
      </c>
      <c r="G357" t="s">
        <v>670</v>
      </c>
      <c r="H357" t="s">
        <v>670</v>
      </c>
      <c r="I357">
        <v>1.1303715169220387</v>
      </c>
    </row>
    <row r="358" spans="1:9" x14ac:dyDescent="0.25">
      <c r="A358" t="s">
        <v>239</v>
      </c>
      <c r="B358" t="s">
        <v>2</v>
      </c>
      <c r="C358" t="s">
        <v>239</v>
      </c>
      <c r="D358">
        <v>18820</v>
      </c>
      <c r="E358" t="s">
        <v>672</v>
      </c>
      <c r="F358" t="s">
        <v>3</v>
      </c>
      <c r="G358" t="s">
        <v>670</v>
      </c>
      <c r="H358" t="s">
        <v>670</v>
      </c>
      <c r="I358" t="s">
        <v>673</v>
      </c>
    </row>
    <row r="359" spans="1:9" x14ac:dyDescent="0.25">
      <c r="A359" t="s">
        <v>239</v>
      </c>
      <c r="B359" t="s">
        <v>2</v>
      </c>
      <c r="C359" t="s">
        <v>239</v>
      </c>
      <c r="D359">
        <v>18820</v>
      </c>
      <c r="E359" t="s">
        <v>672</v>
      </c>
      <c r="F359" t="s">
        <v>113</v>
      </c>
      <c r="G359" t="s">
        <v>670</v>
      </c>
      <c r="H359" t="s">
        <v>670</v>
      </c>
      <c r="I359" t="s">
        <v>673</v>
      </c>
    </row>
    <row r="360" spans="1:9" x14ac:dyDescent="0.25">
      <c r="A360" t="s">
        <v>240</v>
      </c>
      <c r="B360" t="s">
        <v>2</v>
      </c>
      <c r="C360" t="s">
        <v>240</v>
      </c>
      <c r="D360">
        <v>18880</v>
      </c>
      <c r="E360" t="s">
        <v>669</v>
      </c>
      <c r="F360" t="s">
        <v>118</v>
      </c>
      <c r="G360" t="s">
        <v>670</v>
      </c>
      <c r="H360" t="s">
        <v>670</v>
      </c>
      <c r="I360">
        <v>1.7939192356728695</v>
      </c>
    </row>
    <row r="361" spans="1:9" x14ac:dyDescent="0.25">
      <c r="A361" t="s">
        <v>240</v>
      </c>
      <c r="B361" t="s">
        <v>2</v>
      </c>
      <c r="C361" t="s">
        <v>240</v>
      </c>
      <c r="D361">
        <v>18880</v>
      </c>
      <c r="E361" t="s">
        <v>671</v>
      </c>
      <c r="F361" t="s">
        <v>116</v>
      </c>
      <c r="G361" t="s">
        <v>670</v>
      </c>
      <c r="H361" t="s">
        <v>670</v>
      </c>
      <c r="I361">
        <v>0.55918811898649901</v>
      </c>
    </row>
    <row r="362" spans="1:9" x14ac:dyDescent="0.25">
      <c r="A362" t="s">
        <v>240</v>
      </c>
      <c r="B362" t="s">
        <v>2</v>
      </c>
      <c r="C362" t="s">
        <v>240</v>
      </c>
      <c r="D362">
        <v>18880</v>
      </c>
      <c r="E362" t="s">
        <v>672</v>
      </c>
      <c r="F362" t="s">
        <v>3</v>
      </c>
      <c r="G362" t="s">
        <v>670</v>
      </c>
      <c r="H362" t="s">
        <v>670</v>
      </c>
      <c r="I362">
        <v>1.696</v>
      </c>
    </row>
    <row r="363" spans="1:9" x14ac:dyDescent="0.25">
      <c r="A363" t="s">
        <v>240</v>
      </c>
      <c r="B363" t="s">
        <v>2</v>
      </c>
      <c r="C363" t="s">
        <v>240</v>
      </c>
      <c r="D363">
        <v>18880</v>
      </c>
      <c r="E363" t="s">
        <v>672</v>
      </c>
      <c r="F363" t="s">
        <v>113</v>
      </c>
      <c r="G363" t="s">
        <v>670</v>
      </c>
      <c r="H363" t="s">
        <v>670</v>
      </c>
      <c r="I363">
        <v>1.7569999999999999</v>
      </c>
    </row>
    <row r="364" spans="1:9" x14ac:dyDescent="0.25">
      <c r="A364" t="s">
        <v>241</v>
      </c>
      <c r="B364" t="s">
        <v>2</v>
      </c>
      <c r="C364" t="s">
        <v>241</v>
      </c>
      <c r="D364">
        <v>18980</v>
      </c>
      <c r="E364" t="s">
        <v>672</v>
      </c>
      <c r="F364" t="s">
        <v>3</v>
      </c>
      <c r="G364" t="s">
        <v>670</v>
      </c>
      <c r="H364" t="s">
        <v>670</v>
      </c>
      <c r="I364">
        <v>1.2010000000000001</v>
      </c>
    </row>
    <row r="365" spans="1:9" x14ac:dyDescent="0.25">
      <c r="A365" t="s">
        <v>241</v>
      </c>
      <c r="B365" t="s">
        <v>2</v>
      </c>
      <c r="C365" t="s">
        <v>241</v>
      </c>
      <c r="D365">
        <v>18980</v>
      </c>
      <c r="E365" t="s">
        <v>672</v>
      </c>
      <c r="F365" t="s">
        <v>113</v>
      </c>
      <c r="G365" t="s">
        <v>670</v>
      </c>
      <c r="H365" t="s">
        <v>670</v>
      </c>
      <c r="I365">
        <v>1.2010000000000001</v>
      </c>
    </row>
    <row r="366" spans="1:9" x14ac:dyDescent="0.25">
      <c r="A366" t="s">
        <v>35</v>
      </c>
      <c r="B366" t="s">
        <v>2</v>
      </c>
      <c r="C366" t="s">
        <v>35</v>
      </c>
      <c r="D366">
        <v>19124</v>
      </c>
      <c r="E366" t="s">
        <v>669</v>
      </c>
      <c r="F366" t="s">
        <v>118</v>
      </c>
      <c r="G366" t="s">
        <v>670</v>
      </c>
      <c r="H366" t="s">
        <v>670</v>
      </c>
      <c r="I366">
        <v>1.8030498665931811</v>
      </c>
    </row>
    <row r="367" spans="1:9" x14ac:dyDescent="0.25">
      <c r="A367" t="s">
        <v>35</v>
      </c>
      <c r="B367" t="s">
        <v>2</v>
      </c>
      <c r="C367" t="s">
        <v>35</v>
      </c>
      <c r="D367">
        <v>19124</v>
      </c>
      <c r="E367" t="s">
        <v>671</v>
      </c>
      <c r="F367" t="s">
        <v>116</v>
      </c>
      <c r="G367" t="s">
        <v>670</v>
      </c>
      <c r="H367" t="s">
        <v>670</v>
      </c>
      <c r="I367">
        <v>0.52214240982166793</v>
      </c>
    </row>
    <row r="368" spans="1:9" x14ac:dyDescent="0.25">
      <c r="A368" t="s">
        <v>35</v>
      </c>
      <c r="B368" t="s">
        <v>2</v>
      </c>
      <c r="C368" t="s">
        <v>35</v>
      </c>
      <c r="D368">
        <v>19124</v>
      </c>
      <c r="E368" t="s">
        <v>672</v>
      </c>
      <c r="F368" t="s">
        <v>3</v>
      </c>
      <c r="G368" t="s">
        <v>670</v>
      </c>
      <c r="H368" t="s">
        <v>670</v>
      </c>
      <c r="I368">
        <v>1.6879999999999999</v>
      </c>
    </row>
    <row r="369" spans="1:9" x14ac:dyDescent="0.25">
      <c r="A369" t="s">
        <v>35</v>
      </c>
      <c r="B369" t="s">
        <v>2</v>
      </c>
      <c r="C369" t="s">
        <v>35</v>
      </c>
      <c r="D369">
        <v>19124</v>
      </c>
      <c r="E369" t="s">
        <v>672</v>
      </c>
      <c r="F369" t="s">
        <v>113</v>
      </c>
      <c r="G369" t="s">
        <v>670</v>
      </c>
      <c r="H369" t="s">
        <v>670</v>
      </c>
      <c r="I369">
        <v>1.7330000000000001</v>
      </c>
    </row>
    <row r="370" spans="1:9" x14ac:dyDescent="0.25">
      <c r="A370" t="s">
        <v>242</v>
      </c>
      <c r="B370" t="s">
        <v>2</v>
      </c>
      <c r="C370" t="s">
        <v>242</v>
      </c>
      <c r="D370">
        <v>19140</v>
      </c>
      <c r="E370" t="s">
        <v>672</v>
      </c>
      <c r="F370" t="s">
        <v>3</v>
      </c>
      <c r="G370" t="s">
        <v>670</v>
      </c>
      <c r="H370" t="s">
        <v>670</v>
      </c>
      <c r="I370">
        <v>1.2330000000000001</v>
      </c>
    </row>
    <row r="371" spans="1:9" x14ac:dyDescent="0.25">
      <c r="A371" t="s">
        <v>242</v>
      </c>
      <c r="B371" t="s">
        <v>2</v>
      </c>
      <c r="C371" t="s">
        <v>242</v>
      </c>
      <c r="D371">
        <v>19140</v>
      </c>
      <c r="E371" t="s">
        <v>672</v>
      </c>
      <c r="F371" t="s">
        <v>113</v>
      </c>
      <c r="G371" t="s">
        <v>670</v>
      </c>
      <c r="H371" t="s">
        <v>670</v>
      </c>
      <c r="I371">
        <v>1.238</v>
      </c>
    </row>
    <row r="372" spans="1:9" x14ac:dyDescent="0.25">
      <c r="A372" t="s">
        <v>243</v>
      </c>
      <c r="B372" t="s">
        <v>2</v>
      </c>
      <c r="C372" t="s">
        <v>243</v>
      </c>
      <c r="D372">
        <v>19340</v>
      </c>
      <c r="E372" t="s">
        <v>669</v>
      </c>
      <c r="F372" t="s">
        <v>118</v>
      </c>
      <c r="G372" t="s">
        <v>670</v>
      </c>
      <c r="H372" t="s">
        <v>670</v>
      </c>
      <c r="I372">
        <v>1.3123833571666466</v>
      </c>
    </row>
    <row r="373" spans="1:9" x14ac:dyDescent="0.25">
      <c r="A373" t="s">
        <v>243</v>
      </c>
      <c r="B373" t="s">
        <v>2</v>
      </c>
      <c r="C373" t="s">
        <v>243</v>
      </c>
      <c r="D373">
        <v>19340</v>
      </c>
      <c r="E373" t="s">
        <v>671</v>
      </c>
      <c r="F373" t="s">
        <v>116</v>
      </c>
      <c r="G373" t="s">
        <v>670</v>
      </c>
      <c r="H373" t="s">
        <v>670</v>
      </c>
      <c r="I373">
        <v>0.39479832352725774</v>
      </c>
    </row>
    <row r="374" spans="1:9" x14ac:dyDescent="0.25">
      <c r="A374" t="s">
        <v>243</v>
      </c>
      <c r="B374" t="s">
        <v>2</v>
      </c>
      <c r="C374" t="s">
        <v>243</v>
      </c>
      <c r="D374">
        <v>19340</v>
      </c>
      <c r="E374" t="s">
        <v>672</v>
      </c>
      <c r="F374" t="s">
        <v>3</v>
      </c>
      <c r="G374" t="s">
        <v>670</v>
      </c>
      <c r="H374" t="s">
        <v>670</v>
      </c>
      <c r="I374">
        <v>1.2549999999999999</v>
      </c>
    </row>
    <row r="375" spans="1:9" x14ac:dyDescent="0.25">
      <c r="A375" t="s">
        <v>243</v>
      </c>
      <c r="B375" t="s">
        <v>2</v>
      </c>
      <c r="C375" t="s">
        <v>243</v>
      </c>
      <c r="D375">
        <v>19340</v>
      </c>
      <c r="E375" t="s">
        <v>672</v>
      </c>
      <c r="F375" t="s">
        <v>113</v>
      </c>
      <c r="G375" t="s">
        <v>670</v>
      </c>
      <c r="H375" t="s">
        <v>670</v>
      </c>
      <c r="I375">
        <v>1.27</v>
      </c>
    </row>
    <row r="376" spans="1:9" x14ac:dyDescent="0.25">
      <c r="A376" t="s">
        <v>244</v>
      </c>
      <c r="B376" t="s">
        <v>2</v>
      </c>
      <c r="C376" t="s">
        <v>244</v>
      </c>
      <c r="D376">
        <v>19430</v>
      </c>
      <c r="E376" t="s">
        <v>669</v>
      </c>
      <c r="F376" t="s">
        <v>118</v>
      </c>
      <c r="G376" t="s">
        <v>670</v>
      </c>
      <c r="H376" t="s">
        <v>670</v>
      </c>
      <c r="I376">
        <v>1.4251066768860561</v>
      </c>
    </row>
    <row r="377" spans="1:9" x14ac:dyDescent="0.25">
      <c r="A377" t="s">
        <v>244</v>
      </c>
      <c r="B377" t="s">
        <v>2</v>
      </c>
      <c r="C377" t="s">
        <v>244</v>
      </c>
      <c r="D377">
        <v>19430</v>
      </c>
      <c r="E377" t="s">
        <v>671</v>
      </c>
      <c r="F377" t="s">
        <v>116</v>
      </c>
      <c r="G377" t="s">
        <v>670</v>
      </c>
      <c r="H377" t="s">
        <v>670</v>
      </c>
      <c r="I377">
        <v>0.57988744715212603</v>
      </c>
    </row>
    <row r="378" spans="1:9" x14ac:dyDescent="0.25">
      <c r="A378" t="s">
        <v>244</v>
      </c>
      <c r="B378" t="s">
        <v>2</v>
      </c>
      <c r="C378" t="s">
        <v>244</v>
      </c>
      <c r="D378">
        <v>19430</v>
      </c>
      <c r="E378" t="s">
        <v>672</v>
      </c>
      <c r="F378" t="s">
        <v>3</v>
      </c>
      <c r="G378" t="s">
        <v>670</v>
      </c>
      <c r="H378" t="s">
        <v>670</v>
      </c>
      <c r="I378">
        <v>1.369</v>
      </c>
    </row>
    <row r="379" spans="1:9" x14ac:dyDescent="0.25">
      <c r="A379" t="s">
        <v>244</v>
      </c>
      <c r="B379" t="s">
        <v>2</v>
      </c>
      <c r="C379" t="s">
        <v>244</v>
      </c>
      <c r="D379">
        <v>19430</v>
      </c>
      <c r="E379" t="s">
        <v>672</v>
      </c>
      <c r="F379" t="s">
        <v>113</v>
      </c>
      <c r="G379" t="s">
        <v>670</v>
      </c>
      <c r="H379" t="s">
        <v>670</v>
      </c>
      <c r="I379">
        <v>1.3779999999999999</v>
      </c>
    </row>
    <row r="380" spans="1:9" x14ac:dyDescent="0.25">
      <c r="A380" t="s">
        <v>245</v>
      </c>
      <c r="B380" t="s">
        <v>2</v>
      </c>
      <c r="C380" t="s">
        <v>245</v>
      </c>
      <c r="D380">
        <v>19460</v>
      </c>
      <c r="E380" t="s">
        <v>669</v>
      </c>
      <c r="F380" t="s">
        <v>118</v>
      </c>
      <c r="G380" t="s">
        <v>670</v>
      </c>
      <c r="H380" t="s">
        <v>670</v>
      </c>
      <c r="I380">
        <v>0.98587347698127525</v>
      </c>
    </row>
    <row r="381" spans="1:9" x14ac:dyDescent="0.25">
      <c r="A381" t="s">
        <v>245</v>
      </c>
      <c r="B381" t="s">
        <v>2</v>
      </c>
      <c r="C381" t="s">
        <v>245</v>
      </c>
      <c r="D381">
        <v>19460</v>
      </c>
      <c r="E381" t="s">
        <v>672</v>
      </c>
      <c r="F381" t="s">
        <v>3</v>
      </c>
      <c r="G381" t="s">
        <v>670</v>
      </c>
      <c r="H381" t="s">
        <v>670</v>
      </c>
      <c r="I381">
        <v>1.1739999999999999</v>
      </c>
    </row>
    <row r="382" spans="1:9" x14ac:dyDescent="0.25">
      <c r="A382" t="s">
        <v>245</v>
      </c>
      <c r="B382" t="s">
        <v>2</v>
      </c>
      <c r="C382" t="s">
        <v>245</v>
      </c>
      <c r="D382">
        <v>19460</v>
      </c>
      <c r="E382" t="s">
        <v>672</v>
      </c>
      <c r="F382" t="s">
        <v>113</v>
      </c>
      <c r="G382" t="s">
        <v>670</v>
      </c>
      <c r="H382" t="s">
        <v>670</v>
      </c>
      <c r="I382">
        <v>1.1850000000000001</v>
      </c>
    </row>
    <row r="383" spans="1:9" x14ac:dyDescent="0.25">
      <c r="A383" t="s">
        <v>246</v>
      </c>
      <c r="B383" t="s">
        <v>2</v>
      </c>
      <c r="C383" t="s">
        <v>246</v>
      </c>
      <c r="D383">
        <v>19500</v>
      </c>
      <c r="E383" t="s">
        <v>669</v>
      </c>
      <c r="F383" t="s">
        <v>118</v>
      </c>
      <c r="G383" t="s">
        <v>670</v>
      </c>
      <c r="H383" t="s">
        <v>670</v>
      </c>
      <c r="I383">
        <v>1.4123647073351362</v>
      </c>
    </row>
    <row r="384" spans="1:9" x14ac:dyDescent="0.25">
      <c r="A384" t="s">
        <v>246</v>
      </c>
      <c r="B384" t="s">
        <v>2</v>
      </c>
      <c r="C384" t="s">
        <v>246</v>
      </c>
      <c r="D384">
        <v>19500</v>
      </c>
      <c r="E384" t="s">
        <v>672</v>
      </c>
      <c r="F384" t="s">
        <v>3</v>
      </c>
      <c r="G384" t="s">
        <v>670</v>
      </c>
      <c r="H384" t="s">
        <v>670</v>
      </c>
      <c r="I384">
        <v>1.1339999999999999</v>
      </c>
    </row>
    <row r="385" spans="1:9" x14ac:dyDescent="0.25">
      <c r="A385" t="s">
        <v>246</v>
      </c>
      <c r="B385" t="s">
        <v>2</v>
      </c>
      <c r="C385" t="s">
        <v>246</v>
      </c>
      <c r="D385">
        <v>19500</v>
      </c>
      <c r="E385" t="s">
        <v>672</v>
      </c>
      <c r="F385" t="s">
        <v>113</v>
      </c>
      <c r="G385" t="s">
        <v>670</v>
      </c>
      <c r="H385" t="s">
        <v>670</v>
      </c>
      <c r="I385">
        <v>1.1339999999999999</v>
      </c>
    </row>
    <row r="386" spans="1:9" x14ac:dyDescent="0.25">
      <c r="A386" t="s">
        <v>247</v>
      </c>
      <c r="B386" t="s">
        <v>2</v>
      </c>
      <c r="C386" t="s">
        <v>247</v>
      </c>
      <c r="D386">
        <v>19620</v>
      </c>
      <c r="E386" t="s">
        <v>672</v>
      </c>
      <c r="F386" t="s">
        <v>3</v>
      </c>
      <c r="G386" t="s">
        <v>670</v>
      </c>
      <c r="H386" t="s">
        <v>670</v>
      </c>
      <c r="I386" t="s">
        <v>673</v>
      </c>
    </row>
    <row r="387" spans="1:9" x14ac:dyDescent="0.25">
      <c r="A387" t="s">
        <v>247</v>
      </c>
      <c r="B387" t="s">
        <v>2</v>
      </c>
      <c r="C387" t="s">
        <v>247</v>
      </c>
      <c r="D387">
        <v>19620</v>
      </c>
      <c r="E387" t="s">
        <v>672</v>
      </c>
      <c r="F387" t="s">
        <v>113</v>
      </c>
      <c r="G387" t="s">
        <v>670</v>
      </c>
      <c r="H387" t="s">
        <v>670</v>
      </c>
      <c r="I387" t="s">
        <v>673</v>
      </c>
    </row>
    <row r="388" spans="1:9" x14ac:dyDescent="0.25">
      <c r="A388" t="s">
        <v>248</v>
      </c>
      <c r="B388" t="s">
        <v>2</v>
      </c>
      <c r="C388" t="s">
        <v>248</v>
      </c>
      <c r="D388">
        <v>19660</v>
      </c>
      <c r="E388" t="s">
        <v>669</v>
      </c>
      <c r="F388" t="s">
        <v>118</v>
      </c>
      <c r="G388" t="s">
        <v>670</v>
      </c>
      <c r="H388" t="s">
        <v>670</v>
      </c>
      <c r="I388">
        <v>1.5645535835979842</v>
      </c>
    </row>
    <row r="389" spans="1:9" x14ac:dyDescent="0.25">
      <c r="A389" t="s">
        <v>248</v>
      </c>
      <c r="B389" t="s">
        <v>2</v>
      </c>
      <c r="C389" t="s">
        <v>248</v>
      </c>
      <c r="D389">
        <v>19660</v>
      </c>
      <c r="E389" t="s">
        <v>671</v>
      </c>
      <c r="F389" t="s">
        <v>116</v>
      </c>
      <c r="G389" t="s">
        <v>670</v>
      </c>
      <c r="H389" t="s">
        <v>670</v>
      </c>
      <c r="I389">
        <v>0.57054180842177704</v>
      </c>
    </row>
    <row r="390" spans="1:9" x14ac:dyDescent="0.25">
      <c r="A390" t="s">
        <v>248</v>
      </c>
      <c r="B390" t="s">
        <v>2</v>
      </c>
      <c r="C390" t="s">
        <v>248</v>
      </c>
      <c r="D390">
        <v>19660</v>
      </c>
      <c r="E390" t="s">
        <v>672</v>
      </c>
      <c r="F390" t="s">
        <v>3</v>
      </c>
      <c r="G390" t="s">
        <v>670</v>
      </c>
      <c r="H390" t="s">
        <v>670</v>
      </c>
      <c r="I390">
        <v>1.488</v>
      </c>
    </row>
    <row r="391" spans="1:9" x14ac:dyDescent="0.25">
      <c r="A391" t="s">
        <v>248</v>
      </c>
      <c r="B391" t="s">
        <v>2</v>
      </c>
      <c r="C391" t="s">
        <v>248</v>
      </c>
      <c r="D391">
        <v>19660</v>
      </c>
      <c r="E391" t="s">
        <v>672</v>
      </c>
      <c r="F391" t="s">
        <v>113</v>
      </c>
      <c r="G391" t="s">
        <v>670</v>
      </c>
      <c r="H391" t="s">
        <v>670</v>
      </c>
      <c r="I391">
        <v>1.5449999999999999</v>
      </c>
    </row>
    <row r="392" spans="1:9" x14ac:dyDescent="0.25">
      <c r="A392" t="s">
        <v>38</v>
      </c>
      <c r="B392" t="s">
        <v>2</v>
      </c>
      <c r="C392" t="s">
        <v>38</v>
      </c>
      <c r="D392">
        <v>19740</v>
      </c>
      <c r="E392" t="s">
        <v>669</v>
      </c>
      <c r="F392" t="s">
        <v>118</v>
      </c>
      <c r="G392" t="s">
        <v>670</v>
      </c>
      <c r="H392" t="s">
        <v>670</v>
      </c>
      <c r="I392">
        <v>2.1107631802942484</v>
      </c>
    </row>
    <row r="393" spans="1:9" x14ac:dyDescent="0.25">
      <c r="A393" t="s">
        <v>38</v>
      </c>
      <c r="B393" t="s">
        <v>2</v>
      </c>
      <c r="C393" t="s">
        <v>38</v>
      </c>
      <c r="D393">
        <v>19740</v>
      </c>
      <c r="E393" t="s">
        <v>671</v>
      </c>
      <c r="F393" t="s">
        <v>116</v>
      </c>
      <c r="G393" t="s">
        <v>670</v>
      </c>
      <c r="H393" t="s">
        <v>670</v>
      </c>
      <c r="I393">
        <v>0.61452180261088796</v>
      </c>
    </row>
    <row r="394" spans="1:9" x14ac:dyDescent="0.25">
      <c r="A394" t="s">
        <v>38</v>
      </c>
      <c r="B394" t="s">
        <v>2</v>
      </c>
      <c r="C394" t="s">
        <v>38</v>
      </c>
      <c r="D394">
        <v>19740</v>
      </c>
      <c r="E394" t="s">
        <v>672</v>
      </c>
      <c r="F394" t="s">
        <v>3</v>
      </c>
      <c r="G394" t="s">
        <v>670</v>
      </c>
      <c r="H394" t="s">
        <v>670</v>
      </c>
      <c r="I394">
        <v>1.95</v>
      </c>
    </row>
    <row r="395" spans="1:9" x14ac:dyDescent="0.25">
      <c r="A395" t="s">
        <v>38</v>
      </c>
      <c r="B395" t="s">
        <v>2</v>
      </c>
      <c r="C395" t="s">
        <v>38</v>
      </c>
      <c r="D395">
        <v>19740</v>
      </c>
      <c r="E395" t="s">
        <v>672</v>
      </c>
      <c r="F395" t="s">
        <v>113</v>
      </c>
      <c r="G395" t="s">
        <v>670</v>
      </c>
      <c r="H395" t="s">
        <v>670</v>
      </c>
      <c r="I395">
        <v>2.0529999999999999</v>
      </c>
    </row>
    <row r="396" spans="1:9" x14ac:dyDescent="0.25">
      <c r="A396" t="s">
        <v>249</v>
      </c>
      <c r="B396" t="s">
        <v>2</v>
      </c>
      <c r="C396" t="s">
        <v>249</v>
      </c>
      <c r="D396">
        <v>19760</v>
      </c>
      <c r="E396" t="s">
        <v>672</v>
      </c>
      <c r="F396" t="s">
        <v>3</v>
      </c>
      <c r="G396" t="s">
        <v>670</v>
      </c>
      <c r="H396" t="s">
        <v>670</v>
      </c>
      <c r="I396" t="s">
        <v>673</v>
      </c>
    </row>
    <row r="397" spans="1:9" x14ac:dyDescent="0.25">
      <c r="A397" t="s">
        <v>249</v>
      </c>
      <c r="B397" t="s">
        <v>2</v>
      </c>
      <c r="C397" t="s">
        <v>249</v>
      </c>
      <c r="D397">
        <v>19760</v>
      </c>
      <c r="E397" t="s">
        <v>672</v>
      </c>
      <c r="F397" t="s">
        <v>113</v>
      </c>
      <c r="G397" t="s">
        <v>670</v>
      </c>
      <c r="H397" t="s">
        <v>670</v>
      </c>
      <c r="I397" t="s">
        <v>673</v>
      </c>
    </row>
    <row r="398" spans="1:9" x14ac:dyDescent="0.25">
      <c r="A398" t="s">
        <v>250</v>
      </c>
      <c r="B398" t="s">
        <v>2</v>
      </c>
      <c r="C398" t="s">
        <v>250</v>
      </c>
      <c r="D398">
        <v>19780</v>
      </c>
      <c r="E398" t="s">
        <v>669</v>
      </c>
      <c r="F398" t="s">
        <v>118</v>
      </c>
      <c r="G398" t="s">
        <v>670</v>
      </c>
      <c r="H398" t="s">
        <v>670</v>
      </c>
      <c r="I398">
        <v>1.3004457344514471</v>
      </c>
    </row>
    <row r="399" spans="1:9" x14ac:dyDescent="0.25">
      <c r="A399" t="s">
        <v>250</v>
      </c>
      <c r="B399" t="s">
        <v>2</v>
      </c>
      <c r="C399" t="s">
        <v>250</v>
      </c>
      <c r="D399">
        <v>19780</v>
      </c>
      <c r="E399" t="s">
        <v>671</v>
      </c>
      <c r="F399" t="s">
        <v>116</v>
      </c>
      <c r="G399" t="s">
        <v>670</v>
      </c>
      <c r="H399" t="s">
        <v>670</v>
      </c>
      <c r="I399">
        <v>0.57025688927739215</v>
      </c>
    </row>
    <row r="400" spans="1:9" x14ac:dyDescent="0.25">
      <c r="A400" t="s">
        <v>250</v>
      </c>
      <c r="B400" t="s">
        <v>2</v>
      </c>
      <c r="C400" t="s">
        <v>250</v>
      </c>
      <c r="D400">
        <v>19780</v>
      </c>
      <c r="E400" t="s">
        <v>672</v>
      </c>
      <c r="F400" t="s">
        <v>3</v>
      </c>
      <c r="G400" t="s">
        <v>670</v>
      </c>
      <c r="H400" t="s">
        <v>670</v>
      </c>
      <c r="I400">
        <v>1.274</v>
      </c>
    </row>
    <row r="401" spans="1:9" x14ac:dyDescent="0.25">
      <c r="A401" t="s">
        <v>250</v>
      </c>
      <c r="B401" t="s">
        <v>2</v>
      </c>
      <c r="C401" t="s">
        <v>250</v>
      </c>
      <c r="D401">
        <v>19780</v>
      </c>
      <c r="E401" t="s">
        <v>672</v>
      </c>
      <c r="F401" t="s">
        <v>113</v>
      </c>
      <c r="G401" t="s">
        <v>670</v>
      </c>
      <c r="H401" t="s">
        <v>670</v>
      </c>
      <c r="I401">
        <v>1.3029999999999999</v>
      </c>
    </row>
    <row r="402" spans="1:9" x14ac:dyDescent="0.25">
      <c r="A402" t="s">
        <v>251</v>
      </c>
      <c r="B402" t="s">
        <v>2</v>
      </c>
      <c r="C402" t="s">
        <v>251</v>
      </c>
      <c r="D402">
        <v>19820</v>
      </c>
      <c r="E402" t="s">
        <v>669</v>
      </c>
      <c r="F402" t="s">
        <v>118</v>
      </c>
      <c r="G402" t="s">
        <v>670</v>
      </c>
      <c r="H402" t="s">
        <v>670</v>
      </c>
      <c r="I402">
        <v>1.4537327016818791</v>
      </c>
    </row>
    <row r="403" spans="1:9" x14ac:dyDescent="0.25">
      <c r="A403" t="s">
        <v>251</v>
      </c>
      <c r="B403" t="s">
        <v>2</v>
      </c>
      <c r="C403" t="s">
        <v>251</v>
      </c>
      <c r="D403">
        <v>19820</v>
      </c>
      <c r="E403" t="s">
        <v>671</v>
      </c>
      <c r="F403" t="s">
        <v>116</v>
      </c>
      <c r="G403" t="s">
        <v>670</v>
      </c>
      <c r="H403" t="s">
        <v>670</v>
      </c>
      <c r="I403">
        <v>0.57427237787871921</v>
      </c>
    </row>
    <row r="404" spans="1:9" x14ac:dyDescent="0.25">
      <c r="A404" t="s">
        <v>251</v>
      </c>
      <c r="B404" t="s">
        <v>2</v>
      </c>
      <c r="C404" t="s">
        <v>251</v>
      </c>
      <c r="D404">
        <v>19820</v>
      </c>
      <c r="E404" t="s">
        <v>672</v>
      </c>
      <c r="F404" t="s">
        <v>3</v>
      </c>
      <c r="G404" t="s">
        <v>670</v>
      </c>
      <c r="H404" t="s">
        <v>670</v>
      </c>
      <c r="I404">
        <v>1.466</v>
      </c>
    </row>
    <row r="405" spans="1:9" x14ac:dyDescent="0.25">
      <c r="A405" t="s">
        <v>251</v>
      </c>
      <c r="B405" t="s">
        <v>2</v>
      </c>
      <c r="C405" t="s">
        <v>251</v>
      </c>
      <c r="D405">
        <v>19820</v>
      </c>
      <c r="E405" t="s">
        <v>672</v>
      </c>
      <c r="F405" t="s">
        <v>113</v>
      </c>
      <c r="G405" t="s">
        <v>670</v>
      </c>
      <c r="H405" t="s">
        <v>670</v>
      </c>
      <c r="I405">
        <v>1.4730000000000001</v>
      </c>
    </row>
    <row r="406" spans="1:9" x14ac:dyDescent="0.25">
      <c r="A406" t="s">
        <v>252</v>
      </c>
      <c r="B406" t="s">
        <v>2</v>
      </c>
      <c r="C406" t="s">
        <v>252</v>
      </c>
      <c r="D406">
        <v>19860</v>
      </c>
      <c r="E406" t="s">
        <v>672</v>
      </c>
      <c r="F406" t="s">
        <v>3</v>
      </c>
      <c r="G406" t="s">
        <v>670</v>
      </c>
      <c r="H406" t="s">
        <v>670</v>
      </c>
      <c r="I406">
        <v>1.206</v>
      </c>
    </row>
    <row r="407" spans="1:9" x14ac:dyDescent="0.25">
      <c r="A407" t="s">
        <v>252</v>
      </c>
      <c r="B407" t="s">
        <v>2</v>
      </c>
      <c r="C407" t="s">
        <v>252</v>
      </c>
      <c r="D407">
        <v>19860</v>
      </c>
      <c r="E407" t="s">
        <v>672</v>
      </c>
      <c r="F407" t="s">
        <v>113</v>
      </c>
      <c r="G407" t="s">
        <v>670</v>
      </c>
      <c r="H407" t="s">
        <v>670</v>
      </c>
      <c r="I407">
        <v>1.22</v>
      </c>
    </row>
    <row r="408" spans="1:9" x14ac:dyDescent="0.25">
      <c r="A408" t="s">
        <v>253</v>
      </c>
      <c r="B408" t="s">
        <v>2</v>
      </c>
      <c r="C408" t="s">
        <v>253</v>
      </c>
      <c r="D408">
        <v>20020</v>
      </c>
      <c r="E408" t="s">
        <v>669</v>
      </c>
      <c r="F408" t="s">
        <v>118</v>
      </c>
      <c r="G408" t="s">
        <v>670</v>
      </c>
      <c r="H408" t="s">
        <v>670</v>
      </c>
      <c r="I408">
        <v>1.0332594473715784</v>
      </c>
    </row>
    <row r="409" spans="1:9" x14ac:dyDescent="0.25">
      <c r="A409" t="s">
        <v>253</v>
      </c>
      <c r="B409" t="s">
        <v>2</v>
      </c>
      <c r="C409" t="s">
        <v>253</v>
      </c>
      <c r="D409">
        <v>20020</v>
      </c>
      <c r="E409" t="s">
        <v>672</v>
      </c>
      <c r="F409" t="s">
        <v>3</v>
      </c>
      <c r="G409" t="s">
        <v>670</v>
      </c>
      <c r="H409" t="s">
        <v>670</v>
      </c>
      <c r="I409">
        <v>1.075</v>
      </c>
    </row>
    <row r="410" spans="1:9" x14ac:dyDescent="0.25">
      <c r="A410" t="s">
        <v>253</v>
      </c>
      <c r="B410" t="s">
        <v>2</v>
      </c>
      <c r="C410" t="s">
        <v>253</v>
      </c>
      <c r="D410">
        <v>20020</v>
      </c>
      <c r="E410" t="s">
        <v>672</v>
      </c>
      <c r="F410" t="s">
        <v>113</v>
      </c>
      <c r="G410" t="s">
        <v>670</v>
      </c>
      <c r="H410" t="s">
        <v>670</v>
      </c>
      <c r="I410">
        <v>1.077</v>
      </c>
    </row>
    <row r="411" spans="1:9" x14ac:dyDescent="0.25">
      <c r="A411" t="s">
        <v>254</v>
      </c>
      <c r="B411" t="s">
        <v>2</v>
      </c>
      <c r="C411" t="s">
        <v>254</v>
      </c>
      <c r="D411">
        <v>20100</v>
      </c>
      <c r="E411" t="s">
        <v>672</v>
      </c>
      <c r="F411" t="s">
        <v>3</v>
      </c>
      <c r="G411" t="s">
        <v>670</v>
      </c>
      <c r="H411" t="s">
        <v>670</v>
      </c>
      <c r="I411">
        <v>1.7130000000000001</v>
      </c>
    </row>
    <row r="412" spans="1:9" x14ac:dyDescent="0.25">
      <c r="A412" t="s">
        <v>254</v>
      </c>
      <c r="B412" t="s">
        <v>2</v>
      </c>
      <c r="C412" t="s">
        <v>254</v>
      </c>
      <c r="D412">
        <v>20100</v>
      </c>
      <c r="E412" t="s">
        <v>672</v>
      </c>
      <c r="F412" t="s">
        <v>113</v>
      </c>
      <c r="G412" t="s">
        <v>670</v>
      </c>
      <c r="H412" t="s">
        <v>670</v>
      </c>
      <c r="I412">
        <v>1.716</v>
      </c>
    </row>
    <row r="413" spans="1:9" x14ac:dyDescent="0.25">
      <c r="A413" t="s">
        <v>255</v>
      </c>
      <c r="B413" t="s">
        <v>2</v>
      </c>
      <c r="C413" t="s">
        <v>255</v>
      </c>
      <c r="D413">
        <v>20260</v>
      </c>
      <c r="E413" t="s">
        <v>669</v>
      </c>
      <c r="F413" t="s">
        <v>118</v>
      </c>
      <c r="G413" t="s">
        <v>670</v>
      </c>
      <c r="H413" t="s">
        <v>670</v>
      </c>
      <c r="I413">
        <v>1.4304123765891221</v>
      </c>
    </row>
    <row r="414" spans="1:9" x14ac:dyDescent="0.25">
      <c r="A414" t="s">
        <v>255</v>
      </c>
      <c r="B414" t="s">
        <v>2</v>
      </c>
      <c r="C414" t="s">
        <v>255</v>
      </c>
      <c r="D414">
        <v>20260</v>
      </c>
      <c r="E414" t="s">
        <v>672</v>
      </c>
      <c r="F414" t="s">
        <v>3</v>
      </c>
      <c r="G414" t="s">
        <v>670</v>
      </c>
      <c r="H414" t="s">
        <v>670</v>
      </c>
      <c r="I414">
        <v>1.9319999999999999</v>
      </c>
    </row>
    <row r="415" spans="1:9" x14ac:dyDescent="0.25">
      <c r="A415" t="s">
        <v>255</v>
      </c>
      <c r="B415" t="s">
        <v>2</v>
      </c>
      <c r="C415" t="s">
        <v>255</v>
      </c>
      <c r="D415">
        <v>20260</v>
      </c>
      <c r="E415" t="s">
        <v>672</v>
      </c>
      <c r="F415" t="s">
        <v>113</v>
      </c>
      <c r="G415" t="s">
        <v>670</v>
      </c>
      <c r="H415" t="s">
        <v>670</v>
      </c>
      <c r="I415">
        <v>1.9410000000000001</v>
      </c>
    </row>
    <row r="416" spans="1:9" x14ac:dyDescent="0.25">
      <c r="A416" t="s">
        <v>256</v>
      </c>
      <c r="B416" t="s">
        <v>2</v>
      </c>
      <c r="C416" t="s">
        <v>256</v>
      </c>
      <c r="D416">
        <v>20420</v>
      </c>
      <c r="E416" t="s">
        <v>669</v>
      </c>
      <c r="F416" t="s">
        <v>118</v>
      </c>
      <c r="G416" t="s">
        <v>670</v>
      </c>
      <c r="H416" t="s">
        <v>670</v>
      </c>
      <c r="I416">
        <v>2.020185471146775</v>
      </c>
    </row>
    <row r="417" spans="1:9" x14ac:dyDescent="0.25">
      <c r="A417" t="s">
        <v>256</v>
      </c>
      <c r="B417" t="s">
        <v>2</v>
      </c>
      <c r="C417" t="s">
        <v>256</v>
      </c>
      <c r="D417">
        <v>20420</v>
      </c>
      <c r="E417" t="s">
        <v>672</v>
      </c>
      <c r="F417" t="s">
        <v>3</v>
      </c>
      <c r="G417" t="s">
        <v>670</v>
      </c>
      <c r="H417" t="s">
        <v>670</v>
      </c>
      <c r="I417">
        <v>2.4660000000000002</v>
      </c>
    </row>
    <row r="418" spans="1:9" x14ac:dyDescent="0.25">
      <c r="A418" t="s">
        <v>256</v>
      </c>
      <c r="B418" t="s">
        <v>2</v>
      </c>
      <c r="C418" t="s">
        <v>256</v>
      </c>
      <c r="D418">
        <v>20420</v>
      </c>
      <c r="E418" t="s">
        <v>672</v>
      </c>
      <c r="F418" t="s">
        <v>113</v>
      </c>
      <c r="G418" t="s">
        <v>670</v>
      </c>
      <c r="H418" t="s">
        <v>670</v>
      </c>
      <c r="I418">
        <v>2.5870000000000002</v>
      </c>
    </row>
    <row r="419" spans="1:9" x14ac:dyDescent="0.25">
      <c r="A419" t="s">
        <v>257</v>
      </c>
      <c r="B419" t="s">
        <v>2</v>
      </c>
      <c r="C419" t="s">
        <v>257</v>
      </c>
      <c r="D419">
        <v>20460</v>
      </c>
      <c r="E419" t="s">
        <v>672</v>
      </c>
      <c r="F419" t="s">
        <v>3</v>
      </c>
      <c r="G419" t="s">
        <v>670</v>
      </c>
      <c r="H419" t="s">
        <v>670</v>
      </c>
      <c r="I419" t="s">
        <v>673</v>
      </c>
    </row>
    <row r="420" spans="1:9" x14ac:dyDescent="0.25">
      <c r="A420" t="s">
        <v>257</v>
      </c>
      <c r="B420" t="s">
        <v>2</v>
      </c>
      <c r="C420" t="s">
        <v>257</v>
      </c>
      <c r="D420">
        <v>20460</v>
      </c>
      <c r="E420" t="s">
        <v>672</v>
      </c>
      <c r="F420" t="s">
        <v>113</v>
      </c>
      <c r="G420" t="s">
        <v>670</v>
      </c>
      <c r="H420" t="s">
        <v>670</v>
      </c>
      <c r="I420" t="s">
        <v>673</v>
      </c>
    </row>
    <row r="421" spans="1:9" x14ac:dyDescent="0.25">
      <c r="A421" t="s">
        <v>258</v>
      </c>
      <c r="B421" t="s">
        <v>2</v>
      </c>
      <c r="C421" t="s">
        <v>258</v>
      </c>
      <c r="D421">
        <v>20580</v>
      </c>
      <c r="E421" t="s">
        <v>672</v>
      </c>
      <c r="F421" t="s">
        <v>3</v>
      </c>
      <c r="G421" t="s">
        <v>670</v>
      </c>
      <c r="H421" t="s">
        <v>670</v>
      </c>
      <c r="I421">
        <v>1.1830000000000001</v>
      </c>
    </row>
    <row r="422" spans="1:9" x14ac:dyDescent="0.25">
      <c r="A422" t="s">
        <v>258</v>
      </c>
      <c r="B422" t="s">
        <v>2</v>
      </c>
      <c r="C422" t="s">
        <v>258</v>
      </c>
      <c r="D422">
        <v>20580</v>
      </c>
      <c r="E422" t="s">
        <v>672</v>
      </c>
      <c r="F422" t="s">
        <v>113</v>
      </c>
      <c r="G422" t="s">
        <v>670</v>
      </c>
      <c r="H422" t="s">
        <v>670</v>
      </c>
      <c r="I422">
        <v>1.1859999999999999</v>
      </c>
    </row>
    <row r="423" spans="1:9" x14ac:dyDescent="0.25">
      <c r="A423" t="s">
        <v>259</v>
      </c>
      <c r="B423" t="s">
        <v>2</v>
      </c>
      <c r="C423" t="s">
        <v>259</v>
      </c>
      <c r="D423">
        <v>20660</v>
      </c>
      <c r="E423" t="s">
        <v>672</v>
      </c>
      <c r="F423" t="s">
        <v>3</v>
      </c>
      <c r="G423" t="s">
        <v>670</v>
      </c>
      <c r="H423" t="s">
        <v>670</v>
      </c>
      <c r="I423" t="s">
        <v>673</v>
      </c>
    </row>
    <row r="424" spans="1:9" x14ac:dyDescent="0.25">
      <c r="A424" t="s">
        <v>259</v>
      </c>
      <c r="B424" t="s">
        <v>2</v>
      </c>
      <c r="C424" t="s">
        <v>259</v>
      </c>
      <c r="D424">
        <v>20660</v>
      </c>
      <c r="E424" t="s">
        <v>672</v>
      </c>
      <c r="F424" t="s">
        <v>113</v>
      </c>
      <c r="G424" t="s">
        <v>670</v>
      </c>
      <c r="H424" t="s">
        <v>670</v>
      </c>
      <c r="I424" t="s">
        <v>673</v>
      </c>
    </row>
    <row r="425" spans="1:9" x14ac:dyDescent="0.25">
      <c r="A425" t="s">
        <v>260</v>
      </c>
      <c r="B425" t="s">
        <v>2</v>
      </c>
      <c r="C425" t="s">
        <v>260</v>
      </c>
      <c r="D425">
        <v>20700</v>
      </c>
      <c r="E425" t="s">
        <v>672</v>
      </c>
      <c r="F425" t="s">
        <v>3</v>
      </c>
      <c r="G425" t="s">
        <v>670</v>
      </c>
      <c r="H425" t="s">
        <v>670</v>
      </c>
      <c r="I425">
        <v>1.9079999999999999</v>
      </c>
    </row>
    <row r="426" spans="1:9" x14ac:dyDescent="0.25">
      <c r="A426" t="s">
        <v>260</v>
      </c>
      <c r="B426" t="s">
        <v>2</v>
      </c>
      <c r="C426" t="s">
        <v>260</v>
      </c>
      <c r="D426">
        <v>20700</v>
      </c>
      <c r="E426" t="s">
        <v>672</v>
      </c>
      <c r="F426" t="s">
        <v>113</v>
      </c>
      <c r="G426" t="s">
        <v>670</v>
      </c>
      <c r="H426" t="s">
        <v>670</v>
      </c>
      <c r="I426">
        <v>1.9079999999999999</v>
      </c>
    </row>
    <row r="427" spans="1:9" x14ac:dyDescent="0.25">
      <c r="A427" t="s">
        <v>261</v>
      </c>
      <c r="B427" t="s">
        <v>2</v>
      </c>
      <c r="C427" t="s">
        <v>261</v>
      </c>
      <c r="D427">
        <v>20740</v>
      </c>
      <c r="E427" t="s">
        <v>672</v>
      </c>
      <c r="F427" t="s">
        <v>3</v>
      </c>
      <c r="G427" t="s">
        <v>670</v>
      </c>
      <c r="H427" t="s">
        <v>670</v>
      </c>
      <c r="I427">
        <v>1.3919999999999999</v>
      </c>
    </row>
    <row r="428" spans="1:9" x14ac:dyDescent="0.25">
      <c r="A428" t="s">
        <v>261</v>
      </c>
      <c r="B428" t="s">
        <v>2</v>
      </c>
      <c r="C428" t="s">
        <v>261</v>
      </c>
      <c r="D428">
        <v>20740</v>
      </c>
      <c r="E428" t="s">
        <v>672</v>
      </c>
      <c r="F428" t="s">
        <v>113</v>
      </c>
      <c r="G428" t="s">
        <v>670</v>
      </c>
      <c r="H428" t="s">
        <v>670</v>
      </c>
      <c r="I428">
        <v>1.413</v>
      </c>
    </row>
    <row r="429" spans="1:9" x14ac:dyDescent="0.25">
      <c r="A429" t="s">
        <v>262</v>
      </c>
      <c r="B429" t="s">
        <v>2</v>
      </c>
      <c r="C429" t="s">
        <v>262</v>
      </c>
      <c r="D429">
        <v>20780</v>
      </c>
      <c r="E429" t="s">
        <v>669</v>
      </c>
      <c r="F429" t="s">
        <v>118</v>
      </c>
      <c r="G429" t="s">
        <v>670</v>
      </c>
      <c r="H429" t="s">
        <v>670</v>
      </c>
      <c r="I429">
        <v>2.8369984453198596</v>
      </c>
    </row>
    <row r="430" spans="1:9" x14ac:dyDescent="0.25">
      <c r="A430" t="s">
        <v>262</v>
      </c>
      <c r="B430" t="s">
        <v>2</v>
      </c>
      <c r="C430" t="s">
        <v>262</v>
      </c>
      <c r="D430">
        <v>20780</v>
      </c>
      <c r="E430" t="s">
        <v>672</v>
      </c>
      <c r="F430" t="s">
        <v>3</v>
      </c>
      <c r="G430" t="s">
        <v>670</v>
      </c>
      <c r="H430" t="s">
        <v>670</v>
      </c>
      <c r="I430">
        <v>3.504</v>
      </c>
    </row>
    <row r="431" spans="1:9" x14ac:dyDescent="0.25">
      <c r="A431" t="s">
        <v>262</v>
      </c>
      <c r="B431" t="s">
        <v>2</v>
      </c>
      <c r="C431" t="s">
        <v>262</v>
      </c>
      <c r="D431">
        <v>20780</v>
      </c>
      <c r="E431" t="s">
        <v>672</v>
      </c>
      <c r="F431" t="s">
        <v>113</v>
      </c>
      <c r="G431" t="s">
        <v>670</v>
      </c>
      <c r="H431" t="s">
        <v>670</v>
      </c>
      <c r="I431">
        <v>3.504</v>
      </c>
    </row>
    <row r="432" spans="1:9" x14ac:dyDescent="0.25">
      <c r="A432" t="s">
        <v>263</v>
      </c>
      <c r="B432" t="s">
        <v>2</v>
      </c>
      <c r="C432" t="s">
        <v>263</v>
      </c>
      <c r="D432">
        <v>20900</v>
      </c>
      <c r="E432" t="s">
        <v>672</v>
      </c>
      <c r="F432" t="s">
        <v>3</v>
      </c>
      <c r="G432" t="s">
        <v>670</v>
      </c>
      <c r="H432" t="s">
        <v>670</v>
      </c>
      <c r="I432" t="s">
        <v>673</v>
      </c>
    </row>
    <row r="433" spans="1:9" x14ac:dyDescent="0.25">
      <c r="A433" t="s">
        <v>263</v>
      </c>
      <c r="B433" t="s">
        <v>2</v>
      </c>
      <c r="C433" t="s">
        <v>263</v>
      </c>
      <c r="D433">
        <v>20900</v>
      </c>
      <c r="E433" t="s">
        <v>672</v>
      </c>
      <c r="F433" t="s">
        <v>113</v>
      </c>
      <c r="G433" t="s">
        <v>670</v>
      </c>
      <c r="H433" t="s">
        <v>670</v>
      </c>
      <c r="I433" t="s">
        <v>673</v>
      </c>
    </row>
    <row r="434" spans="1:9" x14ac:dyDescent="0.25">
      <c r="A434" t="s">
        <v>264</v>
      </c>
      <c r="B434" t="s">
        <v>2</v>
      </c>
      <c r="C434" t="s">
        <v>264</v>
      </c>
      <c r="D434">
        <v>20940</v>
      </c>
      <c r="E434" t="s">
        <v>672</v>
      </c>
      <c r="F434" t="s">
        <v>3</v>
      </c>
      <c r="G434" t="s">
        <v>670</v>
      </c>
      <c r="H434" t="s">
        <v>670</v>
      </c>
      <c r="I434">
        <v>1.9470000000000001</v>
      </c>
    </row>
    <row r="435" spans="1:9" x14ac:dyDescent="0.25">
      <c r="A435" t="s">
        <v>264</v>
      </c>
      <c r="B435" t="s">
        <v>2</v>
      </c>
      <c r="C435" t="s">
        <v>264</v>
      </c>
      <c r="D435">
        <v>20940</v>
      </c>
      <c r="E435" t="s">
        <v>672</v>
      </c>
      <c r="F435" t="s">
        <v>113</v>
      </c>
      <c r="G435" t="s">
        <v>670</v>
      </c>
      <c r="H435" t="s">
        <v>670</v>
      </c>
      <c r="I435">
        <v>1.9470000000000001</v>
      </c>
    </row>
    <row r="436" spans="1:9" x14ac:dyDescent="0.25">
      <c r="A436" t="s">
        <v>265</v>
      </c>
      <c r="B436" t="s">
        <v>2</v>
      </c>
      <c r="C436" t="s">
        <v>265</v>
      </c>
      <c r="D436">
        <v>20980</v>
      </c>
      <c r="E436" t="s">
        <v>672</v>
      </c>
      <c r="F436" t="s">
        <v>3</v>
      </c>
      <c r="G436" t="s">
        <v>670</v>
      </c>
      <c r="H436" t="s">
        <v>670</v>
      </c>
      <c r="I436" t="s">
        <v>673</v>
      </c>
    </row>
    <row r="437" spans="1:9" x14ac:dyDescent="0.25">
      <c r="A437" t="s">
        <v>265</v>
      </c>
      <c r="B437" t="s">
        <v>2</v>
      </c>
      <c r="C437" t="s">
        <v>265</v>
      </c>
      <c r="D437">
        <v>20980</v>
      </c>
      <c r="E437" t="s">
        <v>672</v>
      </c>
      <c r="F437" t="s">
        <v>113</v>
      </c>
      <c r="G437" t="s">
        <v>670</v>
      </c>
      <c r="H437" t="s">
        <v>670</v>
      </c>
      <c r="I437" t="s">
        <v>673</v>
      </c>
    </row>
    <row r="438" spans="1:9" x14ac:dyDescent="0.25">
      <c r="A438" t="s">
        <v>266</v>
      </c>
      <c r="B438" t="s">
        <v>2</v>
      </c>
      <c r="C438" t="s">
        <v>266</v>
      </c>
      <c r="D438">
        <v>21020</v>
      </c>
      <c r="E438" t="s">
        <v>672</v>
      </c>
      <c r="F438" t="s">
        <v>3</v>
      </c>
      <c r="G438" t="s">
        <v>670</v>
      </c>
      <c r="H438" t="s">
        <v>670</v>
      </c>
      <c r="I438">
        <v>1.5309999999999999</v>
      </c>
    </row>
    <row r="439" spans="1:9" x14ac:dyDescent="0.25">
      <c r="A439" t="s">
        <v>266</v>
      </c>
      <c r="B439" t="s">
        <v>2</v>
      </c>
      <c r="C439" t="s">
        <v>266</v>
      </c>
      <c r="D439">
        <v>21020</v>
      </c>
      <c r="E439" t="s">
        <v>672</v>
      </c>
      <c r="F439" t="s">
        <v>113</v>
      </c>
      <c r="G439" t="s">
        <v>670</v>
      </c>
      <c r="H439" t="s">
        <v>670</v>
      </c>
      <c r="I439">
        <v>1.5309999999999999</v>
      </c>
    </row>
    <row r="440" spans="1:9" x14ac:dyDescent="0.25">
      <c r="A440" t="s">
        <v>267</v>
      </c>
      <c r="B440" t="s">
        <v>2</v>
      </c>
      <c r="C440" t="s">
        <v>267</v>
      </c>
      <c r="D440">
        <v>21060</v>
      </c>
      <c r="E440" t="s">
        <v>669</v>
      </c>
      <c r="F440" t="s">
        <v>118</v>
      </c>
      <c r="G440" t="s">
        <v>670</v>
      </c>
      <c r="H440" t="s">
        <v>670</v>
      </c>
      <c r="I440">
        <v>1.1077370038958718</v>
      </c>
    </row>
    <row r="441" spans="1:9" x14ac:dyDescent="0.25">
      <c r="A441" t="s">
        <v>267</v>
      </c>
      <c r="B441" t="s">
        <v>2</v>
      </c>
      <c r="C441" t="s">
        <v>267</v>
      </c>
      <c r="D441">
        <v>21060</v>
      </c>
      <c r="E441" t="s">
        <v>672</v>
      </c>
      <c r="F441" t="s">
        <v>3</v>
      </c>
      <c r="G441" t="s">
        <v>670</v>
      </c>
      <c r="H441" t="s">
        <v>670</v>
      </c>
      <c r="I441">
        <v>1.079</v>
      </c>
    </row>
    <row r="442" spans="1:9" x14ac:dyDescent="0.25">
      <c r="A442" t="s">
        <v>267</v>
      </c>
      <c r="B442" t="s">
        <v>2</v>
      </c>
      <c r="C442" t="s">
        <v>267</v>
      </c>
      <c r="D442">
        <v>21060</v>
      </c>
      <c r="E442" t="s">
        <v>672</v>
      </c>
      <c r="F442" t="s">
        <v>113</v>
      </c>
      <c r="G442" t="s">
        <v>670</v>
      </c>
      <c r="H442" t="s">
        <v>670</v>
      </c>
      <c r="I442">
        <v>1.089</v>
      </c>
    </row>
    <row r="443" spans="1:9" x14ac:dyDescent="0.25">
      <c r="A443" t="s">
        <v>268</v>
      </c>
      <c r="B443" t="s">
        <v>2</v>
      </c>
      <c r="C443" t="s">
        <v>268</v>
      </c>
      <c r="D443">
        <v>21120</v>
      </c>
      <c r="E443" t="s">
        <v>672</v>
      </c>
      <c r="F443" t="s">
        <v>3</v>
      </c>
      <c r="G443" t="s">
        <v>670</v>
      </c>
      <c r="H443" t="s">
        <v>670</v>
      </c>
      <c r="I443" t="s">
        <v>673</v>
      </c>
    </row>
    <row r="444" spans="1:9" x14ac:dyDescent="0.25">
      <c r="A444" t="s">
        <v>268</v>
      </c>
      <c r="B444" t="s">
        <v>2</v>
      </c>
      <c r="C444" t="s">
        <v>268</v>
      </c>
      <c r="D444">
        <v>21120</v>
      </c>
      <c r="E444" t="s">
        <v>672</v>
      </c>
      <c r="F444" t="s">
        <v>113</v>
      </c>
      <c r="G444" t="s">
        <v>670</v>
      </c>
      <c r="H444" t="s">
        <v>670</v>
      </c>
      <c r="I444" t="s">
        <v>673</v>
      </c>
    </row>
    <row r="445" spans="1:9" x14ac:dyDescent="0.25">
      <c r="A445" t="s">
        <v>269</v>
      </c>
      <c r="B445" t="s">
        <v>2</v>
      </c>
      <c r="C445" t="s">
        <v>269</v>
      </c>
      <c r="D445">
        <v>21140</v>
      </c>
      <c r="E445" t="s">
        <v>669</v>
      </c>
      <c r="F445" t="s">
        <v>118</v>
      </c>
      <c r="G445" t="s">
        <v>670</v>
      </c>
      <c r="H445" t="s">
        <v>670</v>
      </c>
      <c r="I445">
        <v>1.2751626577693189</v>
      </c>
    </row>
    <row r="446" spans="1:9" x14ac:dyDescent="0.25">
      <c r="A446" t="s">
        <v>269</v>
      </c>
      <c r="B446" t="s">
        <v>2</v>
      </c>
      <c r="C446" t="s">
        <v>269</v>
      </c>
      <c r="D446">
        <v>21140</v>
      </c>
      <c r="E446" t="s">
        <v>672</v>
      </c>
      <c r="F446" t="s">
        <v>3</v>
      </c>
      <c r="G446" t="s">
        <v>670</v>
      </c>
      <c r="H446" t="s">
        <v>670</v>
      </c>
      <c r="I446">
        <v>1.4350000000000001</v>
      </c>
    </row>
    <row r="447" spans="1:9" x14ac:dyDescent="0.25">
      <c r="A447" t="s">
        <v>269</v>
      </c>
      <c r="B447" t="s">
        <v>2</v>
      </c>
      <c r="C447" t="s">
        <v>269</v>
      </c>
      <c r="D447">
        <v>21140</v>
      </c>
      <c r="E447" t="s">
        <v>672</v>
      </c>
      <c r="F447" t="s">
        <v>113</v>
      </c>
      <c r="G447" t="s">
        <v>670</v>
      </c>
      <c r="H447" t="s">
        <v>670</v>
      </c>
      <c r="I447">
        <v>1.4410000000000001</v>
      </c>
    </row>
    <row r="448" spans="1:9" x14ac:dyDescent="0.25">
      <c r="A448" t="s">
        <v>270</v>
      </c>
      <c r="B448" t="s">
        <v>2</v>
      </c>
      <c r="C448" t="s">
        <v>270</v>
      </c>
      <c r="D448">
        <v>21220</v>
      </c>
      <c r="E448" t="s">
        <v>672</v>
      </c>
      <c r="F448" t="s">
        <v>3</v>
      </c>
      <c r="G448" t="s">
        <v>670</v>
      </c>
      <c r="H448" t="s">
        <v>670</v>
      </c>
      <c r="I448">
        <v>1.4379999999999999</v>
      </c>
    </row>
    <row r="449" spans="1:9" x14ac:dyDescent="0.25">
      <c r="A449" t="s">
        <v>270</v>
      </c>
      <c r="B449" t="s">
        <v>2</v>
      </c>
      <c r="C449" t="s">
        <v>270</v>
      </c>
      <c r="D449">
        <v>21220</v>
      </c>
      <c r="E449" t="s">
        <v>672</v>
      </c>
      <c r="F449" t="s">
        <v>113</v>
      </c>
      <c r="G449" t="s">
        <v>670</v>
      </c>
      <c r="H449" t="s">
        <v>670</v>
      </c>
      <c r="I449">
        <v>1.4379999999999999</v>
      </c>
    </row>
    <row r="450" spans="1:9" x14ac:dyDescent="0.25">
      <c r="A450" t="s">
        <v>271</v>
      </c>
      <c r="B450" t="s">
        <v>2</v>
      </c>
      <c r="C450" t="s">
        <v>271</v>
      </c>
      <c r="D450">
        <v>21260</v>
      </c>
      <c r="E450" t="s">
        <v>672</v>
      </c>
      <c r="F450" t="s">
        <v>3</v>
      </c>
      <c r="G450" t="s">
        <v>670</v>
      </c>
      <c r="H450" t="s">
        <v>670</v>
      </c>
      <c r="I450">
        <v>1.5269999999999999</v>
      </c>
    </row>
    <row r="451" spans="1:9" x14ac:dyDescent="0.25">
      <c r="A451" t="s">
        <v>271</v>
      </c>
      <c r="B451" t="s">
        <v>2</v>
      </c>
      <c r="C451" t="s">
        <v>271</v>
      </c>
      <c r="D451">
        <v>21260</v>
      </c>
      <c r="E451" t="s">
        <v>672</v>
      </c>
      <c r="F451" t="s">
        <v>113</v>
      </c>
      <c r="G451" t="s">
        <v>670</v>
      </c>
      <c r="H451" t="s">
        <v>670</v>
      </c>
      <c r="I451">
        <v>1.5329999999999999</v>
      </c>
    </row>
    <row r="452" spans="1:9" x14ac:dyDescent="0.25">
      <c r="A452" t="s">
        <v>272</v>
      </c>
      <c r="B452" t="s">
        <v>2</v>
      </c>
      <c r="C452" t="s">
        <v>272</v>
      </c>
      <c r="D452">
        <v>21300</v>
      </c>
      <c r="E452" t="s">
        <v>672</v>
      </c>
      <c r="F452" t="s">
        <v>3</v>
      </c>
      <c r="G452" t="s">
        <v>670</v>
      </c>
      <c r="H452" t="s">
        <v>670</v>
      </c>
      <c r="I452" t="s">
        <v>673</v>
      </c>
    </row>
    <row r="453" spans="1:9" x14ac:dyDescent="0.25">
      <c r="A453" t="s">
        <v>272</v>
      </c>
      <c r="B453" t="s">
        <v>2</v>
      </c>
      <c r="C453" t="s">
        <v>272</v>
      </c>
      <c r="D453">
        <v>21300</v>
      </c>
      <c r="E453" t="s">
        <v>672</v>
      </c>
      <c r="F453" t="s">
        <v>113</v>
      </c>
      <c r="G453" t="s">
        <v>670</v>
      </c>
      <c r="H453" t="s">
        <v>670</v>
      </c>
      <c r="I453" t="s">
        <v>673</v>
      </c>
    </row>
    <row r="454" spans="1:9" x14ac:dyDescent="0.25">
      <c r="A454" t="s">
        <v>273</v>
      </c>
      <c r="B454" t="s">
        <v>2</v>
      </c>
      <c r="C454" t="s">
        <v>273</v>
      </c>
      <c r="D454">
        <v>21340</v>
      </c>
      <c r="E454" t="s">
        <v>669</v>
      </c>
      <c r="F454" t="s">
        <v>118</v>
      </c>
      <c r="G454" t="s">
        <v>670</v>
      </c>
      <c r="H454" t="s">
        <v>670</v>
      </c>
      <c r="I454">
        <v>1.3431461164028444</v>
      </c>
    </row>
    <row r="455" spans="1:9" x14ac:dyDescent="0.25">
      <c r="A455" t="s">
        <v>273</v>
      </c>
      <c r="B455" t="s">
        <v>2</v>
      </c>
      <c r="C455" t="s">
        <v>273</v>
      </c>
      <c r="D455">
        <v>21340</v>
      </c>
      <c r="E455" t="s">
        <v>671</v>
      </c>
      <c r="F455" t="s">
        <v>116</v>
      </c>
      <c r="G455" t="s">
        <v>670</v>
      </c>
      <c r="H455" t="s">
        <v>670</v>
      </c>
      <c r="I455">
        <v>0.59877339452413703</v>
      </c>
    </row>
    <row r="456" spans="1:9" x14ac:dyDescent="0.25">
      <c r="A456" t="s">
        <v>273</v>
      </c>
      <c r="B456" t="s">
        <v>2</v>
      </c>
      <c r="C456" t="s">
        <v>273</v>
      </c>
      <c r="D456">
        <v>21340</v>
      </c>
      <c r="E456" t="s">
        <v>672</v>
      </c>
      <c r="F456" t="s">
        <v>3</v>
      </c>
      <c r="G456" t="s">
        <v>670</v>
      </c>
      <c r="H456" t="s">
        <v>670</v>
      </c>
      <c r="I456">
        <v>1.355</v>
      </c>
    </row>
    <row r="457" spans="1:9" x14ac:dyDescent="0.25">
      <c r="A457" t="s">
        <v>273</v>
      </c>
      <c r="B457" t="s">
        <v>2</v>
      </c>
      <c r="C457" t="s">
        <v>273</v>
      </c>
      <c r="D457">
        <v>21340</v>
      </c>
      <c r="E457" t="s">
        <v>672</v>
      </c>
      <c r="F457" t="s">
        <v>113</v>
      </c>
      <c r="G457" t="s">
        <v>670</v>
      </c>
      <c r="H457" t="s">
        <v>670</v>
      </c>
      <c r="I457">
        <v>1.357</v>
      </c>
    </row>
    <row r="458" spans="1:9" x14ac:dyDescent="0.25">
      <c r="A458" t="s">
        <v>274</v>
      </c>
      <c r="B458" t="s">
        <v>2</v>
      </c>
      <c r="C458" t="s">
        <v>274</v>
      </c>
      <c r="D458">
        <v>21380</v>
      </c>
      <c r="E458" t="s">
        <v>672</v>
      </c>
      <c r="F458" t="s">
        <v>3</v>
      </c>
      <c r="G458" t="s">
        <v>670</v>
      </c>
      <c r="H458" t="s">
        <v>670</v>
      </c>
      <c r="I458">
        <v>0.88700000000000001</v>
      </c>
    </row>
    <row r="459" spans="1:9" x14ac:dyDescent="0.25">
      <c r="A459" t="s">
        <v>274</v>
      </c>
      <c r="B459" t="s">
        <v>2</v>
      </c>
      <c r="C459" t="s">
        <v>274</v>
      </c>
      <c r="D459">
        <v>21380</v>
      </c>
      <c r="E459" t="s">
        <v>672</v>
      </c>
      <c r="F459" t="s">
        <v>113</v>
      </c>
      <c r="G459" t="s">
        <v>670</v>
      </c>
      <c r="H459" t="s">
        <v>670</v>
      </c>
      <c r="I459">
        <v>0.88700000000000001</v>
      </c>
    </row>
    <row r="460" spans="1:9" x14ac:dyDescent="0.25">
      <c r="A460" t="s">
        <v>275</v>
      </c>
      <c r="B460" t="s">
        <v>2</v>
      </c>
      <c r="C460" t="s">
        <v>275</v>
      </c>
      <c r="D460">
        <v>21420</v>
      </c>
      <c r="E460" t="s">
        <v>669</v>
      </c>
      <c r="F460" t="s">
        <v>118</v>
      </c>
      <c r="G460" t="s">
        <v>670</v>
      </c>
      <c r="H460" t="s">
        <v>670</v>
      </c>
      <c r="I460">
        <v>0.87757533900398454</v>
      </c>
    </row>
    <row r="461" spans="1:9" x14ac:dyDescent="0.25">
      <c r="A461" t="s">
        <v>275</v>
      </c>
      <c r="B461" t="s">
        <v>2</v>
      </c>
      <c r="C461" t="s">
        <v>275</v>
      </c>
      <c r="D461">
        <v>21420</v>
      </c>
      <c r="E461" t="s">
        <v>672</v>
      </c>
      <c r="F461" t="s">
        <v>3</v>
      </c>
      <c r="G461" t="s">
        <v>670</v>
      </c>
      <c r="H461" t="s">
        <v>670</v>
      </c>
      <c r="I461">
        <v>0.96599999999999997</v>
      </c>
    </row>
    <row r="462" spans="1:9" x14ac:dyDescent="0.25">
      <c r="A462" t="s">
        <v>275</v>
      </c>
      <c r="B462" t="s">
        <v>2</v>
      </c>
      <c r="C462" t="s">
        <v>275</v>
      </c>
      <c r="D462">
        <v>21420</v>
      </c>
      <c r="E462" t="s">
        <v>672</v>
      </c>
      <c r="F462" t="s">
        <v>113</v>
      </c>
      <c r="G462" t="s">
        <v>670</v>
      </c>
      <c r="H462" t="s">
        <v>670</v>
      </c>
      <c r="I462">
        <v>0.96599999999999997</v>
      </c>
    </row>
    <row r="463" spans="1:9" x14ac:dyDescent="0.25">
      <c r="A463" t="s">
        <v>276</v>
      </c>
      <c r="B463" t="s">
        <v>2</v>
      </c>
      <c r="C463" t="s">
        <v>276</v>
      </c>
      <c r="D463">
        <v>21460</v>
      </c>
      <c r="E463" t="s">
        <v>672</v>
      </c>
      <c r="F463" t="s">
        <v>3</v>
      </c>
      <c r="G463" t="s">
        <v>670</v>
      </c>
      <c r="H463" t="s">
        <v>670</v>
      </c>
      <c r="I463" t="s">
        <v>673</v>
      </c>
    </row>
    <row r="464" spans="1:9" x14ac:dyDescent="0.25">
      <c r="A464" t="s">
        <v>276</v>
      </c>
      <c r="B464" t="s">
        <v>2</v>
      </c>
      <c r="C464" t="s">
        <v>276</v>
      </c>
      <c r="D464">
        <v>21460</v>
      </c>
      <c r="E464" t="s">
        <v>672</v>
      </c>
      <c r="F464" t="s">
        <v>113</v>
      </c>
      <c r="G464" t="s">
        <v>670</v>
      </c>
      <c r="H464" t="s">
        <v>670</v>
      </c>
      <c r="I464" t="s">
        <v>673</v>
      </c>
    </row>
    <row r="465" spans="1:9" x14ac:dyDescent="0.25">
      <c r="A465" t="s">
        <v>277</v>
      </c>
      <c r="B465" t="s">
        <v>2</v>
      </c>
      <c r="C465" t="s">
        <v>277</v>
      </c>
      <c r="D465">
        <v>21500</v>
      </c>
      <c r="E465" t="s">
        <v>672</v>
      </c>
      <c r="F465" t="s">
        <v>3</v>
      </c>
      <c r="G465" t="s">
        <v>670</v>
      </c>
      <c r="H465" t="s">
        <v>670</v>
      </c>
      <c r="I465">
        <v>1.444</v>
      </c>
    </row>
    <row r="466" spans="1:9" x14ac:dyDescent="0.25">
      <c r="A466" t="s">
        <v>277</v>
      </c>
      <c r="B466" t="s">
        <v>2</v>
      </c>
      <c r="C466" t="s">
        <v>277</v>
      </c>
      <c r="D466">
        <v>21500</v>
      </c>
      <c r="E466" t="s">
        <v>672</v>
      </c>
      <c r="F466" t="s">
        <v>113</v>
      </c>
      <c r="G466" t="s">
        <v>670</v>
      </c>
      <c r="H466" t="s">
        <v>670</v>
      </c>
      <c r="I466">
        <v>1.4550000000000001</v>
      </c>
    </row>
    <row r="467" spans="1:9" x14ac:dyDescent="0.25">
      <c r="A467" t="s">
        <v>278</v>
      </c>
      <c r="B467" t="s">
        <v>2</v>
      </c>
      <c r="C467" t="s">
        <v>278</v>
      </c>
      <c r="D467">
        <v>21660</v>
      </c>
      <c r="E467" t="s">
        <v>669</v>
      </c>
      <c r="F467" t="s">
        <v>118</v>
      </c>
      <c r="G467" t="s">
        <v>670</v>
      </c>
      <c r="H467" t="s">
        <v>670</v>
      </c>
      <c r="I467">
        <v>1.9379621311238746</v>
      </c>
    </row>
    <row r="468" spans="1:9" x14ac:dyDescent="0.25">
      <c r="A468" t="s">
        <v>278</v>
      </c>
      <c r="B468" t="s">
        <v>2</v>
      </c>
      <c r="C468" t="s">
        <v>278</v>
      </c>
      <c r="D468">
        <v>21660</v>
      </c>
      <c r="E468" t="s">
        <v>671</v>
      </c>
      <c r="F468" t="s">
        <v>116</v>
      </c>
      <c r="G468" t="s">
        <v>670</v>
      </c>
      <c r="H468" t="s">
        <v>670</v>
      </c>
      <c r="I468">
        <v>0.65172164733664839</v>
      </c>
    </row>
    <row r="469" spans="1:9" x14ac:dyDescent="0.25">
      <c r="A469" t="s">
        <v>278</v>
      </c>
      <c r="B469" t="s">
        <v>2</v>
      </c>
      <c r="C469" t="s">
        <v>278</v>
      </c>
      <c r="D469">
        <v>21660</v>
      </c>
      <c r="E469" t="s">
        <v>672</v>
      </c>
      <c r="F469" t="s">
        <v>3</v>
      </c>
      <c r="G469" t="s">
        <v>670</v>
      </c>
      <c r="H469" t="s">
        <v>670</v>
      </c>
      <c r="I469">
        <v>1.8440000000000001</v>
      </c>
    </row>
    <row r="470" spans="1:9" x14ac:dyDescent="0.25">
      <c r="A470" t="s">
        <v>278</v>
      </c>
      <c r="B470" t="s">
        <v>2</v>
      </c>
      <c r="C470" t="s">
        <v>278</v>
      </c>
      <c r="D470">
        <v>21660</v>
      </c>
      <c r="E470" t="s">
        <v>672</v>
      </c>
      <c r="F470" t="s">
        <v>113</v>
      </c>
      <c r="G470" t="s">
        <v>670</v>
      </c>
      <c r="H470" t="s">
        <v>670</v>
      </c>
      <c r="I470">
        <v>1.87</v>
      </c>
    </row>
    <row r="471" spans="1:9" x14ac:dyDescent="0.25">
      <c r="A471" t="s">
        <v>279</v>
      </c>
      <c r="B471" t="s">
        <v>2</v>
      </c>
      <c r="C471" t="s">
        <v>279</v>
      </c>
      <c r="D471">
        <v>21780</v>
      </c>
      <c r="E471" t="s">
        <v>669</v>
      </c>
      <c r="F471" t="s">
        <v>118</v>
      </c>
      <c r="G471" t="s">
        <v>670</v>
      </c>
      <c r="H471" t="s">
        <v>670</v>
      </c>
      <c r="I471">
        <v>1.2122028299778607</v>
      </c>
    </row>
    <row r="472" spans="1:9" x14ac:dyDescent="0.25">
      <c r="A472" t="s">
        <v>279</v>
      </c>
      <c r="B472" t="s">
        <v>2</v>
      </c>
      <c r="C472" t="s">
        <v>279</v>
      </c>
      <c r="D472">
        <v>21780</v>
      </c>
      <c r="E472" t="s">
        <v>672</v>
      </c>
      <c r="F472" t="s">
        <v>3</v>
      </c>
      <c r="G472" t="s">
        <v>670</v>
      </c>
      <c r="H472" t="s">
        <v>670</v>
      </c>
      <c r="I472">
        <v>1.2010000000000001</v>
      </c>
    </row>
    <row r="473" spans="1:9" x14ac:dyDescent="0.25">
      <c r="A473" t="s">
        <v>279</v>
      </c>
      <c r="B473" t="s">
        <v>2</v>
      </c>
      <c r="C473" t="s">
        <v>279</v>
      </c>
      <c r="D473">
        <v>21780</v>
      </c>
      <c r="E473" t="s">
        <v>672</v>
      </c>
      <c r="F473" t="s">
        <v>113</v>
      </c>
      <c r="G473" t="s">
        <v>670</v>
      </c>
      <c r="H473" t="s">
        <v>670</v>
      </c>
      <c r="I473">
        <v>1.2070000000000001</v>
      </c>
    </row>
    <row r="474" spans="1:9" x14ac:dyDescent="0.25">
      <c r="A474" t="s">
        <v>280</v>
      </c>
      <c r="B474" t="s">
        <v>2</v>
      </c>
      <c r="C474" t="s">
        <v>280</v>
      </c>
      <c r="D474">
        <v>21820</v>
      </c>
      <c r="E474" t="s">
        <v>672</v>
      </c>
      <c r="F474" t="s">
        <v>3</v>
      </c>
      <c r="G474" t="s">
        <v>670</v>
      </c>
      <c r="H474" t="s">
        <v>670</v>
      </c>
      <c r="I474" t="s">
        <v>673</v>
      </c>
    </row>
    <row r="475" spans="1:9" x14ac:dyDescent="0.25">
      <c r="A475" t="s">
        <v>280</v>
      </c>
      <c r="B475" t="s">
        <v>2</v>
      </c>
      <c r="C475" t="s">
        <v>280</v>
      </c>
      <c r="D475">
        <v>21820</v>
      </c>
      <c r="E475" t="s">
        <v>672</v>
      </c>
      <c r="F475" t="s">
        <v>113</v>
      </c>
      <c r="G475" t="s">
        <v>670</v>
      </c>
      <c r="H475" t="s">
        <v>670</v>
      </c>
      <c r="I475" t="s">
        <v>673</v>
      </c>
    </row>
    <row r="476" spans="1:9" x14ac:dyDescent="0.25">
      <c r="A476" t="s">
        <v>281</v>
      </c>
      <c r="B476" t="s">
        <v>2</v>
      </c>
      <c r="C476" t="s">
        <v>281</v>
      </c>
      <c r="D476">
        <v>21900</v>
      </c>
      <c r="E476" t="s">
        <v>672</v>
      </c>
      <c r="F476" t="s">
        <v>3</v>
      </c>
      <c r="G476" t="s">
        <v>670</v>
      </c>
      <c r="H476" t="s">
        <v>670</v>
      </c>
      <c r="I476" t="s">
        <v>673</v>
      </c>
    </row>
    <row r="477" spans="1:9" x14ac:dyDescent="0.25">
      <c r="A477" t="s">
        <v>281</v>
      </c>
      <c r="B477" t="s">
        <v>2</v>
      </c>
      <c r="C477" t="s">
        <v>281</v>
      </c>
      <c r="D477">
        <v>21900</v>
      </c>
      <c r="E477" t="s">
        <v>672</v>
      </c>
      <c r="F477" t="s">
        <v>113</v>
      </c>
      <c r="G477" t="s">
        <v>670</v>
      </c>
      <c r="H477" t="s">
        <v>670</v>
      </c>
      <c r="I477" t="s">
        <v>673</v>
      </c>
    </row>
    <row r="478" spans="1:9" x14ac:dyDescent="0.25">
      <c r="A478" t="s">
        <v>282</v>
      </c>
      <c r="B478" t="s">
        <v>2</v>
      </c>
      <c r="C478" t="s">
        <v>282</v>
      </c>
      <c r="D478">
        <v>22020</v>
      </c>
      <c r="E478" t="s">
        <v>672</v>
      </c>
      <c r="F478" t="s">
        <v>3</v>
      </c>
      <c r="G478" t="s">
        <v>670</v>
      </c>
      <c r="H478" t="s">
        <v>670</v>
      </c>
      <c r="I478">
        <v>1.171</v>
      </c>
    </row>
    <row r="479" spans="1:9" x14ac:dyDescent="0.25">
      <c r="A479" t="s">
        <v>282</v>
      </c>
      <c r="B479" t="s">
        <v>2</v>
      </c>
      <c r="C479" t="s">
        <v>282</v>
      </c>
      <c r="D479">
        <v>22020</v>
      </c>
      <c r="E479" t="s">
        <v>672</v>
      </c>
      <c r="F479" t="s">
        <v>113</v>
      </c>
      <c r="G479" t="s">
        <v>670</v>
      </c>
      <c r="H479" t="s">
        <v>670</v>
      </c>
      <c r="I479">
        <v>1.1870000000000001</v>
      </c>
    </row>
    <row r="480" spans="1:9" x14ac:dyDescent="0.25">
      <c r="A480" t="s">
        <v>283</v>
      </c>
      <c r="B480" t="s">
        <v>2</v>
      </c>
      <c r="C480" t="s">
        <v>283</v>
      </c>
      <c r="D480">
        <v>22060</v>
      </c>
      <c r="E480" t="s">
        <v>672</v>
      </c>
      <c r="F480" t="s">
        <v>3</v>
      </c>
      <c r="G480" t="s">
        <v>670</v>
      </c>
      <c r="H480" t="s">
        <v>670</v>
      </c>
      <c r="I480">
        <v>1.921</v>
      </c>
    </row>
    <row r="481" spans="1:9" x14ac:dyDescent="0.25">
      <c r="A481" t="s">
        <v>283</v>
      </c>
      <c r="B481" t="s">
        <v>2</v>
      </c>
      <c r="C481" t="s">
        <v>283</v>
      </c>
      <c r="D481">
        <v>22060</v>
      </c>
      <c r="E481" t="s">
        <v>672</v>
      </c>
      <c r="F481" t="s">
        <v>113</v>
      </c>
      <c r="G481" t="s">
        <v>670</v>
      </c>
      <c r="H481" t="s">
        <v>670</v>
      </c>
      <c r="I481">
        <v>1.925</v>
      </c>
    </row>
    <row r="482" spans="1:9" x14ac:dyDescent="0.25">
      <c r="A482" t="s">
        <v>284</v>
      </c>
      <c r="B482" t="s">
        <v>2</v>
      </c>
      <c r="C482" t="s">
        <v>284</v>
      </c>
      <c r="D482">
        <v>22100</v>
      </c>
      <c r="E482" t="s">
        <v>672</v>
      </c>
      <c r="F482" t="s">
        <v>3</v>
      </c>
      <c r="G482" t="s">
        <v>670</v>
      </c>
      <c r="H482" t="s">
        <v>670</v>
      </c>
      <c r="I482" t="s">
        <v>673</v>
      </c>
    </row>
    <row r="483" spans="1:9" x14ac:dyDescent="0.25">
      <c r="A483" t="s">
        <v>284</v>
      </c>
      <c r="B483" t="s">
        <v>2</v>
      </c>
      <c r="C483" t="s">
        <v>284</v>
      </c>
      <c r="D483">
        <v>22100</v>
      </c>
      <c r="E483" t="s">
        <v>672</v>
      </c>
      <c r="F483" t="s">
        <v>113</v>
      </c>
      <c r="G483" t="s">
        <v>670</v>
      </c>
      <c r="H483" t="s">
        <v>670</v>
      </c>
      <c r="I483" t="s">
        <v>673</v>
      </c>
    </row>
    <row r="484" spans="1:9" x14ac:dyDescent="0.25">
      <c r="A484" t="s">
        <v>285</v>
      </c>
      <c r="B484" t="s">
        <v>2</v>
      </c>
      <c r="C484" t="s">
        <v>285</v>
      </c>
      <c r="D484">
        <v>22180</v>
      </c>
      <c r="E484" t="s">
        <v>669</v>
      </c>
      <c r="F484" t="s">
        <v>118</v>
      </c>
      <c r="G484" t="s">
        <v>670</v>
      </c>
      <c r="H484" t="s">
        <v>670</v>
      </c>
      <c r="I484">
        <v>1.1975986124324418</v>
      </c>
    </row>
    <row r="485" spans="1:9" x14ac:dyDescent="0.25">
      <c r="A485" t="s">
        <v>285</v>
      </c>
      <c r="B485" t="s">
        <v>2</v>
      </c>
      <c r="C485" t="s">
        <v>285</v>
      </c>
      <c r="D485">
        <v>22180</v>
      </c>
      <c r="E485" t="s">
        <v>671</v>
      </c>
      <c r="F485" t="s">
        <v>116</v>
      </c>
      <c r="G485" t="s">
        <v>670</v>
      </c>
      <c r="H485" t="s">
        <v>670</v>
      </c>
      <c r="I485">
        <v>0.63113352818655666</v>
      </c>
    </row>
    <row r="486" spans="1:9" x14ac:dyDescent="0.25">
      <c r="A486" t="s">
        <v>285</v>
      </c>
      <c r="B486" t="s">
        <v>2</v>
      </c>
      <c r="C486" t="s">
        <v>285</v>
      </c>
      <c r="D486">
        <v>22180</v>
      </c>
      <c r="E486" t="s">
        <v>672</v>
      </c>
      <c r="F486" t="s">
        <v>3</v>
      </c>
      <c r="G486" t="s">
        <v>670</v>
      </c>
      <c r="H486" t="s">
        <v>670</v>
      </c>
      <c r="I486">
        <v>1.224</v>
      </c>
    </row>
    <row r="487" spans="1:9" x14ac:dyDescent="0.25">
      <c r="A487" t="s">
        <v>285</v>
      </c>
      <c r="B487" t="s">
        <v>2</v>
      </c>
      <c r="C487" t="s">
        <v>285</v>
      </c>
      <c r="D487">
        <v>22180</v>
      </c>
      <c r="E487" t="s">
        <v>672</v>
      </c>
      <c r="F487" t="s">
        <v>113</v>
      </c>
      <c r="G487" t="s">
        <v>670</v>
      </c>
      <c r="H487" t="s">
        <v>670</v>
      </c>
      <c r="I487">
        <v>1.2330000000000001</v>
      </c>
    </row>
    <row r="488" spans="1:9" x14ac:dyDescent="0.25">
      <c r="A488" t="s">
        <v>286</v>
      </c>
      <c r="B488" t="s">
        <v>2</v>
      </c>
      <c r="C488" t="s">
        <v>286</v>
      </c>
      <c r="D488">
        <v>22220</v>
      </c>
      <c r="E488" t="s">
        <v>669</v>
      </c>
      <c r="F488" t="s">
        <v>118</v>
      </c>
      <c r="G488" t="s">
        <v>670</v>
      </c>
      <c r="H488" t="s">
        <v>670</v>
      </c>
      <c r="I488">
        <v>1.3127034265556614</v>
      </c>
    </row>
    <row r="489" spans="1:9" x14ac:dyDescent="0.25">
      <c r="A489" t="s">
        <v>286</v>
      </c>
      <c r="B489" t="s">
        <v>2</v>
      </c>
      <c r="C489" t="s">
        <v>286</v>
      </c>
      <c r="D489">
        <v>22220</v>
      </c>
      <c r="E489" t="s">
        <v>671</v>
      </c>
      <c r="F489" t="s">
        <v>116</v>
      </c>
      <c r="G489" t="s">
        <v>670</v>
      </c>
      <c r="H489" t="s">
        <v>670</v>
      </c>
      <c r="I489">
        <v>0.53160585829211005</v>
      </c>
    </row>
    <row r="490" spans="1:9" x14ac:dyDescent="0.25">
      <c r="A490" t="s">
        <v>286</v>
      </c>
      <c r="B490" t="s">
        <v>2</v>
      </c>
      <c r="C490" t="s">
        <v>286</v>
      </c>
      <c r="D490">
        <v>22220</v>
      </c>
      <c r="E490" t="s">
        <v>672</v>
      </c>
      <c r="F490" t="s">
        <v>3</v>
      </c>
      <c r="G490" t="s">
        <v>670</v>
      </c>
      <c r="H490" t="s">
        <v>670</v>
      </c>
      <c r="I490">
        <v>1.3640000000000001</v>
      </c>
    </row>
    <row r="491" spans="1:9" x14ac:dyDescent="0.25">
      <c r="A491" t="s">
        <v>286</v>
      </c>
      <c r="B491" t="s">
        <v>2</v>
      </c>
      <c r="C491" t="s">
        <v>286</v>
      </c>
      <c r="D491">
        <v>22220</v>
      </c>
      <c r="E491" t="s">
        <v>672</v>
      </c>
      <c r="F491" t="s">
        <v>113</v>
      </c>
      <c r="G491" t="s">
        <v>670</v>
      </c>
      <c r="H491" t="s">
        <v>670</v>
      </c>
      <c r="I491">
        <v>1.385</v>
      </c>
    </row>
    <row r="492" spans="1:9" x14ac:dyDescent="0.25">
      <c r="A492" t="s">
        <v>287</v>
      </c>
      <c r="B492" t="s">
        <v>2</v>
      </c>
      <c r="C492" t="s">
        <v>287</v>
      </c>
      <c r="D492">
        <v>22260</v>
      </c>
      <c r="E492" t="s">
        <v>669</v>
      </c>
      <c r="F492" t="s">
        <v>118</v>
      </c>
      <c r="G492" t="s">
        <v>670</v>
      </c>
      <c r="H492" t="s">
        <v>670</v>
      </c>
      <c r="I492">
        <v>0.96202847899834787</v>
      </c>
    </row>
    <row r="493" spans="1:9" x14ac:dyDescent="0.25">
      <c r="A493" t="s">
        <v>287</v>
      </c>
      <c r="B493" t="s">
        <v>2</v>
      </c>
      <c r="C493" t="s">
        <v>287</v>
      </c>
      <c r="D493">
        <v>22260</v>
      </c>
      <c r="E493" t="s">
        <v>672</v>
      </c>
      <c r="F493" t="s">
        <v>3</v>
      </c>
      <c r="G493" t="s">
        <v>670</v>
      </c>
      <c r="H493" t="s">
        <v>670</v>
      </c>
      <c r="I493" t="s">
        <v>673</v>
      </c>
    </row>
    <row r="494" spans="1:9" x14ac:dyDescent="0.25">
      <c r="A494" t="s">
        <v>287</v>
      </c>
      <c r="B494" t="s">
        <v>2</v>
      </c>
      <c r="C494" t="s">
        <v>287</v>
      </c>
      <c r="D494">
        <v>22260</v>
      </c>
      <c r="E494" t="s">
        <v>672</v>
      </c>
      <c r="F494" t="s">
        <v>113</v>
      </c>
      <c r="G494" t="s">
        <v>670</v>
      </c>
      <c r="H494" t="s">
        <v>670</v>
      </c>
      <c r="I494" t="s">
        <v>673</v>
      </c>
    </row>
    <row r="495" spans="1:9" x14ac:dyDescent="0.25">
      <c r="A495" t="s">
        <v>288</v>
      </c>
      <c r="B495" t="s">
        <v>2</v>
      </c>
      <c r="C495" t="s">
        <v>288</v>
      </c>
      <c r="D495">
        <v>22300</v>
      </c>
      <c r="E495" t="s">
        <v>672</v>
      </c>
      <c r="F495" t="s">
        <v>3</v>
      </c>
      <c r="G495" t="s">
        <v>670</v>
      </c>
      <c r="H495" t="s">
        <v>670</v>
      </c>
      <c r="I495" t="s">
        <v>673</v>
      </c>
    </row>
    <row r="496" spans="1:9" x14ac:dyDescent="0.25">
      <c r="A496" t="s">
        <v>288</v>
      </c>
      <c r="B496" t="s">
        <v>2</v>
      </c>
      <c r="C496" t="s">
        <v>288</v>
      </c>
      <c r="D496">
        <v>22300</v>
      </c>
      <c r="E496" t="s">
        <v>672</v>
      </c>
      <c r="F496" t="s">
        <v>113</v>
      </c>
      <c r="G496" t="s">
        <v>670</v>
      </c>
      <c r="H496" t="s">
        <v>670</v>
      </c>
      <c r="I496" t="s">
        <v>673</v>
      </c>
    </row>
    <row r="497" spans="1:9" x14ac:dyDescent="0.25">
      <c r="A497" t="s">
        <v>289</v>
      </c>
      <c r="B497" t="s">
        <v>2</v>
      </c>
      <c r="C497" t="s">
        <v>289</v>
      </c>
      <c r="D497">
        <v>22380</v>
      </c>
      <c r="E497" t="s">
        <v>669</v>
      </c>
      <c r="F497" t="s">
        <v>118</v>
      </c>
      <c r="G497" t="s">
        <v>670</v>
      </c>
      <c r="H497" t="s">
        <v>670</v>
      </c>
      <c r="I497">
        <v>2.1621603852322595</v>
      </c>
    </row>
    <row r="498" spans="1:9" x14ac:dyDescent="0.25">
      <c r="A498" t="s">
        <v>289</v>
      </c>
      <c r="B498" t="s">
        <v>2</v>
      </c>
      <c r="C498" t="s">
        <v>289</v>
      </c>
      <c r="D498">
        <v>22380</v>
      </c>
      <c r="E498" t="s">
        <v>672</v>
      </c>
      <c r="F498" t="s">
        <v>3</v>
      </c>
      <c r="G498" t="s">
        <v>670</v>
      </c>
      <c r="H498" t="s">
        <v>670</v>
      </c>
      <c r="I498">
        <v>2.2120000000000002</v>
      </c>
    </row>
    <row r="499" spans="1:9" x14ac:dyDescent="0.25">
      <c r="A499" t="s">
        <v>289</v>
      </c>
      <c r="B499" t="s">
        <v>2</v>
      </c>
      <c r="C499" t="s">
        <v>289</v>
      </c>
      <c r="D499">
        <v>22380</v>
      </c>
      <c r="E499" t="s">
        <v>672</v>
      </c>
      <c r="F499" t="s">
        <v>113</v>
      </c>
      <c r="G499" t="s">
        <v>670</v>
      </c>
      <c r="H499" t="s">
        <v>670</v>
      </c>
      <c r="I499">
        <v>2.2410000000000001</v>
      </c>
    </row>
    <row r="500" spans="1:9" x14ac:dyDescent="0.25">
      <c r="A500" t="s">
        <v>290</v>
      </c>
      <c r="B500" t="s">
        <v>2</v>
      </c>
      <c r="C500" t="s">
        <v>290</v>
      </c>
      <c r="D500">
        <v>22420</v>
      </c>
      <c r="E500" t="s">
        <v>669</v>
      </c>
      <c r="F500" t="s">
        <v>118</v>
      </c>
      <c r="G500" t="s">
        <v>670</v>
      </c>
      <c r="H500" t="s">
        <v>670</v>
      </c>
      <c r="I500">
        <v>1.024380484499364</v>
      </c>
    </row>
    <row r="501" spans="1:9" x14ac:dyDescent="0.25">
      <c r="A501" t="s">
        <v>290</v>
      </c>
      <c r="B501" t="s">
        <v>2</v>
      </c>
      <c r="C501" t="s">
        <v>290</v>
      </c>
      <c r="D501">
        <v>22420</v>
      </c>
      <c r="E501" t="s">
        <v>672</v>
      </c>
      <c r="F501" t="s">
        <v>3</v>
      </c>
      <c r="G501" t="s">
        <v>670</v>
      </c>
      <c r="H501" t="s">
        <v>670</v>
      </c>
      <c r="I501">
        <v>1.2090000000000001</v>
      </c>
    </row>
    <row r="502" spans="1:9" x14ac:dyDescent="0.25">
      <c r="A502" t="s">
        <v>290</v>
      </c>
      <c r="B502" t="s">
        <v>2</v>
      </c>
      <c r="C502" t="s">
        <v>290</v>
      </c>
      <c r="D502">
        <v>22420</v>
      </c>
      <c r="E502" t="s">
        <v>672</v>
      </c>
      <c r="F502" t="s">
        <v>113</v>
      </c>
      <c r="G502" t="s">
        <v>670</v>
      </c>
      <c r="H502" t="s">
        <v>670</v>
      </c>
      <c r="I502">
        <v>1.2130000000000001</v>
      </c>
    </row>
    <row r="503" spans="1:9" x14ac:dyDescent="0.25">
      <c r="A503" t="s">
        <v>291</v>
      </c>
      <c r="B503" t="s">
        <v>2</v>
      </c>
      <c r="C503" t="s">
        <v>291</v>
      </c>
      <c r="D503">
        <v>22520</v>
      </c>
      <c r="E503" t="s">
        <v>669</v>
      </c>
      <c r="F503" t="s">
        <v>118</v>
      </c>
      <c r="G503" t="s">
        <v>670</v>
      </c>
      <c r="H503" t="s">
        <v>670</v>
      </c>
      <c r="I503">
        <v>0.90247675357495905</v>
      </c>
    </row>
    <row r="504" spans="1:9" x14ac:dyDescent="0.25">
      <c r="A504" t="s">
        <v>291</v>
      </c>
      <c r="B504" t="s">
        <v>2</v>
      </c>
      <c r="C504" t="s">
        <v>291</v>
      </c>
      <c r="D504">
        <v>22520</v>
      </c>
      <c r="E504" t="s">
        <v>671</v>
      </c>
      <c r="F504" t="s">
        <v>116</v>
      </c>
      <c r="G504" t="s">
        <v>670</v>
      </c>
      <c r="H504" t="s">
        <v>670</v>
      </c>
      <c r="I504">
        <v>0.52389677000402102</v>
      </c>
    </row>
    <row r="505" spans="1:9" x14ac:dyDescent="0.25">
      <c r="A505" t="s">
        <v>291</v>
      </c>
      <c r="B505" t="s">
        <v>2</v>
      </c>
      <c r="C505" t="s">
        <v>291</v>
      </c>
      <c r="D505">
        <v>22520</v>
      </c>
      <c r="E505" t="s">
        <v>672</v>
      </c>
      <c r="F505" t="s">
        <v>3</v>
      </c>
      <c r="G505" t="s">
        <v>670</v>
      </c>
      <c r="H505" t="s">
        <v>670</v>
      </c>
      <c r="I505">
        <v>0.92600000000000005</v>
      </c>
    </row>
    <row r="506" spans="1:9" x14ac:dyDescent="0.25">
      <c r="A506" t="s">
        <v>291</v>
      </c>
      <c r="B506" t="s">
        <v>2</v>
      </c>
      <c r="C506" t="s">
        <v>291</v>
      </c>
      <c r="D506">
        <v>22520</v>
      </c>
      <c r="E506" t="s">
        <v>672</v>
      </c>
      <c r="F506" t="s">
        <v>113</v>
      </c>
      <c r="G506" t="s">
        <v>670</v>
      </c>
      <c r="H506" t="s">
        <v>670</v>
      </c>
      <c r="I506">
        <v>0.92800000000000005</v>
      </c>
    </row>
    <row r="507" spans="1:9" x14ac:dyDescent="0.25">
      <c r="A507" t="s">
        <v>292</v>
      </c>
      <c r="B507" t="s">
        <v>2</v>
      </c>
      <c r="C507" t="s">
        <v>292</v>
      </c>
      <c r="D507">
        <v>22500</v>
      </c>
      <c r="E507" t="s">
        <v>672</v>
      </c>
      <c r="F507" t="s">
        <v>3</v>
      </c>
      <c r="G507" t="s">
        <v>670</v>
      </c>
      <c r="H507" t="s">
        <v>670</v>
      </c>
      <c r="I507">
        <v>1.226</v>
      </c>
    </row>
    <row r="508" spans="1:9" x14ac:dyDescent="0.25">
      <c r="A508" t="s">
        <v>292</v>
      </c>
      <c r="B508" t="s">
        <v>2</v>
      </c>
      <c r="C508" t="s">
        <v>292</v>
      </c>
      <c r="D508">
        <v>22500</v>
      </c>
      <c r="E508" t="s">
        <v>672</v>
      </c>
      <c r="F508" t="s">
        <v>113</v>
      </c>
      <c r="G508" t="s">
        <v>670</v>
      </c>
      <c r="H508" t="s">
        <v>670</v>
      </c>
      <c r="I508">
        <v>1.226</v>
      </c>
    </row>
    <row r="509" spans="1:9" x14ac:dyDescent="0.25">
      <c r="A509" t="s">
        <v>293</v>
      </c>
      <c r="B509" t="s">
        <v>2</v>
      </c>
      <c r="C509" t="s">
        <v>293</v>
      </c>
      <c r="D509">
        <v>22540</v>
      </c>
      <c r="E509" t="s">
        <v>669</v>
      </c>
      <c r="F509" t="s">
        <v>118</v>
      </c>
      <c r="G509" t="s">
        <v>670</v>
      </c>
      <c r="H509" t="s">
        <v>670</v>
      </c>
      <c r="I509">
        <v>1.2052385100733403</v>
      </c>
    </row>
    <row r="510" spans="1:9" x14ac:dyDescent="0.25">
      <c r="A510" t="s">
        <v>293</v>
      </c>
      <c r="B510" t="s">
        <v>2</v>
      </c>
      <c r="C510" t="s">
        <v>293</v>
      </c>
      <c r="D510">
        <v>22540</v>
      </c>
      <c r="E510" t="s">
        <v>672</v>
      </c>
      <c r="F510" t="s">
        <v>3</v>
      </c>
      <c r="G510" t="s">
        <v>670</v>
      </c>
      <c r="H510" t="s">
        <v>670</v>
      </c>
      <c r="I510">
        <v>1.462</v>
      </c>
    </row>
    <row r="511" spans="1:9" x14ac:dyDescent="0.25">
      <c r="A511" t="s">
        <v>293</v>
      </c>
      <c r="B511" t="s">
        <v>2</v>
      </c>
      <c r="C511" t="s">
        <v>293</v>
      </c>
      <c r="D511">
        <v>22540</v>
      </c>
      <c r="E511" t="s">
        <v>672</v>
      </c>
      <c r="F511" t="s">
        <v>113</v>
      </c>
      <c r="G511" t="s">
        <v>670</v>
      </c>
      <c r="H511" t="s">
        <v>670</v>
      </c>
      <c r="I511">
        <v>1.462</v>
      </c>
    </row>
    <row r="512" spans="1:9" x14ac:dyDescent="0.25">
      <c r="A512" t="s">
        <v>294</v>
      </c>
      <c r="B512" t="s">
        <v>2</v>
      </c>
      <c r="C512" t="s">
        <v>294</v>
      </c>
      <c r="D512">
        <v>22620</v>
      </c>
      <c r="E512" t="s">
        <v>672</v>
      </c>
      <c r="F512" t="s">
        <v>3</v>
      </c>
      <c r="G512" t="s">
        <v>670</v>
      </c>
      <c r="H512" t="s">
        <v>670</v>
      </c>
      <c r="I512" t="s">
        <v>673</v>
      </c>
    </row>
    <row r="513" spans="1:9" x14ac:dyDescent="0.25">
      <c r="A513" t="s">
        <v>294</v>
      </c>
      <c r="B513" t="s">
        <v>2</v>
      </c>
      <c r="C513" t="s">
        <v>294</v>
      </c>
      <c r="D513">
        <v>22620</v>
      </c>
      <c r="E513" t="s">
        <v>672</v>
      </c>
      <c r="F513" t="s">
        <v>113</v>
      </c>
      <c r="G513" t="s">
        <v>670</v>
      </c>
      <c r="H513" t="s">
        <v>670</v>
      </c>
      <c r="I513" t="s">
        <v>673</v>
      </c>
    </row>
    <row r="514" spans="1:9" x14ac:dyDescent="0.25">
      <c r="A514" t="s">
        <v>295</v>
      </c>
      <c r="B514" t="s">
        <v>2</v>
      </c>
      <c r="C514" t="s">
        <v>295</v>
      </c>
      <c r="D514">
        <v>22660</v>
      </c>
      <c r="E514" t="s">
        <v>669</v>
      </c>
      <c r="F514" t="s">
        <v>118</v>
      </c>
      <c r="G514" t="s">
        <v>670</v>
      </c>
      <c r="H514" t="s">
        <v>670</v>
      </c>
      <c r="I514">
        <v>1.9197508616733847</v>
      </c>
    </row>
    <row r="515" spans="1:9" x14ac:dyDescent="0.25">
      <c r="A515" t="s">
        <v>295</v>
      </c>
      <c r="B515" t="s">
        <v>2</v>
      </c>
      <c r="C515" t="s">
        <v>295</v>
      </c>
      <c r="D515">
        <v>22660</v>
      </c>
      <c r="E515" t="s">
        <v>671</v>
      </c>
      <c r="F515" t="s">
        <v>116</v>
      </c>
      <c r="G515" t="s">
        <v>670</v>
      </c>
      <c r="H515" t="s">
        <v>670</v>
      </c>
      <c r="I515">
        <v>0.686723561521137</v>
      </c>
    </row>
    <row r="516" spans="1:9" x14ac:dyDescent="0.25">
      <c r="A516" t="s">
        <v>295</v>
      </c>
      <c r="B516" t="s">
        <v>2</v>
      </c>
      <c r="C516" t="s">
        <v>295</v>
      </c>
      <c r="D516">
        <v>22660</v>
      </c>
      <c r="E516" t="s">
        <v>672</v>
      </c>
      <c r="F516" t="s">
        <v>3</v>
      </c>
      <c r="G516" t="s">
        <v>670</v>
      </c>
      <c r="H516" t="s">
        <v>670</v>
      </c>
      <c r="I516">
        <v>1.9239999999999999</v>
      </c>
    </row>
    <row r="517" spans="1:9" x14ac:dyDescent="0.25">
      <c r="A517" t="s">
        <v>295</v>
      </c>
      <c r="B517" t="s">
        <v>2</v>
      </c>
      <c r="C517" t="s">
        <v>295</v>
      </c>
      <c r="D517">
        <v>22660</v>
      </c>
      <c r="E517" t="s">
        <v>672</v>
      </c>
      <c r="F517" t="s">
        <v>113</v>
      </c>
      <c r="G517" t="s">
        <v>670</v>
      </c>
      <c r="H517" t="s">
        <v>670</v>
      </c>
      <c r="I517">
        <v>1.956</v>
      </c>
    </row>
    <row r="518" spans="1:9" x14ac:dyDescent="0.25">
      <c r="A518" t="s">
        <v>296</v>
      </c>
      <c r="B518" t="s">
        <v>2</v>
      </c>
      <c r="C518" t="s">
        <v>296</v>
      </c>
      <c r="D518">
        <v>22700</v>
      </c>
      <c r="E518" t="s">
        <v>672</v>
      </c>
      <c r="F518" t="s">
        <v>3</v>
      </c>
      <c r="G518" t="s">
        <v>670</v>
      </c>
      <c r="H518" t="s">
        <v>670</v>
      </c>
      <c r="I518">
        <v>1.393</v>
      </c>
    </row>
    <row r="519" spans="1:9" x14ac:dyDescent="0.25">
      <c r="A519" t="s">
        <v>296</v>
      </c>
      <c r="B519" t="s">
        <v>2</v>
      </c>
      <c r="C519" t="s">
        <v>296</v>
      </c>
      <c r="D519">
        <v>22700</v>
      </c>
      <c r="E519" t="s">
        <v>672</v>
      </c>
      <c r="F519" t="s">
        <v>113</v>
      </c>
      <c r="G519" t="s">
        <v>670</v>
      </c>
      <c r="H519" t="s">
        <v>670</v>
      </c>
      <c r="I519">
        <v>1.393</v>
      </c>
    </row>
    <row r="520" spans="1:9" x14ac:dyDescent="0.25">
      <c r="A520" t="s">
        <v>18</v>
      </c>
      <c r="B520" t="s">
        <v>2</v>
      </c>
      <c r="C520" t="s">
        <v>18</v>
      </c>
      <c r="D520">
        <v>22744</v>
      </c>
      <c r="E520" t="s">
        <v>669</v>
      </c>
      <c r="F520" t="s">
        <v>118</v>
      </c>
      <c r="G520" t="s">
        <v>670</v>
      </c>
      <c r="H520" t="s">
        <v>670</v>
      </c>
      <c r="I520">
        <v>2.443144300740582</v>
      </c>
    </row>
    <row r="521" spans="1:9" x14ac:dyDescent="0.25">
      <c r="A521" t="s">
        <v>18</v>
      </c>
      <c r="B521" t="s">
        <v>2</v>
      </c>
      <c r="C521" t="s">
        <v>18</v>
      </c>
      <c r="D521">
        <v>22744</v>
      </c>
      <c r="E521" t="s">
        <v>671</v>
      </c>
      <c r="F521" t="s">
        <v>116</v>
      </c>
      <c r="G521" t="s">
        <v>670</v>
      </c>
      <c r="H521" t="s">
        <v>670</v>
      </c>
      <c r="I521">
        <v>0.55789681324711249</v>
      </c>
    </row>
    <row r="522" spans="1:9" x14ac:dyDescent="0.25">
      <c r="A522" t="s">
        <v>18</v>
      </c>
      <c r="B522" t="s">
        <v>2</v>
      </c>
      <c r="C522" t="s">
        <v>18</v>
      </c>
      <c r="D522">
        <v>22744</v>
      </c>
      <c r="E522" t="s">
        <v>672</v>
      </c>
      <c r="F522" t="s">
        <v>3</v>
      </c>
      <c r="G522" t="s">
        <v>670</v>
      </c>
      <c r="H522" t="s">
        <v>670</v>
      </c>
      <c r="I522">
        <v>2.4079999999999999</v>
      </c>
    </row>
    <row r="523" spans="1:9" x14ac:dyDescent="0.25">
      <c r="A523" t="s">
        <v>18</v>
      </c>
      <c r="B523" t="s">
        <v>2</v>
      </c>
      <c r="C523" t="s">
        <v>18</v>
      </c>
      <c r="D523">
        <v>22744</v>
      </c>
      <c r="E523" t="s">
        <v>672</v>
      </c>
      <c r="F523" t="s">
        <v>113</v>
      </c>
      <c r="G523" t="s">
        <v>670</v>
      </c>
      <c r="H523" t="s">
        <v>670</v>
      </c>
      <c r="I523">
        <v>2.44</v>
      </c>
    </row>
    <row r="524" spans="1:9" x14ac:dyDescent="0.25">
      <c r="A524" t="s">
        <v>297</v>
      </c>
      <c r="B524" t="s">
        <v>2</v>
      </c>
      <c r="C524" t="s">
        <v>297</v>
      </c>
      <c r="D524">
        <v>22780</v>
      </c>
      <c r="E524" t="s">
        <v>672</v>
      </c>
      <c r="F524" t="s">
        <v>3</v>
      </c>
      <c r="G524" t="s">
        <v>670</v>
      </c>
      <c r="H524" t="s">
        <v>670</v>
      </c>
      <c r="I524" t="s">
        <v>673</v>
      </c>
    </row>
    <row r="525" spans="1:9" x14ac:dyDescent="0.25">
      <c r="A525" t="s">
        <v>297</v>
      </c>
      <c r="B525" t="s">
        <v>2</v>
      </c>
      <c r="C525" t="s">
        <v>297</v>
      </c>
      <c r="D525">
        <v>22780</v>
      </c>
      <c r="E525" t="s">
        <v>672</v>
      </c>
      <c r="F525" t="s">
        <v>113</v>
      </c>
      <c r="G525" t="s">
        <v>670</v>
      </c>
      <c r="H525" t="s">
        <v>670</v>
      </c>
      <c r="I525" t="s">
        <v>673</v>
      </c>
    </row>
    <row r="526" spans="1:9" x14ac:dyDescent="0.25">
      <c r="A526" t="s">
        <v>298</v>
      </c>
      <c r="B526" t="s">
        <v>2</v>
      </c>
      <c r="C526" t="s">
        <v>298</v>
      </c>
      <c r="D526">
        <v>22900</v>
      </c>
      <c r="E526" t="s">
        <v>672</v>
      </c>
      <c r="F526" t="s">
        <v>3</v>
      </c>
      <c r="G526" t="s">
        <v>670</v>
      </c>
      <c r="H526" t="s">
        <v>670</v>
      </c>
      <c r="I526">
        <v>1.1399999999999999</v>
      </c>
    </row>
    <row r="527" spans="1:9" x14ac:dyDescent="0.25">
      <c r="A527" t="s">
        <v>298</v>
      </c>
      <c r="B527" t="s">
        <v>2</v>
      </c>
      <c r="C527" t="s">
        <v>298</v>
      </c>
      <c r="D527">
        <v>22900</v>
      </c>
      <c r="E527" t="s">
        <v>672</v>
      </c>
      <c r="F527" t="s">
        <v>113</v>
      </c>
      <c r="G527" t="s">
        <v>670</v>
      </c>
      <c r="H527" t="s">
        <v>670</v>
      </c>
      <c r="I527">
        <v>1.1399999999999999</v>
      </c>
    </row>
    <row r="528" spans="1:9" x14ac:dyDescent="0.25">
      <c r="A528" t="s">
        <v>299</v>
      </c>
      <c r="B528" t="s">
        <v>2</v>
      </c>
      <c r="C528" t="s">
        <v>299</v>
      </c>
      <c r="D528">
        <v>23060</v>
      </c>
      <c r="E528" t="s">
        <v>669</v>
      </c>
      <c r="F528" t="s">
        <v>118</v>
      </c>
      <c r="G528" t="s">
        <v>670</v>
      </c>
      <c r="H528" t="s">
        <v>670</v>
      </c>
      <c r="I528">
        <v>1.3767721927113326</v>
      </c>
    </row>
    <row r="529" spans="1:9" x14ac:dyDescent="0.25">
      <c r="A529" t="s">
        <v>299</v>
      </c>
      <c r="B529" t="s">
        <v>2</v>
      </c>
      <c r="C529" t="s">
        <v>299</v>
      </c>
      <c r="D529">
        <v>23060</v>
      </c>
      <c r="E529" t="s">
        <v>671</v>
      </c>
      <c r="F529" t="s">
        <v>116</v>
      </c>
      <c r="G529" t="s">
        <v>670</v>
      </c>
      <c r="H529" t="s">
        <v>670</v>
      </c>
      <c r="I529">
        <v>0.55137926625991074</v>
      </c>
    </row>
    <row r="530" spans="1:9" x14ac:dyDescent="0.25">
      <c r="A530" t="s">
        <v>299</v>
      </c>
      <c r="B530" t="s">
        <v>2</v>
      </c>
      <c r="C530" t="s">
        <v>299</v>
      </c>
      <c r="D530">
        <v>23060</v>
      </c>
      <c r="E530" t="s">
        <v>672</v>
      </c>
      <c r="F530" t="s">
        <v>3</v>
      </c>
      <c r="G530" t="s">
        <v>670</v>
      </c>
      <c r="H530" t="s">
        <v>670</v>
      </c>
      <c r="I530">
        <v>1.3</v>
      </c>
    </row>
    <row r="531" spans="1:9" x14ac:dyDescent="0.25">
      <c r="A531" t="s">
        <v>299</v>
      </c>
      <c r="B531" t="s">
        <v>2</v>
      </c>
      <c r="C531" t="s">
        <v>299</v>
      </c>
      <c r="D531">
        <v>23060</v>
      </c>
      <c r="E531" t="s">
        <v>672</v>
      </c>
      <c r="F531" t="s">
        <v>113</v>
      </c>
      <c r="G531" t="s">
        <v>670</v>
      </c>
      <c r="H531" t="s">
        <v>670</v>
      </c>
      <c r="I531">
        <v>1.3129999999999999</v>
      </c>
    </row>
    <row r="532" spans="1:9" x14ac:dyDescent="0.25">
      <c r="A532" t="s">
        <v>300</v>
      </c>
      <c r="B532" t="s">
        <v>2</v>
      </c>
      <c r="C532" t="s">
        <v>300</v>
      </c>
      <c r="D532">
        <v>223104</v>
      </c>
      <c r="E532" t="s">
        <v>669</v>
      </c>
      <c r="F532" t="s">
        <v>118</v>
      </c>
      <c r="G532" t="s">
        <v>670</v>
      </c>
      <c r="H532" t="s">
        <v>670</v>
      </c>
      <c r="I532">
        <v>1.6289860487294545</v>
      </c>
    </row>
    <row r="533" spans="1:9" x14ac:dyDescent="0.25">
      <c r="A533" t="s">
        <v>300</v>
      </c>
      <c r="B533" t="s">
        <v>2</v>
      </c>
      <c r="C533" t="s">
        <v>300</v>
      </c>
      <c r="D533">
        <v>223104</v>
      </c>
      <c r="E533" t="s">
        <v>671</v>
      </c>
      <c r="F533" t="s">
        <v>116</v>
      </c>
      <c r="G533" t="s">
        <v>670</v>
      </c>
      <c r="H533" t="s">
        <v>670</v>
      </c>
      <c r="I533">
        <v>0.50156050368223559</v>
      </c>
    </row>
    <row r="534" spans="1:9" x14ac:dyDescent="0.25">
      <c r="A534" t="s">
        <v>300</v>
      </c>
      <c r="B534" t="s">
        <v>2</v>
      </c>
      <c r="C534" t="s">
        <v>300</v>
      </c>
      <c r="D534">
        <v>223104</v>
      </c>
      <c r="E534" t="s">
        <v>672</v>
      </c>
      <c r="F534" t="s">
        <v>3</v>
      </c>
      <c r="G534" t="s">
        <v>670</v>
      </c>
      <c r="H534" t="s">
        <v>670</v>
      </c>
      <c r="I534">
        <v>1.554</v>
      </c>
    </row>
    <row r="535" spans="1:9" x14ac:dyDescent="0.25">
      <c r="A535" t="s">
        <v>300</v>
      </c>
      <c r="B535" t="s">
        <v>2</v>
      </c>
      <c r="C535" t="s">
        <v>300</v>
      </c>
      <c r="D535">
        <v>223104</v>
      </c>
      <c r="E535" t="s">
        <v>672</v>
      </c>
      <c r="F535" t="s">
        <v>113</v>
      </c>
      <c r="G535" t="s">
        <v>670</v>
      </c>
      <c r="H535" t="s">
        <v>670</v>
      </c>
      <c r="I535">
        <v>1.59</v>
      </c>
    </row>
    <row r="536" spans="1:9" x14ac:dyDescent="0.25">
      <c r="A536" t="s">
        <v>301</v>
      </c>
      <c r="B536" t="s">
        <v>2</v>
      </c>
      <c r="C536" t="s">
        <v>301</v>
      </c>
      <c r="D536">
        <v>23140</v>
      </c>
      <c r="E536" t="s">
        <v>672</v>
      </c>
      <c r="F536" t="s">
        <v>3</v>
      </c>
      <c r="G536" t="s">
        <v>670</v>
      </c>
      <c r="H536" t="s">
        <v>670</v>
      </c>
      <c r="I536" t="s">
        <v>673</v>
      </c>
    </row>
    <row r="537" spans="1:9" x14ac:dyDescent="0.25">
      <c r="A537" t="s">
        <v>301</v>
      </c>
      <c r="B537" t="s">
        <v>2</v>
      </c>
      <c r="C537" t="s">
        <v>301</v>
      </c>
      <c r="D537">
        <v>23140</v>
      </c>
      <c r="E537" t="s">
        <v>672</v>
      </c>
      <c r="F537" t="s">
        <v>113</v>
      </c>
      <c r="G537" t="s">
        <v>670</v>
      </c>
      <c r="H537" t="s">
        <v>670</v>
      </c>
      <c r="I537" t="s">
        <v>673</v>
      </c>
    </row>
    <row r="538" spans="1:9" x14ac:dyDescent="0.25">
      <c r="A538" t="s">
        <v>302</v>
      </c>
      <c r="B538" t="s">
        <v>2</v>
      </c>
      <c r="C538" t="s">
        <v>302</v>
      </c>
      <c r="D538">
        <v>23240</v>
      </c>
      <c r="E538" t="s">
        <v>672</v>
      </c>
      <c r="F538" t="s">
        <v>3</v>
      </c>
      <c r="G538" t="s">
        <v>670</v>
      </c>
      <c r="H538" t="s">
        <v>670</v>
      </c>
      <c r="I538">
        <v>1.647</v>
      </c>
    </row>
    <row r="539" spans="1:9" x14ac:dyDescent="0.25">
      <c r="A539" t="s">
        <v>302</v>
      </c>
      <c r="B539" t="s">
        <v>2</v>
      </c>
      <c r="C539" t="s">
        <v>302</v>
      </c>
      <c r="D539">
        <v>23240</v>
      </c>
      <c r="E539" t="s">
        <v>672</v>
      </c>
      <c r="F539" t="s">
        <v>113</v>
      </c>
      <c r="G539" t="s">
        <v>670</v>
      </c>
      <c r="H539" t="s">
        <v>670</v>
      </c>
      <c r="I539">
        <v>1.647</v>
      </c>
    </row>
    <row r="540" spans="1:9" x14ac:dyDescent="0.25">
      <c r="A540" t="s">
        <v>303</v>
      </c>
      <c r="B540" t="s">
        <v>2</v>
      </c>
      <c r="C540" t="s">
        <v>303</v>
      </c>
      <c r="D540">
        <v>23380</v>
      </c>
      <c r="E540" t="s">
        <v>669</v>
      </c>
      <c r="F540" t="s">
        <v>118</v>
      </c>
      <c r="G540" t="s">
        <v>670</v>
      </c>
      <c r="H540" t="s">
        <v>670</v>
      </c>
      <c r="I540">
        <v>0.67725606531816784</v>
      </c>
    </row>
    <row r="541" spans="1:9" x14ac:dyDescent="0.25">
      <c r="A541" t="s">
        <v>303</v>
      </c>
      <c r="B541" t="s">
        <v>2</v>
      </c>
      <c r="C541" t="s">
        <v>303</v>
      </c>
      <c r="D541">
        <v>23380</v>
      </c>
      <c r="E541" t="s">
        <v>672</v>
      </c>
      <c r="F541" t="s">
        <v>3</v>
      </c>
      <c r="G541" t="s">
        <v>670</v>
      </c>
      <c r="H541" t="s">
        <v>670</v>
      </c>
      <c r="I541" t="s">
        <v>673</v>
      </c>
    </row>
    <row r="542" spans="1:9" x14ac:dyDescent="0.25">
      <c r="A542" t="s">
        <v>303</v>
      </c>
      <c r="B542" t="s">
        <v>2</v>
      </c>
      <c r="C542" t="s">
        <v>303</v>
      </c>
      <c r="D542">
        <v>23380</v>
      </c>
      <c r="E542" t="s">
        <v>672</v>
      </c>
      <c r="F542" t="s">
        <v>113</v>
      </c>
      <c r="G542" t="s">
        <v>670</v>
      </c>
      <c r="H542" t="s">
        <v>670</v>
      </c>
      <c r="I542" t="s">
        <v>673</v>
      </c>
    </row>
    <row r="543" spans="1:9" x14ac:dyDescent="0.25">
      <c r="A543" t="s">
        <v>304</v>
      </c>
      <c r="B543" t="s">
        <v>2</v>
      </c>
      <c r="C543" t="s">
        <v>304</v>
      </c>
      <c r="D543">
        <v>23420</v>
      </c>
      <c r="E543" t="s">
        <v>669</v>
      </c>
      <c r="F543" t="s">
        <v>118</v>
      </c>
      <c r="G543" t="s">
        <v>670</v>
      </c>
      <c r="H543" t="s">
        <v>670</v>
      </c>
      <c r="I543">
        <v>1.5554438785389406</v>
      </c>
    </row>
    <row r="544" spans="1:9" x14ac:dyDescent="0.25">
      <c r="A544" t="s">
        <v>304</v>
      </c>
      <c r="B544" t="s">
        <v>2</v>
      </c>
      <c r="C544" t="s">
        <v>304</v>
      </c>
      <c r="D544">
        <v>23420</v>
      </c>
      <c r="E544" t="s">
        <v>671</v>
      </c>
      <c r="F544" t="s">
        <v>116</v>
      </c>
      <c r="G544" t="s">
        <v>670</v>
      </c>
      <c r="H544" t="s">
        <v>670</v>
      </c>
      <c r="I544">
        <v>0.49093731144584796</v>
      </c>
    </row>
    <row r="545" spans="1:9" x14ac:dyDescent="0.25">
      <c r="A545" t="s">
        <v>304</v>
      </c>
      <c r="B545" t="s">
        <v>2</v>
      </c>
      <c r="C545" t="s">
        <v>304</v>
      </c>
      <c r="D545">
        <v>23420</v>
      </c>
      <c r="E545" t="s">
        <v>672</v>
      </c>
      <c r="F545" t="s">
        <v>3</v>
      </c>
      <c r="G545" t="s">
        <v>670</v>
      </c>
      <c r="H545" t="s">
        <v>670</v>
      </c>
      <c r="I545">
        <v>1.768</v>
      </c>
    </row>
    <row r="546" spans="1:9" x14ac:dyDescent="0.25">
      <c r="A546" t="s">
        <v>304</v>
      </c>
      <c r="B546" t="s">
        <v>2</v>
      </c>
      <c r="C546" t="s">
        <v>304</v>
      </c>
      <c r="D546">
        <v>23420</v>
      </c>
      <c r="E546" t="s">
        <v>672</v>
      </c>
      <c r="F546" t="s">
        <v>113</v>
      </c>
      <c r="G546" t="s">
        <v>670</v>
      </c>
      <c r="H546" t="s">
        <v>670</v>
      </c>
      <c r="I546">
        <v>1.776</v>
      </c>
    </row>
    <row r="547" spans="1:9" x14ac:dyDescent="0.25">
      <c r="A547" t="s">
        <v>305</v>
      </c>
      <c r="B547" t="s">
        <v>2</v>
      </c>
      <c r="C547" t="s">
        <v>305</v>
      </c>
      <c r="D547">
        <v>23460</v>
      </c>
      <c r="E547" t="s">
        <v>672</v>
      </c>
      <c r="F547" t="s">
        <v>3</v>
      </c>
      <c r="G547" t="s">
        <v>670</v>
      </c>
      <c r="H547" t="s">
        <v>670</v>
      </c>
      <c r="I547" t="s">
        <v>673</v>
      </c>
    </row>
    <row r="548" spans="1:9" x14ac:dyDescent="0.25">
      <c r="A548" t="s">
        <v>305</v>
      </c>
      <c r="B548" t="s">
        <v>2</v>
      </c>
      <c r="C548" t="s">
        <v>305</v>
      </c>
      <c r="D548">
        <v>23460</v>
      </c>
      <c r="E548" t="s">
        <v>672</v>
      </c>
      <c r="F548" t="s">
        <v>113</v>
      </c>
      <c r="G548" t="s">
        <v>670</v>
      </c>
      <c r="H548" t="s">
        <v>670</v>
      </c>
      <c r="I548" t="s">
        <v>673</v>
      </c>
    </row>
    <row r="549" spans="1:9" x14ac:dyDescent="0.25">
      <c r="A549" t="s">
        <v>306</v>
      </c>
      <c r="B549" t="s">
        <v>2</v>
      </c>
      <c r="C549" t="s">
        <v>306</v>
      </c>
      <c r="D549">
        <v>23500</v>
      </c>
      <c r="E549" t="s">
        <v>672</v>
      </c>
      <c r="F549" t="s">
        <v>3</v>
      </c>
      <c r="G549" t="s">
        <v>670</v>
      </c>
      <c r="H549" t="s">
        <v>670</v>
      </c>
      <c r="I549" t="s">
        <v>673</v>
      </c>
    </row>
    <row r="550" spans="1:9" x14ac:dyDescent="0.25">
      <c r="A550" t="s">
        <v>306</v>
      </c>
      <c r="B550" t="s">
        <v>2</v>
      </c>
      <c r="C550" t="s">
        <v>306</v>
      </c>
      <c r="D550">
        <v>23500</v>
      </c>
      <c r="E550" t="s">
        <v>672</v>
      </c>
      <c r="F550" t="s">
        <v>113</v>
      </c>
      <c r="G550" t="s">
        <v>670</v>
      </c>
      <c r="H550" t="s">
        <v>670</v>
      </c>
      <c r="I550" t="s">
        <v>673</v>
      </c>
    </row>
    <row r="551" spans="1:9" x14ac:dyDescent="0.25">
      <c r="A551" t="s">
        <v>307</v>
      </c>
      <c r="B551" t="s">
        <v>2</v>
      </c>
      <c r="C551" t="s">
        <v>307</v>
      </c>
      <c r="D551">
        <v>23540</v>
      </c>
      <c r="E551" t="s">
        <v>669</v>
      </c>
      <c r="F551" t="s">
        <v>118</v>
      </c>
      <c r="G551" t="s">
        <v>670</v>
      </c>
      <c r="H551" t="s">
        <v>670</v>
      </c>
      <c r="I551">
        <v>1.5214392540910773</v>
      </c>
    </row>
    <row r="552" spans="1:9" x14ac:dyDescent="0.25">
      <c r="A552" t="s">
        <v>307</v>
      </c>
      <c r="B552" t="s">
        <v>2</v>
      </c>
      <c r="C552" t="s">
        <v>307</v>
      </c>
      <c r="D552">
        <v>23540</v>
      </c>
      <c r="E552" t="s">
        <v>671</v>
      </c>
      <c r="F552" t="s">
        <v>116</v>
      </c>
      <c r="G552" t="s">
        <v>670</v>
      </c>
      <c r="H552" t="s">
        <v>670</v>
      </c>
      <c r="I552">
        <v>0.50228097453769605</v>
      </c>
    </row>
    <row r="553" spans="1:9" x14ac:dyDescent="0.25">
      <c r="A553" t="s">
        <v>307</v>
      </c>
      <c r="B553" t="s">
        <v>2</v>
      </c>
      <c r="C553" t="s">
        <v>307</v>
      </c>
      <c r="D553">
        <v>23540</v>
      </c>
      <c r="E553" t="s">
        <v>672</v>
      </c>
      <c r="F553" t="s">
        <v>3</v>
      </c>
      <c r="G553" t="s">
        <v>670</v>
      </c>
      <c r="H553" t="s">
        <v>670</v>
      </c>
      <c r="I553">
        <v>1.5329999999999999</v>
      </c>
    </row>
    <row r="554" spans="1:9" x14ac:dyDescent="0.25">
      <c r="A554" t="s">
        <v>307</v>
      </c>
      <c r="B554" t="s">
        <v>2</v>
      </c>
      <c r="C554" t="s">
        <v>307</v>
      </c>
      <c r="D554">
        <v>23540</v>
      </c>
      <c r="E554" t="s">
        <v>672</v>
      </c>
      <c r="F554" t="s">
        <v>113</v>
      </c>
      <c r="G554" t="s">
        <v>670</v>
      </c>
      <c r="H554" t="s">
        <v>670</v>
      </c>
      <c r="I554">
        <v>1.556</v>
      </c>
    </row>
    <row r="555" spans="1:9" x14ac:dyDescent="0.25">
      <c r="A555" t="s">
        <v>308</v>
      </c>
      <c r="B555" t="s">
        <v>2</v>
      </c>
      <c r="C555" t="s">
        <v>308</v>
      </c>
      <c r="D555">
        <v>23580</v>
      </c>
      <c r="E555" t="s">
        <v>669</v>
      </c>
      <c r="F555" t="s">
        <v>118</v>
      </c>
      <c r="G555" t="s">
        <v>670</v>
      </c>
      <c r="H555" t="s">
        <v>670</v>
      </c>
      <c r="I555">
        <v>1.4760438532114666</v>
      </c>
    </row>
    <row r="556" spans="1:9" x14ac:dyDescent="0.25">
      <c r="A556" t="s">
        <v>308</v>
      </c>
      <c r="B556" t="s">
        <v>2</v>
      </c>
      <c r="C556" t="s">
        <v>308</v>
      </c>
      <c r="D556">
        <v>23580</v>
      </c>
      <c r="E556" t="s">
        <v>671</v>
      </c>
      <c r="F556" t="s">
        <v>116</v>
      </c>
      <c r="G556" t="s">
        <v>670</v>
      </c>
      <c r="H556" t="s">
        <v>670</v>
      </c>
      <c r="I556">
        <v>0.57147014814957198</v>
      </c>
    </row>
    <row r="557" spans="1:9" x14ac:dyDescent="0.25">
      <c r="A557" t="s">
        <v>308</v>
      </c>
      <c r="B557" t="s">
        <v>2</v>
      </c>
      <c r="C557" t="s">
        <v>308</v>
      </c>
      <c r="D557">
        <v>23580</v>
      </c>
      <c r="E557" t="s">
        <v>672</v>
      </c>
      <c r="F557" t="s">
        <v>3</v>
      </c>
      <c r="G557" t="s">
        <v>670</v>
      </c>
      <c r="H557" t="s">
        <v>670</v>
      </c>
      <c r="I557">
        <v>1.3979999999999999</v>
      </c>
    </row>
    <row r="558" spans="1:9" x14ac:dyDescent="0.25">
      <c r="A558" t="s">
        <v>308</v>
      </c>
      <c r="B558" t="s">
        <v>2</v>
      </c>
      <c r="C558" t="s">
        <v>308</v>
      </c>
      <c r="D558">
        <v>23580</v>
      </c>
      <c r="E558" t="s">
        <v>672</v>
      </c>
      <c r="F558" t="s">
        <v>113</v>
      </c>
      <c r="G558" t="s">
        <v>670</v>
      </c>
      <c r="H558" t="s">
        <v>670</v>
      </c>
      <c r="I558">
        <v>1.4690000000000001</v>
      </c>
    </row>
    <row r="559" spans="1:9" x14ac:dyDescent="0.25">
      <c r="A559" t="s">
        <v>309</v>
      </c>
      <c r="B559" t="s">
        <v>2</v>
      </c>
      <c r="C559" t="s">
        <v>309</v>
      </c>
      <c r="D559">
        <v>23620</v>
      </c>
      <c r="E559" t="s">
        <v>672</v>
      </c>
      <c r="F559" t="s">
        <v>3</v>
      </c>
      <c r="G559" t="s">
        <v>670</v>
      </c>
      <c r="H559" t="s">
        <v>670</v>
      </c>
      <c r="I559" t="s">
        <v>673</v>
      </c>
    </row>
    <row r="560" spans="1:9" x14ac:dyDescent="0.25">
      <c r="A560" t="s">
        <v>309</v>
      </c>
      <c r="B560" t="s">
        <v>2</v>
      </c>
      <c r="C560" t="s">
        <v>309</v>
      </c>
      <c r="D560">
        <v>23620</v>
      </c>
      <c r="E560" t="s">
        <v>672</v>
      </c>
      <c r="F560" t="s">
        <v>113</v>
      </c>
      <c r="G560" t="s">
        <v>670</v>
      </c>
      <c r="H560" t="s">
        <v>670</v>
      </c>
      <c r="I560" t="s">
        <v>673</v>
      </c>
    </row>
    <row r="561" spans="1:9" x14ac:dyDescent="0.25">
      <c r="A561" t="s">
        <v>310</v>
      </c>
      <c r="B561" t="s">
        <v>2</v>
      </c>
      <c r="C561" t="s">
        <v>310</v>
      </c>
      <c r="D561">
        <v>23940</v>
      </c>
      <c r="E561" t="s">
        <v>672</v>
      </c>
      <c r="F561" t="s">
        <v>3</v>
      </c>
      <c r="G561" t="s">
        <v>670</v>
      </c>
      <c r="H561" t="s">
        <v>670</v>
      </c>
      <c r="I561">
        <v>1.2150000000000001</v>
      </c>
    </row>
    <row r="562" spans="1:9" x14ac:dyDescent="0.25">
      <c r="A562" t="s">
        <v>310</v>
      </c>
      <c r="B562" t="s">
        <v>2</v>
      </c>
      <c r="C562" t="s">
        <v>310</v>
      </c>
      <c r="D562">
        <v>23940</v>
      </c>
      <c r="E562" t="s">
        <v>672</v>
      </c>
      <c r="F562" t="s">
        <v>113</v>
      </c>
      <c r="G562" t="s">
        <v>670</v>
      </c>
      <c r="H562" t="s">
        <v>670</v>
      </c>
      <c r="I562">
        <v>1.2350000000000001</v>
      </c>
    </row>
    <row r="563" spans="1:9" x14ac:dyDescent="0.25">
      <c r="A563" t="s">
        <v>311</v>
      </c>
      <c r="B563" t="s">
        <v>2</v>
      </c>
      <c r="C563" t="s">
        <v>311</v>
      </c>
      <c r="D563">
        <v>24020</v>
      </c>
      <c r="E563" t="s">
        <v>672</v>
      </c>
      <c r="F563" t="s">
        <v>3</v>
      </c>
      <c r="G563" t="s">
        <v>670</v>
      </c>
      <c r="H563" t="s">
        <v>670</v>
      </c>
      <c r="I563" t="s">
        <v>673</v>
      </c>
    </row>
    <row r="564" spans="1:9" x14ac:dyDescent="0.25">
      <c r="A564" t="s">
        <v>311</v>
      </c>
      <c r="B564" t="s">
        <v>2</v>
      </c>
      <c r="C564" t="s">
        <v>311</v>
      </c>
      <c r="D564">
        <v>24020</v>
      </c>
      <c r="E564" t="s">
        <v>672</v>
      </c>
      <c r="F564" t="s">
        <v>113</v>
      </c>
      <c r="G564" t="s">
        <v>670</v>
      </c>
      <c r="H564" t="s">
        <v>670</v>
      </c>
      <c r="I564" t="s">
        <v>673</v>
      </c>
    </row>
    <row r="565" spans="1:9" x14ac:dyDescent="0.25">
      <c r="A565" t="s">
        <v>312</v>
      </c>
      <c r="B565" t="s">
        <v>2</v>
      </c>
      <c r="C565" t="s">
        <v>312</v>
      </c>
      <c r="D565">
        <v>24140</v>
      </c>
      <c r="E565" t="s">
        <v>672</v>
      </c>
      <c r="F565" t="s">
        <v>3</v>
      </c>
      <c r="G565" t="s">
        <v>670</v>
      </c>
      <c r="H565" t="s">
        <v>670</v>
      </c>
      <c r="I565">
        <v>1.2629999999999999</v>
      </c>
    </row>
    <row r="566" spans="1:9" x14ac:dyDescent="0.25">
      <c r="A566" t="s">
        <v>312</v>
      </c>
      <c r="B566" t="s">
        <v>2</v>
      </c>
      <c r="C566" t="s">
        <v>312</v>
      </c>
      <c r="D566">
        <v>24140</v>
      </c>
      <c r="E566" t="s">
        <v>672</v>
      </c>
      <c r="F566" t="s">
        <v>113</v>
      </c>
      <c r="G566" t="s">
        <v>670</v>
      </c>
      <c r="H566" t="s">
        <v>670</v>
      </c>
      <c r="I566">
        <v>1.2629999999999999</v>
      </c>
    </row>
    <row r="567" spans="1:9" x14ac:dyDescent="0.25">
      <c r="A567" t="s">
        <v>313</v>
      </c>
      <c r="B567" t="s">
        <v>2</v>
      </c>
      <c r="C567" t="s">
        <v>313</v>
      </c>
      <c r="D567">
        <v>24220</v>
      </c>
      <c r="E567" t="s">
        <v>672</v>
      </c>
      <c r="F567" t="s">
        <v>3</v>
      </c>
      <c r="G567" t="s">
        <v>670</v>
      </c>
      <c r="H567" t="s">
        <v>670</v>
      </c>
      <c r="I567">
        <v>1.272</v>
      </c>
    </row>
    <row r="568" spans="1:9" x14ac:dyDescent="0.25">
      <c r="A568" t="s">
        <v>313</v>
      </c>
      <c r="B568" t="s">
        <v>2</v>
      </c>
      <c r="C568" t="s">
        <v>313</v>
      </c>
      <c r="D568">
        <v>24220</v>
      </c>
      <c r="E568" t="s">
        <v>672</v>
      </c>
      <c r="F568" t="s">
        <v>113</v>
      </c>
      <c r="G568" t="s">
        <v>670</v>
      </c>
      <c r="H568" t="s">
        <v>670</v>
      </c>
      <c r="I568">
        <v>1.282</v>
      </c>
    </row>
    <row r="569" spans="1:9" x14ac:dyDescent="0.25">
      <c r="A569" t="s">
        <v>314</v>
      </c>
      <c r="B569" t="s">
        <v>2</v>
      </c>
      <c r="C569" t="s">
        <v>314</v>
      </c>
      <c r="D569">
        <v>24260</v>
      </c>
      <c r="E569" t="s">
        <v>672</v>
      </c>
      <c r="F569" t="s">
        <v>3</v>
      </c>
      <c r="G569" t="s">
        <v>670</v>
      </c>
      <c r="H569" t="s">
        <v>670</v>
      </c>
      <c r="I569">
        <v>1.4930000000000001</v>
      </c>
    </row>
    <row r="570" spans="1:9" x14ac:dyDescent="0.25">
      <c r="A570" t="s">
        <v>314</v>
      </c>
      <c r="B570" t="s">
        <v>2</v>
      </c>
      <c r="C570" t="s">
        <v>314</v>
      </c>
      <c r="D570">
        <v>24260</v>
      </c>
      <c r="E570" t="s">
        <v>672</v>
      </c>
      <c r="F570" t="s">
        <v>113</v>
      </c>
      <c r="G570" t="s">
        <v>670</v>
      </c>
      <c r="H570" t="s">
        <v>670</v>
      </c>
      <c r="I570">
        <v>1.506</v>
      </c>
    </row>
    <row r="571" spans="1:9" x14ac:dyDescent="0.25">
      <c r="A571" t="s">
        <v>315</v>
      </c>
      <c r="B571" t="s">
        <v>2</v>
      </c>
      <c r="C571" t="s">
        <v>315</v>
      </c>
      <c r="D571">
        <v>24300</v>
      </c>
      <c r="E571" t="s">
        <v>672</v>
      </c>
      <c r="F571" t="s">
        <v>3</v>
      </c>
      <c r="G571" t="s">
        <v>670</v>
      </c>
      <c r="H571" t="s">
        <v>670</v>
      </c>
      <c r="I571">
        <v>1.8340000000000001</v>
      </c>
    </row>
    <row r="572" spans="1:9" x14ac:dyDescent="0.25">
      <c r="A572" t="s">
        <v>315</v>
      </c>
      <c r="B572" t="s">
        <v>2</v>
      </c>
      <c r="C572" t="s">
        <v>315</v>
      </c>
      <c r="D572">
        <v>24300</v>
      </c>
      <c r="E572" t="s">
        <v>672</v>
      </c>
      <c r="F572" t="s">
        <v>113</v>
      </c>
      <c r="G572" t="s">
        <v>670</v>
      </c>
      <c r="H572" t="s">
        <v>670</v>
      </c>
      <c r="I572">
        <v>1.8340000000000001</v>
      </c>
    </row>
    <row r="573" spans="1:9" x14ac:dyDescent="0.25">
      <c r="A573" t="s">
        <v>6</v>
      </c>
      <c r="B573" t="s">
        <v>2</v>
      </c>
      <c r="C573" t="s">
        <v>6</v>
      </c>
      <c r="D573">
        <v>324340</v>
      </c>
      <c r="E573" t="s">
        <v>669</v>
      </c>
      <c r="F573" t="s">
        <v>118</v>
      </c>
      <c r="G573" t="s">
        <v>670</v>
      </c>
      <c r="H573" t="s">
        <v>670</v>
      </c>
      <c r="I573">
        <v>1.487433054543811</v>
      </c>
    </row>
    <row r="574" spans="1:9" x14ac:dyDescent="0.25">
      <c r="A574" t="s">
        <v>6</v>
      </c>
      <c r="B574" t="s">
        <v>2</v>
      </c>
      <c r="C574" t="s">
        <v>6</v>
      </c>
      <c r="D574">
        <v>324340</v>
      </c>
      <c r="E574" t="s">
        <v>671</v>
      </c>
      <c r="F574" t="s">
        <v>116</v>
      </c>
      <c r="G574" t="s">
        <v>670</v>
      </c>
      <c r="H574" t="s">
        <v>670</v>
      </c>
      <c r="I574">
        <v>0.57125554087737562</v>
      </c>
    </row>
    <row r="575" spans="1:9" x14ac:dyDescent="0.25">
      <c r="A575" t="s">
        <v>6</v>
      </c>
      <c r="B575" t="s">
        <v>2</v>
      </c>
      <c r="C575" t="s">
        <v>6</v>
      </c>
      <c r="D575">
        <v>324340</v>
      </c>
      <c r="E575" t="s">
        <v>672</v>
      </c>
      <c r="F575" t="s">
        <v>3</v>
      </c>
      <c r="G575" t="s">
        <v>670</v>
      </c>
      <c r="H575" t="s">
        <v>670</v>
      </c>
      <c r="I575">
        <v>1.6619999999999999</v>
      </c>
    </row>
    <row r="576" spans="1:9" x14ac:dyDescent="0.25">
      <c r="A576" t="s">
        <v>6</v>
      </c>
      <c r="B576" t="s">
        <v>2</v>
      </c>
      <c r="C576" t="s">
        <v>6</v>
      </c>
      <c r="D576">
        <v>324340</v>
      </c>
      <c r="E576" t="s">
        <v>672</v>
      </c>
      <c r="F576" t="s">
        <v>113</v>
      </c>
      <c r="G576" t="s">
        <v>670</v>
      </c>
      <c r="H576" t="s">
        <v>670</v>
      </c>
      <c r="I576">
        <v>1.6759999999999999</v>
      </c>
    </row>
    <row r="577" spans="1:9" x14ac:dyDescent="0.25">
      <c r="A577" t="s">
        <v>316</v>
      </c>
      <c r="B577" t="s">
        <v>2</v>
      </c>
      <c r="C577" t="s">
        <v>316</v>
      </c>
      <c r="D577">
        <v>24420</v>
      </c>
      <c r="E577" t="s">
        <v>672</v>
      </c>
      <c r="F577" t="s">
        <v>3</v>
      </c>
      <c r="G577" t="s">
        <v>670</v>
      </c>
      <c r="H577" t="s">
        <v>670</v>
      </c>
      <c r="I577" t="s">
        <v>673</v>
      </c>
    </row>
    <row r="578" spans="1:9" x14ac:dyDescent="0.25">
      <c r="A578" t="s">
        <v>316</v>
      </c>
      <c r="B578" t="s">
        <v>2</v>
      </c>
      <c r="C578" t="s">
        <v>316</v>
      </c>
      <c r="D578">
        <v>24420</v>
      </c>
      <c r="E578" t="s">
        <v>672</v>
      </c>
      <c r="F578" t="s">
        <v>113</v>
      </c>
      <c r="G578" t="s">
        <v>670</v>
      </c>
      <c r="H578" t="s">
        <v>670</v>
      </c>
      <c r="I578" t="s">
        <v>673</v>
      </c>
    </row>
    <row r="579" spans="1:9" x14ac:dyDescent="0.25">
      <c r="A579" t="s">
        <v>317</v>
      </c>
      <c r="B579" t="s">
        <v>2</v>
      </c>
      <c r="C579" t="s">
        <v>317</v>
      </c>
      <c r="D579">
        <v>24500</v>
      </c>
      <c r="E579" t="s">
        <v>669</v>
      </c>
      <c r="F579" t="s">
        <v>118</v>
      </c>
      <c r="G579" t="s">
        <v>670</v>
      </c>
      <c r="H579" t="s">
        <v>670</v>
      </c>
      <c r="I579">
        <v>1.8971444293694002</v>
      </c>
    </row>
    <row r="580" spans="1:9" x14ac:dyDescent="0.25">
      <c r="A580" t="s">
        <v>317</v>
      </c>
      <c r="B580" t="s">
        <v>2</v>
      </c>
      <c r="C580" t="s">
        <v>317</v>
      </c>
      <c r="D580">
        <v>24500</v>
      </c>
      <c r="E580" t="s">
        <v>672</v>
      </c>
      <c r="F580" t="s">
        <v>3</v>
      </c>
      <c r="G580" t="s">
        <v>670</v>
      </c>
      <c r="H580" t="s">
        <v>670</v>
      </c>
      <c r="I580">
        <v>2.145</v>
      </c>
    </row>
    <row r="581" spans="1:9" x14ac:dyDescent="0.25">
      <c r="A581" t="s">
        <v>317</v>
      </c>
      <c r="B581" t="s">
        <v>2</v>
      </c>
      <c r="C581" t="s">
        <v>317</v>
      </c>
      <c r="D581">
        <v>24500</v>
      </c>
      <c r="E581" t="s">
        <v>672</v>
      </c>
      <c r="F581" t="s">
        <v>113</v>
      </c>
      <c r="G581" t="s">
        <v>670</v>
      </c>
      <c r="H581" t="s">
        <v>670</v>
      </c>
      <c r="I581">
        <v>2.145</v>
      </c>
    </row>
    <row r="582" spans="1:9" x14ac:dyDescent="0.25">
      <c r="A582" t="s">
        <v>318</v>
      </c>
      <c r="B582" t="s">
        <v>2</v>
      </c>
      <c r="C582" t="s">
        <v>318</v>
      </c>
      <c r="D582">
        <v>24540</v>
      </c>
      <c r="E582" t="s">
        <v>669</v>
      </c>
      <c r="F582" t="s">
        <v>118</v>
      </c>
      <c r="G582" t="s">
        <v>670</v>
      </c>
      <c r="H582" t="s">
        <v>670</v>
      </c>
      <c r="I582">
        <v>1.8906099562871337</v>
      </c>
    </row>
    <row r="583" spans="1:9" x14ac:dyDescent="0.25">
      <c r="A583" t="s">
        <v>318</v>
      </c>
      <c r="B583" t="s">
        <v>2</v>
      </c>
      <c r="C583" t="s">
        <v>318</v>
      </c>
      <c r="D583">
        <v>24540</v>
      </c>
      <c r="E583" t="s">
        <v>672</v>
      </c>
      <c r="F583" t="s">
        <v>3</v>
      </c>
      <c r="G583" t="s">
        <v>670</v>
      </c>
      <c r="H583" t="s">
        <v>670</v>
      </c>
      <c r="I583">
        <v>1.7</v>
      </c>
    </row>
    <row r="584" spans="1:9" x14ac:dyDescent="0.25">
      <c r="A584" t="s">
        <v>318</v>
      </c>
      <c r="B584" t="s">
        <v>2</v>
      </c>
      <c r="C584" t="s">
        <v>318</v>
      </c>
      <c r="D584">
        <v>24540</v>
      </c>
      <c r="E584" t="s">
        <v>672</v>
      </c>
      <c r="F584" t="s">
        <v>113</v>
      </c>
      <c r="G584" t="s">
        <v>670</v>
      </c>
      <c r="H584" t="s">
        <v>670</v>
      </c>
      <c r="I584">
        <v>1.7649999999999999</v>
      </c>
    </row>
    <row r="585" spans="1:9" x14ac:dyDescent="0.25">
      <c r="A585" t="s">
        <v>319</v>
      </c>
      <c r="B585" t="s">
        <v>2</v>
      </c>
      <c r="C585" t="s">
        <v>319</v>
      </c>
      <c r="D585">
        <v>24580</v>
      </c>
      <c r="E585" t="s">
        <v>669</v>
      </c>
      <c r="F585" t="s">
        <v>118</v>
      </c>
      <c r="G585" t="s">
        <v>670</v>
      </c>
      <c r="H585" t="s">
        <v>670</v>
      </c>
      <c r="I585">
        <v>1.2905757180613715</v>
      </c>
    </row>
    <row r="586" spans="1:9" x14ac:dyDescent="0.25">
      <c r="A586" t="s">
        <v>319</v>
      </c>
      <c r="B586" t="s">
        <v>2</v>
      </c>
      <c r="C586" t="s">
        <v>319</v>
      </c>
      <c r="D586">
        <v>24580</v>
      </c>
      <c r="E586" t="s">
        <v>671</v>
      </c>
      <c r="F586" t="s">
        <v>116</v>
      </c>
      <c r="G586" t="s">
        <v>670</v>
      </c>
      <c r="H586" t="s">
        <v>670</v>
      </c>
      <c r="I586">
        <v>0.34520173543347149</v>
      </c>
    </row>
    <row r="587" spans="1:9" x14ac:dyDescent="0.25">
      <c r="A587" t="s">
        <v>319</v>
      </c>
      <c r="B587" t="s">
        <v>2</v>
      </c>
      <c r="C587" t="s">
        <v>319</v>
      </c>
      <c r="D587">
        <v>24580</v>
      </c>
      <c r="E587" t="s">
        <v>672</v>
      </c>
      <c r="F587" t="s">
        <v>3</v>
      </c>
      <c r="G587" t="s">
        <v>670</v>
      </c>
      <c r="H587" t="s">
        <v>670</v>
      </c>
      <c r="I587">
        <v>1.4750000000000001</v>
      </c>
    </row>
    <row r="588" spans="1:9" x14ac:dyDescent="0.25">
      <c r="A588" t="s">
        <v>319</v>
      </c>
      <c r="B588" t="s">
        <v>2</v>
      </c>
      <c r="C588" t="s">
        <v>319</v>
      </c>
      <c r="D588">
        <v>24580</v>
      </c>
      <c r="E588" t="s">
        <v>672</v>
      </c>
      <c r="F588" t="s">
        <v>113</v>
      </c>
      <c r="G588" t="s">
        <v>670</v>
      </c>
      <c r="H588" t="s">
        <v>670</v>
      </c>
      <c r="I588">
        <v>1.478</v>
      </c>
    </row>
    <row r="589" spans="1:9" x14ac:dyDescent="0.25">
      <c r="A589" t="s">
        <v>320</v>
      </c>
      <c r="B589" t="s">
        <v>2</v>
      </c>
      <c r="C589" t="s">
        <v>320</v>
      </c>
      <c r="D589">
        <v>324660</v>
      </c>
      <c r="E589" t="s">
        <v>669</v>
      </c>
      <c r="F589" t="s">
        <v>118</v>
      </c>
      <c r="G589" t="s">
        <v>670</v>
      </c>
      <c r="H589" t="s">
        <v>670</v>
      </c>
      <c r="I589">
        <v>1.3212583624380687</v>
      </c>
    </row>
    <row r="590" spans="1:9" x14ac:dyDescent="0.25">
      <c r="A590" t="s">
        <v>320</v>
      </c>
      <c r="B590" t="s">
        <v>2</v>
      </c>
      <c r="C590" t="s">
        <v>320</v>
      </c>
      <c r="D590">
        <v>324660</v>
      </c>
      <c r="E590" t="s">
        <v>671</v>
      </c>
      <c r="F590" t="s">
        <v>116</v>
      </c>
      <c r="G590" t="s">
        <v>670</v>
      </c>
      <c r="H590" t="s">
        <v>670</v>
      </c>
      <c r="I590">
        <v>0.54171289880083462</v>
      </c>
    </row>
    <row r="591" spans="1:9" x14ac:dyDescent="0.25">
      <c r="A591" t="s">
        <v>320</v>
      </c>
      <c r="B591" t="s">
        <v>2</v>
      </c>
      <c r="C591" t="s">
        <v>320</v>
      </c>
      <c r="D591">
        <v>324660</v>
      </c>
      <c r="E591" t="s">
        <v>672</v>
      </c>
      <c r="F591" t="s">
        <v>3</v>
      </c>
      <c r="G591" t="s">
        <v>670</v>
      </c>
      <c r="H591" t="s">
        <v>670</v>
      </c>
      <c r="I591">
        <v>1.3069999999999999</v>
      </c>
    </row>
    <row r="592" spans="1:9" x14ac:dyDescent="0.25">
      <c r="A592" t="s">
        <v>320</v>
      </c>
      <c r="B592" t="s">
        <v>2</v>
      </c>
      <c r="C592" t="s">
        <v>320</v>
      </c>
      <c r="D592">
        <v>324660</v>
      </c>
      <c r="E592" t="s">
        <v>672</v>
      </c>
      <c r="F592" t="s">
        <v>113</v>
      </c>
      <c r="G592" t="s">
        <v>670</v>
      </c>
      <c r="H592" t="s">
        <v>670</v>
      </c>
      <c r="I592">
        <v>1.321</v>
      </c>
    </row>
    <row r="593" spans="1:9" x14ac:dyDescent="0.25">
      <c r="A593" t="s">
        <v>321</v>
      </c>
      <c r="B593" t="s">
        <v>2</v>
      </c>
      <c r="C593" t="s">
        <v>321</v>
      </c>
      <c r="D593">
        <v>24700</v>
      </c>
      <c r="E593" t="s">
        <v>672</v>
      </c>
      <c r="F593" t="s">
        <v>3</v>
      </c>
      <c r="G593" t="s">
        <v>670</v>
      </c>
      <c r="H593" t="s">
        <v>670</v>
      </c>
      <c r="I593" t="s">
        <v>673</v>
      </c>
    </row>
    <row r="594" spans="1:9" x14ac:dyDescent="0.25">
      <c r="A594" t="s">
        <v>321</v>
      </c>
      <c r="B594" t="s">
        <v>2</v>
      </c>
      <c r="C594" t="s">
        <v>321</v>
      </c>
      <c r="D594">
        <v>24700</v>
      </c>
      <c r="E594" t="s">
        <v>672</v>
      </c>
      <c r="F594" t="s">
        <v>113</v>
      </c>
      <c r="G594" t="s">
        <v>670</v>
      </c>
      <c r="H594" t="s">
        <v>670</v>
      </c>
      <c r="I594" t="s">
        <v>673</v>
      </c>
    </row>
    <row r="595" spans="1:9" x14ac:dyDescent="0.25">
      <c r="A595" t="s">
        <v>322</v>
      </c>
      <c r="B595" t="s">
        <v>2</v>
      </c>
      <c r="C595" t="s">
        <v>322</v>
      </c>
      <c r="D595">
        <v>24740</v>
      </c>
      <c r="E595" t="s">
        <v>672</v>
      </c>
      <c r="F595" t="s">
        <v>3</v>
      </c>
      <c r="G595" t="s">
        <v>670</v>
      </c>
      <c r="H595" t="s">
        <v>670</v>
      </c>
      <c r="I595">
        <v>1.004</v>
      </c>
    </row>
    <row r="596" spans="1:9" x14ac:dyDescent="0.25">
      <c r="A596" t="s">
        <v>322</v>
      </c>
      <c r="B596" t="s">
        <v>2</v>
      </c>
      <c r="C596" t="s">
        <v>322</v>
      </c>
      <c r="D596">
        <v>24740</v>
      </c>
      <c r="E596" t="s">
        <v>672</v>
      </c>
      <c r="F596" t="s">
        <v>113</v>
      </c>
      <c r="G596" t="s">
        <v>670</v>
      </c>
      <c r="H596" t="s">
        <v>670</v>
      </c>
      <c r="I596">
        <v>1.006</v>
      </c>
    </row>
    <row r="597" spans="1:9" x14ac:dyDescent="0.25">
      <c r="A597" t="s">
        <v>323</v>
      </c>
      <c r="B597" t="s">
        <v>2</v>
      </c>
      <c r="C597" t="s">
        <v>323</v>
      </c>
      <c r="D597">
        <v>24780</v>
      </c>
      <c r="E597" t="s">
        <v>669</v>
      </c>
      <c r="F597" t="s">
        <v>118</v>
      </c>
      <c r="G597" t="s">
        <v>670</v>
      </c>
      <c r="H597" t="s">
        <v>670</v>
      </c>
      <c r="I597">
        <v>1.2621373389719333</v>
      </c>
    </row>
    <row r="598" spans="1:9" x14ac:dyDescent="0.25">
      <c r="A598" t="s">
        <v>323</v>
      </c>
      <c r="B598" t="s">
        <v>2</v>
      </c>
      <c r="C598" t="s">
        <v>323</v>
      </c>
      <c r="D598">
        <v>24780</v>
      </c>
      <c r="E598" t="s">
        <v>672</v>
      </c>
      <c r="F598" t="s">
        <v>3</v>
      </c>
      <c r="G598" t="s">
        <v>670</v>
      </c>
      <c r="H598" t="s">
        <v>670</v>
      </c>
      <c r="I598">
        <v>1.266</v>
      </c>
    </row>
    <row r="599" spans="1:9" x14ac:dyDescent="0.25">
      <c r="A599" t="s">
        <v>323</v>
      </c>
      <c r="B599" t="s">
        <v>2</v>
      </c>
      <c r="C599" t="s">
        <v>323</v>
      </c>
      <c r="D599">
        <v>24780</v>
      </c>
      <c r="E599" t="s">
        <v>672</v>
      </c>
      <c r="F599" t="s">
        <v>113</v>
      </c>
      <c r="G599" t="s">
        <v>670</v>
      </c>
      <c r="H599" t="s">
        <v>670</v>
      </c>
      <c r="I599">
        <v>1.2809999999999999</v>
      </c>
    </row>
    <row r="600" spans="1:9" x14ac:dyDescent="0.25">
      <c r="A600" t="s">
        <v>41</v>
      </c>
      <c r="B600" t="s">
        <v>2</v>
      </c>
      <c r="C600" t="s">
        <v>41</v>
      </c>
      <c r="D600">
        <v>224860</v>
      </c>
      <c r="E600" t="s">
        <v>669</v>
      </c>
      <c r="F600" t="s">
        <v>118</v>
      </c>
      <c r="G600" t="s">
        <v>670</v>
      </c>
      <c r="H600" t="s">
        <v>670</v>
      </c>
      <c r="I600">
        <v>1.5045041535816468</v>
      </c>
    </row>
    <row r="601" spans="1:9" x14ac:dyDescent="0.25">
      <c r="A601" t="s">
        <v>41</v>
      </c>
      <c r="B601" t="s">
        <v>2</v>
      </c>
      <c r="C601" t="s">
        <v>41</v>
      </c>
      <c r="D601">
        <v>224860</v>
      </c>
      <c r="E601" t="s">
        <v>671</v>
      </c>
      <c r="F601" t="s">
        <v>116</v>
      </c>
      <c r="G601" t="s">
        <v>670</v>
      </c>
      <c r="H601" t="s">
        <v>670</v>
      </c>
      <c r="I601">
        <v>0.55798253264286735</v>
      </c>
    </row>
    <row r="602" spans="1:9" x14ac:dyDescent="0.25">
      <c r="A602" t="s">
        <v>41</v>
      </c>
      <c r="B602" t="s">
        <v>2</v>
      </c>
      <c r="C602" t="s">
        <v>41</v>
      </c>
      <c r="D602">
        <v>224860</v>
      </c>
      <c r="E602" t="s">
        <v>672</v>
      </c>
      <c r="F602" t="s">
        <v>3</v>
      </c>
      <c r="G602" t="s">
        <v>670</v>
      </c>
      <c r="H602" t="s">
        <v>670</v>
      </c>
      <c r="I602">
        <v>1.3520000000000001</v>
      </c>
    </row>
    <row r="603" spans="1:9" x14ac:dyDescent="0.25">
      <c r="A603" t="s">
        <v>41</v>
      </c>
      <c r="B603" t="s">
        <v>2</v>
      </c>
      <c r="C603" t="s">
        <v>41</v>
      </c>
      <c r="D603">
        <v>224860</v>
      </c>
      <c r="E603" t="s">
        <v>672</v>
      </c>
      <c r="F603" t="s">
        <v>113</v>
      </c>
      <c r="G603" t="s">
        <v>670</v>
      </c>
      <c r="H603" t="s">
        <v>670</v>
      </c>
      <c r="I603">
        <v>1.3779999999999999</v>
      </c>
    </row>
    <row r="604" spans="1:9" x14ac:dyDescent="0.25">
      <c r="A604" t="s">
        <v>324</v>
      </c>
      <c r="B604" t="s">
        <v>2</v>
      </c>
      <c r="C604" t="s">
        <v>324</v>
      </c>
      <c r="D604">
        <v>24940</v>
      </c>
      <c r="E604" t="s">
        <v>669</v>
      </c>
      <c r="F604" t="s">
        <v>118</v>
      </c>
      <c r="G604" t="s">
        <v>670</v>
      </c>
      <c r="H604" t="s">
        <v>670</v>
      </c>
      <c r="I604">
        <v>1.3116803873597793</v>
      </c>
    </row>
    <row r="605" spans="1:9" x14ac:dyDescent="0.25">
      <c r="A605" t="s">
        <v>324</v>
      </c>
      <c r="B605" t="s">
        <v>2</v>
      </c>
      <c r="C605" t="s">
        <v>324</v>
      </c>
      <c r="D605">
        <v>24940</v>
      </c>
      <c r="E605" t="s">
        <v>672</v>
      </c>
      <c r="F605" t="s">
        <v>3</v>
      </c>
      <c r="G605" t="s">
        <v>670</v>
      </c>
      <c r="H605" t="s">
        <v>670</v>
      </c>
      <c r="I605" t="s">
        <v>673</v>
      </c>
    </row>
    <row r="606" spans="1:9" x14ac:dyDescent="0.25">
      <c r="A606" t="s">
        <v>324</v>
      </c>
      <c r="B606" t="s">
        <v>2</v>
      </c>
      <c r="C606" t="s">
        <v>324</v>
      </c>
      <c r="D606">
        <v>24940</v>
      </c>
      <c r="E606" t="s">
        <v>672</v>
      </c>
      <c r="F606" t="s">
        <v>113</v>
      </c>
      <c r="G606" t="s">
        <v>670</v>
      </c>
      <c r="H606" t="s">
        <v>670</v>
      </c>
      <c r="I606" t="s">
        <v>673</v>
      </c>
    </row>
    <row r="607" spans="1:9" x14ac:dyDescent="0.25">
      <c r="A607" t="s">
        <v>325</v>
      </c>
      <c r="B607" t="s">
        <v>2</v>
      </c>
      <c r="C607" t="s">
        <v>325</v>
      </c>
      <c r="D607">
        <v>25060</v>
      </c>
      <c r="E607" t="s">
        <v>669</v>
      </c>
      <c r="F607" t="s">
        <v>118</v>
      </c>
      <c r="G607" t="s">
        <v>670</v>
      </c>
      <c r="H607" t="s">
        <v>670</v>
      </c>
      <c r="I607">
        <v>0.9147081223916177</v>
      </c>
    </row>
    <row r="608" spans="1:9" x14ac:dyDescent="0.25">
      <c r="A608" t="s">
        <v>325</v>
      </c>
      <c r="B608" t="s">
        <v>2</v>
      </c>
      <c r="C608" t="s">
        <v>325</v>
      </c>
      <c r="D608">
        <v>25060</v>
      </c>
      <c r="E608" t="s">
        <v>671</v>
      </c>
      <c r="F608" t="s">
        <v>116</v>
      </c>
      <c r="G608" t="s">
        <v>670</v>
      </c>
      <c r="H608" t="s">
        <v>670</v>
      </c>
      <c r="I608">
        <v>0.46437700445935326</v>
      </c>
    </row>
    <row r="609" spans="1:9" x14ac:dyDescent="0.25">
      <c r="A609" t="s">
        <v>325</v>
      </c>
      <c r="B609" t="s">
        <v>2</v>
      </c>
      <c r="C609" t="s">
        <v>325</v>
      </c>
      <c r="D609">
        <v>25060</v>
      </c>
      <c r="E609" t="s">
        <v>672</v>
      </c>
      <c r="F609" t="s">
        <v>3</v>
      </c>
      <c r="G609" t="s">
        <v>670</v>
      </c>
      <c r="H609" t="s">
        <v>670</v>
      </c>
      <c r="I609">
        <v>1.1599999999999999</v>
      </c>
    </row>
    <row r="610" spans="1:9" x14ac:dyDescent="0.25">
      <c r="A610" t="s">
        <v>325</v>
      </c>
      <c r="B610" t="s">
        <v>2</v>
      </c>
      <c r="C610" t="s">
        <v>325</v>
      </c>
      <c r="D610">
        <v>25060</v>
      </c>
      <c r="E610" t="s">
        <v>672</v>
      </c>
      <c r="F610" t="s">
        <v>113</v>
      </c>
      <c r="G610" t="s">
        <v>670</v>
      </c>
      <c r="H610" t="s">
        <v>670</v>
      </c>
      <c r="I610">
        <v>1.165</v>
      </c>
    </row>
    <row r="611" spans="1:9" x14ac:dyDescent="0.25">
      <c r="A611" t="s">
        <v>326</v>
      </c>
      <c r="B611" t="s">
        <v>2</v>
      </c>
      <c r="C611" t="s">
        <v>326</v>
      </c>
      <c r="D611">
        <v>25100</v>
      </c>
      <c r="E611" t="s">
        <v>672</v>
      </c>
      <c r="F611" t="s">
        <v>3</v>
      </c>
      <c r="G611" t="s">
        <v>670</v>
      </c>
      <c r="H611" t="s">
        <v>670</v>
      </c>
      <c r="I611" t="s">
        <v>673</v>
      </c>
    </row>
    <row r="612" spans="1:9" x14ac:dyDescent="0.25">
      <c r="A612" t="s">
        <v>326</v>
      </c>
      <c r="B612" t="s">
        <v>2</v>
      </c>
      <c r="C612" t="s">
        <v>326</v>
      </c>
      <c r="D612">
        <v>25100</v>
      </c>
      <c r="E612" t="s">
        <v>672</v>
      </c>
      <c r="F612" t="s">
        <v>113</v>
      </c>
      <c r="G612" t="s">
        <v>670</v>
      </c>
      <c r="H612" t="s">
        <v>670</v>
      </c>
      <c r="I612" t="s">
        <v>673</v>
      </c>
    </row>
    <row r="613" spans="1:9" x14ac:dyDescent="0.25">
      <c r="A613" t="s">
        <v>327</v>
      </c>
      <c r="B613" t="s">
        <v>2</v>
      </c>
      <c r="C613" t="s">
        <v>327</v>
      </c>
      <c r="D613">
        <v>25180</v>
      </c>
      <c r="E613" t="s">
        <v>672</v>
      </c>
      <c r="F613" t="s">
        <v>3</v>
      </c>
      <c r="G613" t="s">
        <v>670</v>
      </c>
      <c r="H613" t="s">
        <v>670</v>
      </c>
      <c r="I613">
        <v>1.337</v>
      </c>
    </row>
    <row r="614" spans="1:9" x14ac:dyDescent="0.25">
      <c r="A614" t="s">
        <v>327</v>
      </c>
      <c r="B614" t="s">
        <v>2</v>
      </c>
      <c r="C614" t="s">
        <v>327</v>
      </c>
      <c r="D614">
        <v>25180</v>
      </c>
      <c r="E614" t="s">
        <v>672</v>
      </c>
      <c r="F614" t="s">
        <v>113</v>
      </c>
      <c r="G614" t="s">
        <v>670</v>
      </c>
      <c r="H614" t="s">
        <v>670</v>
      </c>
      <c r="I614">
        <v>1.34</v>
      </c>
    </row>
    <row r="615" spans="1:9" x14ac:dyDescent="0.25">
      <c r="A615" t="s">
        <v>328</v>
      </c>
      <c r="B615" t="s">
        <v>2</v>
      </c>
      <c r="C615" t="s">
        <v>328</v>
      </c>
      <c r="D615">
        <v>25200</v>
      </c>
      <c r="E615" t="s">
        <v>672</v>
      </c>
      <c r="F615" t="s">
        <v>3</v>
      </c>
      <c r="G615" t="s">
        <v>670</v>
      </c>
      <c r="H615" t="s">
        <v>670</v>
      </c>
      <c r="I615" t="s">
        <v>673</v>
      </c>
    </row>
    <row r="616" spans="1:9" x14ac:dyDescent="0.25">
      <c r="A616" t="s">
        <v>328</v>
      </c>
      <c r="B616" t="s">
        <v>2</v>
      </c>
      <c r="C616" t="s">
        <v>328</v>
      </c>
      <c r="D616">
        <v>25200</v>
      </c>
      <c r="E616" t="s">
        <v>672</v>
      </c>
      <c r="F616" t="s">
        <v>113</v>
      </c>
      <c r="G616" t="s">
        <v>670</v>
      </c>
      <c r="H616" t="s">
        <v>670</v>
      </c>
      <c r="I616" t="s">
        <v>673</v>
      </c>
    </row>
    <row r="617" spans="1:9" x14ac:dyDescent="0.25">
      <c r="A617" t="s">
        <v>329</v>
      </c>
      <c r="B617" t="s">
        <v>2</v>
      </c>
      <c r="C617" t="s">
        <v>329</v>
      </c>
      <c r="D617">
        <v>25220</v>
      </c>
      <c r="E617" t="s">
        <v>669</v>
      </c>
      <c r="F617" t="s">
        <v>118</v>
      </c>
      <c r="G617" t="s">
        <v>670</v>
      </c>
      <c r="H617" t="s">
        <v>670</v>
      </c>
      <c r="I617">
        <v>1.0327741206884444</v>
      </c>
    </row>
    <row r="618" spans="1:9" x14ac:dyDescent="0.25">
      <c r="A618" t="s">
        <v>329</v>
      </c>
      <c r="B618" t="s">
        <v>2</v>
      </c>
      <c r="C618" t="s">
        <v>329</v>
      </c>
      <c r="D618">
        <v>25220</v>
      </c>
      <c r="E618" t="s">
        <v>671</v>
      </c>
      <c r="F618" t="s">
        <v>116</v>
      </c>
      <c r="G618" t="s">
        <v>670</v>
      </c>
      <c r="H618" t="s">
        <v>670</v>
      </c>
      <c r="I618">
        <v>0.56234366477396636</v>
      </c>
    </row>
    <row r="619" spans="1:9" x14ac:dyDescent="0.25">
      <c r="A619" t="s">
        <v>329</v>
      </c>
      <c r="B619" t="s">
        <v>2</v>
      </c>
      <c r="C619" t="s">
        <v>329</v>
      </c>
      <c r="D619">
        <v>25220</v>
      </c>
      <c r="E619" t="s">
        <v>672</v>
      </c>
      <c r="F619" t="s">
        <v>3</v>
      </c>
      <c r="G619" t="s">
        <v>670</v>
      </c>
      <c r="H619" t="s">
        <v>670</v>
      </c>
      <c r="I619">
        <v>1.369</v>
      </c>
    </row>
    <row r="620" spans="1:9" x14ac:dyDescent="0.25">
      <c r="A620" t="s">
        <v>329</v>
      </c>
      <c r="B620" t="s">
        <v>2</v>
      </c>
      <c r="C620" t="s">
        <v>329</v>
      </c>
      <c r="D620">
        <v>25220</v>
      </c>
      <c r="E620" t="s">
        <v>672</v>
      </c>
      <c r="F620" t="s">
        <v>113</v>
      </c>
      <c r="G620" t="s">
        <v>670</v>
      </c>
      <c r="H620" t="s">
        <v>670</v>
      </c>
      <c r="I620">
        <v>1.369</v>
      </c>
    </row>
    <row r="621" spans="1:9" x14ac:dyDescent="0.25">
      <c r="A621" t="s">
        <v>330</v>
      </c>
      <c r="B621" t="s">
        <v>2</v>
      </c>
      <c r="C621" t="s">
        <v>330</v>
      </c>
      <c r="D621">
        <v>25260</v>
      </c>
      <c r="E621" t="s">
        <v>672</v>
      </c>
      <c r="F621" t="s">
        <v>3</v>
      </c>
      <c r="G621" t="s">
        <v>670</v>
      </c>
      <c r="H621" t="s">
        <v>670</v>
      </c>
      <c r="I621">
        <v>1.9139999999999999</v>
      </c>
    </row>
    <row r="622" spans="1:9" x14ac:dyDescent="0.25">
      <c r="A622" t="s">
        <v>330</v>
      </c>
      <c r="B622" t="s">
        <v>2</v>
      </c>
      <c r="C622" t="s">
        <v>330</v>
      </c>
      <c r="D622">
        <v>25260</v>
      </c>
      <c r="E622" t="s">
        <v>672</v>
      </c>
      <c r="F622" t="s">
        <v>113</v>
      </c>
      <c r="G622" t="s">
        <v>670</v>
      </c>
      <c r="H622" t="s">
        <v>670</v>
      </c>
      <c r="I622">
        <v>1.9139999999999999</v>
      </c>
    </row>
    <row r="623" spans="1:9" x14ac:dyDescent="0.25">
      <c r="A623" t="s">
        <v>331</v>
      </c>
      <c r="B623" t="s">
        <v>2</v>
      </c>
      <c r="C623" t="s">
        <v>331</v>
      </c>
      <c r="D623">
        <v>25420</v>
      </c>
      <c r="E623" t="s">
        <v>669</v>
      </c>
      <c r="F623" t="s">
        <v>118</v>
      </c>
      <c r="G623" t="s">
        <v>670</v>
      </c>
      <c r="H623" t="s">
        <v>670</v>
      </c>
      <c r="I623">
        <v>1.3489896452597259</v>
      </c>
    </row>
    <row r="624" spans="1:9" x14ac:dyDescent="0.25">
      <c r="A624" t="s">
        <v>331</v>
      </c>
      <c r="B624" t="s">
        <v>2</v>
      </c>
      <c r="C624" t="s">
        <v>331</v>
      </c>
      <c r="D624">
        <v>25420</v>
      </c>
      <c r="E624" t="s">
        <v>672</v>
      </c>
      <c r="F624" t="s">
        <v>3</v>
      </c>
      <c r="G624" t="s">
        <v>670</v>
      </c>
      <c r="H624" t="s">
        <v>670</v>
      </c>
      <c r="I624">
        <v>1.5</v>
      </c>
    </row>
    <row r="625" spans="1:9" x14ac:dyDescent="0.25">
      <c r="A625" t="s">
        <v>331</v>
      </c>
      <c r="B625" t="s">
        <v>2</v>
      </c>
      <c r="C625" t="s">
        <v>331</v>
      </c>
      <c r="D625">
        <v>25420</v>
      </c>
      <c r="E625" t="s">
        <v>672</v>
      </c>
      <c r="F625" t="s">
        <v>113</v>
      </c>
      <c r="G625" t="s">
        <v>670</v>
      </c>
      <c r="H625" t="s">
        <v>670</v>
      </c>
      <c r="I625">
        <v>1.508</v>
      </c>
    </row>
    <row r="626" spans="1:9" x14ac:dyDescent="0.25">
      <c r="A626" t="s">
        <v>332</v>
      </c>
      <c r="B626" t="s">
        <v>2</v>
      </c>
      <c r="C626" t="s">
        <v>332</v>
      </c>
      <c r="D626">
        <v>25460</v>
      </c>
      <c r="E626" t="s">
        <v>672</v>
      </c>
      <c r="F626" t="s">
        <v>3</v>
      </c>
      <c r="G626" t="s">
        <v>670</v>
      </c>
      <c r="H626" t="s">
        <v>670</v>
      </c>
      <c r="I626" t="s">
        <v>673</v>
      </c>
    </row>
    <row r="627" spans="1:9" x14ac:dyDescent="0.25">
      <c r="A627" t="s">
        <v>332</v>
      </c>
      <c r="B627" t="s">
        <v>2</v>
      </c>
      <c r="C627" t="s">
        <v>332</v>
      </c>
      <c r="D627">
        <v>25460</v>
      </c>
      <c r="E627" t="s">
        <v>672</v>
      </c>
      <c r="F627" t="s">
        <v>113</v>
      </c>
      <c r="G627" t="s">
        <v>670</v>
      </c>
      <c r="H627" t="s">
        <v>670</v>
      </c>
      <c r="I627" t="s">
        <v>673</v>
      </c>
    </row>
    <row r="628" spans="1:9" x14ac:dyDescent="0.25">
      <c r="A628" t="s">
        <v>333</v>
      </c>
      <c r="B628" t="s">
        <v>2</v>
      </c>
      <c r="C628" t="s">
        <v>333</v>
      </c>
      <c r="D628">
        <v>25500</v>
      </c>
      <c r="E628" t="s">
        <v>672</v>
      </c>
      <c r="F628" t="s">
        <v>3</v>
      </c>
      <c r="G628" t="s">
        <v>670</v>
      </c>
      <c r="H628" t="s">
        <v>670</v>
      </c>
      <c r="I628">
        <v>1.6830000000000001</v>
      </c>
    </row>
    <row r="629" spans="1:9" x14ac:dyDescent="0.25">
      <c r="A629" t="s">
        <v>333</v>
      </c>
      <c r="B629" t="s">
        <v>2</v>
      </c>
      <c r="C629" t="s">
        <v>333</v>
      </c>
      <c r="D629">
        <v>25500</v>
      </c>
      <c r="E629" t="s">
        <v>672</v>
      </c>
      <c r="F629" t="s">
        <v>113</v>
      </c>
      <c r="G629" t="s">
        <v>670</v>
      </c>
      <c r="H629" t="s">
        <v>670</v>
      </c>
      <c r="I629">
        <v>1.6830000000000001</v>
      </c>
    </row>
    <row r="630" spans="1:9" x14ac:dyDescent="0.25">
      <c r="A630" t="s">
        <v>334</v>
      </c>
      <c r="B630" t="s">
        <v>2</v>
      </c>
      <c r="C630" t="s">
        <v>334</v>
      </c>
      <c r="D630">
        <v>25540</v>
      </c>
      <c r="E630" t="s">
        <v>669</v>
      </c>
      <c r="F630" t="s">
        <v>118</v>
      </c>
      <c r="G630" t="s">
        <v>670</v>
      </c>
      <c r="H630" t="s">
        <v>670</v>
      </c>
      <c r="I630">
        <v>2.0519791158846039</v>
      </c>
    </row>
    <row r="631" spans="1:9" x14ac:dyDescent="0.25">
      <c r="A631" t="s">
        <v>334</v>
      </c>
      <c r="B631" t="s">
        <v>2</v>
      </c>
      <c r="C631" t="s">
        <v>334</v>
      </c>
      <c r="D631">
        <v>25540</v>
      </c>
      <c r="E631" t="s">
        <v>671</v>
      </c>
      <c r="F631" t="s">
        <v>116</v>
      </c>
      <c r="G631" t="s">
        <v>670</v>
      </c>
      <c r="H631" t="s">
        <v>670</v>
      </c>
      <c r="I631">
        <v>0.45165804930222725</v>
      </c>
    </row>
    <row r="632" spans="1:9" x14ac:dyDescent="0.25">
      <c r="A632" t="s">
        <v>334</v>
      </c>
      <c r="B632" t="s">
        <v>2</v>
      </c>
      <c r="C632" t="s">
        <v>334</v>
      </c>
      <c r="D632">
        <v>25540</v>
      </c>
      <c r="E632" t="s">
        <v>672</v>
      </c>
      <c r="F632" t="s">
        <v>3</v>
      </c>
      <c r="G632" t="s">
        <v>670</v>
      </c>
      <c r="H632" t="s">
        <v>670</v>
      </c>
      <c r="I632">
        <v>2.0880000000000001</v>
      </c>
    </row>
    <row r="633" spans="1:9" x14ac:dyDescent="0.25">
      <c r="A633" t="s">
        <v>334</v>
      </c>
      <c r="B633" t="s">
        <v>2</v>
      </c>
      <c r="C633" t="s">
        <v>334</v>
      </c>
      <c r="D633">
        <v>25540</v>
      </c>
      <c r="E633" t="s">
        <v>672</v>
      </c>
      <c r="F633" t="s">
        <v>113</v>
      </c>
      <c r="G633" t="s">
        <v>670</v>
      </c>
      <c r="H633" t="s">
        <v>670</v>
      </c>
      <c r="I633">
        <v>2.1160000000000001</v>
      </c>
    </row>
    <row r="634" spans="1:9" x14ac:dyDescent="0.25">
      <c r="A634" t="s">
        <v>335</v>
      </c>
      <c r="B634" t="s">
        <v>2</v>
      </c>
      <c r="C634" t="s">
        <v>335</v>
      </c>
      <c r="D634">
        <v>25620</v>
      </c>
      <c r="E634" t="s">
        <v>669</v>
      </c>
      <c r="F634" t="s">
        <v>118</v>
      </c>
      <c r="G634" t="s">
        <v>670</v>
      </c>
      <c r="H634" t="s">
        <v>670</v>
      </c>
      <c r="I634">
        <v>1.1871915946811293</v>
      </c>
    </row>
    <row r="635" spans="1:9" x14ac:dyDescent="0.25">
      <c r="A635" t="s">
        <v>335</v>
      </c>
      <c r="B635" t="s">
        <v>2</v>
      </c>
      <c r="C635" t="s">
        <v>335</v>
      </c>
      <c r="D635">
        <v>25620</v>
      </c>
      <c r="E635" t="s">
        <v>671</v>
      </c>
      <c r="F635" t="s">
        <v>116</v>
      </c>
      <c r="G635" t="s">
        <v>670</v>
      </c>
      <c r="H635" t="s">
        <v>670</v>
      </c>
      <c r="I635">
        <v>0.50608894727095399</v>
      </c>
    </row>
    <row r="636" spans="1:9" x14ac:dyDescent="0.25">
      <c r="A636" t="s">
        <v>335</v>
      </c>
      <c r="B636" t="s">
        <v>2</v>
      </c>
      <c r="C636" t="s">
        <v>335</v>
      </c>
      <c r="D636">
        <v>25620</v>
      </c>
      <c r="E636" t="s">
        <v>672</v>
      </c>
      <c r="F636" t="s">
        <v>3</v>
      </c>
      <c r="G636" t="s">
        <v>670</v>
      </c>
      <c r="H636" t="s">
        <v>670</v>
      </c>
      <c r="I636">
        <v>1.1870000000000001</v>
      </c>
    </row>
    <row r="637" spans="1:9" x14ac:dyDescent="0.25">
      <c r="A637" t="s">
        <v>335</v>
      </c>
      <c r="B637" t="s">
        <v>2</v>
      </c>
      <c r="C637" t="s">
        <v>335</v>
      </c>
      <c r="D637">
        <v>25620</v>
      </c>
      <c r="E637" t="s">
        <v>672</v>
      </c>
      <c r="F637" t="s">
        <v>113</v>
      </c>
      <c r="G637" t="s">
        <v>670</v>
      </c>
      <c r="H637" t="s">
        <v>670</v>
      </c>
      <c r="I637">
        <v>1.196</v>
      </c>
    </row>
    <row r="638" spans="1:9" x14ac:dyDescent="0.25">
      <c r="A638" t="s">
        <v>336</v>
      </c>
      <c r="B638" t="s">
        <v>2</v>
      </c>
      <c r="C638" t="s">
        <v>336</v>
      </c>
      <c r="D638">
        <v>25700</v>
      </c>
      <c r="E638" t="s">
        <v>672</v>
      </c>
      <c r="F638" t="s">
        <v>3</v>
      </c>
      <c r="G638" t="s">
        <v>670</v>
      </c>
      <c r="H638" t="s">
        <v>670</v>
      </c>
      <c r="I638" t="s">
        <v>673</v>
      </c>
    </row>
    <row r="639" spans="1:9" x14ac:dyDescent="0.25">
      <c r="A639" t="s">
        <v>336</v>
      </c>
      <c r="B639" t="s">
        <v>2</v>
      </c>
      <c r="C639" t="s">
        <v>336</v>
      </c>
      <c r="D639">
        <v>25700</v>
      </c>
      <c r="E639" t="s">
        <v>672</v>
      </c>
      <c r="F639" t="s">
        <v>113</v>
      </c>
      <c r="G639" t="s">
        <v>670</v>
      </c>
      <c r="H639" t="s">
        <v>670</v>
      </c>
      <c r="I639" t="s">
        <v>673</v>
      </c>
    </row>
    <row r="640" spans="1:9" x14ac:dyDescent="0.25">
      <c r="A640" t="s">
        <v>337</v>
      </c>
      <c r="B640" t="s">
        <v>2</v>
      </c>
      <c r="C640" t="s">
        <v>337</v>
      </c>
      <c r="D640">
        <v>25720</v>
      </c>
      <c r="E640" t="s">
        <v>672</v>
      </c>
      <c r="F640" t="s">
        <v>3</v>
      </c>
      <c r="G640" t="s">
        <v>670</v>
      </c>
      <c r="H640" t="s">
        <v>670</v>
      </c>
      <c r="I640">
        <v>1.7110000000000001</v>
      </c>
    </row>
    <row r="641" spans="1:9" x14ac:dyDescent="0.25">
      <c r="A641" t="s">
        <v>337</v>
      </c>
      <c r="B641" t="s">
        <v>2</v>
      </c>
      <c r="C641" t="s">
        <v>337</v>
      </c>
      <c r="D641">
        <v>25720</v>
      </c>
      <c r="E641" t="s">
        <v>672</v>
      </c>
      <c r="F641" t="s">
        <v>113</v>
      </c>
      <c r="G641" t="s">
        <v>670</v>
      </c>
      <c r="H641" t="s">
        <v>670</v>
      </c>
      <c r="I641">
        <v>1.829</v>
      </c>
    </row>
    <row r="642" spans="1:9" x14ac:dyDescent="0.25">
      <c r="A642" t="s">
        <v>338</v>
      </c>
      <c r="B642" t="s">
        <v>2</v>
      </c>
      <c r="C642" t="s">
        <v>338</v>
      </c>
      <c r="D642">
        <v>25740</v>
      </c>
      <c r="E642" t="s">
        <v>672</v>
      </c>
      <c r="F642" t="s">
        <v>3</v>
      </c>
      <c r="G642" t="s">
        <v>670</v>
      </c>
      <c r="H642" t="s">
        <v>670</v>
      </c>
      <c r="I642">
        <v>2.0089999999999999</v>
      </c>
    </row>
    <row r="643" spans="1:9" x14ac:dyDescent="0.25">
      <c r="A643" t="s">
        <v>338</v>
      </c>
      <c r="B643" t="s">
        <v>2</v>
      </c>
      <c r="C643" t="s">
        <v>338</v>
      </c>
      <c r="D643">
        <v>25740</v>
      </c>
      <c r="E643" t="s">
        <v>672</v>
      </c>
      <c r="F643" t="s">
        <v>113</v>
      </c>
      <c r="G643" t="s">
        <v>670</v>
      </c>
      <c r="H643" t="s">
        <v>670</v>
      </c>
      <c r="I643">
        <v>2.016</v>
      </c>
    </row>
    <row r="644" spans="1:9" x14ac:dyDescent="0.25">
      <c r="A644" t="s">
        <v>339</v>
      </c>
      <c r="B644" t="s">
        <v>2</v>
      </c>
      <c r="C644" t="s">
        <v>339</v>
      </c>
      <c r="D644">
        <v>25775</v>
      </c>
      <c r="E644" t="s">
        <v>672</v>
      </c>
      <c r="F644" t="s">
        <v>3</v>
      </c>
      <c r="G644" t="s">
        <v>670</v>
      </c>
      <c r="H644" t="s">
        <v>670</v>
      </c>
      <c r="I644" t="s">
        <v>673</v>
      </c>
    </row>
    <row r="645" spans="1:9" x14ac:dyDescent="0.25">
      <c r="A645" t="s">
        <v>339</v>
      </c>
      <c r="B645" t="s">
        <v>2</v>
      </c>
      <c r="C645" t="s">
        <v>339</v>
      </c>
      <c r="D645">
        <v>25775</v>
      </c>
      <c r="E645" t="s">
        <v>672</v>
      </c>
      <c r="F645" t="s">
        <v>113</v>
      </c>
      <c r="G645" t="s">
        <v>670</v>
      </c>
      <c r="H645" t="s">
        <v>670</v>
      </c>
      <c r="I645" t="s">
        <v>673</v>
      </c>
    </row>
    <row r="646" spans="1:9" x14ac:dyDescent="0.25">
      <c r="A646" t="s">
        <v>340</v>
      </c>
      <c r="B646" t="s">
        <v>2</v>
      </c>
      <c r="C646" t="s">
        <v>340</v>
      </c>
      <c r="D646">
        <v>25780</v>
      </c>
      <c r="E646" t="s">
        <v>672</v>
      </c>
      <c r="F646" t="s">
        <v>3</v>
      </c>
      <c r="G646" t="s">
        <v>670</v>
      </c>
      <c r="H646" t="s">
        <v>670</v>
      </c>
      <c r="I646" t="s">
        <v>673</v>
      </c>
    </row>
    <row r="647" spans="1:9" x14ac:dyDescent="0.25">
      <c r="A647" t="s">
        <v>340</v>
      </c>
      <c r="B647" t="s">
        <v>2</v>
      </c>
      <c r="C647" t="s">
        <v>340</v>
      </c>
      <c r="D647">
        <v>25780</v>
      </c>
      <c r="E647" t="s">
        <v>672</v>
      </c>
      <c r="F647" t="s">
        <v>113</v>
      </c>
      <c r="G647" t="s">
        <v>670</v>
      </c>
      <c r="H647" t="s">
        <v>670</v>
      </c>
      <c r="I647" t="s">
        <v>673</v>
      </c>
    </row>
    <row r="648" spans="1:9" x14ac:dyDescent="0.25">
      <c r="A648" t="s">
        <v>341</v>
      </c>
      <c r="B648" t="s">
        <v>2</v>
      </c>
      <c r="C648" t="s">
        <v>341</v>
      </c>
      <c r="D648">
        <v>25840</v>
      </c>
      <c r="E648" t="s">
        <v>672</v>
      </c>
      <c r="F648" t="s">
        <v>3</v>
      </c>
      <c r="G648" t="s">
        <v>670</v>
      </c>
      <c r="H648" t="s">
        <v>670</v>
      </c>
      <c r="I648">
        <v>1.621</v>
      </c>
    </row>
    <row r="649" spans="1:9" x14ac:dyDescent="0.25">
      <c r="A649" t="s">
        <v>341</v>
      </c>
      <c r="B649" t="s">
        <v>2</v>
      </c>
      <c r="C649" t="s">
        <v>341</v>
      </c>
      <c r="D649">
        <v>25840</v>
      </c>
      <c r="E649" t="s">
        <v>672</v>
      </c>
      <c r="F649" t="s">
        <v>113</v>
      </c>
      <c r="G649" t="s">
        <v>670</v>
      </c>
      <c r="H649" t="s">
        <v>670</v>
      </c>
      <c r="I649">
        <v>1.6259999999999999</v>
      </c>
    </row>
    <row r="650" spans="1:9" x14ac:dyDescent="0.25">
      <c r="A650" t="s">
        <v>342</v>
      </c>
      <c r="B650" t="s">
        <v>2</v>
      </c>
      <c r="C650" t="s">
        <v>342</v>
      </c>
      <c r="D650">
        <v>25860</v>
      </c>
      <c r="E650" t="s">
        <v>669</v>
      </c>
      <c r="F650" t="s">
        <v>118</v>
      </c>
      <c r="G650" t="s">
        <v>670</v>
      </c>
      <c r="H650" t="s">
        <v>670</v>
      </c>
      <c r="I650">
        <v>1.203835324594082</v>
      </c>
    </row>
    <row r="651" spans="1:9" x14ac:dyDescent="0.25">
      <c r="A651" t="s">
        <v>342</v>
      </c>
      <c r="B651" t="s">
        <v>2</v>
      </c>
      <c r="C651" t="s">
        <v>342</v>
      </c>
      <c r="D651">
        <v>25860</v>
      </c>
      <c r="E651" t="s">
        <v>671</v>
      </c>
      <c r="F651" t="s">
        <v>116</v>
      </c>
      <c r="G651" t="s">
        <v>670</v>
      </c>
      <c r="H651" t="s">
        <v>670</v>
      </c>
      <c r="I651">
        <v>0.61510714652760323</v>
      </c>
    </row>
    <row r="652" spans="1:9" x14ac:dyDescent="0.25">
      <c r="A652" t="s">
        <v>342</v>
      </c>
      <c r="B652" t="s">
        <v>2</v>
      </c>
      <c r="C652" t="s">
        <v>342</v>
      </c>
      <c r="D652">
        <v>25860</v>
      </c>
      <c r="E652" t="s">
        <v>672</v>
      </c>
      <c r="F652" t="s">
        <v>3</v>
      </c>
      <c r="G652" t="s">
        <v>670</v>
      </c>
      <c r="H652" t="s">
        <v>670</v>
      </c>
      <c r="I652">
        <v>1.337</v>
      </c>
    </row>
    <row r="653" spans="1:9" x14ac:dyDescent="0.25">
      <c r="A653" t="s">
        <v>342</v>
      </c>
      <c r="B653" t="s">
        <v>2</v>
      </c>
      <c r="C653" t="s">
        <v>342</v>
      </c>
      <c r="D653">
        <v>25860</v>
      </c>
      <c r="E653" t="s">
        <v>672</v>
      </c>
      <c r="F653" t="s">
        <v>113</v>
      </c>
      <c r="G653" t="s">
        <v>670</v>
      </c>
      <c r="H653" t="s">
        <v>670</v>
      </c>
      <c r="I653">
        <v>1.399</v>
      </c>
    </row>
    <row r="654" spans="1:9" x14ac:dyDescent="0.25">
      <c r="A654" t="s">
        <v>343</v>
      </c>
      <c r="B654" t="s">
        <v>2</v>
      </c>
      <c r="C654" t="s">
        <v>343</v>
      </c>
      <c r="D654">
        <v>25940</v>
      </c>
      <c r="E654" t="s">
        <v>669</v>
      </c>
      <c r="F654" t="s">
        <v>118</v>
      </c>
      <c r="G654" t="s">
        <v>670</v>
      </c>
      <c r="H654" t="s">
        <v>670</v>
      </c>
      <c r="I654">
        <v>1.8383032268664357</v>
      </c>
    </row>
    <row r="655" spans="1:9" x14ac:dyDescent="0.25">
      <c r="A655" t="s">
        <v>343</v>
      </c>
      <c r="B655" t="s">
        <v>2</v>
      </c>
      <c r="C655" t="s">
        <v>343</v>
      </c>
      <c r="D655">
        <v>25940</v>
      </c>
      <c r="E655" t="s">
        <v>672</v>
      </c>
      <c r="F655" t="s">
        <v>3</v>
      </c>
      <c r="G655" t="s">
        <v>670</v>
      </c>
      <c r="H655" t="s">
        <v>670</v>
      </c>
      <c r="I655">
        <v>1.673</v>
      </c>
    </row>
    <row r="656" spans="1:9" x14ac:dyDescent="0.25">
      <c r="A656" t="s">
        <v>343</v>
      </c>
      <c r="B656" t="s">
        <v>2</v>
      </c>
      <c r="C656" t="s">
        <v>343</v>
      </c>
      <c r="D656">
        <v>25940</v>
      </c>
      <c r="E656" t="s">
        <v>672</v>
      </c>
      <c r="F656" t="s">
        <v>113</v>
      </c>
      <c r="G656" t="s">
        <v>670</v>
      </c>
      <c r="H656" t="s">
        <v>670</v>
      </c>
      <c r="I656">
        <v>1.726</v>
      </c>
    </row>
    <row r="657" spans="1:9" x14ac:dyDescent="0.25">
      <c r="A657" t="s">
        <v>344</v>
      </c>
      <c r="B657" t="s">
        <v>2</v>
      </c>
      <c r="C657" t="s">
        <v>344</v>
      </c>
      <c r="D657">
        <v>25980</v>
      </c>
      <c r="E657" t="s">
        <v>672</v>
      </c>
      <c r="F657" t="s">
        <v>3</v>
      </c>
      <c r="G657" t="s">
        <v>670</v>
      </c>
      <c r="H657" t="s">
        <v>670</v>
      </c>
      <c r="I657">
        <v>1.57</v>
      </c>
    </row>
    <row r="658" spans="1:9" x14ac:dyDescent="0.25">
      <c r="A658" t="s">
        <v>344</v>
      </c>
      <c r="B658" t="s">
        <v>2</v>
      </c>
      <c r="C658" t="s">
        <v>344</v>
      </c>
      <c r="D658">
        <v>25980</v>
      </c>
      <c r="E658" t="s">
        <v>672</v>
      </c>
      <c r="F658" t="s">
        <v>113</v>
      </c>
      <c r="G658" t="s">
        <v>670</v>
      </c>
      <c r="H658" t="s">
        <v>670</v>
      </c>
      <c r="I658">
        <v>1.5920000000000001</v>
      </c>
    </row>
    <row r="659" spans="1:9" x14ac:dyDescent="0.25">
      <c r="A659" t="s">
        <v>345</v>
      </c>
      <c r="B659" t="s">
        <v>2</v>
      </c>
      <c r="C659" t="s">
        <v>345</v>
      </c>
      <c r="D659">
        <v>26020</v>
      </c>
      <c r="E659" t="s">
        <v>672</v>
      </c>
      <c r="F659" t="s">
        <v>3</v>
      </c>
      <c r="G659" t="s">
        <v>670</v>
      </c>
      <c r="H659" t="s">
        <v>670</v>
      </c>
      <c r="I659">
        <v>1.653</v>
      </c>
    </row>
    <row r="660" spans="1:9" x14ac:dyDescent="0.25">
      <c r="A660" t="s">
        <v>345</v>
      </c>
      <c r="B660" t="s">
        <v>2</v>
      </c>
      <c r="C660" t="s">
        <v>345</v>
      </c>
      <c r="D660">
        <v>26020</v>
      </c>
      <c r="E660" t="s">
        <v>672</v>
      </c>
      <c r="F660" t="s">
        <v>113</v>
      </c>
      <c r="G660" t="s">
        <v>670</v>
      </c>
      <c r="H660" t="s">
        <v>670</v>
      </c>
      <c r="I660">
        <v>1.653</v>
      </c>
    </row>
    <row r="661" spans="1:9" x14ac:dyDescent="0.25">
      <c r="A661" t="s">
        <v>346</v>
      </c>
      <c r="B661" t="s">
        <v>2</v>
      </c>
      <c r="C661" t="s">
        <v>346</v>
      </c>
      <c r="D661">
        <v>26300</v>
      </c>
      <c r="E661" t="s">
        <v>669</v>
      </c>
      <c r="F661" t="s">
        <v>118</v>
      </c>
      <c r="G661" t="s">
        <v>670</v>
      </c>
      <c r="H661" t="s">
        <v>670</v>
      </c>
      <c r="I661">
        <v>1.5421362049918146</v>
      </c>
    </row>
    <row r="662" spans="1:9" x14ac:dyDescent="0.25">
      <c r="A662" t="s">
        <v>346</v>
      </c>
      <c r="B662" t="s">
        <v>2</v>
      </c>
      <c r="C662" t="s">
        <v>346</v>
      </c>
      <c r="D662">
        <v>26300</v>
      </c>
      <c r="E662" t="s">
        <v>672</v>
      </c>
      <c r="F662" t="s">
        <v>3</v>
      </c>
      <c r="G662" t="s">
        <v>670</v>
      </c>
      <c r="H662" t="s">
        <v>670</v>
      </c>
      <c r="I662">
        <v>1.18</v>
      </c>
    </row>
    <row r="663" spans="1:9" x14ac:dyDescent="0.25">
      <c r="A663" t="s">
        <v>346</v>
      </c>
      <c r="B663" t="s">
        <v>2</v>
      </c>
      <c r="C663" t="s">
        <v>346</v>
      </c>
      <c r="D663">
        <v>26300</v>
      </c>
      <c r="E663" t="s">
        <v>672</v>
      </c>
      <c r="F663" t="s">
        <v>113</v>
      </c>
      <c r="G663" t="s">
        <v>670</v>
      </c>
      <c r="H663" t="s">
        <v>670</v>
      </c>
      <c r="I663">
        <v>1.18</v>
      </c>
    </row>
    <row r="664" spans="1:9" x14ac:dyDescent="0.25">
      <c r="A664" t="s">
        <v>347</v>
      </c>
      <c r="B664" t="s">
        <v>2</v>
      </c>
      <c r="C664" t="s">
        <v>347</v>
      </c>
      <c r="D664">
        <v>26380</v>
      </c>
      <c r="E664" t="s">
        <v>669</v>
      </c>
      <c r="F664" t="s">
        <v>118</v>
      </c>
      <c r="G664" t="s">
        <v>670</v>
      </c>
      <c r="H664" t="s">
        <v>670</v>
      </c>
      <c r="I664">
        <v>1.2887584050192038</v>
      </c>
    </row>
    <row r="665" spans="1:9" x14ac:dyDescent="0.25">
      <c r="A665" t="s">
        <v>347</v>
      </c>
      <c r="B665" t="s">
        <v>2</v>
      </c>
      <c r="C665" t="s">
        <v>347</v>
      </c>
      <c r="D665">
        <v>26380</v>
      </c>
      <c r="E665" t="s">
        <v>672</v>
      </c>
      <c r="F665" t="s">
        <v>3</v>
      </c>
      <c r="G665" t="s">
        <v>670</v>
      </c>
      <c r="H665" t="s">
        <v>670</v>
      </c>
      <c r="I665">
        <v>1.2070000000000001</v>
      </c>
    </row>
    <row r="666" spans="1:9" x14ac:dyDescent="0.25">
      <c r="A666" t="s">
        <v>347</v>
      </c>
      <c r="B666" t="s">
        <v>2</v>
      </c>
      <c r="C666" t="s">
        <v>347</v>
      </c>
      <c r="D666">
        <v>26380</v>
      </c>
      <c r="E666" t="s">
        <v>672</v>
      </c>
      <c r="F666" t="s">
        <v>113</v>
      </c>
      <c r="G666" t="s">
        <v>670</v>
      </c>
      <c r="H666" t="s">
        <v>670</v>
      </c>
      <c r="I666">
        <v>1.23</v>
      </c>
    </row>
    <row r="667" spans="1:9" x14ac:dyDescent="0.25">
      <c r="A667" t="s">
        <v>32</v>
      </c>
      <c r="B667" t="s">
        <v>2</v>
      </c>
      <c r="C667" t="s">
        <v>32</v>
      </c>
      <c r="D667">
        <v>26420</v>
      </c>
      <c r="E667" t="s">
        <v>669</v>
      </c>
      <c r="F667" t="s">
        <v>118</v>
      </c>
      <c r="G667" t="s">
        <v>670</v>
      </c>
      <c r="H667" t="s">
        <v>670</v>
      </c>
      <c r="I667">
        <v>1.5717047562306636</v>
      </c>
    </row>
    <row r="668" spans="1:9" x14ac:dyDescent="0.25">
      <c r="A668" t="s">
        <v>32</v>
      </c>
      <c r="B668" t="s">
        <v>2</v>
      </c>
      <c r="C668" t="s">
        <v>32</v>
      </c>
      <c r="D668">
        <v>26420</v>
      </c>
      <c r="E668" t="s">
        <v>671</v>
      </c>
      <c r="F668" t="s">
        <v>116</v>
      </c>
      <c r="G668" t="s">
        <v>670</v>
      </c>
      <c r="H668" t="s">
        <v>670</v>
      </c>
      <c r="I668">
        <v>0.50295993457643651</v>
      </c>
    </row>
    <row r="669" spans="1:9" x14ac:dyDescent="0.25">
      <c r="A669" t="s">
        <v>32</v>
      </c>
      <c r="B669" t="s">
        <v>2</v>
      </c>
      <c r="C669" t="s">
        <v>32</v>
      </c>
      <c r="D669">
        <v>26420</v>
      </c>
      <c r="E669" t="s">
        <v>672</v>
      </c>
      <c r="F669" t="s">
        <v>3</v>
      </c>
      <c r="G669" t="s">
        <v>670</v>
      </c>
      <c r="H669" t="s">
        <v>670</v>
      </c>
      <c r="I669">
        <v>1.49</v>
      </c>
    </row>
    <row r="670" spans="1:9" x14ac:dyDescent="0.25">
      <c r="A670" t="s">
        <v>32</v>
      </c>
      <c r="B670" t="s">
        <v>2</v>
      </c>
      <c r="C670" t="s">
        <v>32</v>
      </c>
      <c r="D670">
        <v>26420</v>
      </c>
      <c r="E670" t="s">
        <v>672</v>
      </c>
      <c r="F670" t="s">
        <v>113</v>
      </c>
      <c r="G670" t="s">
        <v>670</v>
      </c>
      <c r="H670" t="s">
        <v>670</v>
      </c>
      <c r="I670">
        <v>1.526</v>
      </c>
    </row>
    <row r="671" spans="1:9" x14ac:dyDescent="0.25">
      <c r="A671" t="s">
        <v>348</v>
      </c>
      <c r="B671" t="s">
        <v>2</v>
      </c>
      <c r="C671" t="s">
        <v>348</v>
      </c>
      <c r="D671">
        <v>26580</v>
      </c>
      <c r="E671" t="s">
        <v>669</v>
      </c>
      <c r="F671" t="s">
        <v>118</v>
      </c>
      <c r="G671" t="s">
        <v>670</v>
      </c>
      <c r="H671" t="s">
        <v>670</v>
      </c>
      <c r="I671">
        <v>0.79719607482274124</v>
      </c>
    </row>
    <row r="672" spans="1:9" x14ac:dyDescent="0.25">
      <c r="A672" t="s">
        <v>348</v>
      </c>
      <c r="B672" t="s">
        <v>2</v>
      </c>
      <c r="C672" t="s">
        <v>348</v>
      </c>
      <c r="D672">
        <v>26580</v>
      </c>
      <c r="E672" t="s">
        <v>672</v>
      </c>
      <c r="F672" t="s">
        <v>3</v>
      </c>
      <c r="G672" t="s">
        <v>670</v>
      </c>
      <c r="H672" t="s">
        <v>670</v>
      </c>
      <c r="I672" t="s">
        <v>673</v>
      </c>
    </row>
    <row r="673" spans="1:9" x14ac:dyDescent="0.25">
      <c r="A673" t="s">
        <v>348</v>
      </c>
      <c r="B673" t="s">
        <v>2</v>
      </c>
      <c r="C673" t="s">
        <v>348</v>
      </c>
      <c r="D673">
        <v>26580</v>
      </c>
      <c r="E673" t="s">
        <v>672</v>
      </c>
      <c r="F673" t="s">
        <v>113</v>
      </c>
      <c r="G673" t="s">
        <v>670</v>
      </c>
      <c r="H673" t="s">
        <v>670</v>
      </c>
      <c r="I673" t="s">
        <v>673</v>
      </c>
    </row>
    <row r="674" spans="1:9" x14ac:dyDescent="0.25">
      <c r="A674" t="s">
        <v>349</v>
      </c>
      <c r="B674" t="s">
        <v>2</v>
      </c>
      <c r="C674" t="s">
        <v>349</v>
      </c>
      <c r="D674">
        <v>26620</v>
      </c>
      <c r="E674" t="s">
        <v>669</v>
      </c>
      <c r="F674" t="s">
        <v>118</v>
      </c>
      <c r="G674" t="s">
        <v>670</v>
      </c>
      <c r="H674" t="s">
        <v>670</v>
      </c>
      <c r="I674">
        <v>1.1588159103816711</v>
      </c>
    </row>
    <row r="675" spans="1:9" x14ac:dyDescent="0.25">
      <c r="A675" t="s">
        <v>349</v>
      </c>
      <c r="B675" t="s">
        <v>2</v>
      </c>
      <c r="C675" t="s">
        <v>349</v>
      </c>
      <c r="D675">
        <v>26620</v>
      </c>
      <c r="E675" t="s">
        <v>671</v>
      </c>
      <c r="F675" t="s">
        <v>116</v>
      </c>
      <c r="G675" t="s">
        <v>670</v>
      </c>
      <c r="H675" t="s">
        <v>670</v>
      </c>
      <c r="I675">
        <v>0.54726136410798099</v>
      </c>
    </row>
    <row r="676" spans="1:9" x14ac:dyDescent="0.25">
      <c r="A676" t="s">
        <v>349</v>
      </c>
      <c r="B676" t="s">
        <v>2</v>
      </c>
      <c r="C676" t="s">
        <v>349</v>
      </c>
      <c r="D676">
        <v>26620</v>
      </c>
      <c r="E676" t="s">
        <v>672</v>
      </c>
      <c r="F676" t="s">
        <v>3</v>
      </c>
      <c r="G676" t="s">
        <v>670</v>
      </c>
      <c r="H676" t="s">
        <v>670</v>
      </c>
      <c r="I676">
        <v>1.161</v>
      </c>
    </row>
    <row r="677" spans="1:9" x14ac:dyDescent="0.25">
      <c r="A677" t="s">
        <v>349</v>
      </c>
      <c r="B677" t="s">
        <v>2</v>
      </c>
      <c r="C677" t="s">
        <v>349</v>
      </c>
      <c r="D677">
        <v>26620</v>
      </c>
      <c r="E677" t="s">
        <v>672</v>
      </c>
      <c r="F677" t="s">
        <v>113</v>
      </c>
      <c r="G677" t="s">
        <v>670</v>
      </c>
      <c r="H677" t="s">
        <v>670</v>
      </c>
      <c r="I677">
        <v>1.2070000000000001</v>
      </c>
    </row>
    <row r="678" spans="1:9" x14ac:dyDescent="0.25">
      <c r="A678" t="s">
        <v>350</v>
      </c>
      <c r="B678" t="s">
        <v>2</v>
      </c>
      <c r="C678" t="s">
        <v>350</v>
      </c>
      <c r="D678">
        <v>26660</v>
      </c>
      <c r="E678" t="s">
        <v>669</v>
      </c>
      <c r="F678" t="s">
        <v>118</v>
      </c>
      <c r="G678" t="s">
        <v>670</v>
      </c>
      <c r="H678" t="s">
        <v>670</v>
      </c>
      <c r="I678">
        <v>1.1391517292455351</v>
      </c>
    </row>
    <row r="679" spans="1:9" x14ac:dyDescent="0.25">
      <c r="A679" t="s">
        <v>350</v>
      </c>
      <c r="B679" t="s">
        <v>2</v>
      </c>
      <c r="C679" t="s">
        <v>350</v>
      </c>
      <c r="D679">
        <v>26660</v>
      </c>
      <c r="E679" t="s">
        <v>672</v>
      </c>
      <c r="F679" t="s">
        <v>3</v>
      </c>
      <c r="G679" t="s">
        <v>670</v>
      </c>
      <c r="H679" t="s">
        <v>670</v>
      </c>
      <c r="I679">
        <v>1.3160000000000001</v>
      </c>
    </row>
    <row r="680" spans="1:9" x14ac:dyDescent="0.25">
      <c r="A680" t="s">
        <v>350</v>
      </c>
      <c r="B680" t="s">
        <v>2</v>
      </c>
      <c r="C680" t="s">
        <v>350</v>
      </c>
      <c r="D680">
        <v>26660</v>
      </c>
      <c r="E680" t="s">
        <v>672</v>
      </c>
      <c r="F680" t="s">
        <v>113</v>
      </c>
      <c r="G680" t="s">
        <v>670</v>
      </c>
      <c r="H680" t="s">
        <v>670</v>
      </c>
      <c r="I680">
        <v>1.355</v>
      </c>
    </row>
    <row r="681" spans="1:9" x14ac:dyDescent="0.25">
      <c r="A681" t="s">
        <v>351</v>
      </c>
      <c r="B681" t="s">
        <v>2</v>
      </c>
      <c r="C681" t="s">
        <v>351</v>
      </c>
      <c r="D681">
        <v>26740</v>
      </c>
      <c r="E681" t="s">
        <v>669</v>
      </c>
      <c r="F681" t="s">
        <v>118</v>
      </c>
      <c r="G681" t="s">
        <v>670</v>
      </c>
      <c r="H681" t="s">
        <v>670</v>
      </c>
      <c r="I681">
        <v>0.86290291877844605</v>
      </c>
    </row>
    <row r="682" spans="1:9" x14ac:dyDescent="0.25">
      <c r="A682" t="s">
        <v>351</v>
      </c>
      <c r="B682" t="s">
        <v>2</v>
      </c>
      <c r="C682" t="s">
        <v>351</v>
      </c>
      <c r="D682">
        <v>26740</v>
      </c>
      <c r="E682" t="s">
        <v>672</v>
      </c>
      <c r="F682" t="s">
        <v>3</v>
      </c>
      <c r="G682" t="s">
        <v>670</v>
      </c>
      <c r="H682" t="s">
        <v>670</v>
      </c>
      <c r="I682">
        <v>0.91100000000000003</v>
      </c>
    </row>
    <row r="683" spans="1:9" x14ac:dyDescent="0.25">
      <c r="A683" t="s">
        <v>351</v>
      </c>
      <c r="B683" t="s">
        <v>2</v>
      </c>
      <c r="C683" t="s">
        <v>351</v>
      </c>
      <c r="D683">
        <v>26740</v>
      </c>
      <c r="E683" t="s">
        <v>672</v>
      </c>
      <c r="F683" t="s">
        <v>113</v>
      </c>
      <c r="G683" t="s">
        <v>670</v>
      </c>
      <c r="H683" t="s">
        <v>670</v>
      </c>
      <c r="I683">
        <v>0.91100000000000003</v>
      </c>
    </row>
    <row r="684" spans="1:9" x14ac:dyDescent="0.25">
      <c r="A684" t="s">
        <v>352</v>
      </c>
      <c r="B684" t="s">
        <v>2</v>
      </c>
      <c r="C684" t="s">
        <v>352</v>
      </c>
      <c r="D684">
        <v>26780</v>
      </c>
      <c r="E684" t="s">
        <v>672</v>
      </c>
      <c r="F684" t="s">
        <v>3</v>
      </c>
      <c r="G684" t="s">
        <v>670</v>
      </c>
      <c r="H684" t="s">
        <v>670</v>
      </c>
      <c r="I684" t="s">
        <v>673</v>
      </c>
    </row>
    <row r="685" spans="1:9" x14ac:dyDescent="0.25">
      <c r="A685" t="s">
        <v>352</v>
      </c>
      <c r="B685" t="s">
        <v>2</v>
      </c>
      <c r="C685" t="s">
        <v>352</v>
      </c>
      <c r="D685">
        <v>26780</v>
      </c>
      <c r="E685" t="s">
        <v>672</v>
      </c>
      <c r="F685" t="s">
        <v>113</v>
      </c>
      <c r="G685" t="s">
        <v>670</v>
      </c>
      <c r="H685" t="s">
        <v>670</v>
      </c>
      <c r="I685" t="s">
        <v>673</v>
      </c>
    </row>
    <row r="686" spans="1:9" x14ac:dyDescent="0.25">
      <c r="A686" t="s">
        <v>353</v>
      </c>
      <c r="B686" t="s">
        <v>2</v>
      </c>
      <c r="C686" t="s">
        <v>353</v>
      </c>
      <c r="D686">
        <v>26820</v>
      </c>
      <c r="E686" t="s">
        <v>669</v>
      </c>
      <c r="F686" t="s">
        <v>118</v>
      </c>
      <c r="G686" t="s">
        <v>670</v>
      </c>
      <c r="H686" t="s">
        <v>670</v>
      </c>
      <c r="I686">
        <v>1.2387751383650452</v>
      </c>
    </row>
    <row r="687" spans="1:9" x14ac:dyDescent="0.25">
      <c r="A687" t="s">
        <v>353</v>
      </c>
      <c r="B687" t="s">
        <v>2</v>
      </c>
      <c r="C687" t="s">
        <v>353</v>
      </c>
      <c r="D687">
        <v>26820</v>
      </c>
      <c r="E687" t="s">
        <v>672</v>
      </c>
      <c r="F687" t="s">
        <v>3</v>
      </c>
      <c r="G687" t="s">
        <v>670</v>
      </c>
      <c r="H687" t="s">
        <v>670</v>
      </c>
      <c r="I687">
        <v>1.532</v>
      </c>
    </row>
    <row r="688" spans="1:9" x14ac:dyDescent="0.25">
      <c r="A688" t="s">
        <v>353</v>
      </c>
      <c r="B688" t="s">
        <v>2</v>
      </c>
      <c r="C688" t="s">
        <v>353</v>
      </c>
      <c r="D688">
        <v>26820</v>
      </c>
      <c r="E688" t="s">
        <v>672</v>
      </c>
      <c r="F688" t="s">
        <v>113</v>
      </c>
      <c r="G688" t="s">
        <v>670</v>
      </c>
      <c r="H688" t="s">
        <v>670</v>
      </c>
      <c r="I688">
        <v>1.5920000000000001</v>
      </c>
    </row>
    <row r="689" spans="1:9" x14ac:dyDescent="0.25">
      <c r="A689" t="s">
        <v>354</v>
      </c>
      <c r="B689" t="s">
        <v>2</v>
      </c>
      <c r="C689" t="s">
        <v>354</v>
      </c>
      <c r="D689">
        <v>26860</v>
      </c>
      <c r="E689" t="s">
        <v>672</v>
      </c>
      <c r="F689" t="s">
        <v>3</v>
      </c>
      <c r="G689" t="s">
        <v>670</v>
      </c>
      <c r="H689" t="s">
        <v>670</v>
      </c>
      <c r="I689" t="s">
        <v>673</v>
      </c>
    </row>
    <row r="690" spans="1:9" x14ac:dyDescent="0.25">
      <c r="A690" t="s">
        <v>354</v>
      </c>
      <c r="B690" t="s">
        <v>2</v>
      </c>
      <c r="C690" t="s">
        <v>354</v>
      </c>
      <c r="D690">
        <v>26860</v>
      </c>
      <c r="E690" t="s">
        <v>672</v>
      </c>
      <c r="F690" t="s">
        <v>113</v>
      </c>
      <c r="G690" t="s">
        <v>670</v>
      </c>
      <c r="H690" t="s">
        <v>670</v>
      </c>
      <c r="I690" t="s">
        <v>673</v>
      </c>
    </row>
    <row r="691" spans="1:9" x14ac:dyDescent="0.25">
      <c r="A691" t="s">
        <v>29</v>
      </c>
      <c r="B691" t="s">
        <v>2</v>
      </c>
      <c r="C691" t="s">
        <v>29</v>
      </c>
      <c r="D691">
        <v>226900</v>
      </c>
      <c r="E691" t="s">
        <v>669</v>
      </c>
      <c r="F691" t="s">
        <v>118</v>
      </c>
      <c r="G691" t="s">
        <v>670</v>
      </c>
      <c r="H691" t="s">
        <v>670</v>
      </c>
      <c r="I691">
        <v>1.4748718970110264</v>
      </c>
    </row>
    <row r="692" spans="1:9" x14ac:dyDescent="0.25">
      <c r="A692" t="s">
        <v>29</v>
      </c>
      <c r="B692" t="s">
        <v>2</v>
      </c>
      <c r="C692" t="s">
        <v>29</v>
      </c>
      <c r="D692">
        <v>226900</v>
      </c>
      <c r="E692" t="s">
        <v>671</v>
      </c>
      <c r="F692" t="s">
        <v>116</v>
      </c>
      <c r="G692" t="s">
        <v>670</v>
      </c>
      <c r="H692" t="s">
        <v>670</v>
      </c>
      <c r="I692">
        <v>0.55302282903255395</v>
      </c>
    </row>
    <row r="693" spans="1:9" x14ac:dyDescent="0.25">
      <c r="A693" t="s">
        <v>29</v>
      </c>
      <c r="B693" t="s">
        <v>2</v>
      </c>
      <c r="C693" t="s">
        <v>29</v>
      </c>
      <c r="D693">
        <v>226900</v>
      </c>
      <c r="E693" t="s">
        <v>672</v>
      </c>
      <c r="F693" t="s">
        <v>3</v>
      </c>
      <c r="G693" t="s">
        <v>670</v>
      </c>
      <c r="H693" t="s">
        <v>670</v>
      </c>
      <c r="I693">
        <v>1.4159999999999999</v>
      </c>
    </row>
    <row r="694" spans="1:9" x14ac:dyDescent="0.25">
      <c r="A694" t="s">
        <v>29</v>
      </c>
      <c r="B694" t="s">
        <v>2</v>
      </c>
      <c r="C694" t="s">
        <v>29</v>
      </c>
      <c r="D694">
        <v>226900</v>
      </c>
      <c r="E694" t="s">
        <v>672</v>
      </c>
      <c r="F694" t="s">
        <v>113</v>
      </c>
      <c r="G694" t="s">
        <v>670</v>
      </c>
      <c r="H694" t="s">
        <v>670</v>
      </c>
      <c r="I694">
        <v>1.43</v>
      </c>
    </row>
    <row r="695" spans="1:9" x14ac:dyDescent="0.25">
      <c r="A695" t="s">
        <v>355</v>
      </c>
      <c r="B695" t="s">
        <v>2</v>
      </c>
      <c r="C695" t="s">
        <v>355</v>
      </c>
      <c r="D695">
        <v>26980</v>
      </c>
      <c r="E695" t="s">
        <v>672</v>
      </c>
      <c r="F695" t="s">
        <v>3</v>
      </c>
      <c r="G695" t="s">
        <v>670</v>
      </c>
      <c r="H695" t="s">
        <v>670</v>
      </c>
      <c r="I695">
        <v>1.601</v>
      </c>
    </row>
    <row r="696" spans="1:9" x14ac:dyDescent="0.25">
      <c r="A696" t="s">
        <v>355</v>
      </c>
      <c r="B696" t="s">
        <v>2</v>
      </c>
      <c r="C696" t="s">
        <v>355</v>
      </c>
      <c r="D696">
        <v>26980</v>
      </c>
      <c r="E696" t="s">
        <v>672</v>
      </c>
      <c r="F696" t="s">
        <v>113</v>
      </c>
      <c r="G696" t="s">
        <v>670</v>
      </c>
      <c r="H696" t="s">
        <v>670</v>
      </c>
      <c r="I696">
        <v>1.601</v>
      </c>
    </row>
    <row r="697" spans="1:9" x14ac:dyDescent="0.25">
      <c r="A697" t="s">
        <v>356</v>
      </c>
      <c r="B697" t="s">
        <v>2</v>
      </c>
      <c r="C697" t="s">
        <v>356</v>
      </c>
      <c r="D697">
        <v>27020</v>
      </c>
      <c r="E697" t="s">
        <v>672</v>
      </c>
      <c r="F697" t="s">
        <v>3</v>
      </c>
      <c r="G697" t="s">
        <v>670</v>
      </c>
      <c r="H697" t="s">
        <v>670</v>
      </c>
      <c r="I697" t="s">
        <v>673</v>
      </c>
    </row>
    <row r="698" spans="1:9" x14ac:dyDescent="0.25">
      <c r="A698" t="s">
        <v>356</v>
      </c>
      <c r="B698" t="s">
        <v>2</v>
      </c>
      <c r="C698" t="s">
        <v>356</v>
      </c>
      <c r="D698">
        <v>27020</v>
      </c>
      <c r="E698" t="s">
        <v>672</v>
      </c>
      <c r="F698" t="s">
        <v>113</v>
      </c>
      <c r="G698" t="s">
        <v>670</v>
      </c>
      <c r="H698" t="s">
        <v>670</v>
      </c>
      <c r="I698" t="s">
        <v>673</v>
      </c>
    </row>
    <row r="699" spans="1:9" x14ac:dyDescent="0.25">
      <c r="A699" t="s">
        <v>357</v>
      </c>
      <c r="B699" t="s">
        <v>2</v>
      </c>
      <c r="C699" t="s">
        <v>357</v>
      </c>
      <c r="D699">
        <v>27060</v>
      </c>
      <c r="E699" t="s">
        <v>669</v>
      </c>
      <c r="F699" t="s">
        <v>118</v>
      </c>
      <c r="G699" t="s">
        <v>670</v>
      </c>
      <c r="H699" t="s">
        <v>670</v>
      </c>
      <c r="I699">
        <v>2.4954256555438428</v>
      </c>
    </row>
    <row r="700" spans="1:9" x14ac:dyDescent="0.25">
      <c r="A700" t="s">
        <v>357</v>
      </c>
      <c r="B700" t="s">
        <v>2</v>
      </c>
      <c r="C700" t="s">
        <v>357</v>
      </c>
      <c r="D700">
        <v>27060</v>
      </c>
      <c r="E700" t="s">
        <v>672</v>
      </c>
      <c r="F700" t="s">
        <v>3</v>
      </c>
      <c r="G700" t="s">
        <v>670</v>
      </c>
      <c r="H700" t="s">
        <v>670</v>
      </c>
      <c r="I700">
        <v>2.6619999999999999</v>
      </c>
    </row>
    <row r="701" spans="1:9" x14ac:dyDescent="0.25">
      <c r="A701" t="s">
        <v>357</v>
      </c>
      <c r="B701" t="s">
        <v>2</v>
      </c>
      <c r="C701" t="s">
        <v>357</v>
      </c>
      <c r="D701">
        <v>27060</v>
      </c>
      <c r="E701" t="s">
        <v>672</v>
      </c>
      <c r="F701" t="s">
        <v>113</v>
      </c>
      <c r="G701" t="s">
        <v>670</v>
      </c>
      <c r="H701" t="s">
        <v>670</v>
      </c>
      <c r="I701">
        <v>2.6859999999999999</v>
      </c>
    </row>
    <row r="702" spans="1:9" x14ac:dyDescent="0.25">
      <c r="A702" t="s">
        <v>358</v>
      </c>
      <c r="B702" t="s">
        <v>2</v>
      </c>
      <c r="C702" t="s">
        <v>358</v>
      </c>
      <c r="D702">
        <v>27100</v>
      </c>
      <c r="E702" t="s">
        <v>669</v>
      </c>
      <c r="F702" t="s">
        <v>118</v>
      </c>
      <c r="G702" t="s">
        <v>670</v>
      </c>
      <c r="H702" t="s">
        <v>670</v>
      </c>
      <c r="I702">
        <v>1.1573263028654446</v>
      </c>
    </row>
    <row r="703" spans="1:9" x14ac:dyDescent="0.25">
      <c r="A703" t="s">
        <v>358</v>
      </c>
      <c r="B703" t="s">
        <v>2</v>
      </c>
      <c r="C703" t="s">
        <v>358</v>
      </c>
      <c r="D703">
        <v>27100</v>
      </c>
      <c r="E703" t="s">
        <v>672</v>
      </c>
      <c r="F703" t="s">
        <v>3</v>
      </c>
      <c r="G703" t="s">
        <v>670</v>
      </c>
      <c r="H703" t="s">
        <v>670</v>
      </c>
      <c r="I703">
        <v>1.31</v>
      </c>
    </row>
    <row r="704" spans="1:9" x14ac:dyDescent="0.25">
      <c r="A704" t="s">
        <v>358</v>
      </c>
      <c r="B704" t="s">
        <v>2</v>
      </c>
      <c r="C704" t="s">
        <v>358</v>
      </c>
      <c r="D704">
        <v>27100</v>
      </c>
      <c r="E704" t="s">
        <v>672</v>
      </c>
      <c r="F704" t="s">
        <v>113</v>
      </c>
      <c r="G704" t="s">
        <v>670</v>
      </c>
      <c r="H704" t="s">
        <v>670</v>
      </c>
      <c r="I704">
        <v>1.319</v>
      </c>
    </row>
    <row r="705" spans="1:9" x14ac:dyDescent="0.25">
      <c r="A705" t="s">
        <v>359</v>
      </c>
      <c r="B705" t="s">
        <v>2</v>
      </c>
      <c r="C705" t="s">
        <v>359</v>
      </c>
      <c r="D705">
        <v>27140</v>
      </c>
      <c r="E705" t="s">
        <v>669</v>
      </c>
      <c r="F705" t="s">
        <v>118</v>
      </c>
      <c r="G705" t="s">
        <v>670</v>
      </c>
      <c r="H705" t="s">
        <v>670</v>
      </c>
      <c r="I705">
        <v>1.1679905725488482</v>
      </c>
    </row>
    <row r="706" spans="1:9" x14ac:dyDescent="0.25">
      <c r="A706" t="s">
        <v>359</v>
      </c>
      <c r="B706" t="s">
        <v>2</v>
      </c>
      <c r="C706" t="s">
        <v>359</v>
      </c>
      <c r="D706">
        <v>27140</v>
      </c>
      <c r="E706" t="s">
        <v>671</v>
      </c>
      <c r="F706" t="s">
        <v>116</v>
      </c>
      <c r="G706" t="s">
        <v>670</v>
      </c>
      <c r="H706" t="s">
        <v>670</v>
      </c>
      <c r="I706">
        <v>0.48954628131960637</v>
      </c>
    </row>
    <row r="707" spans="1:9" x14ac:dyDescent="0.25">
      <c r="A707" t="s">
        <v>359</v>
      </c>
      <c r="B707" t="s">
        <v>2</v>
      </c>
      <c r="C707" t="s">
        <v>359</v>
      </c>
      <c r="D707">
        <v>27140</v>
      </c>
      <c r="E707" t="s">
        <v>672</v>
      </c>
      <c r="F707" t="s">
        <v>3</v>
      </c>
      <c r="G707" t="s">
        <v>670</v>
      </c>
      <c r="H707" t="s">
        <v>670</v>
      </c>
      <c r="I707">
        <v>1.2729999999999999</v>
      </c>
    </row>
    <row r="708" spans="1:9" x14ac:dyDescent="0.25">
      <c r="A708" t="s">
        <v>359</v>
      </c>
      <c r="B708" t="s">
        <v>2</v>
      </c>
      <c r="C708" t="s">
        <v>359</v>
      </c>
      <c r="D708">
        <v>27140</v>
      </c>
      <c r="E708" t="s">
        <v>672</v>
      </c>
      <c r="F708" t="s">
        <v>113</v>
      </c>
      <c r="G708" t="s">
        <v>670</v>
      </c>
      <c r="H708" t="s">
        <v>670</v>
      </c>
      <c r="I708">
        <v>1.282</v>
      </c>
    </row>
    <row r="709" spans="1:9" x14ac:dyDescent="0.25">
      <c r="A709" t="s">
        <v>360</v>
      </c>
      <c r="B709" t="s">
        <v>2</v>
      </c>
      <c r="C709" t="s">
        <v>360</v>
      </c>
      <c r="D709">
        <v>27180</v>
      </c>
      <c r="E709" t="s">
        <v>672</v>
      </c>
      <c r="F709" t="s">
        <v>3</v>
      </c>
      <c r="G709" t="s">
        <v>670</v>
      </c>
      <c r="H709" t="s">
        <v>670</v>
      </c>
      <c r="I709">
        <v>1.222</v>
      </c>
    </row>
    <row r="710" spans="1:9" x14ac:dyDescent="0.25">
      <c r="A710" t="s">
        <v>360</v>
      </c>
      <c r="B710" t="s">
        <v>2</v>
      </c>
      <c r="C710" t="s">
        <v>360</v>
      </c>
      <c r="D710">
        <v>27180</v>
      </c>
      <c r="E710" t="s">
        <v>672</v>
      </c>
      <c r="F710" t="s">
        <v>113</v>
      </c>
      <c r="G710" t="s">
        <v>670</v>
      </c>
      <c r="H710" t="s">
        <v>670</v>
      </c>
      <c r="I710">
        <v>1.2709999999999999</v>
      </c>
    </row>
    <row r="711" spans="1:9" x14ac:dyDescent="0.25">
      <c r="A711" t="s">
        <v>23</v>
      </c>
      <c r="B711" t="s">
        <v>2</v>
      </c>
      <c r="C711" t="s">
        <v>23</v>
      </c>
      <c r="D711">
        <v>27260</v>
      </c>
      <c r="E711" t="s">
        <v>669</v>
      </c>
      <c r="F711" t="s">
        <v>118</v>
      </c>
      <c r="G711" t="s">
        <v>670</v>
      </c>
      <c r="H711" t="s">
        <v>670</v>
      </c>
      <c r="I711">
        <v>1.4908397200066887</v>
      </c>
    </row>
    <row r="712" spans="1:9" x14ac:dyDescent="0.25">
      <c r="A712" t="s">
        <v>23</v>
      </c>
      <c r="B712" t="s">
        <v>2</v>
      </c>
      <c r="C712" t="s">
        <v>23</v>
      </c>
      <c r="D712">
        <v>27260</v>
      </c>
      <c r="E712" t="s">
        <v>671</v>
      </c>
      <c r="F712" t="s">
        <v>116</v>
      </c>
      <c r="G712" t="s">
        <v>670</v>
      </c>
      <c r="H712" t="s">
        <v>670</v>
      </c>
      <c r="I712">
        <v>0.52318926512146757</v>
      </c>
    </row>
    <row r="713" spans="1:9" x14ac:dyDescent="0.25">
      <c r="A713" t="s">
        <v>23</v>
      </c>
      <c r="B713" t="s">
        <v>2</v>
      </c>
      <c r="C713" t="s">
        <v>23</v>
      </c>
      <c r="D713">
        <v>27260</v>
      </c>
      <c r="E713" t="s">
        <v>672</v>
      </c>
      <c r="F713" t="s">
        <v>3</v>
      </c>
      <c r="G713" t="s">
        <v>670</v>
      </c>
      <c r="H713" t="s">
        <v>670</v>
      </c>
      <c r="I713">
        <v>1.44</v>
      </c>
    </row>
    <row r="714" spans="1:9" x14ac:dyDescent="0.25">
      <c r="A714" t="s">
        <v>23</v>
      </c>
      <c r="B714" t="s">
        <v>2</v>
      </c>
      <c r="C714" t="s">
        <v>23</v>
      </c>
      <c r="D714">
        <v>27260</v>
      </c>
      <c r="E714" t="s">
        <v>672</v>
      </c>
      <c r="F714" t="s">
        <v>113</v>
      </c>
      <c r="G714" t="s">
        <v>670</v>
      </c>
      <c r="H714" t="s">
        <v>670</v>
      </c>
      <c r="I714">
        <v>1.476</v>
      </c>
    </row>
    <row r="715" spans="1:9" x14ac:dyDescent="0.25">
      <c r="A715" t="s">
        <v>361</v>
      </c>
      <c r="B715" t="s">
        <v>2</v>
      </c>
      <c r="C715" t="s">
        <v>361</v>
      </c>
      <c r="D715">
        <v>27340</v>
      </c>
      <c r="E715" t="s">
        <v>672</v>
      </c>
      <c r="F715" t="s">
        <v>3</v>
      </c>
      <c r="G715" t="s">
        <v>670</v>
      </c>
      <c r="H715" t="s">
        <v>670</v>
      </c>
      <c r="I715">
        <v>1.3240000000000001</v>
      </c>
    </row>
    <row r="716" spans="1:9" x14ac:dyDescent="0.25">
      <c r="A716" t="s">
        <v>361</v>
      </c>
      <c r="B716" t="s">
        <v>2</v>
      </c>
      <c r="C716" t="s">
        <v>361</v>
      </c>
      <c r="D716">
        <v>27340</v>
      </c>
      <c r="E716" t="s">
        <v>672</v>
      </c>
      <c r="F716" t="s">
        <v>113</v>
      </c>
      <c r="G716" t="s">
        <v>670</v>
      </c>
      <c r="H716" t="s">
        <v>670</v>
      </c>
      <c r="I716">
        <v>1.3340000000000001</v>
      </c>
    </row>
    <row r="717" spans="1:9" x14ac:dyDescent="0.25">
      <c r="A717" t="s">
        <v>362</v>
      </c>
      <c r="B717" t="s">
        <v>2</v>
      </c>
      <c r="C717" t="s">
        <v>362</v>
      </c>
      <c r="D717">
        <v>27380</v>
      </c>
      <c r="E717" t="s">
        <v>672</v>
      </c>
      <c r="F717" t="s">
        <v>3</v>
      </c>
      <c r="G717" t="s">
        <v>670</v>
      </c>
      <c r="H717" t="s">
        <v>670</v>
      </c>
      <c r="I717" t="s">
        <v>673</v>
      </c>
    </row>
    <row r="718" spans="1:9" x14ac:dyDescent="0.25">
      <c r="A718" t="s">
        <v>362</v>
      </c>
      <c r="B718" t="s">
        <v>2</v>
      </c>
      <c r="C718" t="s">
        <v>362</v>
      </c>
      <c r="D718">
        <v>27380</v>
      </c>
      <c r="E718" t="s">
        <v>672</v>
      </c>
      <c r="F718" t="s">
        <v>113</v>
      </c>
      <c r="G718" t="s">
        <v>670</v>
      </c>
      <c r="H718" t="s">
        <v>670</v>
      </c>
      <c r="I718" t="s">
        <v>673</v>
      </c>
    </row>
    <row r="719" spans="1:9" x14ac:dyDescent="0.25">
      <c r="A719" t="s">
        <v>363</v>
      </c>
      <c r="B719" t="s">
        <v>2</v>
      </c>
      <c r="C719" t="s">
        <v>363</v>
      </c>
      <c r="D719">
        <v>27220</v>
      </c>
      <c r="E719" t="s">
        <v>672</v>
      </c>
      <c r="F719" t="s">
        <v>3</v>
      </c>
      <c r="G719" t="s">
        <v>670</v>
      </c>
      <c r="H719" t="s">
        <v>670</v>
      </c>
      <c r="I719">
        <v>4.46</v>
      </c>
    </row>
    <row r="720" spans="1:9" x14ac:dyDescent="0.25">
      <c r="A720" t="s">
        <v>363</v>
      </c>
      <c r="B720" t="s">
        <v>2</v>
      </c>
      <c r="C720" t="s">
        <v>363</v>
      </c>
      <c r="D720">
        <v>27220</v>
      </c>
      <c r="E720" t="s">
        <v>672</v>
      </c>
      <c r="F720" t="s">
        <v>113</v>
      </c>
      <c r="G720" t="s">
        <v>670</v>
      </c>
      <c r="H720" t="s">
        <v>670</v>
      </c>
      <c r="I720">
        <v>4.5140000000000002</v>
      </c>
    </row>
    <row r="721" spans="1:9" x14ac:dyDescent="0.25">
      <c r="A721" t="s">
        <v>364</v>
      </c>
      <c r="B721" t="s">
        <v>2</v>
      </c>
      <c r="C721" t="s">
        <v>364</v>
      </c>
      <c r="D721">
        <v>27420</v>
      </c>
      <c r="E721" t="s">
        <v>672</v>
      </c>
      <c r="F721" t="s">
        <v>3</v>
      </c>
      <c r="G721" t="s">
        <v>670</v>
      </c>
      <c r="H721" t="s">
        <v>670</v>
      </c>
      <c r="I721" t="s">
        <v>673</v>
      </c>
    </row>
    <row r="722" spans="1:9" x14ac:dyDescent="0.25">
      <c r="A722" t="s">
        <v>364</v>
      </c>
      <c r="B722" t="s">
        <v>2</v>
      </c>
      <c r="C722" t="s">
        <v>364</v>
      </c>
      <c r="D722">
        <v>27420</v>
      </c>
      <c r="E722" t="s">
        <v>672</v>
      </c>
      <c r="F722" t="s">
        <v>113</v>
      </c>
      <c r="G722" t="s">
        <v>670</v>
      </c>
      <c r="H722" t="s">
        <v>670</v>
      </c>
      <c r="I722" t="s">
        <v>673</v>
      </c>
    </row>
    <row r="723" spans="1:9" x14ac:dyDescent="0.25">
      <c r="A723" t="s">
        <v>365</v>
      </c>
      <c r="B723" t="s">
        <v>2</v>
      </c>
      <c r="C723" t="s">
        <v>365</v>
      </c>
      <c r="D723">
        <v>27500</v>
      </c>
      <c r="E723" t="s">
        <v>669</v>
      </c>
      <c r="F723" t="s">
        <v>118</v>
      </c>
      <c r="G723" t="s">
        <v>670</v>
      </c>
      <c r="H723" t="s">
        <v>670</v>
      </c>
      <c r="I723">
        <v>1.3480729626276011</v>
      </c>
    </row>
    <row r="724" spans="1:9" x14ac:dyDescent="0.25">
      <c r="A724" t="s">
        <v>365</v>
      </c>
      <c r="B724" t="s">
        <v>2</v>
      </c>
      <c r="C724" t="s">
        <v>365</v>
      </c>
      <c r="D724">
        <v>27500</v>
      </c>
      <c r="E724" t="s">
        <v>672</v>
      </c>
      <c r="F724" t="s">
        <v>3</v>
      </c>
      <c r="G724" t="s">
        <v>670</v>
      </c>
      <c r="H724" t="s">
        <v>670</v>
      </c>
      <c r="I724">
        <v>1.7929999999999999</v>
      </c>
    </row>
    <row r="725" spans="1:9" x14ac:dyDescent="0.25">
      <c r="A725" t="s">
        <v>365</v>
      </c>
      <c r="B725" t="s">
        <v>2</v>
      </c>
      <c r="C725" t="s">
        <v>365</v>
      </c>
      <c r="D725">
        <v>27500</v>
      </c>
      <c r="E725" t="s">
        <v>672</v>
      </c>
      <c r="F725" t="s">
        <v>113</v>
      </c>
      <c r="G725" t="s">
        <v>670</v>
      </c>
      <c r="H725" t="s">
        <v>670</v>
      </c>
      <c r="I725">
        <v>1.7929999999999999</v>
      </c>
    </row>
    <row r="726" spans="1:9" x14ac:dyDescent="0.25">
      <c r="A726" t="s">
        <v>366</v>
      </c>
      <c r="B726" t="s">
        <v>2</v>
      </c>
      <c r="C726" t="s">
        <v>366</v>
      </c>
      <c r="D726">
        <v>27620</v>
      </c>
      <c r="E726" t="s">
        <v>669</v>
      </c>
      <c r="F726" t="s">
        <v>118</v>
      </c>
      <c r="G726" t="s">
        <v>670</v>
      </c>
      <c r="H726" t="s">
        <v>670</v>
      </c>
      <c r="I726">
        <v>0.70868128801725017</v>
      </c>
    </row>
    <row r="727" spans="1:9" x14ac:dyDescent="0.25">
      <c r="A727" t="s">
        <v>366</v>
      </c>
      <c r="B727" t="s">
        <v>2</v>
      </c>
      <c r="C727" t="s">
        <v>366</v>
      </c>
      <c r="D727">
        <v>27620</v>
      </c>
      <c r="E727" t="s">
        <v>672</v>
      </c>
      <c r="F727" t="s">
        <v>3</v>
      </c>
      <c r="G727" t="s">
        <v>670</v>
      </c>
      <c r="H727" t="s">
        <v>670</v>
      </c>
      <c r="I727" t="s">
        <v>673</v>
      </c>
    </row>
    <row r="728" spans="1:9" x14ac:dyDescent="0.25">
      <c r="A728" t="s">
        <v>366</v>
      </c>
      <c r="B728" t="s">
        <v>2</v>
      </c>
      <c r="C728" t="s">
        <v>366</v>
      </c>
      <c r="D728">
        <v>27620</v>
      </c>
      <c r="E728" t="s">
        <v>672</v>
      </c>
      <c r="F728" t="s">
        <v>113</v>
      </c>
      <c r="G728" t="s">
        <v>670</v>
      </c>
      <c r="H728" t="s">
        <v>670</v>
      </c>
      <c r="I728" t="s">
        <v>673</v>
      </c>
    </row>
    <row r="729" spans="1:9" x14ac:dyDescent="0.25">
      <c r="A729" t="s">
        <v>367</v>
      </c>
      <c r="B729" t="s">
        <v>2</v>
      </c>
      <c r="C729" t="s">
        <v>367</v>
      </c>
      <c r="D729">
        <v>27600</v>
      </c>
      <c r="E729" t="s">
        <v>669</v>
      </c>
      <c r="F729" t="s">
        <v>118</v>
      </c>
      <c r="G729" t="s">
        <v>670</v>
      </c>
      <c r="H729" t="s">
        <v>670</v>
      </c>
      <c r="I729">
        <v>1.3208964486744383</v>
      </c>
    </row>
    <row r="730" spans="1:9" x14ac:dyDescent="0.25">
      <c r="A730" t="s">
        <v>367</v>
      </c>
      <c r="B730" t="s">
        <v>2</v>
      </c>
      <c r="C730" t="s">
        <v>367</v>
      </c>
      <c r="D730">
        <v>27600</v>
      </c>
      <c r="E730" t="s">
        <v>671</v>
      </c>
      <c r="F730" t="s">
        <v>116</v>
      </c>
      <c r="G730" t="s">
        <v>670</v>
      </c>
      <c r="H730" t="s">
        <v>670</v>
      </c>
      <c r="I730">
        <v>0.58047462227011404</v>
      </c>
    </row>
    <row r="731" spans="1:9" x14ac:dyDescent="0.25">
      <c r="A731" t="s">
        <v>367</v>
      </c>
      <c r="B731" t="s">
        <v>2</v>
      </c>
      <c r="C731" t="s">
        <v>367</v>
      </c>
      <c r="D731">
        <v>27600</v>
      </c>
      <c r="E731" t="s">
        <v>672</v>
      </c>
      <c r="F731" t="s">
        <v>3</v>
      </c>
      <c r="G731" t="s">
        <v>670</v>
      </c>
      <c r="H731" t="s">
        <v>670</v>
      </c>
      <c r="I731">
        <v>1.321</v>
      </c>
    </row>
    <row r="732" spans="1:9" x14ac:dyDescent="0.25">
      <c r="A732" t="s">
        <v>367</v>
      </c>
      <c r="B732" t="s">
        <v>2</v>
      </c>
      <c r="C732" t="s">
        <v>367</v>
      </c>
      <c r="D732">
        <v>27600</v>
      </c>
      <c r="E732" t="s">
        <v>672</v>
      </c>
      <c r="F732" t="s">
        <v>113</v>
      </c>
      <c r="G732" t="s">
        <v>670</v>
      </c>
      <c r="H732" t="s">
        <v>670</v>
      </c>
      <c r="I732">
        <v>1.347</v>
      </c>
    </row>
    <row r="733" spans="1:9" x14ac:dyDescent="0.25">
      <c r="A733" t="s">
        <v>368</v>
      </c>
      <c r="B733" t="s">
        <v>2</v>
      </c>
      <c r="C733" t="s">
        <v>368</v>
      </c>
      <c r="D733">
        <v>227740</v>
      </c>
      <c r="E733" t="s">
        <v>669</v>
      </c>
      <c r="F733" t="s">
        <v>118</v>
      </c>
      <c r="G733" t="s">
        <v>670</v>
      </c>
      <c r="H733" t="s">
        <v>670</v>
      </c>
      <c r="I733">
        <v>1.3248321802964256</v>
      </c>
    </row>
    <row r="734" spans="1:9" x14ac:dyDescent="0.25">
      <c r="A734" t="s">
        <v>368</v>
      </c>
      <c r="B734" t="s">
        <v>2</v>
      </c>
      <c r="C734" t="s">
        <v>368</v>
      </c>
      <c r="D734">
        <v>227740</v>
      </c>
      <c r="E734" t="s">
        <v>672</v>
      </c>
      <c r="F734" t="s">
        <v>3</v>
      </c>
      <c r="G734" t="s">
        <v>670</v>
      </c>
      <c r="H734" t="s">
        <v>670</v>
      </c>
      <c r="I734">
        <v>1.3089999999999999</v>
      </c>
    </row>
    <row r="735" spans="1:9" x14ac:dyDescent="0.25">
      <c r="A735" t="s">
        <v>368</v>
      </c>
      <c r="B735" t="s">
        <v>2</v>
      </c>
      <c r="C735" t="s">
        <v>368</v>
      </c>
      <c r="D735">
        <v>227740</v>
      </c>
      <c r="E735" t="s">
        <v>672</v>
      </c>
      <c r="F735" t="s">
        <v>113</v>
      </c>
      <c r="G735" t="s">
        <v>670</v>
      </c>
      <c r="H735" t="s">
        <v>670</v>
      </c>
      <c r="I735">
        <v>1.34</v>
      </c>
    </row>
    <row r="736" spans="1:9" x14ac:dyDescent="0.25">
      <c r="A736" t="s">
        <v>369</v>
      </c>
      <c r="B736" t="s">
        <v>2</v>
      </c>
      <c r="C736" t="s">
        <v>369</v>
      </c>
      <c r="D736">
        <v>27780</v>
      </c>
      <c r="E736" t="s">
        <v>672</v>
      </c>
      <c r="F736" t="s">
        <v>3</v>
      </c>
      <c r="G736" t="s">
        <v>670</v>
      </c>
      <c r="H736" t="s">
        <v>670</v>
      </c>
      <c r="I736" t="s">
        <v>673</v>
      </c>
    </row>
    <row r="737" spans="1:9" x14ac:dyDescent="0.25">
      <c r="A737" t="s">
        <v>369</v>
      </c>
      <c r="B737" t="s">
        <v>2</v>
      </c>
      <c r="C737" t="s">
        <v>369</v>
      </c>
      <c r="D737">
        <v>27780</v>
      </c>
      <c r="E737" t="s">
        <v>672</v>
      </c>
      <c r="F737" t="s">
        <v>113</v>
      </c>
      <c r="G737" t="s">
        <v>670</v>
      </c>
      <c r="H737" t="s">
        <v>670</v>
      </c>
      <c r="I737" t="s">
        <v>673</v>
      </c>
    </row>
    <row r="738" spans="1:9" x14ac:dyDescent="0.25">
      <c r="A738" t="s">
        <v>370</v>
      </c>
      <c r="B738" t="s">
        <v>2</v>
      </c>
      <c r="C738" t="s">
        <v>370</v>
      </c>
      <c r="D738">
        <v>27860</v>
      </c>
      <c r="E738" t="s">
        <v>669</v>
      </c>
      <c r="F738" t="s">
        <v>118</v>
      </c>
      <c r="G738" t="s">
        <v>670</v>
      </c>
      <c r="H738" t="s">
        <v>670</v>
      </c>
      <c r="I738">
        <v>1.0962233070246112</v>
      </c>
    </row>
    <row r="739" spans="1:9" x14ac:dyDescent="0.25">
      <c r="A739" t="s">
        <v>370</v>
      </c>
      <c r="B739" t="s">
        <v>2</v>
      </c>
      <c r="C739" t="s">
        <v>370</v>
      </c>
      <c r="D739">
        <v>27860</v>
      </c>
      <c r="E739" t="s">
        <v>671</v>
      </c>
      <c r="F739" t="s">
        <v>116</v>
      </c>
      <c r="G739" t="s">
        <v>670</v>
      </c>
      <c r="H739" t="s">
        <v>670</v>
      </c>
      <c r="I739">
        <v>0.6044383652601194</v>
      </c>
    </row>
    <row r="740" spans="1:9" x14ac:dyDescent="0.25">
      <c r="A740" t="s">
        <v>370</v>
      </c>
      <c r="B740" t="s">
        <v>2</v>
      </c>
      <c r="C740" t="s">
        <v>370</v>
      </c>
      <c r="D740">
        <v>27860</v>
      </c>
      <c r="E740" t="s">
        <v>672</v>
      </c>
      <c r="F740" t="s">
        <v>3</v>
      </c>
      <c r="G740" t="s">
        <v>670</v>
      </c>
      <c r="H740" t="s">
        <v>670</v>
      </c>
      <c r="I740">
        <v>1.0549999999999999</v>
      </c>
    </row>
    <row r="741" spans="1:9" x14ac:dyDescent="0.25">
      <c r="A741" t="s">
        <v>370</v>
      </c>
      <c r="B741" t="s">
        <v>2</v>
      </c>
      <c r="C741" t="s">
        <v>370</v>
      </c>
      <c r="D741">
        <v>27860</v>
      </c>
      <c r="E741" t="s">
        <v>672</v>
      </c>
      <c r="F741" t="s">
        <v>113</v>
      </c>
      <c r="G741" t="s">
        <v>670</v>
      </c>
      <c r="H741" t="s">
        <v>670</v>
      </c>
      <c r="I741">
        <v>1.0880000000000001</v>
      </c>
    </row>
    <row r="742" spans="1:9" x14ac:dyDescent="0.25">
      <c r="A742" t="s">
        <v>371</v>
      </c>
      <c r="B742" t="s">
        <v>2</v>
      </c>
      <c r="C742" t="s">
        <v>371</v>
      </c>
      <c r="D742">
        <v>27900</v>
      </c>
      <c r="E742" t="s">
        <v>669</v>
      </c>
      <c r="F742" t="s">
        <v>118</v>
      </c>
      <c r="G742" t="s">
        <v>670</v>
      </c>
      <c r="H742" t="s">
        <v>670</v>
      </c>
      <c r="I742">
        <v>0.65453545927325629</v>
      </c>
    </row>
    <row r="743" spans="1:9" x14ac:dyDescent="0.25">
      <c r="A743" t="s">
        <v>371</v>
      </c>
      <c r="B743" t="s">
        <v>2</v>
      </c>
      <c r="C743" t="s">
        <v>371</v>
      </c>
      <c r="D743">
        <v>27900</v>
      </c>
      <c r="E743" t="s">
        <v>672</v>
      </c>
      <c r="F743" t="s">
        <v>3</v>
      </c>
      <c r="G743" t="s">
        <v>670</v>
      </c>
      <c r="H743" t="s">
        <v>670</v>
      </c>
      <c r="I743">
        <v>1.194</v>
      </c>
    </row>
    <row r="744" spans="1:9" x14ac:dyDescent="0.25">
      <c r="A744" t="s">
        <v>371</v>
      </c>
      <c r="B744" t="s">
        <v>2</v>
      </c>
      <c r="C744" t="s">
        <v>371</v>
      </c>
      <c r="D744">
        <v>27900</v>
      </c>
      <c r="E744" t="s">
        <v>672</v>
      </c>
      <c r="F744" t="s">
        <v>113</v>
      </c>
      <c r="G744" t="s">
        <v>670</v>
      </c>
      <c r="H744" t="s">
        <v>670</v>
      </c>
      <c r="I744">
        <v>1.2150000000000001</v>
      </c>
    </row>
    <row r="745" spans="1:9" x14ac:dyDescent="0.25">
      <c r="A745" t="s">
        <v>372</v>
      </c>
      <c r="B745" t="s">
        <v>2</v>
      </c>
      <c r="C745" t="s">
        <v>372</v>
      </c>
      <c r="D745">
        <v>27940</v>
      </c>
      <c r="E745" t="s">
        <v>672</v>
      </c>
      <c r="F745" t="s">
        <v>3</v>
      </c>
      <c r="G745" t="s">
        <v>670</v>
      </c>
      <c r="H745" t="s">
        <v>670</v>
      </c>
      <c r="I745" t="s">
        <v>673</v>
      </c>
    </row>
    <row r="746" spans="1:9" x14ac:dyDescent="0.25">
      <c r="A746" t="s">
        <v>372</v>
      </c>
      <c r="B746" t="s">
        <v>2</v>
      </c>
      <c r="C746" t="s">
        <v>372</v>
      </c>
      <c r="D746">
        <v>27940</v>
      </c>
      <c r="E746" t="s">
        <v>672</v>
      </c>
      <c r="F746" t="s">
        <v>113</v>
      </c>
      <c r="G746" t="s">
        <v>670</v>
      </c>
      <c r="H746" t="s">
        <v>670</v>
      </c>
      <c r="I746" t="s">
        <v>673</v>
      </c>
    </row>
    <row r="747" spans="1:9" x14ac:dyDescent="0.25">
      <c r="A747" t="s">
        <v>373</v>
      </c>
      <c r="B747" t="s">
        <v>2</v>
      </c>
      <c r="C747" t="s">
        <v>373</v>
      </c>
      <c r="D747">
        <v>27980</v>
      </c>
      <c r="E747" t="s">
        <v>672</v>
      </c>
      <c r="F747" t="s">
        <v>3</v>
      </c>
      <c r="G747" t="s">
        <v>670</v>
      </c>
      <c r="H747" t="s">
        <v>670</v>
      </c>
      <c r="I747" t="s">
        <v>673</v>
      </c>
    </row>
    <row r="748" spans="1:9" x14ac:dyDescent="0.25">
      <c r="A748" t="s">
        <v>373</v>
      </c>
      <c r="B748" t="s">
        <v>2</v>
      </c>
      <c r="C748" t="s">
        <v>373</v>
      </c>
      <c r="D748">
        <v>27980</v>
      </c>
      <c r="E748" t="s">
        <v>672</v>
      </c>
      <c r="F748" t="s">
        <v>113</v>
      </c>
      <c r="G748" t="s">
        <v>670</v>
      </c>
      <c r="H748" t="s">
        <v>670</v>
      </c>
      <c r="I748" t="s">
        <v>673</v>
      </c>
    </row>
    <row r="749" spans="1:9" x14ac:dyDescent="0.25">
      <c r="A749" t="s">
        <v>374</v>
      </c>
      <c r="B749" t="s">
        <v>2</v>
      </c>
      <c r="C749" t="s">
        <v>374</v>
      </c>
      <c r="D749">
        <v>228020</v>
      </c>
      <c r="E749" t="s">
        <v>669</v>
      </c>
      <c r="F749" t="s">
        <v>118</v>
      </c>
      <c r="G749" t="s">
        <v>670</v>
      </c>
      <c r="H749" t="s">
        <v>670</v>
      </c>
      <c r="I749">
        <v>1.197150466260875</v>
      </c>
    </row>
    <row r="750" spans="1:9" x14ac:dyDescent="0.25">
      <c r="A750" t="s">
        <v>374</v>
      </c>
      <c r="B750" t="s">
        <v>2</v>
      </c>
      <c r="C750" t="s">
        <v>374</v>
      </c>
      <c r="D750">
        <v>228020</v>
      </c>
      <c r="E750" t="s">
        <v>672</v>
      </c>
      <c r="F750" t="s">
        <v>3</v>
      </c>
      <c r="G750" t="s">
        <v>670</v>
      </c>
      <c r="H750" t="s">
        <v>670</v>
      </c>
      <c r="I750">
        <v>1.373</v>
      </c>
    </row>
    <row r="751" spans="1:9" x14ac:dyDescent="0.25">
      <c r="A751" t="s">
        <v>374</v>
      </c>
      <c r="B751" t="s">
        <v>2</v>
      </c>
      <c r="C751" t="s">
        <v>374</v>
      </c>
      <c r="D751">
        <v>228020</v>
      </c>
      <c r="E751" t="s">
        <v>672</v>
      </c>
      <c r="F751" t="s">
        <v>113</v>
      </c>
      <c r="G751" t="s">
        <v>670</v>
      </c>
      <c r="H751" t="s">
        <v>670</v>
      </c>
      <c r="I751">
        <v>1.3939999999999999</v>
      </c>
    </row>
    <row r="752" spans="1:9" x14ac:dyDescent="0.25">
      <c r="A752" t="s">
        <v>375</v>
      </c>
      <c r="B752" t="s">
        <v>2</v>
      </c>
      <c r="C752" t="s">
        <v>375</v>
      </c>
      <c r="D752">
        <v>28060</v>
      </c>
      <c r="E752" t="s">
        <v>672</v>
      </c>
      <c r="F752" t="s">
        <v>3</v>
      </c>
      <c r="G752" t="s">
        <v>670</v>
      </c>
      <c r="H752" t="s">
        <v>670</v>
      </c>
      <c r="I752">
        <v>1.956</v>
      </c>
    </row>
    <row r="753" spans="1:9" x14ac:dyDescent="0.25">
      <c r="A753" t="s">
        <v>375</v>
      </c>
      <c r="B753" t="s">
        <v>2</v>
      </c>
      <c r="C753" t="s">
        <v>375</v>
      </c>
      <c r="D753">
        <v>28060</v>
      </c>
      <c r="E753" t="s">
        <v>672</v>
      </c>
      <c r="F753" t="s">
        <v>113</v>
      </c>
      <c r="G753" t="s">
        <v>670</v>
      </c>
      <c r="H753" t="s">
        <v>670</v>
      </c>
      <c r="I753">
        <v>1.956</v>
      </c>
    </row>
    <row r="754" spans="1:9" x14ac:dyDescent="0.25">
      <c r="A754" t="s">
        <v>13</v>
      </c>
      <c r="B754" t="s">
        <v>2</v>
      </c>
      <c r="C754" t="s">
        <v>13</v>
      </c>
      <c r="D754">
        <v>28140</v>
      </c>
      <c r="E754" t="s">
        <v>669</v>
      </c>
      <c r="F754" t="s">
        <v>118</v>
      </c>
      <c r="G754" t="s">
        <v>670</v>
      </c>
      <c r="H754" t="s">
        <v>670</v>
      </c>
      <c r="I754">
        <v>1.4815146865094655</v>
      </c>
    </row>
    <row r="755" spans="1:9" x14ac:dyDescent="0.25">
      <c r="A755" t="s">
        <v>13</v>
      </c>
      <c r="B755" t="s">
        <v>2</v>
      </c>
      <c r="C755" t="s">
        <v>13</v>
      </c>
      <c r="D755">
        <v>28140</v>
      </c>
      <c r="E755" t="s">
        <v>671</v>
      </c>
      <c r="F755" t="s">
        <v>116</v>
      </c>
      <c r="G755" t="s">
        <v>670</v>
      </c>
      <c r="H755" t="s">
        <v>670</v>
      </c>
      <c r="I755">
        <v>0.55990474916357824</v>
      </c>
    </row>
    <row r="756" spans="1:9" x14ac:dyDescent="0.25">
      <c r="A756" t="s">
        <v>13</v>
      </c>
      <c r="B756" t="s">
        <v>2</v>
      </c>
      <c r="C756" t="s">
        <v>13</v>
      </c>
      <c r="D756">
        <v>28140</v>
      </c>
      <c r="E756" t="s">
        <v>672</v>
      </c>
      <c r="F756" t="s">
        <v>3</v>
      </c>
      <c r="G756" t="s">
        <v>670</v>
      </c>
      <c r="H756" t="s">
        <v>670</v>
      </c>
      <c r="I756">
        <v>1.494</v>
      </c>
    </row>
    <row r="757" spans="1:9" x14ac:dyDescent="0.25">
      <c r="A757" t="s">
        <v>13</v>
      </c>
      <c r="B757" t="s">
        <v>2</v>
      </c>
      <c r="C757" t="s">
        <v>13</v>
      </c>
      <c r="D757">
        <v>28140</v>
      </c>
      <c r="E757" t="s">
        <v>672</v>
      </c>
      <c r="F757" t="s">
        <v>113</v>
      </c>
      <c r="G757" t="s">
        <v>670</v>
      </c>
      <c r="H757" t="s">
        <v>670</v>
      </c>
      <c r="I757">
        <v>1.506</v>
      </c>
    </row>
    <row r="758" spans="1:9" x14ac:dyDescent="0.25">
      <c r="A758" t="s">
        <v>376</v>
      </c>
      <c r="B758" t="s">
        <v>2</v>
      </c>
      <c r="C758" t="s">
        <v>376</v>
      </c>
      <c r="D758">
        <v>28260</v>
      </c>
      <c r="E758" t="s">
        <v>672</v>
      </c>
      <c r="F758" t="s">
        <v>3</v>
      </c>
      <c r="G758" t="s">
        <v>670</v>
      </c>
      <c r="H758" t="s">
        <v>670</v>
      </c>
      <c r="I758" t="s">
        <v>673</v>
      </c>
    </row>
    <row r="759" spans="1:9" x14ac:dyDescent="0.25">
      <c r="A759" t="s">
        <v>376</v>
      </c>
      <c r="B759" t="s">
        <v>2</v>
      </c>
      <c r="C759" t="s">
        <v>376</v>
      </c>
      <c r="D759">
        <v>28260</v>
      </c>
      <c r="E759" t="s">
        <v>672</v>
      </c>
      <c r="F759" t="s">
        <v>113</v>
      </c>
      <c r="G759" t="s">
        <v>670</v>
      </c>
      <c r="H759" t="s">
        <v>670</v>
      </c>
      <c r="I759" t="s">
        <v>673</v>
      </c>
    </row>
    <row r="760" spans="1:9" x14ac:dyDescent="0.25">
      <c r="A760" t="s">
        <v>377</v>
      </c>
      <c r="B760" t="s">
        <v>2</v>
      </c>
      <c r="C760" t="s">
        <v>377</v>
      </c>
      <c r="D760">
        <v>28300</v>
      </c>
      <c r="E760" t="s">
        <v>672</v>
      </c>
      <c r="F760" t="s">
        <v>3</v>
      </c>
      <c r="G760" t="s">
        <v>670</v>
      </c>
      <c r="H760" t="s">
        <v>670</v>
      </c>
      <c r="I760">
        <v>2.214</v>
      </c>
    </row>
    <row r="761" spans="1:9" x14ac:dyDescent="0.25">
      <c r="A761" t="s">
        <v>377</v>
      </c>
      <c r="B761" t="s">
        <v>2</v>
      </c>
      <c r="C761" t="s">
        <v>377</v>
      </c>
      <c r="D761">
        <v>28300</v>
      </c>
      <c r="E761" t="s">
        <v>672</v>
      </c>
      <c r="F761" t="s">
        <v>113</v>
      </c>
      <c r="G761" t="s">
        <v>670</v>
      </c>
      <c r="H761" t="s">
        <v>670</v>
      </c>
      <c r="I761">
        <v>2.238</v>
      </c>
    </row>
    <row r="762" spans="1:9" x14ac:dyDescent="0.25">
      <c r="A762" t="s">
        <v>378</v>
      </c>
      <c r="B762" t="s">
        <v>2</v>
      </c>
      <c r="C762" t="s">
        <v>378</v>
      </c>
      <c r="D762">
        <v>28420</v>
      </c>
      <c r="E762" t="s">
        <v>669</v>
      </c>
      <c r="F762" t="s">
        <v>118</v>
      </c>
      <c r="G762" t="s">
        <v>670</v>
      </c>
      <c r="H762" t="s">
        <v>670</v>
      </c>
      <c r="I762">
        <v>1.5901706318584916</v>
      </c>
    </row>
    <row r="763" spans="1:9" x14ac:dyDescent="0.25">
      <c r="A763" t="s">
        <v>378</v>
      </c>
      <c r="B763" t="s">
        <v>2</v>
      </c>
      <c r="C763" t="s">
        <v>378</v>
      </c>
      <c r="D763">
        <v>28420</v>
      </c>
      <c r="E763" t="s">
        <v>672</v>
      </c>
      <c r="F763" t="s">
        <v>3</v>
      </c>
      <c r="G763" t="s">
        <v>670</v>
      </c>
      <c r="H763" t="s">
        <v>670</v>
      </c>
      <c r="I763">
        <v>1.601</v>
      </c>
    </row>
    <row r="764" spans="1:9" x14ac:dyDescent="0.25">
      <c r="A764" t="s">
        <v>378</v>
      </c>
      <c r="B764" t="s">
        <v>2</v>
      </c>
      <c r="C764" t="s">
        <v>378</v>
      </c>
      <c r="D764">
        <v>28420</v>
      </c>
      <c r="E764" t="s">
        <v>672</v>
      </c>
      <c r="F764" t="s">
        <v>113</v>
      </c>
      <c r="G764" t="s">
        <v>670</v>
      </c>
      <c r="H764" t="s">
        <v>670</v>
      </c>
      <c r="I764">
        <v>1.659</v>
      </c>
    </row>
    <row r="765" spans="1:9" x14ac:dyDescent="0.25">
      <c r="A765" t="s">
        <v>379</v>
      </c>
      <c r="B765" t="s">
        <v>2</v>
      </c>
      <c r="C765" t="s">
        <v>379</v>
      </c>
      <c r="D765">
        <v>28500</v>
      </c>
      <c r="E765" t="s">
        <v>672</v>
      </c>
      <c r="F765" t="s">
        <v>3</v>
      </c>
      <c r="G765" t="s">
        <v>670</v>
      </c>
      <c r="H765" t="s">
        <v>670</v>
      </c>
      <c r="I765" t="s">
        <v>673</v>
      </c>
    </row>
    <row r="766" spans="1:9" x14ac:dyDescent="0.25">
      <c r="A766" t="s">
        <v>379</v>
      </c>
      <c r="B766" t="s">
        <v>2</v>
      </c>
      <c r="C766" t="s">
        <v>379</v>
      </c>
      <c r="D766">
        <v>28500</v>
      </c>
      <c r="E766" t="s">
        <v>672</v>
      </c>
      <c r="F766" t="s">
        <v>113</v>
      </c>
      <c r="G766" t="s">
        <v>670</v>
      </c>
      <c r="H766" t="s">
        <v>670</v>
      </c>
      <c r="I766" t="s">
        <v>673</v>
      </c>
    </row>
    <row r="767" spans="1:9" x14ac:dyDescent="0.25">
      <c r="A767" t="s">
        <v>380</v>
      </c>
      <c r="B767" t="s">
        <v>2</v>
      </c>
      <c r="C767" t="s">
        <v>380</v>
      </c>
      <c r="D767">
        <v>28580</v>
      </c>
      <c r="E767" t="s">
        <v>669</v>
      </c>
      <c r="F767" t="s">
        <v>118</v>
      </c>
      <c r="G767" t="s">
        <v>670</v>
      </c>
      <c r="H767" t="s">
        <v>670</v>
      </c>
      <c r="I767">
        <v>2.0770100176020971</v>
      </c>
    </row>
    <row r="768" spans="1:9" x14ac:dyDescent="0.25">
      <c r="A768" t="s">
        <v>380</v>
      </c>
      <c r="B768" t="s">
        <v>2</v>
      </c>
      <c r="C768" t="s">
        <v>380</v>
      </c>
      <c r="D768">
        <v>28580</v>
      </c>
      <c r="E768" t="s">
        <v>672</v>
      </c>
      <c r="F768" t="s">
        <v>3</v>
      </c>
      <c r="G768" t="s">
        <v>670</v>
      </c>
      <c r="H768" t="s">
        <v>670</v>
      </c>
      <c r="I768">
        <v>3.6419999999999999</v>
      </c>
    </row>
    <row r="769" spans="1:9" x14ac:dyDescent="0.25">
      <c r="A769" t="s">
        <v>380</v>
      </c>
      <c r="B769" t="s">
        <v>2</v>
      </c>
      <c r="C769" t="s">
        <v>380</v>
      </c>
      <c r="D769">
        <v>28580</v>
      </c>
      <c r="E769" t="s">
        <v>672</v>
      </c>
      <c r="F769" t="s">
        <v>113</v>
      </c>
      <c r="G769" t="s">
        <v>670</v>
      </c>
      <c r="H769" t="s">
        <v>670</v>
      </c>
      <c r="I769">
        <v>3.702</v>
      </c>
    </row>
    <row r="770" spans="1:9" x14ac:dyDescent="0.25">
      <c r="A770" t="s">
        <v>381</v>
      </c>
      <c r="B770" t="s">
        <v>2</v>
      </c>
      <c r="C770" t="s">
        <v>381</v>
      </c>
      <c r="D770">
        <v>28620</v>
      </c>
      <c r="E770" t="s">
        <v>672</v>
      </c>
      <c r="F770" t="s">
        <v>3</v>
      </c>
      <c r="G770" t="s">
        <v>670</v>
      </c>
      <c r="H770" t="s">
        <v>670</v>
      </c>
      <c r="I770" t="s">
        <v>673</v>
      </c>
    </row>
    <row r="771" spans="1:9" x14ac:dyDescent="0.25">
      <c r="A771" t="s">
        <v>381</v>
      </c>
      <c r="B771" t="s">
        <v>2</v>
      </c>
      <c r="C771" t="s">
        <v>381</v>
      </c>
      <c r="D771">
        <v>28620</v>
      </c>
      <c r="E771" t="s">
        <v>672</v>
      </c>
      <c r="F771" t="s">
        <v>113</v>
      </c>
      <c r="G771" t="s">
        <v>670</v>
      </c>
      <c r="H771" t="s">
        <v>670</v>
      </c>
      <c r="I771" t="s">
        <v>673</v>
      </c>
    </row>
    <row r="772" spans="1:9" x14ac:dyDescent="0.25">
      <c r="A772" t="s">
        <v>382</v>
      </c>
      <c r="B772" t="s">
        <v>2</v>
      </c>
      <c r="C772" t="s">
        <v>382</v>
      </c>
      <c r="D772">
        <v>28660</v>
      </c>
      <c r="E772" t="s">
        <v>669</v>
      </c>
      <c r="F772" t="s">
        <v>118</v>
      </c>
      <c r="G772" t="s">
        <v>670</v>
      </c>
      <c r="H772" t="s">
        <v>670</v>
      </c>
      <c r="I772">
        <v>1.4048778922909657</v>
      </c>
    </row>
    <row r="773" spans="1:9" x14ac:dyDescent="0.25">
      <c r="A773" t="s">
        <v>382</v>
      </c>
      <c r="B773" t="s">
        <v>2</v>
      </c>
      <c r="C773" t="s">
        <v>382</v>
      </c>
      <c r="D773">
        <v>28660</v>
      </c>
      <c r="E773" t="s">
        <v>671</v>
      </c>
      <c r="F773" t="s">
        <v>116</v>
      </c>
      <c r="G773" t="s">
        <v>670</v>
      </c>
      <c r="H773" t="s">
        <v>670</v>
      </c>
      <c r="I773">
        <v>0.43262953911502317</v>
      </c>
    </row>
    <row r="774" spans="1:9" x14ac:dyDescent="0.25">
      <c r="A774" t="s">
        <v>382</v>
      </c>
      <c r="B774" t="s">
        <v>2</v>
      </c>
      <c r="C774" t="s">
        <v>382</v>
      </c>
      <c r="D774">
        <v>28660</v>
      </c>
      <c r="E774" t="s">
        <v>672</v>
      </c>
      <c r="F774" t="s">
        <v>3</v>
      </c>
      <c r="G774" t="s">
        <v>670</v>
      </c>
      <c r="H774" t="s">
        <v>670</v>
      </c>
      <c r="I774">
        <v>1.3049999999999999</v>
      </c>
    </row>
    <row r="775" spans="1:9" x14ac:dyDescent="0.25">
      <c r="A775" t="s">
        <v>382</v>
      </c>
      <c r="B775" t="s">
        <v>2</v>
      </c>
      <c r="C775" t="s">
        <v>382</v>
      </c>
      <c r="D775">
        <v>28660</v>
      </c>
      <c r="E775" t="s">
        <v>672</v>
      </c>
      <c r="F775" t="s">
        <v>113</v>
      </c>
      <c r="G775" t="s">
        <v>670</v>
      </c>
      <c r="H775" t="s">
        <v>670</v>
      </c>
      <c r="I775">
        <v>1.34</v>
      </c>
    </row>
    <row r="776" spans="1:9" x14ac:dyDescent="0.25">
      <c r="A776" t="s">
        <v>383</v>
      </c>
      <c r="B776" t="s">
        <v>2</v>
      </c>
      <c r="C776" t="s">
        <v>383</v>
      </c>
      <c r="D776">
        <v>28680</v>
      </c>
      <c r="E776" t="s">
        <v>669</v>
      </c>
      <c r="F776" t="s">
        <v>118</v>
      </c>
      <c r="G776" t="s">
        <v>670</v>
      </c>
      <c r="H776" t="s">
        <v>670</v>
      </c>
      <c r="I776">
        <v>1.0921939956605691</v>
      </c>
    </row>
    <row r="777" spans="1:9" x14ac:dyDescent="0.25">
      <c r="A777" t="s">
        <v>383</v>
      </c>
      <c r="B777" t="s">
        <v>2</v>
      </c>
      <c r="C777" t="s">
        <v>383</v>
      </c>
      <c r="D777">
        <v>28680</v>
      </c>
      <c r="E777" t="s">
        <v>672</v>
      </c>
      <c r="F777" t="s">
        <v>3</v>
      </c>
      <c r="G777" t="s">
        <v>670</v>
      </c>
      <c r="H777" t="s">
        <v>670</v>
      </c>
      <c r="I777">
        <v>1.3049999999999999</v>
      </c>
    </row>
    <row r="778" spans="1:9" x14ac:dyDescent="0.25">
      <c r="A778" t="s">
        <v>383</v>
      </c>
      <c r="B778" t="s">
        <v>2</v>
      </c>
      <c r="C778" t="s">
        <v>383</v>
      </c>
      <c r="D778">
        <v>28680</v>
      </c>
      <c r="E778" t="s">
        <v>672</v>
      </c>
      <c r="F778" t="s">
        <v>113</v>
      </c>
      <c r="G778" t="s">
        <v>670</v>
      </c>
      <c r="H778" t="s">
        <v>670</v>
      </c>
      <c r="I778">
        <v>1.339</v>
      </c>
    </row>
    <row r="779" spans="1:9" x14ac:dyDescent="0.25">
      <c r="A779" t="s">
        <v>384</v>
      </c>
      <c r="B779" t="s">
        <v>2</v>
      </c>
      <c r="C779" t="s">
        <v>384</v>
      </c>
      <c r="D779">
        <v>28740</v>
      </c>
      <c r="E779" t="s">
        <v>672</v>
      </c>
      <c r="F779" t="s">
        <v>3</v>
      </c>
      <c r="G779" t="s">
        <v>670</v>
      </c>
      <c r="H779" t="s">
        <v>670</v>
      </c>
      <c r="I779">
        <v>2.2519999999999998</v>
      </c>
    </row>
    <row r="780" spans="1:9" x14ac:dyDescent="0.25">
      <c r="A780" t="s">
        <v>384</v>
      </c>
      <c r="B780" t="s">
        <v>2</v>
      </c>
      <c r="C780" t="s">
        <v>384</v>
      </c>
      <c r="D780">
        <v>28740</v>
      </c>
      <c r="E780" t="s">
        <v>672</v>
      </c>
      <c r="F780" t="s">
        <v>113</v>
      </c>
      <c r="G780" t="s">
        <v>670</v>
      </c>
      <c r="H780" t="s">
        <v>670</v>
      </c>
      <c r="I780">
        <v>2.2530000000000001</v>
      </c>
    </row>
    <row r="781" spans="1:9" x14ac:dyDescent="0.25">
      <c r="A781" t="s">
        <v>385</v>
      </c>
      <c r="B781" t="s">
        <v>2</v>
      </c>
      <c r="C781" t="s">
        <v>385</v>
      </c>
      <c r="D781">
        <v>28780</v>
      </c>
      <c r="E781" t="s">
        <v>672</v>
      </c>
      <c r="F781" t="s">
        <v>3</v>
      </c>
      <c r="G781" t="s">
        <v>670</v>
      </c>
      <c r="H781" t="s">
        <v>670</v>
      </c>
      <c r="I781">
        <v>1.133</v>
      </c>
    </row>
    <row r="782" spans="1:9" x14ac:dyDescent="0.25">
      <c r="A782" t="s">
        <v>385</v>
      </c>
      <c r="B782" t="s">
        <v>2</v>
      </c>
      <c r="C782" t="s">
        <v>385</v>
      </c>
      <c r="D782">
        <v>28780</v>
      </c>
      <c r="E782" t="s">
        <v>672</v>
      </c>
      <c r="F782" t="s">
        <v>113</v>
      </c>
      <c r="G782" t="s">
        <v>670</v>
      </c>
      <c r="H782" t="s">
        <v>670</v>
      </c>
      <c r="I782">
        <v>1.1579999999999999</v>
      </c>
    </row>
    <row r="783" spans="1:9" x14ac:dyDescent="0.25">
      <c r="A783" t="s">
        <v>386</v>
      </c>
      <c r="B783" t="s">
        <v>2</v>
      </c>
      <c r="C783" t="s">
        <v>386</v>
      </c>
      <c r="D783">
        <v>28940</v>
      </c>
      <c r="E783" t="s">
        <v>669</v>
      </c>
      <c r="F783" t="s">
        <v>118</v>
      </c>
      <c r="G783" t="s">
        <v>670</v>
      </c>
      <c r="H783" t="s">
        <v>670</v>
      </c>
      <c r="I783">
        <v>1.5636047834883016</v>
      </c>
    </row>
    <row r="784" spans="1:9" x14ac:dyDescent="0.25">
      <c r="A784" t="s">
        <v>386</v>
      </c>
      <c r="B784" t="s">
        <v>2</v>
      </c>
      <c r="C784" t="s">
        <v>386</v>
      </c>
      <c r="D784">
        <v>28940</v>
      </c>
      <c r="E784" t="s">
        <v>671</v>
      </c>
      <c r="F784" t="s">
        <v>116</v>
      </c>
      <c r="G784" t="s">
        <v>670</v>
      </c>
      <c r="H784" t="s">
        <v>670</v>
      </c>
      <c r="I784">
        <v>0.61350014841981093</v>
      </c>
    </row>
    <row r="785" spans="1:9" x14ac:dyDescent="0.25">
      <c r="A785" t="s">
        <v>386</v>
      </c>
      <c r="B785" t="s">
        <v>2</v>
      </c>
      <c r="C785" t="s">
        <v>386</v>
      </c>
      <c r="D785">
        <v>28940</v>
      </c>
      <c r="E785" t="s">
        <v>672</v>
      </c>
      <c r="F785" t="s">
        <v>3</v>
      </c>
      <c r="G785" t="s">
        <v>670</v>
      </c>
      <c r="H785" t="s">
        <v>670</v>
      </c>
      <c r="I785">
        <v>1.5189999999999999</v>
      </c>
    </row>
    <row r="786" spans="1:9" x14ac:dyDescent="0.25">
      <c r="A786" t="s">
        <v>386</v>
      </c>
      <c r="B786" t="s">
        <v>2</v>
      </c>
      <c r="C786" t="s">
        <v>386</v>
      </c>
      <c r="D786">
        <v>28940</v>
      </c>
      <c r="E786" t="s">
        <v>672</v>
      </c>
      <c r="F786" t="s">
        <v>113</v>
      </c>
      <c r="G786" t="s">
        <v>670</v>
      </c>
      <c r="H786" t="s">
        <v>670</v>
      </c>
      <c r="I786">
        <v>1.5389999999999999</v>
      </c>
    </row>
    <row r="787" spans="1:9" x14ac:dyDescent="0.25">
      <c r="A787" t="s">
        <v>387</v>
      </c>
      <c r="B787" t="s">
        <v>2</v>
      </c>
      <c r="C787" t="s">
        <v>387</v>
      </c>
      <c r="D787">
        <v>29020</v>
      </c>
      <c r="E787" t="s">
        <v>669</v>
      </c>
      <c r="F787" t="s">
        <v>118</v>
      </c>
      <c r="G787" t="s">
        <v>670</v>
      </c>
      <c r="H787" t="s">
        <v>670</v>
      </c>
      <c r="I787">
        <v>1.2003049774319678</v>
      </c>
    </row>
    <row r="788" spans="1:9" x14ac:dyDescent="0.25">
      <c r="A788" t="s">
        <v>387</v>
      </c>
      <c r="B788" t="s">
        <v>2</v>
      </c>
      <c r="C788" t="s">
        <v>387</v>
      </c>
      <c r="D788">
        <v>29020</v>
      </c>
      <c r="E788" t="s">
        <v>671</v>
      </c>
      <c r="F788" t="s">
        <v>116</v>
      </c>
      <c r="G788" t="s">
        <v>670</v>
      </c>
      <c r="H788" t="s">
        <v>670</v>
      </c>
      <c r="I788">
        <v>0.54706088926463414</v>
      </c>
    </row>
    <row r="789" spans="1:9" x14ac:dyDescent="0.25">
      <c r="A789" t="s">
        <v>387</v>
      </c>
      <c r="B789" t="s">
        <v>2</v>
      </c>
      <c r="C789" t="s">
        <v>387</v>
      </c>
      <c r="D789">
        <v>29020</v>
      </c>
      <c r="E789" t="s">
        <v>672</v>
      </c>
      <c r="F789" t="s">
        <v>3</v>
      </c>
      <c r="G789" t="s">
        <v>670</v>
      </c>
      <c r="H789" t="s">
        <v>670</v>
      </c>
      <c r="I789">
        <v>1.2070000000000001</v>
      </c>
    </row>
    <row r="790" spans="1:9" x14ac:dyDescent="0.25">
      <c r="A790" t="s">
        <v>387</v>
      </c>
      <c r="B790" t="s">
        <v>2</v>
      </c>
      <c r="C790" t="s">
        <v>387</v>
      </c>
      <c r="D790">
        <v>29020</v>
      </c>
      <c r="E790" t="s">
        <v>672</v>
      </c>
      <c r="F790" t="s">
        <v>113</v>
      </c>
      <c r="G790" t="s">
        <v>670</v>
      </c>
      <c r="H790" t="s">
        <v>670</v>
      </c>
      <c r="I790">
        <v>1.212</v>
      </c>
    </row>
    <row r="791" spans="1:9" x14ac:dyDescent="0.25">
      <c r="A791" t="s">
        <v>388</v>
      </c>
      <c r="B791" t="s">
        <v>2</v>
      </c>
      <c r="C791" t="s">
        <v>388</v>
      </c>
      <c r="D791">
        <v>29100</v>
      </c>
      <c r="E791" t="s">
        <v>672</v>
      </c>
      <c r="F791" t="s">
        <v>3</v>
      </c>
      <c r="G791" t="s">
        <v>670</v>
      </c>
      <c r="H791" t="s">
        <v>670</v>
      </c>
      <c r="I791">
        <v>1.5740000000000001</v>
      </c>
    </row>
    <row r="792" spans="1:9" x14ac:dyDescent="0.25">
      <c r="A792" t="s">
        <v>388</v>
      </c>
      <c r="B792" t="s">
        <v>2</v>
      </c>
      <c r="C792" t="s">
        <v>388</v>
      </c>
      <c r="D792">
        <v>29100</v>
      </c>
      <c r="E792" t="s">
        <v>672</v>
      </c>
      <c r="F792" t="s">
        <v>113</v>
      </c>
      <c r="G792" t="s">
        <v>670</v>
      </c>
      <c r="H792" t="s">
        <v>670</v>
      </c>
      <c r="I792">
        <v>1.5740000000000001</v>
      </c>
    </row>
    <row r="793" spans="1:9" x14ac:dyDescent="0.25">
      <c r="A793" t="s">
        <v>389</v>
      </c>
      <c r="B793" t="s">
        <v>2</v>
      </c>
      <c r="C793" t="s">
        <v>389</v>
      </c>
      <c r="D793">
        <v>229180</v>
      </c>
      <c r="E793" t="s">
        <v>669</v>
      </c>
      <c r="F793" t="s">
        <v>118</v>
      </c>
      <c r="G793" t="s">
        <v>670</v>
      </c>
      <c r="H793" t="s">
        <v>670</v>
      </c>
      <c r="I793">
        <v>1.1417234139563817</v>
      </c>
    </row>
    <row r="794" spans="1:9" x14ac:dyDescent="0.25">
      <c r="A794" t="s">
        <v>389</v>
      </c>
      <c r="B794" t="s">
        <v>2</v>
      </c>
      <c r="C794" t="s">
        <v>389</v>
      </c>
      <c r="D794">
        <v>229180</v>
      </c>
      <c r="E794" t="s">
        <v>671</v>
      </c>
      <c r="F794" t="s">
        <v>116</v>
      </c>
      <c r="G794" t="s">
        <v>670</v>
      </c>
      <c r="H794" t="s">
        <v>670</v>
      </c>
      <c r="I794">
        <v>0.52015469046595419</v>
      </c>
    </row>
    <row r="795" spans="1:9" x14ac:dyDescent="0.25">
      <c r="A795" t="s">
        <v>389</v>
      </c>
      <c r="B795" t="s">
        <v>2</v>
      </c>
      <c r="C795" t="s">
        <v>389</v>
      </c>
      <c r="D795">
        <v>229180</v>
      </c>
      <c r="E795" t="s">
        <v>672</v>
      </c>
      <c r="F795" t="s">
        <v>3</v>
      </c>
      <c r="G795" t="s">
        <v>670</v>
      </c>
      <c r="H795" t="s">
        <v>670</v>
      </c>
      <c r="I795">
        <v>1.2130000000000001</v>
      </c>
    </row>
    <row r="796" spans="1:9" x14ac:dyDescent="0.25">
      <c r="A796" t="s">
        <v>389</v>
      </c>
      <c r="B796" t="s">
        <v>2</v>
      </c>
      <c r="C796" t="s">
        <v>389</v>
      </c>
      <c r="D796">
        <v>229180</v>
      </c>
      <c r="E796" t="s">
        <v>672</v>
      </c>
      <c r="F796" t="s">
        <v>113</v>
      </c>
      <c r="G796" t="s">
        <v>670</v>
      </c>
      <c r="H796" t="s">
        <v>670</v>
      </c>
      <c r="I796">
        <v>1.2230000000000001</v>
      </c>
    </row>
    <row r="797" spans="1:9" x14ac:dyDescent="0.25">
      <c r="A797" t="s">
        <v>390</v>
      </c>
      <c r="B797" t="s">
        <v>2</v>
      </c>
      <c r="C797" t="s">
        <v>390</v>
      </c>
      <c r="D797">
        <v>29200</v>
      </c>
      <c r="E797" t="s">
        <v>669</v>
      </c>
      <c r="F797" t="s">
        <v>118</v>
      </c>
      <c r="G797" t="s">
        <v>670</v>
      </c>
      <c r="H797" t="s">
        <v>670</v>
      </c>
      <c r="I797">
        <v>1.2257064052958868</v>
      </c>
    </row>
    <row r="798" spans="1:9" x14ac:dyDescent="0.25">
      <c r="A798" t="s">
        <v>390</v>
      </c>
      <c r="B798" t="s">
        <v>2</v>
      </c>
      <c r="C798" t="s">
        <v>390</v>
      </c>
      <c r="D798">
        <v>29200</v>
      </c>
      <c r="E798" t="s">
        <v>672</v>
      </c>
      <c r="F798" t="s">
        <v>3</v>
      </c>
      <c r="G798" t="s">
        <v>670</v>
      </c>
      <c r="H798" t="s">
        <v>670</v>
      </c>
      <c r="I798">
        <v>1.431</v>
      </c>
    </row>
    <row r="799" spans="1:9" x14ac:dyDescent="0.25">
      <c r="A799" t="s">
        <v>390</v>
      </c>
      <c r="B799" t="s">
        <v>2</v>
      </c>
      <c r="C799" t="s">
        <v>390</v>
      </c>
      <c r="D799">
        <v>29200</v>
      </c>
      <c r="E799" t="s">
        <v>672</v>
      </c>
      <c r="F799" t="s">
        <v>113</v>
      </c>
      <c r="G799" t="s">
        <v>670</v>
      </c>
      <c r="H799" t="s">
        <v>670</v>
      </c>
      <c r="I799">
        <v>1.4390000000000001</v>
      </c>
    </row>
    <row r="800" spans="1:9" x14ac:dyDescent="0.25">
      <c r="A800" t="s">
        <v>391</v>
      </c>
      <c r="B800" t="s">
        <v>2</v>
      </c>
      <c r="C800" t="s">
        <v>391</v>
      </c>
      <c r="D800">
        <v>29300</v>
      </c>
      <c r="E800" t="s">
        <v>669</v>
      </c>
      <c r="F800" t="s">
        <v>118</v>
      </c>
      <c r="G800" t="s">
        <v>670</v>
      </c>
      <c r="H800" t="s">
        <v>670</v>
      </c>
      <c r="I800">
        <v>1.1766495013787577</v>
      </c>
    </row>
    <row r="801" spans="1:9" x14ac:dyDescent="0.25">
      <c r="A801" t="s">
        <v>391</v>
      </c>
      <c r="B801" t="s">
        <v>2</v>
      </c>
      <c r="C801" t="s">
        <v>391</v>
      </c>
      <c r="D801">
        <v>29300</v>
      </c>
      <c r="E801" t="s">
        <v>672</v>
      </c>
      <c r="F801" t="s">
        <v>3</v>
      </c>
      <c r="G801" t="s">
        <v>670</v>
      </c>
      <c r="H801" t="s">
        <v>670</v>
      </c>
      <c r="I801">
        <v>1.2150000000000001</v>
      </c>
    </row>
    <row r="802" spans="1:9" x14ac:dyDescent="0.25">
      <c r="A802" t="s">
        <v>391</v>
      </c>
      <c r="B802" t="s">
        <v>2</v>
      </c>
      <c r="C802" t="s">
        <v>391</v>
      </c>
      <c r="D802">
        <v>29300</v>
      </c>
      <c r="E802" t="s">
        <v>672</v>
      </c>
      <c r="F802" t="s">
        <v>113</v>
      </c>
      <c r="G802" t="s">
        <v>670</v>
      </c>
      <c r="H802" t="s">
        <v>670</v>
      </c>
      <c r="I802">
        <v>1.236</v>
      </c>
    </row>
    <row r="803" spans="1:9" x14ac:dyDescent="0.25">
      <c r="A803" t="s">
        <v>392</v>
      </c>
      <c r="B803" t="s">
        <v>2</v>
      </c>
      <c r="C803" t="s">
        <v>392</v>
      </c>
      <c r="D803">
        <v>29340</v>
      </c>
      <c r="E803" t="s">
        <v>669</v>
      </c>
      <c r="F803" t="s">
        <v>118</v>
      </c>
      <c r="G803" t="s">
        <v>670</v>
      </c>
      <c r="H803" t="s">
        <v>670</v>
      </c>
      <c r="I803">
        <v>1.2519397788810547</v>
      </c>
    </row>
    <row r="804" spans="1:9" x14ac:dyDescent="0.25">
      <c r="A804" t="s">
        <v>392</v>
      </c>
      <c r="B804" t="s">
        <v>2</v>
      </c>
      <c r="C804" t="s">
        <v>392</v>
      </c>
      <c r="D804">
        <v>29340</v>
      </c>
      <c r="E804" t="s">
        <v>671</v>
      </c>
      <c r="F804" t="s">
        <v>116</v>
      </c>
      <c r="G804" t="s">
        <v>670</v>
      </c>
      <c r="H804" t="s">
        <v>670</v>
      </c>
      <c r="I804">
        <v>0.54295509810819442</v>
      </c>
    </row>
    <row r="805" spans="1:9" x14ac:dyDescent="0.25">
      <c r="A805" t="s">
        <v>392</v>
      </c>
      <c r="B805" t="s">
        <v>2</v>
      </c>
      <c r="C805" t="s">
        <v>392</v>
      </c>
      <c r="D805">
        <v>29340</v>
      </c>
      <c r="E805" t="s">
        <v>672</v>
      </c>
      <c r="F805" t="s">
        <v>3</v>
      </c>
      <c r="G805" t="s">
        <v>670</v>
      </c>
      <c r="H805" t="s">
        <v>670</v>
      </c>
      <c r="I805">
        <v>1.3169999999999999</v>
      </c>
    </row>
    <row r="806" spans="1:9" x14ac:dyDescent="0.25">
      <c r="A806" t="s">
        <v>392</v>
      </c>
      <c r="B806" t="s">
        <v>2</v>
      </c>
      <c r="C806" t="s">
        <v>392</v>
      </c>
      <c r="D806">
        <v>29340</v>
      </c>
      <c r="E806" t="s">
        <v>672</v>
      </c>
      <c r="F806" t="s">
        <v>113</v>
      </c>
      <c r="G806" t="s">
        <v>670</v>
      </c>
      <c r="H806" t="s">
        <v>670</v>
      </c>
      <c r="I806">
        <v>1.325</v>
      </c>
    </row>
    <row r="807" spans="1:9" x14ac:dyDescent="0.25">
      <c r="A807" t="s">
        <v>393</v>
      </c>
      <c r="B807" t="s">
        <v>2</v>
      </c>
      <c r="C807" t="s">
        <v>393</v>
      </c>
      <c r="D807">
        <v>29380</v>
      </c>
      <c r="E807" t="s">
        <v>672</v>
      </c>
      <c r="F807" t="s">
        <v>3</v>
      </c>
      <c r="G807" t="s">
        <v>670</v>
      </c>
      <c r="H807" t="s">
        <v>670</v>
      </c>
      <c r="I807" t="s">
        <v>673</v>
      </c>
    </row>
    <row r="808" spans="1:9" x14ac:dyDescent="0.25">
      <c r="A808" t="s">
        <v>393</v>
      </c>
      <c r="B808" t="s">
        <v>2</v>
      </c>
      <c r="C808" t="s">
        <v>393</v>
      </c>
      <c r="D808">
        <v>29380</v>
      </c>
      <c r="E808" t="s">
        <v>672</v>
      </c>
      <c r="F808" t="s">
        <v>113</v>
      </c>
      <c r="G808" t="s">
        <v>670</v>
      </c>
      <c r="H808" t="s">
        <v>670</v>
      </c>
      <c r="I808" t="s">
        <v>673</v>
      </c>
    </row>
    <row r="809" spans="1:9" x14ac:dyDescent="0.25">
      <c r="A809" t="s">
        <v>394</v>
      </c>
      <c r="B809" t="s">
        <v>2</v>
      </c>
      <c r="C809" t="s">
        <v>394</v>
      </c>
      <c r="D809">
        <v>29420</v>
      </c>
      <c r="E809" t="s">
        <v>672</v>
      </c>
      <c r="F809" t="s">
        <v>3</v>
      </c>
      <c r="G809" t="s">
        <v>670</v>
      </c>
      <c r="H809" t="s">
        <v>670</v>
      </c>
      <c r="I809">
        <v>1.409</v>
      </c>
    </row>
    <row r="810" spans="1:9" x14ac:dyDescent="0.25">
      <c r="A810" t="s">
        <v>394</v>
      </c>
      <c r="B810" t="s">
        <v>2</v>
      </c>
      <c r="C810" t="s">
        <v>394</v>
      </c>
      <c r="D810">
        <v>29420</v>
      </c>
      <c r="E810" t="s">
        <v>672</v>
      </c>
      <c r="F810" t="s">
        <v>113</v>
      </c>
      <c r="G810" t="s">
        <v>670</v>
      </c>
      <c r="H810" t="s">
        <v>670</v>
      </c>
      <c r="I810">
        <v>1.4179999999999999</v>
      </c>
    </row>
    <row r="811" spans="1:9" x14ac:dyDescent="0.25">
      <c r="A811" t="s">
        <v>395</v>
      </c>
      <c r="B811" t="s">
        <v>2</v>
      </c>
      <c r="C811" t="s">
        <v>395</v>
      </c>
      <c r="D811">
        <v>29460</v>
      </c>
      <c r="E811" t="s">
        <v>669</v>
      </c>
      <c r="F811" t="s">
        <v>118</v>
      </c>
      <c r="G811" t="s">
        <v>670</v>
      </c>
      <c r="H811" t="s">
        <v>670</v>
      </c>
      <c r="I811">
        <v>1.5000080256367327</v>
      </c>
    </row>
    <row r="812" spans="1:9" x14ac:dyDescent="0.25">
      <c r="A812" t="s">
        <v>395</v>
      </c>
      <c r="B812" t="s">
        <v>2</v>
      </c>
      <c r="C812" t="s">
        <v>395</v>
      </c>
      <c r="D812">
        <v>29460</v>
      </c>
      <c r="E812" t="s">
        <v>671</v>
      </c>
      <c r="F812" t="s">
        <v>116</v>
      </c>
      <c r="G812" t="s">
        <v>670</v>
      </c>
      <c r="H812" t="s">
        <v>670</v>
      </c>
      <c r="I812">
        <v>0.56763273171436512</v>
      </c>
    </row>
    <row r="813" spans="1:9" x14ac:dyDescent="0.25">
      <c r="A813" t="s">
        <v>395</v>
      </c>
      <c r="B813" t="s">
        <v>2</v>
      </c>
      <c r="C813" t="s">
        <v>395</v>
      </c>
      <c r="D813">
        <v>29460</v>
      </c>
      <c r="E813" t="s">
        <v>672</v>
      </c>
      <c r="F813" t="s">
        <v>3</v>
      </c>
      <c r="G813" t="s">
        <v>670</v>
      </c>
      <c r="H813" t="s">
        <v>670</v>
      </c>
      <c r="I813">
        <v>1.4850000000000001</v>
      </c>
    </row>
    <row r="814" spans="1:9" x14ac:dyDescent="0.25">
      <c r="A814" t="s">
        <v>395</v>
      </c>
      <c r="B814" t="s">
        <v>2</v>
      </c>
      <c r="C814" t="s">
        <v>395</v>
      </c>
      <c r="D814">
        <v>29460</v>
      </c>
      <c r="E814" t="s">
        <v>672</v>
      </c>
      <c r="F814" t="s">
        <v>113</v>
      </c>
      <c r="G814" t="s">
        <v>670</v>
      </c>
      <c r="H814" t="s">
        <v>670</v>
      </c>
      <c r="I814">
        <v>1.534</v>
      </c>
    </row>
    <row r="815" spans="1:9" x14ac:dyDescent="0.25">
      <c r="A815" t="s">
        <v>396</v>
      </c>
      <c r="B815" t="s">
        <v>2</v>
      </c>
      <c r="C815" t="s">
        <v>396</v>
      </c>
      <c r="D815">
        <v>29470</v>
      </c>
      <c r="E815" t="s">
        <v>672</v>
      </c>
      <c r="F815" t="s">
        <v>3</v>
      </c>
      <c r="G815" t="s">
        <v>670</v>
      </c>
      <c r="H815" t="s">
        <v>670</v>
      </c>
      <c r="I815" t="s">
        <v>673</v>
      </c>
    </row>
    <row r="816" spans="1:9" x14ac:dyDescent="0.25">
      <c r="A816" t="s">
        <v>396</v>
      </c>
      <c r="B816" t="s">
        <v>2</v>
      </c>
      <c r="C816" t="s">
        <v>396</v>
      </c>
      <c r="D816">
        <v>29470</v>
      </c>
      <c r="E816" t="s">
        <v>672</v>
      </c>
      <c r="F816" t="s">
        <v>113</v>
      </c>
      <c r="G816" t="s">
        <v>670</v>
      </c>
      <c r="H816" t="s">
        <v>670</v>
      </c>
      <c r="I816" t="s">
        <v>673</v>
      </c>
    </row>
    <row r="817" spans="1:9" x14ac:dyDescent="0.25">
      <c r="A817" t="s">
        <v>397</v>
      </c>
      <c r="B817" t="s">
        <v>2</v>
      </c>
      <c r="C817" t="s">
        <v>397</v>
      </c>
      <c r="D817">
        <v>29540</v>
      </c>
      <c r="E817" t="s">
        <v>672</v>
      </c>
      <c r="F817" t="s">
        <v>3</v>
      </c>
      <c r="G817" t="s">
        <v>670</v>
      </c>
      <c r="H817" t="s">
        <v>670</v>
      </c>
      <c r="I817">
        <v>1.6579999999999999</v>
      </c>
    </row>
    <row r="818" spans="1:9" x14ac:dyDescent="0.25">
      <c r="A818" t="s">
        <v>397</v>
      </c>
      <c r="B818" t="s">
        <v>2</v>
      </c>
      <c r="C818" t="s">
        <v>397</v>
      </c>
      <c r="D818">
        <v>29540</v>
      </c>
      <c r="E818" t="s">
        <v>672</v>
      </c>
      <c r="F818" t="s">
        <v>113</v>
      </c>
      <c r="G818" t="s">
        <v>670</v>
      </c>
      <c r="H818" t="s">
        <v>670</v>
      </c>
      <c r="I818">
        <v>1.667</v>
      </c>
    </row>
    <row r="819" spans="1:9" x14ac:dyDescent="0.25">
      <c r="A819" t="s">
        <v>398</v>
      </c>
      <c r="B819" t="s">
        <v>2</v>
      </c>
      <c r="C819" t="s">
        <v>398</v>
      </c>
      <c r="D819">
        <v>29620</v>
      </c>
      <c r="E819" t="s">
        <v>669</v>
      </c>
      <c r="F819" t="s">
        <v>118</v>
      </c>
      <c r="G819" t="s">
        <v>670</v>
      </c>
      <c r="H819" t="s">
        <v>670</v>
      </c>
      <c r="I819">
        <v>1.3594004783510629</v>
      </c>
    </row>
    <row r="820" spans="1:9" x14ac:dyDescent="0.25">
      <c r="A820" t="s">
        <v>398</v>
      </c>
      <c r="B820" t="s">
        <v>2</v>
      </c>
      <c r="C820" t="s">
        <v>398</v>
      </c>
      <c r="D820">
        <v>29620</v>
      </c>
      <c r="E820" t="s">
        <v>671</v>
      </c>
      <c r="F820" t="s">
        <v>116</v>
      </c>
      <c r="G820" t="s">
        <v>670</v>
      </c>
      <c r="H820" t="s">
        <v>670</v>
      </c>
      <c r="I820">
        <v>0.47944897694626054</v>
      </c>
    </row>
    <row r="821" spans="1:9" x14ac:dyDescent="0.25">
      <c r="A821" t="s">
        <v>398</v>
      </c>
      <c r="B821" t="s">
        <v>2</v>
      </c>
      <c r="C821" t="s">
        <v>398</v>
      </c>
      <c r="D821">
        <v>29620</v>
      </c>
      <c r="E821" t="s">
        <v>672</v>
      </c>
      <c r="F821" t="s">
        <v>3</v>
      </c>
      <c r="G821" t="s">
        <v>670</v>
      </c>
      <c r="H821" t="s">
        <v>670</v>
      </c>
      <c r="I821">
        <v>1.452</v>
      </c>
    </row>
    <row r="822" spans="1:9" x14ac:dyDescent="0.25">
      <c r="A822" t="s">
        <v>398</v>
      </c>
      <c r="B822" t="s">
        <v>2</v>
      </c>
      <c r="C822" t="s">
        <v>398</v>
      </c>
      <c r="D822">
        <v>29620</v>
      </c>
      <c r="E822" t="s">
        <v>672</v>
      </c>
      <c r="F822" t="s">
        <v>113</v>
      </c>
      <c r="G822" t="s">
        <v>670</v>
      </c>
      <c r="H822" t="s">
        <v>670</v>
      </c>
      <c r="I822">
        <v>1.4630000000000001</v>
      </c>
    </row>
    <row r="823" spans="1:9" x14ac:dyDescent="0.25">
      <c r="A823" t="s">
        <v>399</v>
      </c>
      <c r="B823" t="s">
        <v>2</v>
      </c>
      <c r="C823" t="s">
        <v>399</v>
      </c>
      <c r="D823">
        <v>29700</v>
      </c>
      <c r="E823" t="s">
        <v>669</v>
      </c>
      <c r="F823" t="s">
        <v>118</v>
      </c>
      <c r="G823" t="s">
        <v>670</v>
      </c>
      <c r="H823" t="s">
        <v>670</v>
      </c>
      <c r="I823">
        <v>1.1354841500758273</v>
      </c>
    </row>
    <row r="824" spans="1:9" x14ac:dyDescent="0.25">
      <c r="A824" t="s">
        <v>399</v>
      </c>
      <c r="B824" t="s">
        <v>2</v>
      </c>
      <c r="C824" t="s">
        <v>399</v>
      </c>
      <c r="D824">
        <v>29700</v>
      </c>
      <c r="E824" t="s">
        <v>672</v>
      </c>
      <c r="F824" t="s">
        <v>3</v>
      </c>
      <c r="G824" t="s">
        <v>670</v>
      </c>
      <c r="H824" t="s">
        <v>670</v>
      </c>
      <c r="I824">
        <v>1.3759999999999999</v>
      </c>
    </row>
    <row r="825" spans="1:9" x14ac:dyDescent="0.25">
      <c r="A825" t="s">
        <v>399</v>
      </c>
      <c r="B825" t="s">
        <v>2</v>
      </c>
      <c r="C825" t="s">
        <v>399</v>
      </c>
      <c r="D825">
        <v>29700</v>
      </c>
      <c r="E825" t="s">
        <v>672</v>
      </c>
      <c r="F825" t="s">
        <v>113</v>
      </c>
      <c r="G825" t="s">
        <v>670</v>
      </c>
      <c r="H825" t="s">
        <v>670</v>
      </c>
      <c r="I825">
        <v>1.4079999999999999</v>
      </c>
    </row>
    <row r="826" spans="1:9" x14ac:dyDescent="0.25">
      <c r="A826" t="s">
        <v>400</v>
      </c>
      <c r="B826" t="s">
        <v>2</v>
      </c>
      <c r="C826" t="s">
        <v>400</v>
      </c>
      <c r="D826">
        <v>29740</v>
      </c>
      <c r="E826" t="s">
        <v>669</v>
      </c>
      <c r="F826" t="s">
        <v>118</v>
      </c>
      <c r="G826" t="s">
        <v>670</v>
      </c>
      <c r="H826" t="s">
        <v>670</v>
      </c>
      <c r="I826">
        <v>1.247841876903353</v>
      </c>
    </row>
    <row r="827" spans="1:9" x14ac:dyDescent="0.25">
      <c r="A827" t="s">
        <v>400</v>
      </c>
      <c r="B827" t="s">
        <v>2</v>
      </c>
      <c r="C827" t="s">
        <v>400</v>
      </c>
      <c r="D827">
        <v>29740</v>
      </c>
      <c r="E827" t="s">
        <v>672</v>
      </c>
      <c r="F827" t="s">
        <v>3</v>
      </c>
      <c r="G827" t="s">
        <v>670</v>
      </c>
      <c r="H827" t="s">
        <v>670</v>
      </c>
      <c r="I827">
        <v>1.407</v>
      </c>
    </row>
    <row r="828" spans="1:9" x14ac:dyDescent="0.25">
      <c r="A828" t="s">
        <v>400</v>
      </c>
      <c r="B828" t="s">
        <v>2</v>
      </c>
      <c r="C828" t="s">
        <v>400</v>
      </c>
      <c r="D828">
        <v>29740</v>
      </c>
      <c r="E828" t="s">
        <v>672</v>
      </c>
      <c r="F828" t="s">
        <v>113</v>
      </c>
      <c r="G828" t="s">
        <v>670</v>
      </c>
      <c r="H828" t="s">
        <v>670</v>
      </c>
      <c r="I828">
        <v>1.425</v>
      </c>
    </row>
    <row r="829" spans="1:9" x14ac:dyDescent="0.25">
      <c r="A829" t="s">
        <v>28</v>
      </c>
      <c r="B829" t="s">
        <v>2</v>
      </c>
      <c r="C829" t="s">
        <v>28</v>
      </c>
      <c r="D829">
        <v>29820</v>
      </c>
      <c r="E829" t="s">
        <v>669</v>
      </c>
      <c r="F829" t="s">
        <v>118</v>
      </c>
      <c r="G829" t="s">
        <v>670</v>
      </c>
      <c r="H829" t="s">
        <v>670</v>
      </c>
      <c r="I829">
        <v>1.5912926196957879</v>
      </c>
    </row>
    <row r="830" spans="1:9" x14ac:dyDescent="0.25">
      <c r="A830" t="s">
        <v>28</v>
      </c>
      <c r="B830" t="s">
        <v>2</v>
      </c>
      <c r="C830" t="s">
        <v>28</v>
      </c>
      <c r="D830">
        <v>29820</v>
      </c>
      <c r="E830" t="s">
        <v>671</v>
      </c>
      <c r="F830" t="s">
        <v>116</v>
      </c>
      <c r="G830" t="s">
        <v>670</v>
      </c>
      <c r="H830" t="s">
        <v>670</v>
      </c>
      <c r="I830">
        <v>0.63694287019193718</v>
      </c>
    </row>
    <row r="831" spans="1:9" x14ac:dyDescent="0.25">
      <c r="A831" t="s">
        <v>28</v>
      </c>
      <c r="B831" t="s">
        <v>2</v>
      </c>
      <c r="C831" t="s">
        <v>28</v>
      </c>
      <c r="D831">
        <v>29820</v>
      </c>
      <c r="E831" t="s">
        <v>672</v>
      </c>
      <c r="F831" t="s">
        <v>3</v>
      </c>
      <c r="G831" t="s">
        <v>670</v>
      </c>
      <c r="H831" t="s">
        <v>670</v>
      </c>
      <c r="I831">
        <v>1.5329999999999999</v>
      </c>
    </row>
    <row r="832" spans="1:9" x14ac:dyDescent="0.25">
      <c r="A832" t="s">
        <v>28</v>
      </c>
      <c r="B832" t="s">
        <v>2</v>
      </c>
      <c r="C832" t="s">
        <v>28</v>
      </c>
      <c r="D832">
        <v>29820</v>
      </c>
      <c r="E832" t="s">
        <v>672</v>
      </c>
      <c r="F832" t="s">
        <v>113</v>
      </c>
      <c r="G832" t="s">
        <v>670</v>
      </c>
      <c r="H832" t="s">
        <v>670</v>
      </c>
      <c r="I832">
        <v>1.58</v>
      </c>
    </row>
    <row r="833" spans="1:9" x14ac:dyDescent="0.25">
      <c r="A833" t="s">
        <v>401</v>
      </c>
      <c r="B833" t="s">
        <v>2</v>
      </c>
      <c r="C833" t="s">
        <v>401</v>
      </c>
      <c r="D833">
        <v>29860</v>
      </c>
      <c r="E833" t="s">
        <v>672</v>
      </c>
      <c r="F833" t="s">
        <v>3</v>
      </c>
      <c r="G833" t="s">
        <v>670</v>
      </c>
      <c r="H833" t="s">
        <v>670</v>
      </c>
      <c r="I833" t="s">
        <v>673</v>
      </c>
    </row>
    <row r="834" spans="1:9" x14ac:dyDescent="0.25">
      <c r="A834" t="s">
        <v>401</v>
      </c>
      <c r="B834" t="s">
        <v>2</v>
      </c>
      <c r="C834" t="s">
        <v>401</v>
      </c>
      <c r="D834">
        <v>29860</v>
      </c>
      <c r="E834" t="s">
        <v>672</v>
      </c>
      <c r="F834" t="s">
        <v>113</v>
      </c>
      <c r="G834" t="s">
        <v>670</v>
      </c>
      <c r="H834" t="s">
        <v>670</v>
      </c>
      <c r="I834" t="s">
        <v>673</v>
      </c>
    </row>
    <row r="835" spans="1:9" x14ac:dyDescent="0.25">
      <c r="A835" t="s">
        <v>402</v>
      </c>
      <c r="B835" t="s">
        <v>2</v>
      </c>
      <c r="C835" t="s">
        <v>402</v>
      </c>
      <c r="D835">
        <v>29940</v>
      </c>
      <c r="E835" t="s">
        <v>669</v>
      </c>
      <c r="F835" t="s">
        <v>118</v>
      </c>
      <c r="G835" t="s">
        <v>670</v>
      </c>
      <c r="H835" t="s">
        <v>670</v>
      </c>
      <c r="I835">
        <v>1.360248386352725</v>
      </c>
    </row>
    <row r="836" spans="1:9" x14ac:dyDescent="0.25">
      <c r="A836" t="s">
        <v>402</v>
      </c>
      <c r="B836" t="s">
        <v>2</v>
      </c>
      <c r="C836" t="s">
        <v>402</v>
      </c>
      <c r="D836">
        <v>29940</v>
      </c>
      <c r="E836" t="s">
        <v>672</v>
      </c>
      <c r="F836" t="s">
        <v>3</v>
      </c>
      <c r="G836" t="s">
        <v>670</v>
      </c>
      <c r="H836" t="s">
        <v>670</v>
      </c>
      <c r="I836">
        <v>1.3169999999999999</v>
      </c>
    </row>
    <row r="837" spans="1:9" x14ac:dyDescent="0.25">
      <c r="A837" t="s">
        <v>402</v>
      </c>
      <c r="B837" t="s">
        <v>2</v>
      </c>
      <c r="C837" t="s">
        <v>402</v>
      </c>
      <c r="D837">
        <v>29940</v>
      </c>
      <c r="E837" t="s">
        <v>672</v>
      </c>
      <c r="F837" t="s">
        <v>113</v>
      </c>
      <c r="G837" t="s">
        <v>670</v>
      </c>
      <c r="H837" t="s">
        <v>670</v>
      </c>
      <c r="I837">
        <v>1.3180000000000001</v>
      </c>
    </row>
    <row r="838" spans="1:9" x14ac:dyDescent="0.25">
      <c r="A838" t="s">
        <v>403</v>
      </c>
      <c r="B838" t="s">
        <v>2</v>
      </c>
      <c r="C838" t="s">
        <v>403</v>
      </c>
      <c r="D838">
        <v>30020</v>
      </c>
      <c r="E838" t="s">
        <v>669</v>
      </c>
      <c r="F838" t="s">
        <v>118</v>
      </c>
      <c r="G838" t="s">
        <v>670</v>
      </c>
      <c r="H838" t="s">
        <v>670</v>
      </c>
      <c r="I838">
        <v>0.92194337224635936</v>
      </c>
    </row>
    <row r="839" spans="1:9" x14ac:dyDescent="0.25">
      <c r="A839" t="s">
        <v>403</v>
      </c>
      <c r="B839" t="s">
        <v>2</v>
      </c>
      <c r="C839" t="s">
        <v>403</v>
      </c>
      <c r="D839">
        <v>30020</v>
      </c>
      <c r="E839" t="s">
        <v>672</v>
      </c>
      <c r="F839" t="s">
        <v>3</v>
      </c>
      <c r="G839" t="s">
        <v>670</v>
      </c>
      <c r="H839" t="s">
        <v>670</v>
      </c>
      <c r="I839">
        <v>1.05</v>
      </c>
    </row>
    <row r="840" spans="1:9" x14ac:dyDescent="0.25">
      <c r="A840" t="s">
        <v>403</v>
      </c>
      <c r="B840" t="s">
        <v>2</v>
      </c>
      <c r="C840" t="s">
        <v>403</v>
      </c>
      <c r="D840">
        <v>30020</v>
      </c>
      <c r="E840" t="s">
        <v>672</v>
      </c>
      <c r="F840" t="s">
        <v>113</v>
      </c>
      <c r="G840" t="s">
        <v>670</v>
      </c>
      <c r="H840" t="s">
        <v>670</v>
      </c>
      <c r="I840">
        <v>1.0549999999999999</v>
      </c>
    </row>
    <row r="841" spans="1:9" x14ac:dyDescent="0.25">
      <c r="A841" t="s">
        <v>404</v>
      </c>
      <c r="B841" t="s">
        <v>2</v>
      </c>
      <c r="C841" t="s">
        <v>404</v>
      </c>
      <c r="D841">
        <v>30150</v>
      </c>
      <c r="E841" t="s">
        <v>672</v>
      </c>
      <c r="F841" t="s">
        <v>3</v>
      </c>
      <c r="G841" t="s">
        <v>670</v>
      </c>
      <c r="H841" t="s">
        <v>670</v>
      </c>
      <c r="I841">
        <v>3.1659999999999999</v>
      </c>
    </row>
    <row r="842" spans="1:9" x14ac:dyDescent="0.25">
      <c r="A842" t="s">
        <v>404</v>
      </c>
      <c r="B842" t="s">
        <v>2</v>
      </c>
      <c r="C842" t="s">
        <v>404</v>
      </c>
      <c r="D842">
        <v>30150</v>
      </c>
      <c r="E842" t="s">
        <v>672</v>
      </c>
      <c r="F842" t="s">
        <v>113</v>
      </c>
      <c r="G842" t="s">
        <v>670</v>
      </c>
      <c r="H842" t="s">
        <v>670</v>
      </c>
      <c r="I842">
        <v>3.1659999999999999</v>
      </c>
    </row>
    <row r="843" spans="1:9" x14ac:dyDescent="0.25">
      <c r="A843" t="s">
        <v>405</v>
      </c>
      <c r="B843" t="s">
        <v>2</v>
      </c>
      <c r="C843" t="s">
        <v>405</v>
      </c>
      <c r="D843">
        <v>30140</v>
      </c>
      <c r="E843" t="s">
        <v>672</v>
      </c>
      <c r="F843" t="s">
        <v>3</v>
      </c>
      <c r="G843" t="s">
        <v>670</v>
      </c>
      <c r="H843" t="s">
        <v>670</v>
      </c>
      <c r="I843">
        <v>1.6140000000000001</v>
      </c>
    </row>
    <row r="844" spans="1:9" x14ac:dyDescent="0.25">
      <c r="A844" t="s">
        <v>405</v>
      </c>
      <c r="B844" t="s">
        <v>2</v>
      </c>
      <c r="C844" t="s">
        <v>405</v>
      </c>
      <c r="D844">
        <v>30140</v>
      </c>
      <c r="E844" t="s">
        <v>672</v>
      </c>
      <c r="F844" t="s">
        <v>113</v>
      </c>
      <c r="G844" t="s">
        <v>670</v>
      </c>
      <c r="H844" t="s">
        <v>670</v>
      </c>
      <c r="I844">
        <v>1.6140000000000001</v>
      </c>
    </row>
    <row r="845" spans="1:9" x14ac:dyDescent="0.25">
      <c r="A845" t="s">
        <v>406</v>
      </c>
      <c r="B845" t="s">
        <v>2</v>
      </c>
      <c r="C845" t="s">
        <v>406</v>
      </c>
      <c r="D845">
        <v>30280</v>
      </c>
      <c r="E845" t="s">
        <v>672</v>
      </c>
      <c r="F845" t="s">
        <v>3</v>
      </c>
      <c r="G845" t="s">
        <v>670</v>
      </c>
      <c r="H845" t="s">
        <v>670</v>
      </c>
      <c r="I845" t="s">
        <v>673</v>
      </c>
    </row>
    <row r="846" spans="1:9" x14ac:dyDescent="0.25">
      <c r="A846" t="s">
        <v>406</v>
      </c>
      <c r="B846" t="s">
        <v>2</v>
      </c>
      <c r="C846" t="s">
        <v>406</v>
      </c>
      <c r="D846">
        <v>30280</v>
      </c>
      <c r="E846" t="s">
        <v>672</v>
      </c>
      <c r="F846" t="s">
        <v>113</v>
      </c>
      <c r="G846" t="s">
        <v>670</v>
      </c>
      <c r="H846" t="s">
        <v>670</v>
      </c>
      <c r="I846" t="s">
        <v>673</v>
      </c>
    </row>
    <row r="847" spans="1:9" x14ac:dyDescent="0.25">
      <c r="A847" t="s">
        <v>407</v>
      </c>
      <c r="B847" t="s">
        <v>2</v>
      </c>
      <c r="C847" t="s">
        <v>407</v>
      </c>
      <c r="D847">
        <v>30340</v>
      </c>
      <c r="E847" t="s">
        <v>672</v>
      </c>
      <c r="F847" t="s">
        <v>3</v>
      </c>
      <c r="G847" t="s">
        <v>670</v>
      </c>
      <c r="H847" t="s">
        <v>670</v>
      </c>
      <c r="I847" t="s">
        <v>673</v>
      </c>
    </row>
    <row r="848" spans="1:9" x14ac:dyDescent="0.25">
      <c r="A848" t="s">
        <v>407</v>
      </c>
      <c r="B848" t="s">
        <v>2</v>
      </c>
      <c r="C848" t="s">
        <v>407</v>
      </c>
      <c r="D848">
        <v>30340</v>
      </c>
      <c r="E848" t="s">
        <v>672</v>
      </c>
      <c r="F848" t="s">
        <v>113</v>
      </c>
      <c r="G848" t="s">
        <v>670</v>
      </c>
      <c r="H848" t="s">
        <v>670</v>
      </c>
      <c r="I848" t="s">
        <v>673</v>
      </c>
    </row>
    <row r="849" spans="1:9" x14ac:dyDescent="0.25">
      <c r="A849" t="s">
        <v>408</v>
      </c>
      <c r="B849" t="s">
        <v>2</v>
      </c>
      <c r="C849" t="s">
        <v>408</v>
      </c>
      <c r="D849">
        <v>30300</v>
      </c>
      <c r="E849" t="s">
        <v>672</v>
      </c>
      <c r="F849" t="s">
        <v>3</v>
      </c>
      <c r="G849" t="s">
        <v>670</v>
      </c>
      <c r="H849" t="s">
        <v>670</v>
      </c>
      <c r="I849" t="s">
        <v>673</v>
      </c>
    </row>
    <row r="850" spans="1:9" x14ac:dyDescent="0.25">
      <c r="A850" t="s">
        <v>408</v>
      </c>
      <c r="B850" t="s">
        <v>2</v>
      </c>
      <c r="C850" t="s">
        <v>408</v>
      </c>
      <c r="D850">
        <v>30300</v>
      </c>
      <c r="E850" t="s">
        <v>672</v>
      </c>
      <c r="F850" t="s">
        <v>113</v>
      </c>
      <c r="G850" t="s">
        <v>670</v>
      </c>
      <c r="H850" t="s">
        <v>670</v>
      </c>
      <c r="I850" t="s">
        <v>673</v>
      </c>
    </row>
    <row r="851" spans="1:9" x14ac:dyDescent="0.25">
      <c r="A851" t="s">
        <v>409</v>
      </c>
      <c r="B851" t="s">
        <v>2</v>
      </c>
      <c r="C851" t="s">
        <v>409</v>
      </c>
      <c r="D851">
        <v>230460</v>
      </c>
      <c r="E851" t="s">
        <v>669</v>
      </c>
      <c r="F851" t="s">
        <v>118</v>
      </c>
      <c r="G851" t="s">
        <v>670</v>
      </c>
      <c r="H851" t="s">
        <v>670</v>
      </c>
      <c r="I851">
        <v>1.3820300599079602</v>
      </c>
    </row>
    <row r="852" spans="1:9" x14ac:dyDescent="0.25">
      <c r="A852" t="s">
        <v>409</v>
      </c>
      <c r="B852" t="s">
        <v>2</v>
      </c>
      <c r="C852" t="s">
        <v>409</v>
      </c>
      <c r="D852">
        <v>230460</v>
      </c>
      <c r="E852" t="s">
        <v>671</v>
      </c>
      <c r="F852" t="s">
        <v>116</v>
      </c>
      <c r="G852" t="s">
        <v>670</v>
      </c>
      <c r="H852" t="s">
        <v>670</v>
      </c>
      <c r="I852">
        <v>0.52261841624759131</v>
      </c>
    </row>
    <row r="853" spans="1:9" x14ac:dyDescent="0.25">
      <c r="A853" t="s">
        <v>409</v>
      </c>
      <c r="B853" t="s">
        <v>2</v>
      </c>
      <c r="C853" t="s">
        <v>409</v>
      </c>
      <c r="D853">
        <v>230460</v>
      </c>
      <c r="E853" t="s">
        <v>672</v>
      </c>
      <c r="F853" t="s">
        <v>3</v>
      </c>
      <c r="G853" t="s">
        <v>670</v>
      </c>
      <c r="H853" t="s">
        <v>670</v>
      </c>
      <c r="I853">
        <v>1.4470000000000001</v>
      </c>
    </row>
    <row r="854" spans="1:9" x14ac:dyDescent="0.25">
      <c r="A854" t="s">
        <v>409</v>
      </c>
      <c r="B854" t="s">
        <v>2</v>
      </c>
      <c r="C854" t="s">
        <v>409</v>
      </c>
      <c r="D854">
        <v>230460</v>
      </c>
      <c r="E854" t="s">
        <v>672</v>
      </c>
      <c r="F854" t="s">
        <v>113</v>
      </c>
      <c r="G854" t="s">
        <v>670</v>
      </c>
      <c r="H854" t="s">
        <v>670</v>
      </c>
      <c r="I854">
        <v>1.4570000000000001</v>
      </c>
    </row>
    <row r="855" spans="1:9" x14ac:dyDescent="0.25">
      <c r="A855" t="s">
        <v>410</v>
      </c>
      <c r="B855" t="s">
        <v>2</v>
      </c>
      <c r="C855" t="s">
        <v>410</v>
      </c>
      <c r="D855">
        <v>30500</v>
      </c>
      <c r="E855" t="s">
        <v>672</v>
      </c>
      <c r="F855" t="s">
        <v>3</v>
      </c>
      <c r="G855" t="s">
        <v>670</v>
      </c>
      <c r="H855" t="s">
        <v>670</v>
      </c>
      <c r="I855">
        <v>1.9359999999999999</v>
      </c>
    </row>
    <row r="856" spans="1:9" x14ac:dyDescent="0.25">
      <c r="A856" t="s">
        <v>410</v>
      </c>
      <c r="B856" t="s">
        <v>2</v>
      </c>
      <c r="C856" t="s">
        <v>410</v>
      </c>
      <c r="D856">
        <v>30500</v>
      </c>
      <c r="E856" t="s">
        <v>672</v>
      </c>
      <c r="F856" t="s">
        <v>113</v>
      </c>
      <c r="G856" t="s">
        <v>670</v>
      </c>
      <c r="H856" t="s">
        <v>670</v>
      </c>
      <c r="I856">
        <v>1.952</v>
      </c>
    </row>
    <row r="857" spans="1:9" x14ac:dyDescent="0.25">
      <c r="A857" t="s">
        <v>411</v>
      </c>
      <c r="B857" t="s">
        <v>2</v>
      </c>
      <c r="C857" t="s">
        <v>411</v>
      </c>
      <c r="D857">
        <v>30620</v>
      </c>
      <c r="E857" t="s">
        <v>672</v>
      </c>
      <c r="F857" t="s">
        <v>3</v>
      </c>
      <c r="G857" t="s">
        <v>670</v>
      </c>
      <c r="H857" t="s">
        <v>670</v>
      </c>
      <c r="I857" t="s">
        <v>673</v>
      </c>
    </row>
    <row r="858" spans="1:9" x14ac:dyDescent="0.25">
      <c r="A858" t="s">
        <v>411</v>
      </c>
      <c r="B858" t="s">
        <v>2</v>
      </c>
      <c r="C858" t="s">
        <v>411</v>
      </c>
      <c r="D858">
        <v>30620</v>
      </c>
      <c r="E858" t="s">
        <v>672</v>
      </c>
      <c r="F858" t="s">
        <v>113</v>
      </c>
      <c r="G858" t="s">
        <v>670</v>
      </c>
      <c r="H858" t="s">
        <v>670</v>
      </c>
      <c r="I858" t="s">
        <v>673</v>
      </c>
    </row>
    <row r="859" spans="1:9" x14ac:dyDescent="0.25">
      <c r="A859" t="s">
        <v>412</v>
      </c>
      <c r="B859" t="s">
        <v>2</v>
      </c>
      <c r="C859" t="s">
        <v>412</v>
      </c>
      <c r="D859">
        <v>30700</v>
      </c>
      <c r="E859" t="s">
        <v>672</v>
      </c>
      <c r="F859" t="s">
        <v>3</v>
      </c>
      <c r="G859" t="s">
        <v>670</v>
      </c>
      <c r="H859" t="s">
        <v>670</v>
      </c>
      <c r="I859">
        <v>1.361</v>
      </c>
    </row>
    <row r="860" spans="1:9" x14ac:dyDescent="0.25">
      <c r="A860" t="s">
        <v>412</v>
      </c>
      <c r="B860" t="s">
        <v>2</v>
      </c>
      <c r="C860" t="s">
        <v>412</v>
      </c>
      <c r="D860">
        <v>30700</v>
      </c>
      <c r="E860" t="s">
        <v>672</v>
      </c>
      <c r="F860" t="s">
        <v>113</v>
      </c>
      <c r="G860" t="s">
        <v>670</v>
      </c>
      <c r="H860" t="s">
        <v>670</v>
      </c>
      <c r="I860">
        <v>1.37</v>
      </c>
    </row>
    <row r="861" spans="1:9" x14ac:dyDescent="0.25">
      <c r="A861" t="s">
        <v>413</v>
      </c>
      <c r="B861" t="s">
        <v>2</v>
      </c>
      <c r="C861" t="s">
        <v>413</v>
      </c>
      <c r="D861">
        <v>30780</v>
      </c>
      <c r="E861" t="s">
        <v>669</v>
      </c>
      <c r="F861" t="s">
        <v>118</v>
      </c>
      <c r="G861" t="s">
        <v>670</v>
      </c>
      <c r="H861" t="s">
        <v>670</v>
      </c>
      <c r="I861">
        <v>1.2250626283525528</v>
      </c>
    </row>
    <row r="862" spans="1:9" x14ac:dyDescent="0.25">
      <c r="A862" t="s">
        <v>413</v>
      </c>
      <c r="B862" t="s">
        <v>2</v>
      </c>
      <c r="C862" t="s">
        <v>413</v>
      </c>
      <c r="D862">
        <v>30780</v>
      </c>
      <c r="E862" t="s">
        <v>671</v>
      </c>
      <c r="F862" t="s">
        <v>116</v>
      </c>
      <c r="G862" t="s">
        <v>670</v>
      </c>
      <c r="H862" t="s">
        <v>670</v>
      </c>
      <c r="I862">
        <v>0.50734577417409266</v>
      </c>
    </row>
    <row r="863" spans="1:9" x14ac:dyDescent="0.25">
      <c r="A863" t="s">
        <v>413</v>
      </c>
      <c r="B863" t="s">
        <v>2</v>
      </c>
      <c r="C863" t="s">
        <v>413</v>
      </c>
      <c r="D863">
        <v>30780</v>
      </c>
      <c r="E863" t="s">
        <v>672</v>
      </c>
      <c r="F863" t="s">
        <v>3</v>
      </c>
      <c r="G863" t="s">
        <v>670</v>
      </c>
      <c r="H863" t="s">
        <v>670</v>
      </c>
      <c r="I863">
        <v>1.173</v>
      </c>
    </row>
    <row r="864" spans="1:9" x14ac:dyDescent="0.25">
      <c r="A864" t="s">
        <v>413</v>
      </c>
      <c r="B864" t="s">
        <v>2</v>
      </c>
      <c r="C864" t="s">
        <v>413</v>
      </c>
      <c r="D864">
        <v>30780</v>
      </c>
      <c r="E864" t="s">
        <v>672</v>
      </c>
      <c r="F864" t="s">
        <v>113</v>
      </c>
      <c r="G864" t="s">
        <v>670</v>
      </c>
      <c r="H864" t="s">
        <v>670</v>
      </c>
      <c r="I864">
        <v>1.1930000000000001</v>
      </c>
    </row>
    <row r="865" spans="1:9" x14ac:dyDescent="0.25">
      <c r="A865" t="s">
        <v>414</v>
      </c>
      <c r="B865" t="s">
        <v>2</v>
      </c>
      <c r="C865" t="s">
        <v>414</v>
      </c>
      <c r="D865">
        <v>30860</v>
      </c>
      <c r="E865" t="s">
        <v>669</v>
      </c>
      <c r="F865" t="s">
        <v>118</v>
      </c>
      <c r="G865" t="s">
        <v>670</v>
      </c>
      <c r="H865" t="s">
        <v>670</v>
      </c>
      <c r="I865">
        <v>1.1264227347770404</v>
      </c>
    </row>
    <row r="866" spans="1:9" x14ac:dyDescent="0.25">
      <c r="A866" t="s">
        <v>414</v>
      </c>
      <c r="B866" t="s">
        <v>2</v>
      </c>
      <c r="C866" t="s">
        <v>414</v>
      </c>
      <c r="D866">
        <v>30860</v>
      </c>
      <c r="E866" t="s">
        <v>672</v>
      </c>
      <c r="F866" t="s">
        <v>3</v>
      </c>
      <c r="G866" t="s">
        <v>670</v>
      </c>
      <c r="H866" t="s">
        <v>670</v>
      </c>
      <c r="I866">
        <v>1.431</v>
      </c>
    </row>
    <row r="867" spans="1:9" x14ac:dyDescent="0.25">
      <c r="A867" t="s">
        <v>414</v>
      </c>
      <c r="B867" t="s">
        <v>2</v>
      </c>
      <c r="C867" t="s">
        <v>414</v>
      </c>
      <c r="D867">
        <v>30860</v>
      </c>
      <c r="E867" t="s">
        <v>672</v>
      </c>
      <c r="F867" t="s">
        <v>113</v>
      </c>
      <c r="G867" t="s">
        <v>670</v>
      </c>
      <c r="H867" t="s">
        <v>670</v>
      </c>
      <c r="I867">
        <v>1.4490000000000001</v>
      </c>
    </row>
    <row r="868" spans="1:9" x14ac:dyDescent="0.25">
      <c r="A868" t="s">
        <v>415</v>
      </c>
      <c r="B868" t="s">
        <v>2</v>
      </c>
      <c r="C868" t="s">
        <v>415</v>
      </c>
      <c r="D868">
        <v>30980</v>
      </c>
      <c r="E868" t="s">
        <v>669</v>
      </c>
      <c r="F868" t="s">
        <v>118</v>
      </c>
      <c r="G868" t="s">
        <v>670</v>
      </c>
      <c r="H868" t="s">
        <v>670</v>
      </c>
      <c r="I868">
        <v>1.4233734227800883</v>
      </c>
    </row>
    <row r="869" spans="1:9" x14ac:dyDescent="0.25">
      <c r="A869" t="s">
        <v>415</v>
      </c>
      <c r="B869" t="s">
        <v>2</v>
      </c>
      <c r="C869" t="s">
        <v>415</v>
      </c>
      <c r="D869">
        <v>30980</v>
      </c>
      <c r="E869" t="s">
        <v>671</v>
      </c>
      <c r="F869" t="s">
        <v>116</v>
      </c>
      <c r="G869" t="s">
        <v>670</v>
      </c>
      <c r="H869" t="s">
        <v>670</v>
      </c>
      <c r="I869">
        <v>0.48357685900003633</v>
      </c>
    </row>
    <row r="870" spans="1:9" x14ac:dyDescent="0.25">
      <c r="A870" t="s">
        <v>415</v>
      </c>
      <c r="B870" t="s">
        <v>2</v>
      </c>
      <c r="C870" t="s">
        <v>415</v>
      </c>
      <c r="D870">
        <v>30980</v>
      </c>
      <c r="E870" t="s">
        <v>672</v>
      </c>
      <c r="F870" t="s">
        <v>3</v>
      </c>
      <c r="G870" t="s">
        <v>670</v>
      </c>
      <c r="H870" t="s">
        <v>670</v>
      </c>
      <c r="I870">
        <v>1.2789999999999999</v>
      </c>
    </row>
    <row r="871" spans="1:9" x14ac:dyDescent="0.25">
      <c r="A871" t="s">
        <v>415</v>
      </c>
      <c r="B871" t="s">
        <v>2</v>
      </c>
      <c r="C871" t="s">
        <v>415</v>
      </c>
      <c r="D871">
        <v>30980</v>
      </c>
      <c r="E871" t="s">
        <v>672</v>
      </c>
      <c r="F871" t="s">
        <v>113</v>
      </c>
      <c r="G871" t="s">
        <v>670</v>
      </c>
      <c r="H871" t="s">
        <v>670</v>
      </c>
      <c r="I871">
        <v>1.29</v>
      </c>
    </row>
    <row r="872" spans="1:9" x14ac:dyDescent="0.25">
      <c r="A872" t="s">
        <v>416</v>
      </c>
      <c r="B872" t="s">
        <v>2</v>
      </c>
      <c r="C872" t="s">
        <v>416</v>
      </c>
      <c r="D872">
        <v>31060</v>
      </c>
      <c r="E872" t="s">
        <v>672</v>
      </c>
      <c r="F872" t="s">
        <v>3</v>
      </c>
      <c r="G872" t="s">
        <v>670</v>
      </c>
      <c r="H872" t="s">
        <v>670</v>
      </c>
      <c r="I872" t="s">
        <v>673</v>
      </c>
    </row>
    <row r="873" spans="1:9" x14ac:dyDescent="0.25">
      <c r="A873" t="s">
        <v>416</v>
      </c>
      <c r="B873" t="s">
        <v>2</v>
      </c>
      <c r="C873" t="s">
        <v>416</v>
      </c>
      <c r="D873">
        <v>31060</v>
      </c>
      <c r="E873" t="s">
        <v>672</v>
      </c>
      <c r="F873" t="s">
        <v>113</v>
      </c>
      <c r="G873" t="s">
        <v>670</v>
      </c>
      <c r="H873" t="s">
        <v>670</v>
      </c>
      <c r="I873" t="s">
        <v>673</v>
      </c>
    </row>
    <row r="874" spans="1:9" x14ac:dyDescent="0.25">
      <c r="A874" t="s">
        <v>417</v>
      </c>
      <c r="B874" t="s">
        <v>2</v>
      </c>
      <c r="C874" t="s">
        <v>417</v>
      </c>
      <c r="D874">
        <v>31084</v>
      </c>
      <c r="E874" t="s">
        <v>669</v>
      </c>
      <c r="F874" t="s">
        <v>118</v>
      </c>
      <c r="G874" t="s">
        <v>670</v>
      </c>
      <c r="H874" t="s">
        <v>670</v>
      </c>
      <c r="I874">
        <v>3.2221140033657587</v>
      </c>
    </row>
    <row r="875" spans="1:9" x14ac:dyDescent="0.25">
      <c r="A875" t="s">
        <v>417</v>
      </c>
      <c r="B875" t="s">
        <v>2</v>
      </c>
      <c r="C875" t="s">
        <v>417</v>
      </c>
      <c r="D875">
        <v>31084</v>
      </c>
      <c r="E875" t="s">
        <v>671</v>
      </c>
      <c r="F875" t="s">
        <v>116</v>
      </c>
      <c r="G875" t="s">
        <v>670</v>
      </c>
      <c r="H875" t="s">
        <v>670</v>
      </c>
      <c r="I875">
        <v>0.55158763642001363</v>
      </c>
    </row>
    <row r="876" spans="1:9" x14ac:dyDescent="0.25">
      <c r="A876" t="s">
        <v>417</v>
      </c>
      <c r="B876" t="s">
        <v>2</v>
      </c>
      <c r="C876" t="s">
        <v>417</v>
      </c>
      <c r="D876">
        <v>31084</v>
      </c>
      <c r="E876" t="s">
        <v>672</v>
      </c>
      <c r="F876" t="s">
        <v>3</v>
      </c>
      <c r="G876" t="s">
        <v>670</v>
      </c>
      <c r="H876" t="s">
        <v>670</v>
      </c>
      <c r="I876">
        <v>3.2970000000000002</v>
      </c>
    </row>
    <row r="877" spans="1:9" x14ac:dyDescent="0.25">
      <c r="A877" t="s">
        <v>417</v>
      </c>
      <c r="B877" t="s">
        <v>2</v>
      </c>
      <c r="C877" t="s">
        <v>417</v>
      </c>
      <c r="D877">
        <v>31084</v>
      </c>
      <c r="E877" t="s">
        <v>672</v>
      </c>
      <c r="F877" t="s">
        <v>113</v>
      </c>
      <c r="G877" t="s">
        <v>670</v>
      </c>
      <c r="H877" t="s">
        <v>670</v>
      </c>
      <c r="I877">
        <v>3.3540000000000001</v>
      </c>
    </row>
    <row r="878" spans="1:9" x14ac:dyDescent="0.25">
      <c r="A878" t="s">
        <v>418</v>
      </c>
      <c r="B878" t="s">
        <v>2</v>
      </c>
      <c r="C878" t="s">
        <v>418</v>
      </c>
      <c r="D878">
        <v>31140</v>
      </c>
      <c r="E878" t="s">
        <v>669</v>
      </c>
      <c r="F878" t="s">
        <v>118</v>
      </c>
      <c r="G878" t="s">
        <v>670</v>
      </c>
      <c r="H878" t="s">
        <v>670</v>
      </c>
      <c r="I878">
        <v>1.3171992774662686</v>
      </c>
    </row>
    <row r="879" spans="1:9" x14ac:dyDescent="0.25">
      <c r="A879" t="s">
        <v>418</v>
      </c>
      <c r="B879" t="s">
        <v>2</v>
      </c>
      <c r="C879" t="s">
        <v>418</v>
      </c>
      <c r="D879">
        <v>31140</v>
      </c>
      <c r="E879" t="s">
        <v>671</v>
      </c>
      <c r="F879" t="s">
        <v>116</v>
      </c>
      <c r="G879" t="s">
        <v>670</v>
      </c>
      <c r="H879" t="s">
        <v>670</v>
      </c>
      <c r="I879">
        <v>0.5312487096412335</v>
      </c>
    </row>
    <row r="880" spans="1:9" x14ac:dyDescent="0.25">
      <c r="A880" t="s">
        <v>418</v>
      </c>
      <c r="B880" t="s">
        <v>2</v>
      </c>
      <c r="C880" t="s">
        <v>418</v>
      </c>
      <c r="D880">
        <v>31140</v>
      </c>
      <c r="E880" t="s">
        <v>672</v>
      </c>
      <c r="F880" t="s">
        <v>3</v>
      </c>
      <c r="G880" t="s">
        <v>670</v>
      </c>
      <c r="H880" t="s">
        <v>670</v>
      </c>
      <c r="I880">
        <v>1.32</v>
      </c>
    </row>
    <row r="881" spans="1:9" x14ac:dyDescent="0.25">
      <c r="A881" t="s">
        <v>418</v>
      </c>
      <c r="B881" t="s">
        <v>2</v>
      </c>
      <c r="C881" t="s">
        <v>418</v>
      </c>
      <c r="D881">
        <v>31140</v>
      </c>
      <c r="E881" t="s">
        <v>672</v>
      </c>
      <c r="F881" t="s">
        <v>113</v>
      </c>
      <c r="G881" t="s">
        <v>670</v>
      </c>
      <c r="H881" t="s">
        <v>670</v>
      </c>
      <c r="I881">
        <v>1.34</v>
      </c>
    </row>
    <row r="882" spans="1:9" x14ac:dyDescent="0.25">
      <c r="A882" t="s">
        <v>419</v>
      </c>
      <c r="B882" t="s">
        <v>2</v>
      </c>
      <c r="C882" t="s">
        <v>419</v>
      </c>
      <c r="D882">
        <v>31180</v>
      </c>
      <c r="E882" t="s">
        <v>669</v>
      </c>
      <c r="F882" t="s">
        <v>118</v>
      </c>
      <c r="G882" t="s">
        <v>670</v>
      </c>
      <c r="H882" t="s">
        <v>670</v>
      </c>
      <c r="I882">
        <v>1.0140924089729071</v>
      </c>
    </row>
    <row r="883" spans="1:9" x14ac:dyDescent="0.25">
      <c r="A883" t="s">
        <v>419</v>
      </c>
      <c r="B883" t="s">
        <v>2</v>
      </c>
      <c r="C883" t="s">
        <v>419</v>
      </c>
      <c r="D883">
        <v>31180</v>
      </c>
      <c r="E883" t="s">
        <v>672</v>
      </c>
      <c r="F883" t="s">
        <v>3</v>
      </c>
      <c r="G883" t="s">
        <v>670</v>
      </c>
      <c r="H883" t="s">
        <v>670</v>
      </c>
      <c r="I883">
        <v>1.1479999999999999</v>
      </c>
    </row>
    <row r="884" spans="1:9" x14ac:dyDescent="0.25">
      <c r="A884" t="s">
        <v>419</v>
      </c>
      <c r="B884" t="s">
        <v>2</v>
      </c>
      <c r="C884" t="s">
        <v>419</v>
      </c>
      <c r="D884">
        <v>31180</v>
      </c>
      <c r="E884" t="s">
        <v>672</v>
      </c>
      <c r="F884" t="s">
        <v>113</v>
      </c>
      <c r="G884" t="s">
        <v>670</v>
      </c>
      <c r="H884" t="s">
        <v>670</v>
      </c>
      <c r="I884">
        <v>1.157</v>
      </c>
    </row>
    <row r="885" spans="1:9" x14ac:dyDescent="0.25">
      <c r="A885" t="s">
        <v>420</v>
      </c>
      <c r="B885" t="s">
        <v>2</v>
      </c>
      <c r="C885" t="s">
        <v>420</v>
      </c>
      <c r="D885">
        <v>31220</v>
      </c>
      <c r="E885" t="s">
        <v>672</v>
      </c>
      <c r="F885" t="s">
        <v>3</v>
      </c>
      <c r="G885" t="s">
        <v>670</v>
      </c>
      <c r="H885" t="s">
        <v>670</v>
      </c>
      <c r="I885" t="s">
        <v>673</v>
      </c>
    </row>
    <row r="886" spans="1:9" x14ac:dyDescent="0.25">
      <c r="A886" t="s">
        <v>420</v>
      </c>
      <c r="B886" t="s">
        <v>2</v>
      </c>
      <c r="C886" t="s">
        <v>420</v>
      </c>
      <c r="D886">
        <v>31220</v>
      </c>
      <c r="E886" t="s">
        <v>672</v>
      </c>
      <c r="F886" t="s">
        <v>113</v>
      </c>
      <c r="G886" t="s">
        <v>670</v>
      </c>
      <c r="H886" t="s">
        <v>670</v>
      </c>
      <c r="I886" t="s">
        <v>673</v>
      </c>
    </row>
    <row r="887" spans="1:9" x14ac:dyDescent="0.25">
      <c r="A887" t="s">
        <v>421</v>
      </c>
      <c r="B887" t="s">
        <v>2</v>
      </c>
      <c r="C887" t="s">
        <v>421</v>
      </c>
      <c r="D887">
        <v>31260</v>
      </c>
      <c r="E887" t="s">
        <v>669</v>
      </c>
      <c r="F887" t="s">
        <v>118</v>
      </c>
      <c r="G887" t="s">
        <v>670</v>
      </c>
      <c r="H887" t="s">
        <v>670</v>
      </c>
      <c r="I887">
        <v>1.2400487977378294</v>
      </c>
    </row>
    <row r="888" spans="1:9" x14ac:dyDescent="0.25">
      <c r="A888" t="s">
        <v>421</v>
      </c>
      <c r="B888" t="s">
        <v>2</v>
      </c>
      <c r="C888" t="s">
        <v>421</v>
      </c>
      <c r="D888">
        <v>31260</v>
      </c>
      <c r="E888" t="s">
        <v>672</v>
      </c>
      <c r="F888" t="s">
        <v>3</v>
      </c>
      <c r="G888" t="s">
        <v>670</v>
      </c>
      <c r="H888" t="s">
        <v>670</v>
      </c>
      <c r="I888">
        <v>1.321</v>
      </c>
    </row>
    <row r="889" spans="1:9" x14ac:dyDescent="0.25">
      <c r="A889" t="s">
        <v>421</v>
      </c>
      <c r="B889" t="s">
        <v>2</v>
      </c>
      <c r="C889" t="s">
        <v>421</v>
      </c>
      <c r="D889">
        <v>31260</v>
      </c>
      <c r="E889" t="s">
        <v>672</v>
      </c>
      <c r="F889" t="s">
        <v>113</v>
      </c>
      <c r="G889" t="s">
        <v>670</v>
      </c>
      <c r="H889" t="s">
        <v>670</v>
      </c>
      <c r="I889">
        <v>1.3380000000000001</v>
      </c>
    </row>
    <row r="890" spans="1:9" x14ac:dyDescent="0.25">
      <c r="A890" t="s">
        <v>422</v>
      </c>
      <c r="B890" t="s">
        <v>2</v>
      </c>
      <c r="C890" t="s">
        <v>422</v>
      </c>
      <c r="D890">
        <v>31300</v>
      </c>
      <c r="E890" t="s">
        <v>672</v>
      </c>
      <c r="F890" t="s">
        <v>3</v>
      </c>
      <c r="G890" t="s">
        <v>670</v>
      </c>
      <c r="H890" t="s">
        <v>670</v>
      </c>
      <c r="I890" t="s">
        <v>673</v>
      </c>
    </row>
    <row r="891" spans="1:9" x14ac:dyDescent="0.25">
      <c r="A891" t="s">
        <v>422</v>
      </c>
      <c r="B891" t="s">
        <v>2</v>
      </c>
      <c r="C891" t="s">
        <v>422</v>
      </c>
      <c r="D891">
        <v>31300</v>
      </c>
      <c r="E891" t="s">
        <v>672</v>
      </c>
      <c r="F891" t="s">
        <v>113</v>
      </c>
      <c r="G891" t="s">
        <v>670</v>
      </c>
      <c r="H891" t="s">
        <v>670</v>
      </c>
      <c r="I891" t="s">
        <v>673</v>
      </c>
    </row>
    <row r="892" spans="1:9" x14ac:dyDescent="0.25">
      <c r="A892" t="s">
        <v>423</v>
      </c>
      <c r="B892" t="s">
        <v>2</v>
      </c>
      <c r="C892" t="s">
        <v>423</v>
      </c>
      <c r="D892">
        <v>31340</v>
      </c>
      <c r="E892" t="s">
        <v>672</v>
      </c>
      <c r="F892" t="s">
        <v>3</v>
      </c>
      <c r="G892" t="s">
        <v>670</v>
      </c>
      <c r="H892" t="s">
        <v>670</v>
      </c>
      <c r="I892">
        <v>1.153</v>
      </c>
    </row>
    <row r="893" spans="1:9" x14ac:dyDescent="0.25">
      <c r="A893" t="s">
        <v>423</v>
      </c>
      <c r="B893" t="s">
        <v>2</v>
      </c>
      <c r="C893" t="s">
        <v>423</v>
      </c>
      <c r="D893">
        <v>31340</v>
      </c>
      <c r="E893" t="s">
        <v>672</v>
      </c>
      <c r="F893" t="s">
        <v>113</v>
      </c>
      <c r="G893" t="s">
        <v>670</v>
      </c>
      <c r="H893" t="s">
        <v>670</v>
      </c>
      <c r="I893">
        <v>1.1639999999999999</v>
      </c>
    </row>
    <row r="894" spans="1:9" x14ac:dyDescent="0.25">
      <c r="A894" t="s">
        <v>424</v>
      </c>
      <c r="B894" t="s">
        <v>2</v>
      </c>
      <c r="C894" t="s">
        <v>424</v>
      </c>
      <c r="D894">
        <v>231420</v>
      </c>
      <c r="E894" t="s">
        <v>669</v>
      </c>
      <c r="F894" t="s">
        <v>118</v>
      </c>
      <c r="G894" t="s">
        <v>670</v>
      </c>
      <c r="H894" t="s">
        <v>670</v>
      </c>
      <c r="I894">
        <v>1.1179412190568776</v>
      </c>
    </row>
    <row r="895" spans="1:9" x14ac:dyDescent="0.25">
      <c r="A895" t="s">
        <v>424</v>
      </c>
      <c r="B895" t="s">
        <v>2</v>
      </c>
      <c r="C895" t="s">
        <v>424</v>
      </c>
      <c r="D895">
        <v>231420</v>
      </c>
      <c r="E895" t="s">
        <v>671</v>
      </c>
      <c r="F895" t="s">
        <v>116</v>
      </c>
      <c r="G895" t="s">
        <v>670</v>
      </c>
      <c r="H895" t="s">
        <v>670</v>
      </c>
      <c r="I895">
        <v>0.49634869736283055</v>
      </c>
    </row>
    <row r="896" spans="1:9" x14ac:dyDescent="0.25">
      <c r="A896" t="s">
        <v>424</v>
      </c>
      <c r="B896" t="s">
        <v>2</v>
      </c>
      <c r="C896" t="s">
        <v>424</v>
      </c>
      <c r="D896">
        <v>231420</v>
      </c>
      <c r="E896" t="s">
        <v>672</v>
      </c>
      <c r="F896" t="s">
        <v>3</v>
      </c>
      <c r="G896" t="s">
        <v>670</v>
      </c>
      <c r="H896" t="s">
        <v>670</v>
      </c>
      <c r="I896">
        <v>1.1100000000000001</v>
      </c>
    </row>
    <row r="897" spans="1:9" x14ac:dyDescent="0.25">
      <c r="A897" t="s">
        <v>424</v>
      </c>
      <c r="B897" t="s">
        <v>2</v>
      </c>
      <c r="C897" t="s">
        <v>424</v>
      </c>
      <c r="D897">
        <v>231420</v>
      </c>
      <c r="E897" t="s">
        <v>672</v>
      </c>
      <c r="F897" t="s">
        <v>113</v>
      </c>
      <c r="G897" t="s">
        <v>670</v>
      </c>
      <c r="H897" t="s">
        <v>670</v>
      </c>
      <c r="I897">
        <v>1.1339999999999999</v>
      </c>
    </row>
    <row r="898" spans="1:9" x14ac:dyDescent="0.25">
      <c r="A898" t="s">
        <v>425</v>
      </c>
      <c r="B898" t="s">
        <v>2</v>
      </c>
      <c r="C898" t="s">
        <v>425</v>
      </c>
      <c r="D898">
        <v>31540</v>
      </c>
      <c r="E898" t="s">
        <v>669</v>
      </c>
      <c r="F898" t="s">
        <v>118</v>
      </c>
      <c r="G898" t="s">
        <v>670</v>
      </c>
      <c r="H898" t="s">
        <v>670</v>
      </c>
      <c r="I898">
        <v>1.5356057723492451</v>
      </c>
    </row>
    <row r="899" spans="1:9" x14ac:dyDescent="0.25">
      <c r="A899" t="s">
        <v>425</v>
      </c>
      <c r="B899" t="s">
        <v>2</v>
      </c>
      <c r="C899" t="s">
        <v>425</v>
      </c>
      <c r="D899">
        <v>31540</v>
      </c>
      <c r="E899" t="s">
        <v>671</v>
      </c>
      <c r="F899" t="s">
        <v>116</v>
      </c>
      <c r="G899" t="s">
        <v>670</v>
      </c>
      <c r="H899" t="s">
        <v>670</v>
      </c>
      <c r="I899">
        <v>0.52657606441198734</v>
      </c>
    </row>
    <row r="900" spans="1:9" x14ac:dyDescent="0.25">
      <c r="A900" t="s">
        <v>425</v>
      </c>
      <c r="B900" t="s">
        <v>2</v>
      </c>
      <c r="C900" t="s">
        <v>425</v>
      </c>
      <c r="D900">
        <v>31540</v>
      </c>
      <c r="E900" t="s">
        <v>672</v>
      </c>
      <c r="F900" t="s">
        <v>3</v>
      </c>
      <c r="G900" t="s">
        <v>670</v>
      </c>
      <c r="H900" t="s">
        <v>670</v>
      </c>
      <c r="I900">
        <v>1.8480000000000001</v>
      </c>
    </row>
    <row r="901" spans="1:9" x14ac:dyDescent="0.25">
      <c r="A901" t="s">
        <v>425</v>
      </c>
      <c r="B901" t="s">
        <v>2</v>
      </c>
      <c r="C901" t="s">
        <v>425</v>
      </c>
      <c r="D901">
        <v>31540</v>
      </c>
      <c r="E901" t="s">
        <v>672</v>
      </c>
      <c r="F901" t="s">
        <v>113</v>
      </c>
      <c r="G901" t="s">
        <v>670</v>
      </c>
      <c r="H901" t="s">
        <v>670</v>
      </c>
      <c r="I901">
        <v>1.865</v>
      </c>
    </row>
    <row r="902" spans="1:9" x14ac:dyDescent="0.25">
      <c r="A902" t="s">
        <v>426</v>
      </c>
      <c r="B902" t="s">
        <v>2</v>
      </c>
      <c r="C902" t="s">
        <v>426</v>
      </c>
      <c r="D902">
        <v>231700</v>
      </c>
      <c r="E902" t="s">
        <v>669</v>
      </c>
      <c r="F902" t="s">
        <v>118</v>
      </c>
      <c r="G902" t="s">
        <v>670</v>
      </c>
      <c r="H902" t="s">
        <v>670</v>
      </c>
      <c r="I902">
        <v>2.3388006336903651</v>
      </c>
    </row>
    <row r="903" spans="1:9" x14ac:dyDescent="0.25">
      <c r="A903" t="s">
        <v>426</v>
      </c>
      <c r="B903" t="s">
        <v>2</v>
      </c>
      <c r="C903" t="s">
        <v>426</v>
      </c>
      <c r="D903">
        <v>231700</v>
      </c>
      <c r="E903" t="s">
        <v>671</v>
      </c>
      <c r="F903" t="s">
        <v>116</v>
      </c>
      <c r="G903" t="s">
        <v>670</v>
      </c>
      <c r="H903" t="s">
        <v>670</v>
      </c>
      <c r="I903">
        <v>0.58806025964053077</v>
      </c>
    </row>
    <row r="904" spans="1:9" x14ac:dyDescent="0.25">
      <c r="A904" t="s">
        <v>426</v>
      </c>
      <c r="B904" t="s">
        <v>2</v>
      </c>
      <c r="C904" t="s">
        <v>426</v>
      </c>
      <c r="D904">
        <v>231700</v>
      </c>
      <c r="E904" t="s">
        <v>672</v>
      </c>
      <c r="F904" t="s">
        <v>3</v>
      </c>
      <c r="G904" t="s">
        <v>670</v>
      </c>
      <c r="H904" t="s">
        <v>670</v>
      </c>
      <c r="I904">
        <v>2.3849999999999998</v>
      </c>
    </row>
    <row r="905" spans="1:9" x14ac:dyDescent="0.25">
      <c r="A905" t="s">
        <v>426</v>
      </c>
      <c r="B905" t="s">
        <v>2</v>
      </c>
      <c r="C905" t="s">
        <v>426</v>
      </c>
      <c r="D905">
        <v>231700</v>
      </c>
      <c r="E905" t="s">
        <v>672</v>
      </c>
      <c r="F905" t="s">
        <v>113</v>
      </c>
      <c r="G905" t="s">
        <v>670</v>
      </c>
      <c r="H905" t="s">
        <v>670</v>
      </c>
      <c r="I905">
        <v>2.395</v>
      </c>
    </row>
    <row r="906" spans="1:9" x14ac:dyDescent="0.25">
      <c r="A906" t="s">
        <v>427</v>
      </c>
      <c r="B906" t="s">
        <v>2</v>
      </c>
      <c r="C906" t="s">
        <v>427</v>
      </c>
      <c r="D906">
        <v>31740</v>
      </c>
      <c r="E906" t="s">
        <v>669</v>
      </c>
      <c r="F906" t="s">
        <v>118</v>
      </c>
      <c r="G906" t="s">
        <v>670</v>
      </c>
      <c r="H906" t="s">
        <v>670</v>
      </c>
      <c r="I906">
        <v>0.95312760043843781</v>
      </c>
    </row>
    <row r="907" spans="1:9" x14ac:dyDescent="0.25">
      <c r="A907" t="s">
        <v>427</v>
      </c>
      <c r="B907" t="s">
        <v>2</v>
      </c>
      <c r="C907" t="s">
        <v>427</v>
      </c>
      <c r="D907">
        <v>31740</v>
      </c>
      <c r="E907" t="s">
        <v>672</v>
      </c>
      <c r="F907" t="s">
        <v>3</v>
      </c>
      <c r="G907" t="s">
        <v>670</v>
      </c>
      <c r="H907" t="s">
        <v>670</v>
      </c>
      <c r="I907">
        <v>1.119</v>
      </c>
    </row>
    <row r="908" spans="1:9" x14ac:dyDescent="0.25">
      <c r="A908" t="s">
        <v>427</v>
      </c>
      <c r="B908" t="s">
        <v>2</v>
      </c>
      <c r="C908" t="s">
        <v>427</v>
      </c>
      <c r="D908">
        <v>31740</v>
      </c>
      <c r="E908" t="s">
        <v>672</v>
      </c>
      <c r="F908" t="s">
        <v>113</v>
      </c>
      <c r="G908" t="s">
        <v>670</v>
      </c>
      <c r="H908" t="s">
        <v>670</v>
      </c>
      <c r="I908">
        <v>1.119</v>
      </c>
    </row>
    <row r="909" spans="1:9" x14ac:dyDescent="0.25">
      <c r="A909" t="s">
        <v>428</v>
      </c>
      <c r="B909" t="s">
        <v>2</v>
      </c>
      <c r="C909" t="s">
        <v>428</v>
      </c>
      <c r="D909">
        <v>31860</v>
      </c>
      <c r="E909" t="s">
        <v>672</v>
      </c>
      <c r="F909" t="s">
        <v>3</v>
      </c>
      <c r="G909" t="s">
        <v>670</v>
      </c>
      <c r="H909" t="s">
        <v>670</v>
      </c>
      <c r="I909">
        <v>1.556</v>
      </c>
    </row>
    <row r="910" spans="1:9" x14ac:dyDescent="0.25">
      <c r="A910" t="s">
        <v>428</v>
      </c>
      <c r="B910" t="s">
        <v>2</v>
      </c>
      <c r="C910" t="s">
        <v>428</v>
      </c>
      <c r="D910">
        <v>31860</v>
      </c>
      <c r="E910" t="s">
        <v>672</v>
      </c>
      <c r="F910" t="s">
        <v>113</v>
      </c>
      <c r="G910" t="s">
        <v>670</v>
      </c>
      <c r="H910" t="s">
        <v>670</v>
      </c>
      <c r="I910">
        <v>1.556</v>
      </c>
    </row>
    <row r="911" spans="1:9" x14ac:dyDescent="0.25">
      <c r="A911" t="s">
        <v>429</v>
      </c>
      <c r="B911" t="s">
        <v>2</v>
      </c>
      <c r="C911" t="s">
        <v>429</v>
      </c>
      <c r="D911">
        <v>31900</v>
      </c>
      <c r="E911" t="s">
        <v>672</v>
      </c>
      <c r="F911" t="s">
        <v>3</v>
      </c>
      <c r="G911" t="s">
        <v>670</v>
      </c>
      <c r="H911" t="s">
        <v>670</v>
      </c>
      <c r="I911">
        <v>1.365</v>
      </c>
    </row>
    <row r="912" spans="1:9" x14ac:dyDescent="0.25">
      <c r="A912" t="s">
        <v>429</v>
      </c>
      <c r="B912" t="s">
        <v>2</v>
      </c>
      <c r="C912" t="s">
        <v>429</v>
      </c>
      <c r="D912">
        <v>31900</v>
      </c>
      <c r="E912" t="s">
        <v>672</v>
      </c>
      <c r="F912" t="s">
        <v>113</v>
      </c>
      <c r="G912" t="s">
        <v>670</v>
      </c>
      <c r="H912" t="s">
        <v>670</v>
      </c>
      <c r="I912">
        <v>1.387</v>
      </c>
    </row>
    <row r="913" spans="1:9" x14ac:dyDescent="0.25">
      <c r="A913" t="s">
        <v>430</v>
      </c>
      <c r="B913" t="s">
        <v>2</v>
      </c>
      <c r="C913" t="s">
        <v>430</v>
      </c>
      <c r="D913">
        <v>31930</v>
      </c>
      <c r="E913" t="s">
        <v>672</v>
      </c>
      <c r="F913" t="s">
        <v>3</v>
      </c>
      <c r="G913" t="s">
        <v>670</v>
      </c>
      <c r="H913" t="s">
        <v>670</v>
      </c>
      <c r="I913" t="s">
        <v>673</v>
      </c>
    </row>
    <row r="914" spans="1:9" x14ac:dyDescent="0.25">
      <c r="A914" t="s">
        <v>430</v>
      </c>
      <c r="B914" t="s">
        <v>2</v>
      </c>
      <c r="C914" t="s">
        <v>430</v>
      </c>
      <c r="D914">
        <v>31930</v>
      </c>
      <c r="E914" t="s">
        <v>672</v>
      </c>
      <c r="F914" t="s">
        <v>113</v>
      </c>
      <c r="G914" t="s">
        <v>670</v>
      </c>
      <c r="H914" t="s">
        <v>670</v>
      </c>
      <c r="I914" t="s">
        <v>673</v>
      </c>
    </row>
    <row r="915" spans="1:9" x14ac:dyDescent="0.25">
      <c r="A915" t="s">
        <v>431</v>
      </c>
      <c r="B915" t="s">
        <v>2</v>
      </c>
      <c r="C915" t="s">
        <v>431</v>
      </c>
      <c r="D915">
        <v>31980</v>
      </c>
      <c r="E915" t="s">
        <v>672</v>
      </c>
      <c r="F915" t="s">
        <v>3</v>
      </c>
      <c r="G915" t="s">
        <v>670</v>
      </c>
      <c r="H915" t="s">
        <v>670</v>
      </c>
      <c r="I915" t="s">
        <v>673</v>
      </c>
    </row>
    <row r="916" spans="1:9" x14ac:dyDescent="0.25">
      <c r="A916" t="s">
        <v>431</v>
      </c>
      <c r="B916" t="s">
        <v>2</v>
      </c>
      <c r="C916" t="s">
        <v>431</v>
      </c>
      <c r="D916">
        <v>31980</v>
      </c>
      <c r="E916" t="s">
        <v>672</v>
      </c>
      <c r="F916" t="s">
        <v>113</v>
      </c>
      <c r="G916" t="s">
        <v>670</v>
      </c>
      <c r="H916" t="s">
        <v>670</v>
      </c>
      <c r="I916" t="s">
        <v>673</v>
      </c>
    </row>
    <row r="917" spans="1:9" x14ac:dyDescent="0.25">
      <c r="A917" t="s">
        <v>432</v>
      </c>
      <c r="B917" t="s">
        <v>2</v>
      </c>
      <c r="C917" t="s">
        <v>432</v>
      </c>
      <c r="D917">
        <v>32020</v>
      </c>
      <c r="E917" t="s">
        <v>672</v>
      </c>
      <c r="F917" t="s">
        <v>3</v>
      </c>
      <c r="G917" t="s">
        <v>670</v>
      </c>
      <c r="H917" t="s">
        <v>670</v>
      </c>
      <c r="I917" t="s">
        <v>673</v>
      </c>
    </row>
    <row r="918" spans="1:9" x14ac:dyDescent="0.25">
      <c r="A918" t="s">
        <v>432</v>
      </c>
      <c r="B918" t="s">
        <v>2</v>
      </c>
      <c r="C918" t="s">
        <v>432</v>
      </c>
      <c r="D918">
        <v>32020</v>
      </c>
      <c r="E918" t="s">
        <v>672</v>
      </c>
      <c r="F918" t="s">
        <v>113</v>
      </c>
      <c r="G918" t="s">
        <v>670</v>
      </c>
      <c r="H918" t="s">
        <v>670</v>
      </c>
      <c r="I918" t="s">
        <v>673</v>
      </c>
    </row>
    <row r="919" spans="1:9" x14ac:dyDescent="0.25">
      <c r="A919" t="s">
        <v>433</v>
      </c>
      <c r="B919" t="s">
        <v>2</v>
      </c>
      <c r="C919" t="s">
        <v>433</v>
      </c>
      <c r="D919">
        <v>32100</v>
      </c>
      <c r="E919" t="s">
        <v>669</v>
      </c>
      <c r="F919" t="s">
        <v>118</v>
      </c>
      <c r="G919" t="s">
        <v>670</v>
      </c>
      <c r="H919" t="s">
        <v>670</v>
      </c>
      <c r="I919">
        <v>1.1818902104083904</v>
      </c>
    </row>
    <row r="920" spans="1:9" x14ac:dyDescent="0.25">
      <c r="A920" t="s">
        <v>433</v>
      </c>
      <c r="B920" t="s">
        <v>2</v>
      </c>
      <c r="C920" t="s">
        <v>433</v>
      </c>
      <c r="D920">
        <v>32100</v>
      </c>
      <c r="E920" t="s">
        <v>672</v>
      </c>
      <c r="F920" t="s">
        <v>3</v>
      </c>
      <c r="G920" t="s">
        <v>670</v>
      </c>
      <c r="H920" t="s">
        <v>670</v>
      </c>
      <c r="I920" t="s">
        <v>673</v>
      </c>
    </row>
    <row r="921" spans="1:9" x14ac:dyDescent="0.25">
      <c r="A921" t="s">
        <v>433</v>
      </c>
      <c r="B921" t="s">
        <v>2</v>
      </c>
      <c r="C921" t="s">
        <v>433</v>
      </c>
      <c r="D921">
        <v>32100</v>
      </c>
      <c r="E921" t="s">
        <v>672</v>
      </c>
      <c r="F921" t="s">
        <v>113</v>
      </c>
      <c r="G921" t="s">
        <v>670</v>
      </c>
      <c r="H921" t="s">
        <v>670</v>
      </c>
      <c r="I921" t="s">
        <v>673</v>
      </c>
    </row>
    <row r="922" spans="1:9" x14ac:dyDescent="0.25">
      <c r="A922" t="s">
        <v>434</v>
      </c>
      <c r="B922" t="s">
        <v>2</v>
      </c>
      <c r="C922" t="s">
        <v>434</v>
      </c>
      <c r="D922">
        <v>32140</v>
      </c>
      <c r="E922" t="s">
        <v>672</v>
      </c>
      <c r="F922" t="s">
        <v>3</v>
      </c>
      <c r="G922" t="s">
        <v>670</v>
      </c>
      <c r="H922" t="s">
        <v>670</v>
      </c>
      <c r="I922" t="s">
        <v>673</v>
      </c>
    </row>
    <row r="923" spans="1:9" x14ac:dyDescent="0.25">
      <c r="A923" t="s">
        <v>434</v>
      </c>
      <c r="B923" t="s">
        <v>2</v>
      </c>
      <c r="C923" t="s">
        <v>434</v>
      </c>
      <c r="D923">
        <v>32140</v>
      </c>
      <c r="E923" t="s">
        <v>672</v>
      </c>
      <c r="F923" t="s">
        <v>113</v>
      </c>
      <c r="G923" t="s">
        <v>670</v>
      </c>
      <c r="H923" t="s">
        <v>670</v>
      </c>
      <c r="I923" t="s">
        <v>673</v>
      </c>
    </row>
    <row r="924" spans="1:9" x14ac:dyDescent="0.25">
      <c r="A924" t="s">
        <v>435</v>
      </c>
      <c r="B924" t="s">
        <v>2</v>
      </c>
      <c r="C924" t="s">
        <v>435</v>
      </c>
      <c r="D924">
        <v>32280</v>
      </c>
      <c r="E924" t="s">
        <v>672</v>
      </c>
      <c r="F924" t="s">
        <v>3</v>
      </c>
      <c r="G924" t="s">
        <v>670</v>
      </c>
      <c r="H924" t="s">
        <v>670</v>
      </c>
      <c r="I924" t="s">
        <v>673</v>
      </c>
    </row>
    <row r="925" spans="1:9" x14ac:dyDescent="0.25">
      <c r="A925" t="s">
        <v>435</v>
      </c>
      <c r="B925" t="s">
        <v>2</v>
      </c>
      <c r="C925" t="s">
        <v>435</v>
      </c>
      <c r="D925">
        <v>32280</v>
      </c>
      <c r="E925" t="s">
        <v>672</v>
      </c>
      <c r="F925" t="s">
        <v>113</v>
      </c>
      <c r="G925" t="s">
        <v>670</v>
      </c>
      <c r="H925" t="s">
        <v>670</v>
      </c>
      <c r="I925" t="s">
        <v>673</v>
      </c>
    </row>
    <row r="926" spans="1:9" x14ac:dyDescent="0.25">
      <c r="A926" t="s">
        <v>436</v>
      </c>
      <c r="B926" t="s">
        <v>2</v>
      </c>
      <c r="C926" t="s">
        <v>436</v>
      </c>
      <c r="D926">
        <v>32380</v>
      </c>
      <c r="E926" t="s">
        <v>672</v>
      </c>
      <c r="F926" t="s">
        <v>3</v>
      </c>
      <c r="G926" t="s">
        <v>670</v>
      </c>
      <c r="H926" t="s">
        <v>670</v>
      </c>
      <c r="I926" t="s">
        <v>673</v>
      </c>
    </row>
    <row r="927" spans="1:9" x14ac:dyDescent="0.25">
      <c r="A927" t="s">
        <v>436</v>
      </c>
      <c r="B927" t="s">
        <v>2</v>
      </c>
      <c r="C927" t="s">
        <v>436</v>
      </c>
      <c r="D927">
        <v>32380</v>
      </c>
      <c r="E927" t="s">
        <v>672</v>
      </c>
      <c r="F927" t="s">
        <v>113</v>
      </c>
      <c r="G927" t="s">
        <v>670</v>
      </c>
      <c r="H927" t="s">
        <v>670</v>
      </c>
      <c r="I927" t="s">
        <v>673</v>
      </c>
    </row>
    <row r="928" spans="1:9" x14ac:dyDescent="0.25">
      <c r="A928" t="s">
        <v>437</v>
      </c>
      <c r="B928" t="s">
        <v>2</v>
      </c>
      <c r="C928" t="s">
        <v>437</v>
      </c>
      <c r="D928">
        <v>32390</v>
      </c>
      <c r="E928" t="s">
        <v>672</v>
      </c>
      <c r="F928" t="s">
        <v>3</v>
      </c>
      <c r="G928" t="s">
        <v>670</v>
      </c>
      <c r="H928" t="s">
        <v>670</v>
      </c>
      <c r="I928" t="s">
        <v>673</v>
      </c>
    </row>
    <row r="929" spans="1:9" x14ac:dyDescent="0.25">
      <c r="A929" t="s">
        <v>437</v>
      </c>
      <c r="B929" t="s">
        <v>2</v>
      </c>
      <c r="C929" t="s">
        <v>437</v>
      </c>
      <c r="D929">
        <v>32390</v>
      </c>
      <c r="E929" t="s">
        <v>672</v>
      </c>
      <c r="F929" t="s">
        <v>113</v>
      </c>
      <c r="G929" t="s">
        <v>670</v>
      </c>
      <c r="H929" t="s">
        <v>670</v>
      </c>
      <c r="I929" t="s">
        <v>673</v>
      </c>
    </row>
    <row r="930" spans="1:9" x14ac:dyDescent="0.25">
      <c r="A930" t="s">
        <v>438</v>
      </c>
      <c r="B930" t="s">
        <v>2</v>
      </c>
      <c r="C930" t="s">
        <v>438</v>
      </c>
      <c r="D930">
        <v>232580</v>
      </c>
      <c r="E930" t="s">
        <v>669</v>
      </c>
      <c r="F930" t="s">
        <v>118</v>
      </c>
      <c r="G930" t="s">
        <v>670</v>
      </c>
      <c r="H930" t="s">
        <v>670</v>
      </c>
      <c r="I930">
        <v>1.1331910397990022</v>
      </c>
    </row>
    <row r="931" spans="1:9" x14ac:dyDescent="0.25">
      <c r="A931" t="s">
        <v>438</v>
      </c>
      <c r="B931" t="s">
        <v>2</v>
      </c>
      <c r="C931" t="s">
        <v>438</v>
      </c>
      <c r="D931">
        <v>232580</v>
      </c>
      <c r="E931" t="s">
        <v>671</v>
      </c>
      <c r="F931" t="s">
        <v>116</v>
      </c>
      <c r="G931" t="s">
        <v>670</v>
      </c>
      <c r="H931" t="s">
        <v>670</v>
      </c>
      <c r="I931">
        <v>0.53845164776707044</v>
      </c>
    </row>
    <row r="932" spans="1:9" x14ac:dyDescent="0.25">
      <c r="A932" t="s">
        <v>438</v>
      </c>
      <c r="B932" t="s">
        <v>2</v>
      </c>
      <c r="C932" t="s">
        <v>438</v>
      </c>
      <c r="D932">
        <v>232580</v>
      </c>
      <c r="E932" t="s">
        <v>672</v>
      </c>
      <c r="F932" t="s">
        <v>3</v>
      </c>
      <c r="G932" t="s">
        <v>670</v>
      </c>
      <c r="H932" t="s">
        <v>670</v>
      </c>
      <c r="I932">
        <v>1.2310000000000001</v>
      </c>
    </row>
    <row r="933" spans="1:9" x14ac:dyDescent="0.25">
      <c r="A933" t="s">
        <v>438</v>
      </c>
      <c r="B933" t="s">
        <v>2</v>
      </c>
      <c r="C933" t="s">
        <v>438</v>
      </c>
      <c r="D933">
        <v>232580</v>
      </c>
      <c r="E933" t="s">
        <v>672</v>
      </c>
      <c r="F933" t="s">
        <v>113</v>
      </c>
      <c r="G933" t="s">
        <v>670</v>
      </c>
      <c r="H933" t="s">
        <v>670</v>
      </c>
      <c r="I933">
        <v>1.234</v>
      </c>
    </row>
    <row r="934" spans="1:9" x14ac:dyDescent="0.25">
      <c r="A934" t="s">
        <v>439</v>
      </c>
      <c r="B934" t="s">
        <v>2</v>
      </c>
      <c r="C934" t="s">
        <v>439</v>
      </c>
      <c r="D934">
        <v>32620</v>
      </c>
      <c r="E934" t="s">
        <v>672</v>
      </c>
      <c r="F934" t="s">
        <v>3</v>
      </c>
      <c r="G934" t="s">
        <v>670</v>
      </c>
      <c r="H934" t="s">
        <v>670</v>
      </c>
      <c r="I934" t="s">
        <v>673</v>
      </c>
    </row>
    <row r="935" spans="1:9" x14ac:dyDescent="0.25">
      <c r="A935" t="s">
        <v>439</v>
      </c>
      <c r="B935" t="s">
        <v>2</v>
      </c>
      <c r="C935" t="s">
        <v>439</v>
      </c>
      <c r="D935">
        <v>32620</v>
      </c>
      <c r="E935" t="s">
        <v>672</v>
      </c>
      <c r="F935" t="s">
        <v>113</v>
      </c>
      <c r="G935" t="s">
        <v>670</v>
      </c>
      <c r="H935" t="s">
        <v>670</v>
      </c>
      <c r="I935" t="s">
        <v>673</v>
      </c>
    </row>
    <row r="936" spans="1:9" x14ac:dyDescent="0.25">
      <c r="A936" t="s">
        <v>440</v>
      </c>
      <c r="B936" t="s">
        <v>2</v>
      </c>
      <c r="C936" t="s">
        <v>440</v>
      </c>
      <c r="D936">
        <v>32700</v>
      </c>
      <c r="E936" t="s">
        <v>672</v>
      </c>
      <c r="F936" t="s">
        <v>3</v>
      </c>
      <c r="G936" t="s">
        <v>670</v>
      </c>
      <c r="H936" t="s">
        <v>670</v>
      </c>
      <c r="I936" t="s">
        <v>673</v>
      </c>
    </row>
    <row r="937" spans="1:9" x14ac:dyDescent="0.25">
      <c r="A937" t="s">
        <v>440</v>
      </c>
      <c r="B937" t="s">
        <v>2</v>
      </c>
      <c r="C937" t="s">
        <v>440</v>
      </c>
      <c r="D937">
        <v>32700</v>
      </c>
      <c r="E937" t="s">
        <v>672</v>
      </c>
      <c r="F937" t="s">
        <v>113</v>
      </c>
      <c r="G937" t="s">
        <v>670</v>
      </c>
      <c r="H937" t="s">
        <v>670</v>
      </c>
      <c r="I937" t="s">
        <v>673</v>
      </c>
    </row>
    <row r="938" spans="1:9" x14ac:dyDescent="0.25">
      <c r="A938" t="s">
        <v>441</v>
      </c>
      <c r="B938" t="s">
        <v>2</v>
      </c>
      <c r="C938" t="s">
        <v>441</v>
      </c>
      <c r="D938">
        <v>32740</v>
      </c>
      <c r="E938" t="s">
        <v>672</v>
      </c>
      <c r="F938" t="s">
        <v>3</v>
      </c>
      <c r="G938" t="s">
        <v>670</v>
      </c>
      <c r="H938" t="s">
        <v>670</v>
      </c>
      <c r="I938" t="s">
        <v>673</v>
      </c>
    </row>
    <row r="939" spans="1:9" x14ac:dyDescent="0.25">
      <c r="A939" t="s">
        <v>441</v>
      </c>
      <c r="B939" t="s">
        <v>2</v>
      </c>
      <c r="C939" t="s">
        <v>441</v>
      </c>
      <c r="D939">
        <v>32740</v>
      </c>
      <c r="E939" t="s">
        <v>672</v>
      </c>
      <c r="F939" t="s">
        <v>113</v>
      </c>
      <c r="G939" t="s">
        <v>670</v>
      </c>
      <c r="H939" t="s">
        <v>670</v>
      </c>
      <c r="I939" t="s">
        <v>673</v>
      </c>
    </row>
    <row r="940" spans="1:9" x14ac:dyDescent="0.25">
      <c r="A940" t="s">
        <v>442</v>
      </c>
      <c r="B940" t="s">
        <v>2</v>
      </c>
      <c r="C940" t="s">
        <v>442</v>
      </c>
      <c r="D940">
        <v>32780</v>
      </c>
      <c r="E940" t="s">
        <v>672</v>
      </c>
      <c r="F940" t="s">
        <v>3</v>
      </c>
      <c r="G940" t="s">
        <v>670</v>
      </c>
      <c r="H940" t="s">
        <v>670</v>
      </c>
      <c r="I940" t="s">
        <v>673</v>
      </c>
    </row>
    <row r="941" spans="1:9" x14ac:dyDescent="0.25">
      <c r="A941" t="s">
        <v>442</v>
      </c>
      <c r="B941" t="s">
        <v>2</v>
      </c>
      <c r="C941" t="s">
        <v>442</v>
      </c>
      <c r="D941">
        <v>32780</v>
      </c>
      <c r="E941" t="s">
        <v>672</v>
      </c>
      <c r="F941" t="s">
        <v>113</v>
      </c>
      <c r="G941" t="s">
        <v>670</v>
      </c>
      <c r="H941" t="s">
        <v>670</v>
      </c>
      <c r="I941" t="s">
        <v>673</v>
      </c>
    </row>
    <row r="942" spans="1:9" x14ac:dyDescent="0.25">
      <c r="A942" t="s">
        <v>443</v>
      </c>
      <c r="B942" t="s">
        <v>2</v>
      </c>
      <c r="C942" t="s">
        <v>443</v>
      </c>
      <c r="D942">
        <v>32820</v>
      </c>
      <c r="E942" t="s">
        <v>669</v>
      </c>
      <c r="F942" t="s">
        <v>118</v>
      </c>
      <c r="G942" t="s">
        <v>670</v>
      </c>
      <c r="H942" t="s">
        <v>670</v>
      </c>
      <c r="I942">
        <v>1.3759322527530866</v>
      </c>
    </row>
    <row r="943" spans="1:9" x14ac:dyDescent="0.25">
      <c r="A943" t="s">
        <v>443</v>
      </c>
      <c r="B943" t="s">
        <v>2</v>
      </c>
      <c r="C943" t="s">
        <v>443</v>
      </c>
      <c r="D943">
        <v>32820</v>
      </c>
      <c r="E943" t="s">
        <v>671</v>
      </c>
      <c r="F943" t="s">
        <v>116</v>
      </c>
      <c r="G943" t="s">
        <v>670</v>
      </c>
      <c r="H943" t="s">
        <v>670</v>
      </c>
      <c r="I943">
        <v>0.5030118240982594</v>
      </c>
    </row>
    <row r="944" spans="1:9" x14ac:dyDescent="0.25">
      <c r="A944" t="s">
        <v>443</v>
      </c>
      <c r="B944" t="s">
        <v>2</v>
      </c>
      <c r="C944" t="s">
        <v>443</v>
      </c>
      <c r="D944">
        <v>32820</v>
      </c>
      <c r="E944" t="s">
        <v>672</v>
      </c>
      <c r="F944" t="s">
        <v>3</v>
      </c>
      <c r="G944" t="s">
        <v>670</v>
      </c>
      <c r="H944" t="s">
        <v>670</v>
      </c>
      <c r="I944">
        <v>1.2569999999999999</v>
      </c>
    </row>
    <row r="945" spans="1:9" x14ac:dyDescent="0.25">
      <c r="A945" t="s">
        <v>443</v>
      </c>
      <c r="B945" t="s">
        <v>2</v>
      </c>
      <c r="C945" t="s">
        <v>443</v>
      </c>
      <c r="D945">
        <v>32820</v>
      </c>
      <c r="E945" t="s">
        <v>672</v>
      </c>
      <c r="F945" t="s">
        <v>113</v>
      </c>
      <c r="G945" t="s">
        <v>670</v>
      </c>
      <c r="H945" t="s">
        <v>670</v>
      </c>
      <c r="I945">
        <v>1.2809999999999999</v>
      </c>
    </row>
    <row r="946" spans="1:9" x14ac:dyDescent="0.25">
      <c r="A946" t="s">
        <v>444</v>
      </c>
      <c r="B946" t="s">
        <v>2</v>
      </c>
      <c r="C946" t="s">
        <v>444</v>
      </c>
      <c r="D946">
        <v>32860</v>
      </c>
      <c r="E946" t="s">
        <v>672</v>
      </c>
      <c r="F946" t="s">
        <v>3</v>
      </c>
      <c r="G946" t="s">
        <v>670</v>
      </c>
      <c r="H946" t="s">
        <v>670</v>
      </c>
      <c r="I946" t="s">
        <v>673</v>
      </c>
    </row>
    <row r="947" spans="1:9" x14ac:dyDescent="0.25">
      <c r="A947" t="s">
        <v>444</v>
      </c>
      <c r="B947" t="s">
        <v>2</v>
      </c>
      <c r="C947" t="s">
        <v>444</v>
      </c>
      <c r="D947">
        <v>32860</v>
      </c>
      <c r="E947" t="s">
        <v>672</v>
      </c>
      <c r="F947" t="s">
        <v>113</v>
      </c>
      <c r="G947" t="s">
        <v>670</v>
      </c>
      <c r="H947" t="s">
        <v>670</v>
      </c>
      <c r="I947" t="s">
        <v>673</v>
      </c>
    </row>
    <row r="948" spans="1:9" x14ac:dyDescent="0.25">
      <c r="A948" t="s">
        <v>445</v>
      </c>
      <c r="B948" t="s">
        <v>2</v>
      </c>
      <c r="C948" t="s">
        <v>445</v>
      </c>
      <c r="D948">
        <v>32900</v>
      </c>
      <c r="E948" t="s">
        <v>672</v>
      </c>
      <c r="F948" t="s">
        <v>3</v>
      </c>
      <c r="G948" t="s">
        <v>670</v>
      </c>
      <c r="H948" t="s">
        <v>670</v>
      </c>
      <c r="I948">
        <v>1.63</v>
      </c>
    </row>
    <row r="949" spans="1:9" x14ac:dyDescent="0.25">
      <c r="A949" t="s">
        <v>445</v>
      </c>
      <c r="B949" t="s">
        <v>2</v>
      </c>
      <c r="C949" t="s">
        <v>445</v>
      </c>
      <c r="D949">
        <v>32900</v>
      </c>
      <c r="E949" t="s">
        <v>672</v>
      </c>
      <c r="F949" t="s">
        <v>113</v>
      </c>
      <c r="G949" t="s">
        <v>670</v>
      </c>
      <c r="H949" t="s">
        <v>670</v>
      </c>
      <c r="I949">
        <v>1.63</v>
      </c>
    </row>
    <row r="950" spans="1:9" x14ac:dyDescent="0.25">
      <c r="A950" t="s">
        <v>446</v>
      </c>
      <c r="B950" t="s">
        <v>2</v>
      </c>
      <c r="C950" t="s">
        <v>446</v>
      </c>
      <c r="D950">
        <v>32940</v>
      </c>
      <c r="E950" t="s">
        <v>669</v>
      </c>
      <c r="F950" t="s">
        <v>118</v>
      </c>
      <c r="G950" t="s">
        <v>670</v>
      </c>
      <c r="H950" t="s">
        <v>670</v>
      </c>
      <c r="I950">
        <v>0.8326403383637232</v>
      </c>
    </row>
    <row r="951" spans="1:9" x14ac:dyDescent="0.25">
      <c r="A951" t="s">
        <v>446</v>
      </c>
      <c r="B951" t="s">
        <v>2</v>
      </c>
      <c r="C951" t="s">
        <v>446</v>
      </c>
      <c r="D951">
        <v>32940</v>
      </c>
      <c r="E951" t="s">
        <v>672</v>
      </c>
      <c r="F951" t="s">
        <v>3</v>
      </c>
      <c r="G951" t="s">
        <v>670</v>
      </c>
      <c r="H951" t="s">
        <v>670</v>
      </c>
      <c r="I951">
        <v>1.006</v>
      </c>
    </row>
    <row r="952" spans="1:9" x14ac:dyDescent="0.25">
      <c r="A952" t="s">
        <v>446</v>
      </c>
      <c r="B952" t="s">
        <v>2</v>
      </c>
      <c r="C952" t="s">
        <v>446</v>
      </c>
      <c r="D952">
        <v>32940</v>
      </c>
      <c r="E952" t="s">
        <v>672</v>
      </c>
      <c r="F952" t="s">
        <v>113</v>
      </c>
      <c r="G952" t="s">
        <v>670</v>
      </c>
      <c r="H952" t="s">
        <v>670</v>
      </c>
      <c r="I952">
        <v>1.0369999999999999</v>
      </c>
    </row>
    <row r="953" spans="1:9" x14ac:dyDescent="0.25">
      <c r="A953" t="s">
        <v>447</v>
      </c>
      <c r="B953" t="s">
        <v>2</v>
      </c>
      <c r="C953" t="s">
        <v>447</v>
      </c>
      <c r="D953">
        <v>33124</v>
      </c>
      <c r="E953" t="s">
        <v>669</v>
      </c>
      <c r="F953" t="s">
        <v>118</v>
      </c>
      <c r="G953" t="s">
        <v>670</v>
      </c>
      <c r="H953" t="s">
        <v>670</v>
      </c>
      <c r="I953">
        <v>2.7921666744228819</v>
      </c>
    </row>
    <row r="954" spans="1:9" x14ac:dyDescent="0.25">
      <c r="A954" t="s">
        <v>447</v>
      </c>
      <c r="B954" t="s">
        <v>2</v>
      </c>
      <c r="C954" t="s">
        <v>447</v>
      </c>
      <c r="D954">
        <v>33124</v>
      </c>
      <c r="E954" t="s">
        <v>671</v>
      </c>
      <c r="F954" t="s">
        <v>116</v>
      </c>
      <c r="G954" t="s">
        <v>670</v>
      </c>
      <c r="H954" t="s">
        <v>670</v>
      </c>
      <c r="I954">
        <v>0.60245983479746101</v>
      </c>
    </row>
    <row r="955" spans="1:9" x14ac:dyDescent="0.25">
      <c r="A955" t="s">
        <v>447</v>
      </c>
      <c r="B955" t="s">
        <v>2</v>
      </c>
      <c r="C955" t="s">
        <v>447</v>
      </c>
      <c r="D955">
        <v>33124</v>
      </c>
      <c r="E955" t="s">
        <v>672</v>
      </c>
      <c r="F955" t="s">
        <v>3</v>
      </c>
      <c r="G955" t="s">
        <v>670</v>
      </c>
      <c r="H955" t="s">
        <v>670</v>
      </c>
      <c r="I955">
        <v>2.911</v>
      </c>
    </row>
    <row r="956" spans="1:9" x14ac:dyDescent="0.25">
      <c r="A956" t="s">
        <v>447</v>
      </c>
      <c r="B956" t="s">
        <v>2</v>
      </c>
      <c r="C956" t="s">
        <v>447</v>
      </c>
      <c r="D956">
        <v>33124</v>
      </c>
      <c r="E956" t="s">
        <v>672</v>
      </c>
      <c r="F956" t="s">
        <v>113</v>
      </c>
      <c r="G956" t="s">
        <v>670</v>
      </c>
      <c r="H956" t="s">
        <v>670</v>
      </c>
      <c r="I956">
        <v>2.96</v>
      </c>
    </row>
    <row r="957" spans="1:9" x14ac:dyDescent="0.25">
      <c r="A957" t="s">
        <v>448</v>
      </c>
      <c r="B957" t="s">
        <v>2</v>
      </c>
      <c r="C957" t="s">
        <v>448</v>
      </c>
      <c r="D957">
        <v>33140</v>
      </c>
      <c r="E957" t="s">
        <v>672</v>
      </c>
      <c r="F957" t="s">
        <v>3</v>
      </c>
      <c r="G957" t="s">
        <v>670</v>
      </c>
      <c r="H957" t="s">
        <v>670</v>
      </c>
      <c r="I957">
        <v>1.347</v>
      </c>
    </row>
    <row r="958" spans="1:9" x14ac:dyDescent="0.25">
      <c r="A958" t="s">
        <v>448</v>
      </c>
      <c r="B958" t="s">
        <v>2</v>
      </c>
      <c r="C958" t="s">
        <v>448</v>
      </c>
      <c r="D958">
        <v>33140</v>
      </c>
      <c r="E958" t="s">
        <v>672</v>
      </c>
      <c r="F958" t="s">
        <v>113</v>
      </c>
      <c r="G958" t="s">
        <v>670</v>
      </c>
      <c r="H958" t="s">
        <v>670</v>
      </c>
      <c r="I958">
        <v>1.3560000000000001</v>
      </c>
    </row>
    <row r="959" spans="1:9" x14ac:dyDescent="0.25">
      <c r="A959" t="s">
        <v>449</v>
      </c>
      <c r="B959" t="s">
        <v>2</v>
      </c>
      <c r="C959" t="s">
        <v>449</v>
      </c>
      <c r="D959">
        <v>233260</v>
      </c>
      <c r="E959" t="s">
        <v>669</v>
      </c>
      <c r="F959" t="s">
        <v>118</v>
      </c>
      <c r="G959" t="s">
        <v>670</v>
      </c>
      <c r="H959" t="s">
        <v>670</v>
      </c>
      <c r="I959">
        <v>1.7030492126052168</v>
      </c>
    </row>
    <row r="960" spans="1:9" x14ac:dyDescent="0.25">
      <c r="A960" t="s">
        <v>449</v>
      </c>
      <c r="B960" t="s">
        <v>2</v>
      </c>
      <c r="C960" t="s">
        <v>449</v>
      </c>
      <c r="D960">
        <v>233260</v>
      </c>
      <c r="E960" t="s">
        <v>671</v>
      </c>
      <c r="F960" t="s">
        <v>116</v>
      </c>
      <c r="G960" t="s">
        <v>670</v>
      </c>
      <c r="H960" t="s">
        <v>670</v>
      </c>
      <c r="I960">
        <v>0.57123113279331716</v>
      </c>
    </row>
    <row r="961" spans="1:9" x14ac:dyDescent="0.25">
      <c r="A961" t="s">
        <v>449</v>
      </c>
      <c r="B961" t="s">
        <v>2</v>
      </c>
      <c r="C961" t="s">
        <v>449</v>
      </c>
      <c r="D961">
        <v>233260</v>
      </c>
      <c r="E961" t="s">
        <v>672</v>
      </c>
      <c r="F961" t="s">
        <v>3</v>
      </c>
      <c r="G961" t="s">
        <v>670</v>
      </c>
      <c r="H961" t="s">
        <v>670</v>
      </c>
      <c r="I961">
        <v>1.6240000000000001</v>
      </c>
    </row>
    <row r="962" spans="1:9" x14ac:dyDescent="0.25">
      <c r="A962" t="s">
        <v>449</v>
      </c>
      <c r="B962" t="s">
        <v>2</v>
      </c>
      <c r="C962" t="s">
        <v>449</v>
      </c>
      <c r="D962">
        <v>233260</v>
      </c>
      <c r="E962" t="s">
        <v>672</v>
      </c>
      <c r="F962" t="s">
        <v>113</v>
      </c>
      <c r="G962" t="s">
        <v>670</v>
      </c>
      <c r="H962" t="s">
        <v>670</v>
      </c>
      <c r="I962">
        <v>1.65</v>
      </c>
    </row>
    <row r="963" spans="1:9" x14ac:dyDescent="0.25">
      <c r="A963" t="s">
        <v>450</v>
      </c>
      <c r="B963" t="s">
        <v>2</v>
      </c>
      <c r="C963" t="s">
        <v>450</v>
      </c>
      <c r="D963">
        <v>233340</v>
      </c>
      <c r="E963" t="s">
        <v>669</v>
      </c>
      <c r="F963" t="s">
        <v>118</v>
      </c>
      <c r="G963" t="s">
        <v>670</v>
      </c>
      <c r="H963" t="s">
        <v>670</v>
      </c>
      <c r="I963">
        <v>1.5915477949444561</v>
      </c>
    </row>
    <row r="964" spans="1:9" x14ac:dyDescent="0.25">
      <c r="A964" t="s">
        <v>450</v>
      </c>
      <c r="B964" t="s">
        <v>2</v>
      </c>
      <c r="C964" t="s">
        <v>450</v>
      </c>
      <c r="D964">
        <v>233340</v>
      </c>
      <c r="E964" t="s">
        <v>671</v>
      </c>
      <c r="F964" t="s">
        <v>116</v>
      </c>
      <c r="G964" t="s">
        <v>670</v>
      </c>
      <c r="H964" t="s">
        <v>670</v>
      </c>
      <c r="I964">
        <v>0.53365881248598612</v>
      </c>
    </row>
    <row r="965" spans="1:9" x14ac:dyDescent="0.25">
      <c r="A965" t="s">
        <v>450</v>
      </c>
      <c r="B965" t="s">
        <v>2</v>
      </c>
      <c r="C965" t="s">
        <v>450</v>
      </c>
      <c r="D965">
        <v>233340</v>
      </c>
      <c r="E965" t="s">
        <v>672</v>
      </c>
      <c r="F965" t="s">
        <v>3</v>
      </c>
      <c r="G965" t="s">
        <v>670</v>
      </c>
      <c r="H965" t="s">
        <v>670</v>
      </c>
      <c r="I965">
        <v>1.7609999999999999</v>
      </c>
    </row>
    <row r="966" spans="1:9" x14ac:dyDescent="0.25">
      <c r="A966" t="s">
        <v>450</v>
      </c>
      <c r="B966" t="s">
        <v>2</v>
      </c>
      <c r="C966" t="s">
        <v>450</v>
      </c>
      <c r="D966">
        <v>233340</v>
      </c>
      <c r="E966" t="s">
        <v>672</v>
      </c>
      <c r="F966" t="s">
        <v>113</v>
      </c>
      <c r="G966" t="s">
        <v>670</v>
      </c>
      <c r="H966" t="s">
        <v>670</v>
      </c>
      <c r="I966">
        <v>1.7789999999999999</v>
      </c>
    </row>
    <row r="967" spans="1:9" x14ac:dyDescent="0.25">
      <c r="A967" t="s">
        <v>14</v>
      </c>
      <c r="B967" t="s">
        <v>2</v>
      </c>
      <c r="C967" t="s">
        <v>14</v>
      </c>
      <c r="D967">
        <v>33460</v>
      </c>
      <c r="E967" t="s">
        <v>669</v>
      </c>
      <c r="F967" t="s">
        <v>118</v>
      </c>
      <c r="G967" t="s">
        <v>670</v>
      </c>
      <c r="H967" t="s">
        <v>670</v>
      </c>
      <c r="I967">
        <v>1.829722090616281</v>
      </c>
    </row>
    <row r="968" spans="1:9" x14ac:dyDescent="0.25">
      <c r="A968" t="s">
        <v>14</v>
      </c>
      <c r="B968" t="s">
        <v>2</v>
      </c>
      <c r="C968" t="s">
        <v>14</v>
      </c>
      <c r="D968">
        <v>33460</v>
      </c>
      <c r="E968" t="s">
        <v>671</v>
      </c>
      <c r="F968" t="s">
        <v>116</v>
      </c>
      <c r="G968" t="s">
        <v>670</v>
      </c>
      <c r="H968" t="s">
        <v>670</v>
      </c>
      <c r="I968">
        <v>0.54978783603129933</v>
      </c>
    </row>
    <row r="969" spans="1:9" x14ac:dyDescent="0.25">
      <c r="A969" t="s">
        <v>14</v>
      </c>
      <c r="B969" t="s">
        <v>2</v>
      </c>
      <c r="C969" t="s">
        <v>14</v>
      </c>
      <c r="D969">
        <v>33460</v>
      </c>
      <c r="E969" t="s">
        <v>672</v>
      </c>
      <c r="F969" t="s">
        <v>3</v>
      </c>
      <c r="G969" t="s">
        <v>670</v>
      </c>
      <c r="H969" t="s">
        <v>670</v>
      </c>
      <c r="I969">
        <v>1.8520000000000001</v>
      </c>
    </row>
    <row r="970" spans="1:9" x14ac:dyDescent="0.25">
      <c r="A970" t="s">
        <v>14</v>
      </c>
      <c r="B970" t="s">
        <v>2</v>
      </c>
      <c r="C970" t="s">
        <v>14</v>
      </c>
      <c r="D970">
        <v>33460</v>
      </c>
      <c r="E970" t="s">
        <v>672</v>
      </c>
      <c r="F970" t="s">
        <v>113</v>
      </c>
      <c r="G970" t="s">
        <v>670</v>
      </c>
      <c r="H970" t="s">
        <v>670</v>
      </c>
      <c r="I970">
        <v>1.883</v>
      </c>
    </row>
    <row r="971" spans="1:9" x14ac:dyDescent="0.25">
      <c r="A971" t="s">
        <v>451</v>
      </c>
      <c r="B971" t="s">
        <v>2</v>
      </c>
      <c r="C971" t="s">
        <v>451</v>
      </c>
      <c r="D971">
        <v>33500</v>
      </c>
      <c r="E971" t="s">
        <v>672</v>
      </c>
      <c r="F971" t="s">
        <v>3</v>
      </c>
      <c r="G971" t="s">
        <v>670</v>
      </c>
      <c r="H971" t="s">
        <v>670</v>
      </c>
      <c r="I971">
        <v>1.1870000000000001</v>
      </c>
    </row>
    <row r="972" spans="1:9" x14ac:dyDescent="0.25">
      <c r="A972" t="s">
        <v>451</v>
      </c>
      <c r="B972" t="s">
        <v>2</v>
      </c>
      <c r="C972" t="s">
        <v>451</v>
      </c>
      <c r="D972">
        <v>33500</v>
      </c>
      <c r="E972" t="s">
        <v>672</v>
      </c>
      <c r="F972" t="s">
        <v>113</v>
      </c>
      <c r="G972" t="s">
        <v>670</v>
      </c>
      <c r="H972" t="s">
        <v>670</v>
      </c>
      <c r="I972">
        <v>1.19</v>
      </c>
    </row>
    <row r="973" spans="1:9" x14ac:dyDescent="0.25">
      <c r="A973" t="s">
        <v>452</v>
      </c>
      <c r="B973" t="s">
        <v>2</v>
      </c>
      <c r="C973" t="s">
        <v>452</v>
      </c>
      <c r="D973">
        <v>33540</v>
      </c>
      <c r="E973" t="s">
        <v>672</v>
      </c>
      <c r="F973" t="s">
        <v>3</v>
      </c>
      <c r="G973" t="s">
        <v>670</v>
      </c>
      <c r="H973" t="s">
        <v>670</v>
      </c>
      <c r="I973">
        <v>1.9119999999999999</v>
      </c>
    </row>
    <row r="974" spans="1:9" x14ac:dyDescent="0.25">
      <c r="A974" t="s">
        <v>452</v>
      </c>
      <c r="B974" t="s">
        <v>2</v>
      </c>
      <c r="C974" t="s">
        <v>452</v>
      </c>
      <c r="D974">
        <v>33540</v>
      </c>
      <c r="E974" t="s">
        <v>672</v>
      </c>
      <c r="F974" t="s">
        <v>113</v>
      </c>
      <c r="G974" t="s">
        <v>670</v>
      </c>
      <c r="H974" t="s">
        <v>670</v>
      </c>
      <c r="I974">
        <v>1.9219999999999999</v>
      </c>
    </row>
    <row r="975" spans="1:9" x14ac:dyDescent="0.25">
      <c r="A975" t="s">
        <v>453</v>
      </c>
      <c r="B975" t="s">
        <v>2</v>
      </c>
      <c r="C975" t="s">
        <v>453</v>
      </c>
      <c r="D975">
        <v>33580</v>
      </c>
      <c r="E975" t="s">
        <v>672</v>
      </c>
      <c r="F975" t="s">
        <v>3</v>
      </c>
      <c r="G975" t="s">
        <v>670</v>
      </c>
      <c r="H975" t="s">
        <v>670</v>
      </c>
      <c r="I975" t="s">
        <v>673</v>
      </c>
    </row>
    <row r="976" spans="1:9" x14ac:dyDescent="0.25">
      <c r="A976" t="s">
        <v>453</v>
      </c>
      <c r="B976" t="s">
        <v>2</v>
      </c>
      <c r="C976" t="s">
        <v>453</v>
      </c>
      <c r="D976">
        <v>33580</v>
      </c>
      <c r="E976" t="s">
        <v>672</v>
      </c>
      <c r="F976" t="s">
        <v>113</v>
      </c>
      <c r="G976" t="s">
        <v>670</v>
      </c>
      <c r="H976" t="s">
        <v>670</v>
      </c>
      <c r="I976" t="s">
        <v>673</v>
      </c>
    </row>
    <row r="977" spans="1:9" x14ac:dyDescent="0.25">
      <c r="A977" t="s">
        <v>454</v>
      </c>
      <c r="B977" t="s">
        <v>2</v>
      </c>
      <c r="C977" t="s">
        <v>454</v>
      </c>
      <c r="D977">
        <v>233660</v>
      </c>
      <c r="E977" t="s">
        <v>669</v>
      </c>
      <c r="F977" t="s">
        <v>118</v>
      </c>
      <c r="G977" t="s">
        <v>670</v>
      </c>
      <c r="H977" t="s">
        <v>670</v>
      </c>
      <c r="I977">
        <v>1.1462306409843075</v>
      </c>
    </row>
    <row r="978" spans="1:9" x14ac:dyDescent="0.25">
      <c r="A978" t="s">
        <v>454</v>
      </c>
      <c r="B978" t="s">
        <v>2</v>
      </c>
      <c r="C978" t="s">
        <v>454</v>
      </c>
      <c r="D978">
        <v>233660</v>
      </c>
      <c r="E978" t="s">
        <v>671</v>
      </c>
      <c r="F978" t="s">
        <v>116</v>
      </c>
      <c r="G978" t="s">
        <v>670</v>
      </c>
      <c r="H978" t="s">
        <v>670</v>
      </c>
      <c r="I978">
        <v>0.51008404657119166</v>
      </c>
    </row>
    <row r="979" spans="1:9" x14ac:dyDescent="0.25">
      <c r="A979" t="s">
        <v>454</v>
      </c>
      <c r="B979" t="s">
        <v>2</v>
      </c>
      <c r="C979" t="s">
        <v>454</v>
      </c>
      <c r="D979">
        <v>233660</v>
      </c>
      <c r="E979" t="s">
        <v>672</v>
      </c>
      <c r="F979" t="s">
        <v>3</v>
      </c>
      <c r="G979" t="s">
        <v>670</v>
      </c>
      <c r="H979" t="s">
        <v>670</v>
      </c>
      <c r="I979">
        <v>1.226</v>
      </c>
    </row>
    <row r="980" spans="1:9" x14ac:dyDescent="0.25">
      <c r="A980" t="s">
        <v>454</v>
      </c>
      <c r="B980" t="s">
        <v>2</v>
      </c>
      <c r="C980" t="s">
        <v>454</v>
      </c>
      <c r="D980">
        <v>233660</v>
      </c>
      <c r="E980" t="s">
        <v>672</v>
      </c>
      <c r="F980" t="s">
        <v>113</v>
      </c>
      <c r="G980" t="s">
        <v>670</v>
      </c>
      <c r="H980" t="s">
        <v>670</v>
      </c>
      <c r="I980">
        <v>1.2390000000000001</v>
      </c>
    </row>
    <row r="981" spans="1:9" x14ac:dyDescent="0.25">
      <c r="A981" t="s">
        <v>455</v>
      </c>
      <c r="B981" t="s">
        <v>2</v>
      </c>
      <c r="C981" t="s">
        <v>455</v>
      </c>
      <c r="D981">
        <v>33700</v>
      </c>
      <c r="E981" t="s">
        <v>669</v>
      </c>
      <c r="F981" t="s">
        <v>118</v>
      </c>
      <c r="G981" t="s">
        <v>670</v>
      </c>
      <c r="H981" t="s">
        <v>670</v>
      </c>
      <c r="I981">
        <v>1.9780010621706947</v>
      </c>
    </row>
    <row r="982" spans="1:9" x14ac:dyDescent="0.25">
      <c r="A982" t="s">
        <v>455</v>
      </c>
      <c r="B982" t="s">
        <v>2</v>
      </c>
      <c r="C982" t="s">
        <v>455</v>
      </c>
      <c r="D982">
        <v>33700</v>
      </c>
      <c r="E982" t="s">
        <v>672</v>
      </c>
      <c r="F982" t="s">
        <v>3</v>
      </c>
      <c r="G982" t="s">
        <v>670</v>
      </c>
      <c r="H982" t="s">
        <v>670</v>
      </c>
      <c r="I982">
        <v>2.1150000000000002</v>
      </c>
    </row>
    <row r="983" spans="1:9" x14ac:dyDescent="0.25">
      <c r="A983" t="s">
        <v>455</v>
      </c>
      <c r="B983" t="s">
        <v>2</v>
      </c>
      <c r="C983" t="s">
        <v>455</v>
      </c>
      <c r="D983">
        <v>33700</v>
      </c>
      <c r="E983" t="s">
        <v>672</v>
      </c>
      <c r="F983" t="s">
        <v>113</v>
      </c>
      <c r="G983" t="s">
        <v>670</v>
      </c>
      <c r="H983" t="s">
        <v>670</v>
      </c>
      <c r="I983">
        <v>2.1240000000000001</v>
      </c>
    </row>
    <row r="984" spans="1:9" x14ac:dyDescent="0.25">
      <c r="A984" t="s">
        <v>456</v>
      </c>
      <c r="B984" t="s">
        <v>2</v>
      </c>
      <c r="C984" t="s">
        <v>456</v>
      </c>
      <c r="D984">
        <v>33740</v>
      </c>
      <c r="E984" t="s">
        <v>669</v>
      </c>
      <c r="F984" t="s">
        <v>118</v>
      </c>
      <c r="G984" t="s">
        <v>670</v>
      </c>
      <c r="H984" t="s">
        <v>670</v>
      </c>
      <c r="I984">
        <v>0.84502035686134103</v>
      </c>
    </row>
    <row r="985" spans="1:9" x14ac:dyDescent="0.25">
      <c r="A985" t="s">
        <v>456</v>
      </c>
      <c r="B985" t="s">
        <v>2</v>
      </c>
      <c r="C985" t="s">
        <v>456</v>
      </c>
      <c r="D985">
        <v>33740</v>
      </c>
      <c r="E985" t="s">
        <v>672</v>
      </c>
      <c r="F985" t="s">
        <v>3</v>
      </c>
      <c r="G985" t="s">
        <v>670</v>
      </c>
      <c r="H985" t="s">
        <v>670</v>
      </c>
      <c r="I985">
        <v>1.137</v>
      </c>
    </row>
    <row r="986" spans="1:9" x14ac:dyDescent="0.25">
      <c r="A986" t="s">
        <v>456</v>
      </c>
      <c r="B986" t="s">
        <v>2</v>
      </c>
      <c r="C986" t="s">
        <v>456</v>
      </c>
      <c r="D986">
        <v>33740</v>
      </c>
      <c r="E986" t="s">
        <v>672</v>
      </c>
      <c r="F986" t="s">
        <v>113</v>
      </c>
      <c r="G986" t="s">
        <v>670</v>
      </c>
      <c r="H986" t="s">
        <v>670</v>
      </c>
      <c r="I986">
        <v>1.137</v>
      </c>
    </row>
    <row r="987" spans="1:9" x14ac:dyDescent="0.25">
      <c r="A987" t="s">
        <v>457</v>
      </c>
      <c r="B987" t="s">
        <v>2</v>
      </c>
      <c r="C987" t="s">
        <v>457</v>
      </c>
      <c r="D987">
        <v>33780</v>
      </c>
      <c r="E987" t="s">
        <v>672</v>
      </c>
      <c r="F987" t="s">
        <v>3</v>
      </c>
      <c r="G987" t="s">
        <v>670</v>
      </c>
      <c r="H987" t="s">
        <v>670</v>
      </c>
      <c r="I987">
        <v>1.2509999999999999</v>
      </c>
    </row>
    <row r="988" spans="1:9" x14ac:dyDescent="0.25">
      <c r="A988" t="s">
        <v>457</v>
      </c>
      <c r="B988" t="s">
        <v>2</v>
      </c>
      <c r="C988" t="s">
        <v>457</v>
      </c>
      <c r="D988">
        <v>33780</v>
      </c>
      <c r="E988" t="s">
        <v>672</v>
      </c>
      <c r="F988" t="s">
        <v>113</v>
      </c>
      <c r="G988" t="s">
        <v>670</v>
      </c>
      <c r="H988" t="s">
        <v>670</v>
      </c>
      <c r="I988">
        <v>1.26</v>
      </c>
    </row>
    <row r="989" spans="1:9" x14ac:dyDescent="0.25">
      <c r="A989" t="s">
        <v>458</v>
      </c>
      <c r="B989" t="s">
        <v>2</v>
      </c>
      <c r="C989" t="s">
        <v>458</v>
      </c>
      <c r="D989">
        <v>33860</v>
      </c>
      <c r="E989" t="s">
        <v>669</v>
      </c>
      <c r="F989" t="s">
        <v>118</v>
      </c>
      <c r="G989" t="s">
        <v>670</v>
      </c>
      <c r="H989" t="s">
        <v>670</v>
      </c>
      <c r="I989">
        <v>1.1747460352790491</v>
      </c>
    </row>
    <row r="990" spans="1:9" x14ac:dyDescent="0.25">
      <c r="A990" t="s">
        <v>458</v>
      </c>
      <c r="B990" t="s">
        <v>2</v>
      </c>
      <c r="C990" t="s">
        <v>458</v>
      </c>
      <c r="D990">
        <v>33860</v>
      </c>
      <c r="E990" t="s">
        <v>671</v>
      </c>
      <c r="F990" t="s">
        <v>116</v>
      </c>
      <c r="G990" t="s">
        <v>670</v>
      </c>
      <c r="H990" t="s">
        <v>670</v>
      </c>
      <c r="I990">
        <v>0.5451896837786393</v>
      </c>
    </row>
    <row r="991" spans="1:9" x14ac:dyDescent="0.25">
      <c r="A991" t="s">
        <v>458</v>
      </c>
      <c r="B991" t="s">
        <v>2</v>
      </c>
      <c r="C991" t="s">
        <v>458</v>
      </c>
      <c r="D991">
        <v>33860</v>
      </c>
      <c r="E991" t="s">
        <v>672</v>
      </c>
      <c r="F991" t="s">
        <v>3</v>
      </c>
      <c r="G991" t="s">
        <v>670</v>
      </c>
      <c r="H991" t="s">
        <v>670</v>
      </c>
      <c r="I991">
        <v>1.1479999999999999</v>
      </c>
    </row>
    <row r="992" spans="1:9" x14ac:dyDescent="0.25">
      <c r="A992" t="s">
        <v>458</v>
      </c>
      <c r="B992" t="s">
        <v>2</v>
      </c>
      <c r="C992" t="s">
        <v>458</v>
      </c>
      <c r="D992">
        <v>33860</v>
      </c>
      <c r="E992" t="s">
        <v>672</v>
      </c>
      <c r="F992" t="s">
        <v>113</v>
      </c>
      <c r="G992" t="s">
        <v>670</v>
      </c>
      <c r="H992" t="s">
        <v>670</v>
      </c>
      <c r="I992">
        <v>1.153</v>
      </c>
    </row>
    <row r="993" spans="1:9" x14ac:dyDescent="0.25">
      <c r="A993" t="s">
        <v>459</v>
      </c>
      <c r="B993" t="s">
        <v>2</v>
      </c>
      <c r="C993" t="s">
        <v>459</v>
      </c>
      <c r="D993">
        <v>33980</v>
      </c>
      <c r="E993" t="s">
        <v>672</v>
      </c>
      <c r="F993" t="s">
        <v>3</v>
      </c>
      <c r="G993" t="s">
        <v>670</v>
      </c>
      <c r="H993" t="s">
        <v>670</v>
      </c>
      <c r="I993">
        <v>1.5129999999999999</v>
      </c>
    </row>
    <row r="994" spans="1:9" x14ac:dyDescent="0.25">
      <c r="A994" t="s">
        <v>459</v>
      </c>
      <c r="B994" t="s">
        <v>2</v>
      </c>
      <c r="C994" t="s">
        <v>459</v>
      </c>
      <c r="D994">
        <v>33980</v>
      </c>
      <c r="E994" t="s">
        <v>672</v>
      </c>
      <c r="F994" t="s">
        <v>113</v>
      </c>
      <c r="G994" t="s">
        <v>670</v>
      </c>
      <c r="H994" t="s">
        <v>670</v>
      </c>
      <c r="I994">
        <v>1.5129999999999999</v>
      </c>
    </row>
    <row r="995" spans="1:9" x14ac:dyDescent="0.25">
      <c r="A995" t="s">
        <v>460</v>
      </c>
      <c r="B995" t="s">
        <v>2</v>
      </c>
      <c r="C995" t="s">
        <v>460</v>
      </c>
      <c r="D995">
        <v>34060</v>
      </c>
      <c r="E995" t="s">
        <v>672</v>
      </c>
      <c r="F995" t="s">
        <v>3</v>
      </c>
      <c r="G995" t="s">
        <v>670</v>
      </c>
      <c r="H995" t="s">
        <v>670</v>
      </c>
      <c r="I995">
        <v>1.4059999999999999</v>
      </c>
    </row>
    <row r="996" spans="1:9" x14ac:dyDescent="0.25">
      <c r="A996" t="s">
        <v>460</v>
      </c>
      <c r="B996" t="s">
        <v>2</v>
      </c>
      <c r="C996" t="s">
        <v>460</v>
      </c>
      <c r="D996">
        <v>34060</v>
      </c>
      <c r="E996" t="s">
        <v>672</v>
      </c>
      <c r="F996" t="s">
        <v>113</v>
      </c>
      <c r="G996" t="s">
        <v>670</v>
      </c>
      <c r="H996" t="s">
        <v>670</v>
      </c>
      <c r="I996">
        <v>1.4059999999999999</v>
      </c>
    </row>
    <row r="997" spans="1:9" x14ac:dyDescent="0.25">
      <c r="A997" t="s">
        <v>461</v>
      </c>
      <c r="B997" t="s">
        <v>2</v>
      </c>
      <c r="C997" t="s">
        <v>461</v>
      </c>
      <c r="D997">
        <v>34100</v>
      </c>
      <c r="E997" t="s">
        <v>672</v>
      </c>
      <c r="F997" t="s">
        <v>3</v>
      </c>
      <c r="G997" t="s">
        <v>670</v>
      </c>
      <c r="H997" t="s">
        <v>670</v>
      </c>
      <c r="I997" t="s">
        <v>673</v>
      </c>
    </row>
    <row r="998" spans="1:9" x14ac:dyDescent="0.25">
      <c r="A998" t="s">
        <v>461</v>
      </c>
      <c r="B998" t="s">
        <v>2</v>
      </c>
      <c r="C998" t="s">
        <v>461</v>
      </c>
      <c r="D998">
        <v>34100</v>
      </c>
      <c r="E998" t="s">
        <v>672</v>
      </c>
      <c r="F998" t="s">
        <v>113</v>
      </c>
      <c r="G998" t="s">
        <v>670</v>
      </c>
      <c r="H998" t="s">
        <v>670</v>
      </c>
      <c r="I998" t="s">
        <v>673</v>
      </c>
    </row>
    <row r="999" spans="1:9" x14ac:dyDescent="0.25">
      <c r="A999" t="s">
        <v>462</v>
      </c>
      <c r="B999" t="s">
        <v>2</v>
      </c>
      <c r="C999" t="s">
        <v>462</v>
      </c>
      <c r="D999">
        <v>34140</v>
      </c>
      <c r="E999" t="s">
        <v>672</v>
      </c>
      <c r="F999" t="s">
        <v>3</v>
      </c>
      <c r="G999" t="s">
        <v>670</v>
      </c>
      <c r="H999" t="s">
        <v>670</v>
      </c>
      <c r="I999" t="s">
        <v>673</v>
      </c>
    </row>
    <row r="1000" spans="1:9" x14ac:dyDescent="0.25">
      <c r="A1000" t="s">
        <v>462</v>
      </c>
      <c r="B1000" t="s">
        <v>2</v>
      </c>
      <c r="C1000" t="s">
        <v>462</v>
      </c>
      <c r="D1000">
        <v>34140</v>
      </c>
      <c r="E1000" t="s">
        <v>672</v>
      </c>
      <c r="F1000" t="s">
        <v>113</v>
      </c>
      <c r="G1000" t="s">
        <v>670</v>
      </c>
      <c r="H1000" t="s">
        <v>670</v>
      </c>
      <c r="I1000" t="s">
        <v>673</v>
      </c>
    </row>
    <row r="1001" spans="1:9" x14ac:dyDescent="0.25">
      <c r="A1001" t="s">
        <v>463</v>
      </c>
      <c r="B1001" t="s">
        <v>2</v>
      </c>
      <c r="C1001" t="s">
        <v>463</v>
      </c>
      <c r="D1001">
        <v>34180</v>
      </c>
      <c r="E1001" t="s">
        <v>669</v>
      </c>
      <c r="F1001" t="s">
        <v>118</v>
      </c>
      <c r="G1001" t="s">
        <v>670</v>
      </c>
      <c r="H1001" t="s">
        <v>670</v>
      </c>
      <c r="I1001">
        <v>0.79090663603136435</v>
      </c>
    </row>
    <row r="1002" spans="1:9" x14ac:dyDescent="0.25">
      <c r="A1002" t="s">
        <v>463</v>
      </c>
      <c r="B1002" t="s">
        <v>2</v>
      </c>
      <c r="C1002" t="s">
        <v>463</v>
      </c>
      <c r="D1002">
        <v>34180</v>
      </c>
      <c r="E1002" t="s">
        <v>672</v>
      </c>
      <c r="F1002" t="s">
        <v>3</v>
      </c>
      <c r="G1002" t="s">
        <v>670</v>
      </c>
      <c r="H1002" t="s">
        <v>670</v>
      </c>
      <c r="I1002">
        <v>1.589</v>
      </c>
    </row>
    <row r="1003" spans="1:9" x14ac:dyDescent="0.25">
      <c r="A1003" t="s">
        <v>463</v>
      </c>
      <c r="B1003" t="s">
        <v>2</v>
      </c>
      <c r="C1003" t="s">
        <v>463</v>
      </c>
      <c r="D1003">
        <v>34180</v>
      </c>
      <c r="E1003" t="s">
        <v>672</v>
      </c>
      <c r="F1003" t="s">
        <v>113</v>
      </c>
      <c r="G1003" t="s">
        <v>670</v>
      </c>
      <c r="H1003" t="s">
        <v>670</v>
      </c>
      <c r="I1003">
        <v>1.61</v>
      </c>
    </row>
    <row r="1004" spans="1:9" x14ac:dyDescent="0.25">
      <c r="A1004" t="s">
        <v>464</v>
      </c>
      <c r="B1004" t="s">
        <v>2</v>
      </c>
      <c r="C1004" t="s">
        <v>464</v>
      </c>
      <c r="D1004">
        <v>34380</v>
      </c>
      <c r="E1004" t="s">
        <v>669</v>
      </c>
      <c r="F1004" t="s">
        <v>118</v>
      </c>
      <c r="G1004" t="s">
        <v>670</v>
      </c>
      <c r="H1004" t="s">
        <v>670</v>
      </c>
      <c r="I1004">
        <v>0.91551311136498437</v>
      </c>
    </row>
    <row r="1005" spans="1:9" x14ac:dyDescent="0.25">
      <c r="A1005" t="s">
        <v>464</v>
      </c>
      <c r="B1005" t="s">
        <v>2</v>
      </c>
      <c r="C1005" t="s">
        <v>464</v>
      </c>
      <c r="D1005">
        <v>34380</v>
      </c>
      <c r="E1005" t="s">
        <v>672</v>
      </c>
      <c r="F1005" t="s">
        <v>3</v>
      </c>
      <c r="G1005" t="s">
        <v>670</v>
      </c>
      <c r="H1005" t="s">
        <v>670</v>
      </c>
      <c r="I1005">
        <v>0.96699999999999997</v>
      </c>
    </row>
    <row r="1006" spans="1:9" x14ac:dyDescent="0.25">
      <c r="A1006" t="s">
        <v>464</v>
      </c>
      <c r="B1006" t="s">
        <v>2</v>
      </c>
      <c r="C1006" t="s">
        <v>464</v>
      </c>
      <c r="D1006">
        <v>34380</v>
      </c>
      <c r="E1006" t="s">
        <v>672</v>
      </c>
      <c r="F1006" t="s">
        <v>113</v>
      </c>
      <c r="G1006" t="s">
        <v>670</v>
      </c>
      <c r="H1006" t="s">
        <v>670</v>
      </c>
      <c r="I1006">
        <v>0.97</v>
      </c>
    </row>
    <row r="1007" spans="1:9" x14ac:dyDescent="0.25">
      <c r="A1007" t="s">
        <v>465</v>
      </c>
      <c r="B1007" t="s">
        <v>2</v>
      </c>
      <c r="C1007" t="s">
        <v>465</v>
      </c>
      <c r="D1007">
        <v>34420</v>
      </c>
      <c r="E1007" t="s">
        <v>672</v>
      </c>
      <c r="F1007" t="s">
        <v>3</v>
      </c>
      <c r="G1007" t="s">
        <v>670</v>
      </c>
      <c r="H1007" t="s">
        <v>670</v>
      </c>
      <c r="I1007" t="s">
        <v>673</v>
      </c>
    </row>
    <row r="1008" spans="1:9" x14ac:dyDescent="0.25">
      <c r="A1008" t="s">
        <v>465</v>
      </c>
      <c r="B1008" t="s">
        <v>2</v>
      </c>
      <c r="C1008" t="s">
        <v>465</v>
      </c>
      <c r="D1008">
        <v>34420</v>
      </c>
      <c r="E1008" t="s">
        <v>672</v>
      </c>
      <c r="F1008" t="s">
        <v>113</v>
      </c>
      <c r="G1008" t="s">
        <v>670</v>
      </c>
      <c r="H1008" t="s">
        <v>670</v>
      </c>
      <c r="I1008" t="s">
        <v>673</v>
      </c>
    </row>
    <row r="1009" spans="1:9" x14ac:dyDescent="0.25">
      <c r="A1009" t="s">
        <v>466</v>
      </c>
      <c r="B1009" t="s">
        <v>2</v>
      </c>
      <c r="C1009" t="s">
        <v>466</v>
      </c>
      <c r="D1009">
        <v>34580</v>
      </c>
      <c r="E1009" t="s">
        <v>669</v>
      </c>
      <c r="F1009" t="s">
        <v>118</v>
      </c>
      <c r="G1009" t="s">
        <v>670</v>
      </c>
      <c r="H1009" t="s">
        <v>670</v>
      </c>
      <c r="I1009">
        <v>2.0877539107716423</v>
      </c>
    </row>
    <row r="1010" spans="1:9" x14ac:dyDescent="0.25">
      <c r="A1010" t="s">
        <v>466</v>
      </c>
      <c r="B1010" t="s">
        <v>2</v>
      </c>
      <c r="C1010" t="s">
        <v>466</v>
      </c>
      <c r="D1010">
        <v>34580</v>
      </c>
      <c r="E1010" t="s">
        <v>672</v>
      </c>
      <c r="F1010" t="s">
        <v>3</v>
      </c>
      <c r="G1010" t="s">
        <v>670</v>
      </c>
      <c r="H1010" t="s">
        <v>670</v>
      </c>
      <c r="I1010">
        <v>2.0030000000000001</v>
      </c>
    </row>
    <row r="1011" spans="1:9" x14ac:dyDescent="0.25">
      <c r="A1011" t="s">
        <v>466</v>
      </c>
      <c r="B1011" t="s">
        <v>2</v>
      </c>
      <c r="C1011" t="s">
        <v>466</v>
      </c>
      <c r="D1011">
        <v>34580</v>
      </c>
      <c r="E1011" t="s">
        <v>672</v>
      </c>
      <c r="F1011" t="s">
        <v>113</v>
      </c>
      <c r="G1011" t="s">
        <v>670</v>
      </c>
      <c r="H1011" t="s">
        <v>670</v>
      </c>
      <c r="I1011">
        <v>2.012</v>
      </c>
    </row>
    <row r="1012" spans="1:9" x14ac:dyDescent="0.25">
      <c r="A1012" t="s">
        <v>467</v>
      </c>
      <c r="B1012" t="s">
        <v>2</v>
      </c>
      <c r="C1012" t="s">
        <v>467</v>
      </c>
      <c r="D1012">
        <v>34500</v>
      </c>
      <c r="E1012" t="s">
        <v>672</v>
      </c>
      <c r="F1012" t="s">
        <v>3</v>
      </c>
      <c r="G1012" t="s">
        <v>670</v>
      </c>
      <c r="H1012" t="s">
        <v>670</v>
      </c>
      <c r="I1012">
        <v>1.3160000000000001</v>
      </c>
    </row>
    <row r="1013" spans="1:9" x14ac:dyDescent="0.25">
      <c r="A1013" t="s">
        <v>467</v>
      </c>
      <c r="B1013" t="s">
        <v>2</v>
      </c>
      <c r="C1013" t="s">
        <v>467</v>
      </c>
      <c r="D1013">
        <v>34500</v>
      </c>
      <c r="E1013" t="s">
        <v>672</v>
      </c>
      <c r="F1013" t="s">
        <v>113</v>
      </c>
      <c r="G1013" t="s">
        <v>670</v>
      </c>
      <c r="H1013" t="s">
        <v>670</v>
      </c>
      <c r="I1013">
        <v>1.32</v>
      </c>
    </row>
    <row r="1014" spans="1:9" x14ac:dyDescent="0.25">
      <c r="A1014" t="s">
        <v>468</v>
      </c>
      <c r="B1014" t="s">
        <v>2</v>
      </c>
      <c r="C1014" t="s">
        <v>468</v>
      </c>
      <c r="D1014">
        <v>34540</v>
      </c>
      <c r="E1014" t="s">
        <v>672</v>
      </c>
      <c r="F1014" t="s">
        <v>3</v>
      </c>
      <c r="G1014" t="s">
        <v>670</v>
      </c>
      <c r="H1014" t="s">
        <v>670</v>
      </c>
      <c r="I1014">
        <v>1.339</v>
      </c>
    </row>
    <row r="1015" spans="1:9" x14ac:dyDescent="0.25">
      <c r="A1015" t="s">
        <v>468</v>
      </c>
      <c r="B1015" t="s">
        <v>2</v>
      </c>
      <c r="C1015" t="s">
        <v>468</v>
      </c>
      <c r="D1015">
        <v>34540</v>
      </c>
      <c r="E1015" t="s">
        <v>672</v>
      </c>
      <c r="F1015" t="s">
        <v>113</v>
      </c>
      <c r="G1015" t="s">
        <v>670</v>
      </c>
      <c r="H1015" t="s">
        <v>670</v>
      </c>
      <c r="I1015">
        <v>1.369</v>
      </c>
    </row>
    <row r="1016" spans="1:9" x14ac:dyDescent="0.25">
      <c r="A1016" t="s">
        <v>469</v>
      </c>
      <c r="B1016" t="s">
        <v>2</v>
      </c>
      <c r="C1016" t="s">
        <v>469</v>
      </c>
      <c r="D1016">
        <v>34620</v>
      </c>
      <c r="E1016" t="s">
        <v>672</v>
      </c>
      <c r="F1016" t="s">
        <v>3</v>
      </c>
      <c r="G1016" t="s">
        <v>670</v>
      </c>
      <c r="H1016" t="s">
        <v>670</v>
      </c>
      <c r="I1016">
        <v>1.2490000000000001</v>
      </c>
    </row>
    <row r="1017" spans="1:9" x14ac:dyDescent="0.25">
      <c r="A1017" t="s">
        <v>469</v>
      </c>
      <c r="B1017" t="s">
        <v>2</v>
      </c>
      <c r="C1017" t="s">
        <v>469</v>
      </c>
      <c r="D1017">
        <v>34620</v>
      </c>
      <c r="E1017" t="s">
        <v>672</v>
      </c>
      <c r="F1017" t="s">
        <v>113</v>
      </c>
      <c r="G1017" t="s">
        <v>670</v>
      </c>
      <c r="H1017" t="s">
        <v>670</v>
      </c>
      <c r="I1017">
        <v>1.2589999999999999</v>
      </c>
    </row>
    <row r="1018" spans="1:9" x14ac:dyDescent="0.25">
      <c r="A1018" t="s">
        <v>470</v>
      </c>
      <c r="B1018" t="s">
        <v>2</v>
      </c>
      <c r="C1018" t="s">
        <v>470</v>
      </c>
      <c r="D1018">
        <v>34680</v>
      </c>
      <c r="E1018" t="s">
        <v>672</v>
      </c>
      <c r="F1018" t="s">
        <v>3</v>
      </c>
      <c r="G1018" t="s">
        <v>670</v>
      </c>
      <c r="H1018" t="s">
        <v>670</v>
      </c>
      <c r="I1018" t="s">
        <v>673</v>
      </c>
    </row>
    <row r="1019" spans="1:9" x14ac:dyDescent="0.25">
      <c r="A1019" t="s">
        <v>470</v>
      </c>
      <c r="B1019" t="s">
        <v>2</v>
      </c>
      <c r="C1019" t="s">
        <v>470</v>
      </c>
      <c r="D1019">
        <v>34680</v>
      </c>
      <c r="E1019" t="s">
        <v>672</v>
      </c>
      <c r="F1019" t="s">
        <v>113</v>
      </c>
      <c r="G1019" t="s">
        <v>670</v>
      </c>
      <c r="H1019" t="s">
        <v>670</v>
      </c>
      <c r="I1019" t="s">
        <v>673</v>
      </c>
    </row>
    <row r="1020" spans="1:9" x14ac:dyDescent="0.25">
      <c r="A1020" t="s">
        <v>471</v>
      </c>
      <c r="B1020" t="s">
        <v>2</v>
      </c>
      <c r="C1020" t="s">
        <v>471</v>
      </c>
      <c r="D1020">
        <v>34700</v>
      </c>
      <c r="E1020" t="s">
        <v>669</v>
      </c>
      <c r="F1020" t="s">
        <v>118</v>
      </c>
      <c r="G1020" t="s">
        <v>670</v>
      </c>
      <c r="H1020" t="s">
        <v>670</v>
      </c>
      <c r="I1020">
        <v>0.95400094689851422</v>
      </c>
    </row>
    <row r="1021" spans="1:9" x14ac:dyDescent="0.25">
      <c r="A1021" t="s">
        <v>471</v>
      </c>
      <c r="B1021" t="s">
        <v>2</v>
      </c>
      <c r="C1021" t="s">
        <v>471</v>
      </c>
      <c r="D1021">
        <v>34700</v>
      </c>
      <c r="E1021" t="s">
        <v>672</v>
      </c>
      <c r="F1021" t="s">
        <v>3</v>
      </c>
      <c r="G1021" t="s">
        <v>670</v>
      </c>
      <c r="H1021" t="s">
        <v>670</v>
      </c>
      <c r="I1021">
        <v>1.1200000000000001</v>
      </c>
    </row>
    <row r="1022" spans="1:9" x14ac:dyDescent="0.25">
      <c r="A1022" t="s">
        <v>471</v>
      </c>
      <c r="B1022" t="s">
        <v>2</v>
      </c>
      <c r="C1022" t="s">
        <v>471</v>
      </c>
      <c r="D1022">
        <v>34700</v>
      </c>
      <c r="E1022" t="s">
        <v>672</v>
      </c>
      <c r="F1022" t="s">
        <v>113</v>
      </c>
      <c r="G1022" t="s">
        <v>670</v>
      </c>
      <c r="H1022" t="s">
        <v>670</v>
      </c>
      <c r="I1022">
        <v>1.127</v>
      </c>
    </row>
    <row r="1023" spans="1:9" x14ac:dyDescent="0.25">
      <c r="A1023" t="s">
        <v>472</v>
      </c>
      <c r="B1023" t="s">
        <v>2</v>
      </c>
      <c r="C1023" t="s">
        <v>472</v>
      </c>
      <c r="D1023">
        <v>34820</v>
      </c>
      <c r="E1023" t="s">
        <v>669</v>
      </c>
      <c r="F1023" t="s">
        <v>118</v>
      </c>
      <c r="G1023" t="s">
        <v>670</v>
      </c>
      <c r="H1023" t="s">
        <v>670</v>
      </c>
      <c r="I1023">
        <v>1.4675546509561164</v>
      </c>
    </row>
    <row r="1024" spans="1:9" x14ac:dyDescent="0.25">
      <c r="A1024" t="s">
        <v>472</v>
      </c>
      <c r="B1024" t="s">
        <v>2</v>
      </c>
      <c r="C1024" t="s">
        <v>472</v>
      </c>
      <c r="D1024">
        <v>34820</v>
      </c>
      <c r="E1024" t="s">
        <v>671</v>
      </c>
      <c r="F1024" t="s">
        <v>116</v>
      </c>
      <c r="G1024" t="s">
        <v>670</v>
      </c>
      <c r="H1024" t="s">
        <v>670</v>
      </c>
      <c r="I1024">
        <v>0.57511724112745155</v>
      </c>
    </row>
    <row r="1025" spans="1:9" x14ac:dyDescent="0.25">
      <c r="A1025" t="s">
        <v>472</v>
      </c>
      <c r="B1025" t="s">
        <v>2</v>
      </c>
      <c r="C1025" t="s">
        <v>472</v>
      </c>
      <c r="D1025">
        <v>34820</v>
      </c>
      <c r="E1025" t="s">
        <v>672</v>
      </c>
      <c r="F1025" t="s">
        <v>3</v>
      </c>
      <c r="G1025" t="s">
        <v>670</v>
      </c>
      <c r="H1025" t="s">
        <v>670</v>
      </c>
      <c r="I1025">
        <v>1.4430000000000001</v>
      </c>
    </row>
    <row r="1026" spans="1:9" x14ac:dyDescent="0.25">
      <c r="A1026" t="s">
        <v>472</v>
      </c>
      <c r="B1026" t="s">
        <v>2</v>
      </c>
      <c r="C1026" t="s">
        <v>472</v>
      </c>
      <c r="D1026">
        <v>34820</v>
      </c>
      <c r="E1026" t="s">
        <v>672</v>
      </c>
      <c r="F1026" t="s">
        <v>113</v>
      </c>
      <c r="G1026" t="s">
        <v>670</v>
      </c>
      <c r="H1026" t="s">
        <v>670</v>
      </c>
      <c r="I1026">
        <v>1.5109999999999999</v>
      </c>
    </row>
    <row r="1027" spans="1:9" x14ac:dyDescent="0.25">
      <c r="A1027" t="s">
        <v>473</v>
      </c>
      <c r="B1027" t="s">
        <v>2</v>
      </c>
      <c r="C1027" t="s">
        <v>473</v>
      </c>
      <c r="D1027">
        <v>34860</v>
      </c>
      <c r="E1027" t="s">
        <v>669</v>
      </c>
      <c r="F1027" t="s">
        <v>118</v>
      </c>
      <c r="G1027" t="s">
        <v>670</v>
      </c>
      <c r="H1027" t="s">
        <v>670</v>
      </c>
      <c r="I1027">
        <v>1.0711307642697492</v>
      </c>
    </row>
    <row r="1028" spans="1:9" x14ac:dyDescent="0.25">
      <c r="A1028" t="s">
        <v>473</v>
      </c>
      <c r="B1028" t="s">
        <v>2</v>
      </c>
      <c r="C1028" t="s">
        <v>473</v>
      </c>
      <c r="D1028">
        <v>34860</v>
      </c>
      <c r="E1028" t="s">
        <v>672</v>
      </c>
      <c r="F1028" t="s">
        <v>3</v>
      </c>
      <c r="G1028" t="s">
        <v>670</v>
      </c>
      <c r="H1028" t="s">
        <v>670</v>
      </c>
      <c r="I1028">
        <v>1.2809999999999999</v>
      </c>
    </row>
    <row r="1029" spans="1:9" x14ac:dyDescent="0.25">
      <c r="A1029" t="s">
        <v>473</v>
      </c>
      <c r="B1029" t="s">
        <v>2</v>
      </c>
      <c r="C1029" t="s">
        <v>473</v>
      </c>
      <c r="D1029">
        <v>34860</v>
      </c>
      <c r="E1029" t="s">
        <v>672</v>
      </c>
      <c r="F1029" t="s">
        <v>113</v>
      </c>
      <c r="G1029" t="s">
        <v>670</v>
      </c>
      <c r="H1029" t="s">
        <v>670</v>
      </c>
      <c r="I1029">
        <v>1.2809999999999999</v>
      </c>
    </row>
    <row r="1030" spans="1:9" x14ac:dyDescent="0.25">
      <c r="A1030" t="s">
        <v>474</v>
      </c>
      <c r="B1030" t="s">
        <v>2</v>
      </c>
      <c r="C1030" t="s">
        <v>474</v>
      </c>
      <c r="D1030">
        <v>34940</v>
      </c>
      <c r="E1030" t="s">
        <v>669</v>
      </c>
      <c r="F1030" t="s">
        <v>118</v>
      </c>
      <c r="G1030" t="s">
        <v>670</v>
      </c>
      <c r="H1030" t="s">
        <v>670</v>
      </c>
      <c r="I1030">
        <v>1.9745248502454567</v>
      </c>
    </row>
    <row r="1031" spans="1:9" x14ac:dyDescent="0.25">
      <c r="A1031" t="s">
        <v>474</v>
      </c>
      <c r="B1031" t="s">
        <v>2</v>
      </c>
      <c r="C1031" t="s">
        <v>474</v>
      </c>
      <c r="D1031">
        <v>34940</v>
      </c>
      <c r="E1031" t="s">
        <v>672</v>
      </c>
      <c r="F1031" t="s">
        <v>3</v>
      </c>
      <c r="G1031" t="s">
        <v>670</v>
      </c>
      <c r="H1031" t="s">
        <v>670</v>
      </c>
      <c r="I1031">
        <v>1.9470000000000001</v>
      </c>
    </row>
    <row r="1032" spans="1:9" x14ac:dyDescent="0.25">
      <c r="A1032" t="s">
        <v>474</v>
      </c>
      <c r="B1032" t="s">
        <v>2</v>
      </c>
      <c r="C1032" t="s">
        <v>474</v>
      </c>
      <c r="D1032">
        <v>34940</v>
      </c>
      <c r="E1032" t="s">
        <v>672</v>
      </c>
      <c r="F1032" t="s">
        <v>113</v>
      </c>
      <c r="G1032" t="s">
        <v>670</v>
      </c>
      <c r="H1032" t="s">
        <v>670</v>
      </c>
      <c r="I1032">
        <v>2.02</v>
      </c>
    </row>
    <row r="1033" spans="1:9" x14ac:dyDescent="0.25">
      <c r="A1033" t="s">
        <v>15</v>
      </c>
      <c r="B1033" t="s">
        <v>2</v>
      </c>
      <c r="C1033" t="s">
        <v>15</v>
      </c>
      <c r="D1033">
        <v>34980</v>
      </c>
      <c r="E1033" t="s">
        <v>669</v>
      </c>
      <c r="F1033" t="s">
        <v>118</v>
      </c>
      <c r="G1033" t="s">
        <v>670</v>
      </c>
      <c r="H1033" t="s">
        <v>670</v>
      </c>
      <c r="I1033">
        <v>1.6709560254359048</v>
      </c>
    </row>
    <row r="1034" spans="1:9" x14ac:dyDescent="0.25">
      <c r="A1034" t="s">
        <v>15</v>
      </c>
      <c r="B1034" t="s">
        <v>2</v>
      </c>
      <c r="C1034" t="s">
        <v>15</v>
      </c>
      <c r="D1034">
        <v>34980</v>
      </c>
      <c r="E1034" t="s">
        <v>671</v>
      </c>
      <c r="F1034" t="s">
        <v>116</v>
      </c>
      <c r="G1034" t="s">
        <v>670</v>
      </c>
      <c r="H1034" t="s">
        <v>670</v>
      </c>
      <c r="I1034">
        <v>0.58837203613683697</v>
      </c>
    </row>
    <row r="1035" spans="1:9" x14ac:dyDescent="0.25">
      <c r="A1035" t="s">
        <v>15</v>
      </c>
      <c r="B1035" t="s">
        <v>2</v>
      </c>
      <c r="C1035" t="s">
        <v>15</v>
      </c>
      <c r="D1035">
        <v>34980</v>
      </c>
      <c r="E1035" t="s">
        <v>672</v>
      </c>
      <c r="F1035" t="s">
        <v>3</v>
      </c>
      <c r="G1035" t="s">
        <v>670</v>
      </c>
      <c r="H1035" t="s">
        <v>670</v>
      </c>
      <c r="I1035">
        <v>1.675</v>
      </c>
    </row>
    <row r="1036" spans="1:9" x14ac:dyDescent="0.25">
      <c r="A1036" t="s">
        <v>15</v>
      </c>
      <c r="B1036" t="s">
        <v>2</v>
      </c>
      <c r="C1036" t="s">
        <v>15</v>
      </c>
      <c r="D1036">
        <v>34980</v>
      </c>
      <c r="E1036" t="s">
        <v>672</v>
      </c>
      <c r="F1036" t="s">
        <v>113</v>
      </c>
      <c r="G1036" t="s">
        <v>670</v>
      </c>
      <c r="H1036" t="s">
        <v>670</v>
      </c>
      <c r="I1036">
        <v>1.738</v>
      </c>
    </row>
    <row r="1037" spans="1:9" x14ac:dyDescent="0.25">
      <c r="A1037" t="s">
        <v>475</v>
      </c>
      <c r="B1037" t="s">
        <v>2</v>
      </c>
      <c r="C1037" t="s">
        <v>475</v>
      </c>
      <c r="D1037">
        <v>35004</v>
      </c>
      <c r="E1037" t="s">
        <v>669</v>
      </c>
      <c r="F1037" t="s">
        <v>118</v>
      </c>
      <c r="G1037" t="s">
        <v>670</v>
      </c>
      <c r="H1037" t="s">
        <v>670</v>
      </c>
      <c r="I1037">
        <v>3.4015333492007995</v>
      </c>
    </row>
    <row r="1038" spans="1:9" x14ac:dyDescent="0.25">
      <c r="A1038" t="s">
        <v>475</v>
      </c>
      <c r="B1038" t="s">
        <v>2</v>
      </c>
      <c r="C1038" t="s">
        <v>475</v>
      </c>
      <c r="D1038">
        <v>35004</v>
      </c>
      <c r="E1038" t="s">
        <v>671</v>
      </c>
      <c r="F1038" t="s">
        <v>116</v>
      </c>
      <c r="G1038" t="s">
        <v>670</v>
      </c>
      <c r="H1038" t="s">
        <v>670</v>
      </c>
      <c r="I1038">
        <v>0.68636799737308263</v>
      </c>
    </row>
    <row r="1039" spans="1:9" x14ac:dyDescent="0.25">
      <c r="A1039" t="s">
        <v>475</v>
      </c>
      <c r="B1039" t="s">
        <v>2</v>
      </c>
      <c r="C1039" t="s">
        <v>475</v>
      </c>
      <c r="D1039">
        <v>35004</v>
      </c>
      <c r="E1039" t="s">
        <v>672</v>
      </c>
      <c r="F1039" t="s">
        <v>3</v>
      </c>
      <c r="G1039" t="s">
        <v>670</v>
      </c>
      <c r="H1039" t="s">
        <v>670</v>
      </c>
      <c r="I1039">
        <v>3.3479999999999999</v>
      </c>
    </row>
    <row r="1040" spans="1:9" x14ac:dyDescent="0.25">
      <c r="A1040" t="s">
        <v>475</v>
      </c>
      <c r="B1040" t="s">
        <v>2</v>
      </c>
      <c r="C1040" t="s">
        <v>475</v>
      </c>
      <c r="D1040">
        <v>35004</v>
      </c>
      <c r="E1040" t="s">
        <v>672</v>
      </c>
      <c r="F1040" t="s">
        <v>113</v>
      </c>
      <c r="G1040" t="s">
        <v>670</v>
      </c>
      <c r="H1040" t="s">
        <v>670</v>
      </c>
      <c r="I1040">
        <v>3.3639999999999999</v>
      </c>
    </row>
    <row r="1041" spans="1:9" x14ac:dyDescent="0.25">
      <c r="A1041" t="s">
        <v>476</v>
      </c>
      <c r="B1041" t="s">
        <v>2</v>
      </c>
      <c r="C1041" t="s">
        <v>476</v>
      </c>
      <c r="D1041">
        <v>235084</v>
      </c>
      <c r="E1041" t="s">
        <v>669</v>
      </c>
      <c r="F1041" t="s">
        <v>118</v>
      </c>
      <c r="G1041" t="s">
        <v>670</v>
      </c>
      <c r="H1041" t="s">
        <v>670</v>
      </c>
      <c r="I1041">
        <v>3.026255910391038</v>
      </c>
    </row>
    <row r="1042" spans="1:9" x14ac:dyDescent="0.25">
      <c r="A1042" t="s">
        <v>476</v>
      </c>
      <c r="B1042" t="s">
        <v>2</v>
      </c>
      <c r="C1042" t="s">
        <v>476</v>
      </c>
      <c r="D1042">
        <v>235084</v>
      </c>
      <c r="E1042" t="s">
        <v>671</v>
      </c>
      <c r="F1042" t="s">
        <v>116</v>
      </c>
      <c r="G1042" t="s">
        <v>670</v>
      </c>
      <c r="H1042" t="s">
        <v>670</v>
      </c>
      <c r="I1042">
        <v>0.59934278668921237</v>
      </c>
    </row>
    <row r="1043" spans="1:9" x14ac:dyDescent="0.25">
      <c r="A1043" t="s">
        <v>476</v>
      </c>
      <c r="B1043" t="s">
        <v>2</v>
      </c>
      <c r="C1043" t="s">
        <v>476</v>
      </c>
      <c r="D1043">
        <v>235084</v>
      </c>
      <c r="E1043" t="s">
        <v>672</v>
      </c>
      <c r="F1043" t="s">
        <v>3</v>
      </c>
      <c r="G1043" t="s">
        <v>670</v>
      </c>
      <c r="H1043" t="s">
        <v>670</v>
      </c>
      <c r="I1043">
        <v>3.1549999999999998</v>
      </c>
    </row>
    <row r="1044" spans="1:9" x14ac:dyDescent="0.25">
      <c r="A1044" t="s">
        <v>476</v>
      </c>
      <c r="B1044" t="s">
        <v>2</v>
      </c>
      <c r="C1044" t="s">
        <v>476</v>
      </c>
      <c r="D1044">
        <v>235084</v>
      </c>
      <c r="E1044" t="s">
        <v>672</v>
      </c>
      <c r="F1044" t="s">
        <v>113</v>
      </c>
      <c r="G1044" t="s">
        <v>670</v>
      </c>
      <c r="H1044" t="s">
        <v>670</v>
      </c>
      <c r="I1044">
        <v>3.1930000000000001</v>
      </c>
    </row>
    <row r="1045" spans="1:9" x14ac:dyDescent="0.25">
      <c r="A1045" t="s">
        <v>477</v>
      </c>
      <c r="B1045" t="s">
        <v>2</v>
      </c>
      <c r="C1045" t="s">
        <v>477</v>
      </c>
      <c r="D1045">
        <v>35100</v>
      </c>
      <c r="E1045" t="s">
        <v>672</v>
      </c>
      <c r="F1045" t="s">
        <v>3</v>
      </c>
      <c r="G1045" t="s">
        <v>670</v>
      </c>
      <c r="H1045" t="s">
        <v>670</v>
      </c>
      <c r="I1045">
        <v>1.423</v>
      </c>
    </row>
    <row r="1046" spans="1:9" x14ac:dyDescent="0.25">
      <c r="A1046" t="s">
        <v>477</v>
      </c>
      <c r="B1046" t="s">
        <v>2</v>
      </c>
      <c r="C1046" t="s">
        <v>477</v>
      </c>
      <c r="D1046">
        <v>35100</v>
      </c>
      <c r="E1046" t="s">
        <v>672</v>
      </c>
      <c r="F1046" t="s">
        <v>113</v>
      </c>
      <c r="G1046" t="s">
        <v>670</v>
      </c>
      <c r="H1046" t="s">
        <v>670</v>
      </c>
      <c r="I1046">
        <v>1.4319999999999999</v>
      </c>
    </row>
    <row r="1047" spans="1:9" x14ac:dyDescent="0.25">
      <c r="A1047" t="s">
        <v>478</v>
      </c>
      <c r="B1047" t="s">
        <v>2</v>
      </c>
      <c r="C1047" t="s">
        <v>478</v>
      </c>
      <c r="D1047">
        <v>35220</v>
      </c>
      <c r="E1047" t="s">
        <v>672</v>
      </c>
      <c r="F1047" t="s">
        <v>3</v>
      </c>
      <c r="G1047" t="s">
        <v>670</v>
      </c>
      <c r="H1047" t="s">
        <v>670</v>
      </c>
      <c r="I1047" t="s">
        <v>673</v>
      </c>
    </row>
    <row r="1048" spans="1:9" x14ac:dyDescent="0.25">
      <c r="A1048" t="s">
        <v>478</v>
      </c>
      <c r="B1048" t="s">
        <v>2</v>
      </c>
      <c r="C1048" t="s">
        <v>478</v>
      </c>
      <c r="D1048">
        <v>35220</v>
      </c>
      <c r="E1048" t="s">
        <v>672</v>
      </c>
      <c r="F1048" t="s">
        <v>113</v>
      </c>
      <c r="G1048" t="s">
        <v>670</v>
      </c>
      <c r="H1048" t="s">
        <v>670</v>
      </c>
      <c r="I1048" t="s">
        <v>673</v>
      </c>
    </row>
    <row r="1049" spans="1:9" x14ac:dyDescent="0.25">
      <c r="A1049" t="s">
        <v>479</v>
      </c>
      <c r="B1049" t="s">
        <v>2</v>
      </c>
      <c r="C1049" t="s">
        <v>479</v>
      </c>
      <c r="D1049">
        <v>235300</v>
      </c>
      <c r="E1049" t="s">
        <v>669</v>
      </c>
      <c r="F1049" t="s">
        <v>118</v>
      </c>
      <c r="G1049" t="s">
        <v>670</v>
      </c>
      <c r="H1049" t="s">
        <v>670</v>
      </c>
      <c r="I1049">
        <v>2.4505877945584889</v>
      </c>
    </row>
    <row r="1050" spans="1:9" x14ac:dyDescent="0.25">
      <c r="A1050" t="s">
        <v>479</v>
      </c>
      <c r="B1050" t="s">
        <v>2</v>
      </c>
      <c r="C1050" t="s">
        <v>479</v>
      </c>
      <c r="D1050">
        <v>235300</v>
      </c>
      <c r="E1050" t="s">
        <v>672</v>
      </c>
      <c r="F1050" t="s">
        <v>3</v>
      </c>
      <c r="G1050" t="s">
        <v>670</v>
      </c>
      <c r="H1050" t="s">
        <v>670</v>
      </c>
      <c r="I1050">
        <v>2.5409999999999999</v>
      </c>
    </row>
    <row r="1051" spans="1:9" x14ac:dyDescent="0.25">
      <c r="A1051" t="s">
        <v>479</v>
      </c>
      <c r="B1051" t="s">
        <v>2</v>
      </c>
      <c r="C1051" t="s">
        <v>479</v>
      </c>
      <c r="D1051">
        <v>235300</v>
      </c>
      <c r="E1051" t="s">
        <v>672</v>
      </c>
      <c r="F1051" t="s">
        <v>113</v>
      </c>
      <c r="G1051" t="s">
        <v>670</v>
      </c>
      <c r="H1051" t="s">
        <v>670</v>
      </c>
      <c r="I1051">
        <v>2.59</v>
      </c>
    </row>
    <row r="1052" spans="1:9" x14ac:dyDescent="0.25">
      <c r="A1052" t="s">
        <v>480</v>
      </c>
      <c r="B1052" t="s">
        <v>2</v>
      </c>
      <c r="C1052" t="s">
        <v>480</v>
      </c>
      <c r="D1052">
        <v>235380</v>
      </c>
      <c r="E1052" t="s">
        <v>669</v>
      </c>
      <c r="F1052" t="s">
        <v>118</v>
      </c>
      <c r="G1052" t="s">
        <v>670</v>
      </c>
      <c r="H1052" t="s">
        <v>670</v>
      </c>
      <c r="I1052">
        <v>1.6729611281699557</v>
      </c>
    </row>
    <row r="1053" spans="1:9" x14ac:dyDescent="0.25">
      <c r="A1053" t="s">
        <v>480</v>
      </c>
      <c r="B1053" t="s">
        <v>2</v>
      </c>
      <c r="C1053" t="s">
        <v>480</v>
      </c>
      <c r="D1053">
        <v>235380</v>
      </c>
      <c r="E1053" t="s">
        <v>671</v>
      </c>
      <c r="F1053" t="s">
        <v>116</v>
      </c>
      <c r="G1053" t="s">
        <v>670</v>
      </c>
      <c r="H1053" t="s">
        <v>670</v>
      </c>
      <c r="I1053">
        <v>0.56022423117835563</v>
      </c>
    </row>
    <row r="1054" spans="1:9" x14ac:dyDescent="0.25">
      <c r="A1054" t="s">
        <v>480</v>
      </c>
      <c r="B1054" t="s">
        <v>2</v>
      </c>
      <c r="C1054" t="s">
        <v>480</v>
      </c>
      <c r="D1054">
        <v>235380</v>
      </c>
      <c r="E1054" t="s">
        <v>672</v>
      </c>
      <c r="F1054" t="s">
        <v>3</v>
      </c>
      <c r="G1054" t="s">
        <v>670</v>
      </c>
      <c r="H1054" t="s">
        <v>670</v>
      </c>
      <c r="I1054">
        <v>1.518</v>
      </c>
    </row>
    <row r="1055" spans="1:9" x14ac:dyDescent="0.25">
      <c r="A1055" t="s">
        <v>480</v>
      </c>
      <c r="B1055" t="s">
        <v>2</v>
      </c>
      <c r="C1055" t="s">
        <v>480</v>
      </c>
      <c r="D1055">
        <v>235380</v>
      </c>
      <c r="E1055" t="s">
        <v>672</v>
      </c>
      <c r="F1055" t="s">
        <v>113</v>
      </c>
      <c r="G1055" t="s">
        <v>670</v>
      </c>
      <c r="H1055" t="s">
        <v>670</v>
      </c>
      <c r="I1055">
        <v>1.5329999999999999</v>
      </c>
    </row>
    <row r="1056" spans="1:9" x14ac:dyDescent="0.25">
      <c r="A1056" t="s">
        <v>481</v>
      </c>
      <c r="B1056" t="s">
        <v>2</v>
      </c>
      <c r="C1056" t="s">
        <v>481</v>
      </c>
      <c r="D1056">
        <v>235614</v>
      </c>
      <c r="E1056" t="s">
        <v>669</v>
      </c>
      <c r="F1056" t="s">
        <v>118</v>
      </c>
      <c r="G1056" t="s">
        <v>670</v>
      </c>
      <c r="H1056" t="s">
        <v>670</v>
      </c>
      <c r="I1056">
        <v>5.1335079274426576</v>
      </c>
    </row>
    <row r="1057" spans="1:9" x14ac:dyDescent="0.25">
      <c r="A1057" t="s">
        <v>481</v>
      </c>
      <c r="B1057" t="s">
        <v>2</v>
      </c>
      <c r="C1057" t="s">
        <v>481</v>
      </c>
      <c r="D1057">
        <v>235614</v>
      </c>
      <c r="E1057" t="s">
        <v>671</v>
      </c>
      <c r="F1057" t="s">
        <v>116</v>
      </c>
      <c r="G1057" t="s">
        <v>670</v>
      </c>
      <c r="H1057" t="s">
        <v>670</v>
      </c>
      <c r="I1057">
        <v>0.56132369599338572</v>
      </c>
    </row>
    <row r="1058" spans="1:9" x14ac:dyDescent="0.25">
      <c r="A1058" t="s">
        <v>481</v>
      </c>
      <c r="B1058" t="s">
        <v>2</v>
      </c>
      <c r="C1058" t="s">
        <v>481</v>
      </c>
      <c r="D1058">
        <v>235614</v>
      </c>
      <c r="E1058" t="s">
        <v>672</v>
      </c>
      <c r="F1058" t="s">
        <v>3</v>
      </c>
      <c r="G1058" t="s">
        <v>670</v>
      </c>
      <c r="H1058" t="s">
        <v>670</v>
      </c>
      <c r="I1058">
        <v>5.6829999999999998</v>
      </c>
    </row>
    <row r="1059" spans="1:9" x14ac:dyDescent="0.25">
      <c r="A1059" t="s">
        <v>481</v>
      </c>
      <c r="B1059" t="s">
        <v>2</v>
      </c>
      <c r="C1059" t="s">
        <v>481</v>
      </c>
      <c r="D1059">
        <v>235614</v>
      </c>
      <c r="E1059" t="s">
        <v>672</v>
      </c>
      <c r="F1059" t="s">
        <v>113</v>
      </c>
      <c r="G1059" t="s">
        <v>670</v>
      </c>
      <c r="H1059" t="s">
        <v>670</v>
      </c>
      <c r="I1059">
        <v>5.7320000000000002</v>
      </c>
    </row>
    <row r="1060" spans="1:9" x14ac:dyDescent="0.25">
      <c r="A1060" t="s">
        <v>482</v>
      </c>
      <c r="B1060" t="s">
        <v>2</v>
      </c>
      <c r="C1060" t="s">
        <v>482</v>
      </c>
      <c r="D1060">
        <v>35660</v>
      </c>
      <c r="E1060" t="s">
        <v>669</v>
      </c>
      <c r="F1060" t="s">
        <v>118</v>
      </c>
      <c r="G1060" t="s">
        <v>670</v>
      </c>
      <c r="H1060" t="s">
        <v>670</v>
      </c>
      <c r="I1060">
        <v>1.0512317925985135</v>
      </c>
    </row>
    <row r="1061" spans="1:9" x14ac:dyDescent="0.25">
      <c r="A1061" t="s">
        <v>482</v>
      </c>
      <c r="B1061" t="s">
        <v>2</v>
      </c>
      <c r="C1061" t="s">
        <v>482</v>
      </c>
      <c r="D1061">
        <v>35660</v>
      </c>
      <c r="E1061" t="s">
        <v>672</v>
      </c>
      <c r="F1061" t="s">
        <v>3</v>
      </c>
      <c r="G1061" t="s">
        <v>670</v>
      </c>
      <c r="H1061" t="s">
        <v>670</v>
      </c>
      <c r="I1061">
        <v>1.5920000000000001</v>
      </c>
    </row>
    <row r="1062" spans="1:9" x14ac:dyDescent="0.25">
      <c r="A1062" t="s">
        <v>482</v>
      </c>
      <c r="B1062" t="s">
        <v>2</v>
      </c>
      <c r="C1062" t="s">
        <v>482</v>
      </c>
      <c r="D1062">
        <v>35660</v>
      </c>
      <c r="E1062" t="s">
        <v>672</v>
      </c>
      <c r="F1062" t="s">
        <v>113</v>
      </c>
      <c r="G1062" t="s">
        <v>670</v>
      </c>
      <c r="H1062" t="s">
        <v>670</v>
      </c>
      <c r="I1062">
        <v>1.5940000000000001</v>
      </c>
    </row>
    <row r="1063" spans="1:9" x14ac:dyDescent="0.25">
      <c r="A1063" t="s">
        <v>483</v>
      </c>
      <c r="B1063" t="s">
        <v>2</v>
      </c>
      <c r="C1063" t="s">
        <v>483</v>
      </c>
      <c r="D1063">
        <v>35740</v>
      </c>
      <c r="E1063" t="s">
        <v>672</v>
      </c>
      <c r="F1063" t="s">
        <v>3</v>
      </c>
      <c r="G1063" t="s">
        <v>670</v>
      </c>
      <c r="H1063" t="s">
        <v>670</v>
      </c>
      <c r="I1063" t="s">
        <v>673</v>
      </c>
    </row>
    <row r="1064" spans="1:9" x14ac:dyDescent="0.25">
      <c r="A1064" t="s">
        <v>483</v>
      </c>
      <c r="B1064" t="s">
        <v>2</v>
      </c>
      <c r="C1064" t="s">
        <v>483</v>
      </c>
      <c r="D1064">
        <v>35740</v>
      </c>
      <c r="E1064" t="s">
        <v>672</v>
      </c>
      <c r="F1064" t="s">
        <v>113</v>
      </c>
      <c r="G1064" t="s">
        <v>670</v>
      </c>
      <c r="H1064" t="s">
        <v>670</v>
      </c>
      <c r="I1064" t="s">
        <v>673</v>
      </c>
    </row>
    <row r="1065" spans="1:9" x14ac:dyDescent="0.25">
      <c r="A1065" t="s">
        <v>484</v>
      </c>
      <c r="B1065" t="s">
        <v>2</v>
      </c>
      <c r="C1065" t="s">
        <v>484</v>
      </c>
      <c r="D1065">
        <v>35820</v>
      </c>
      <c r="E1065" t="s">
        <v>672</v>
      </c>
      <c r="F1065" t="s">
        <v>3</v>
      </c>
      <c r="G1065" t="s">
        <v>670</v>
      </c>
      <c r="H1065" t="s">
        <v>670</v>
      </c>
      <c r="I1065">
        <v>1.2529999999999999</v>
      </c>
    </row>
    <row r="1066" spans="1:9" x14ac:dyDescent="0.25">
      <c r="A1066" t="s">
        <v>484</v>
      </c>
      <c r="B1066" t="s">
        <v>2</v>
      </c>
      <c r="C1066" t="s">
        <v>484</v>
      </c>
      <c r="D1066">
        <v>35820</v>
      </c>
      <c r="E1066" t="s">
        <v>672</v>
      </c>
      <c r="F1066" t="s">
        <v>113</v>
      </c>
      <c r="G1066" t="s">
        <v>670</v>
      </c>
      <c r="H1066" t="s">
        <v>670</v>
      </c>
      <c r="I1066">
        <v>1.2549999999999999</v>
      </c>
    </row>
    <row r="1067" spans="1:9" x14ac:dyDescent="0.25">
      <c r="A1067" t="s">
        <v>485</v>
      </c>
      <c r="B1067" t="s">
        <v>2</v>
      </c>
      <c r="C1067" t="s">
        <v>485</v>
      </c>
      <c r="D1067">
        <v>235840</v>
      </c>
      <c r="E1067" t="s">
        <v>669</v>
      </c>
      <c r="F1067" t="s">
        <v>118</v>
      </c>
      <c r="G1067" t="s">
        <v>670</v>
      </c>
      <c r="H1067" t="s">
        <v>670</v>
      </c>
      <c r="I1067">
        <v>1.8021166965922595</v>
      </c>
    </row>
    <row r="1068" spans="1:9" x14ac:dyDescent="0.25">
      <c r="A1068" t="s">
        <v>485</v>
      </c>
      <c r="B1068" t="s">
        <v>2</v>
      </c>
      <c r="C1068" t="s">
        <v>485</v>
      </c>
      <c r="D1068">
        <v>235840</v>
      </c>
      <c r="E1068" t="s">
        <v>671</v>
      </c>
      <c r="F1068" t="s">
        <v>116</v>
      </c>
      <c r="G1068" t="s">
        <v>670</v>
      </c>
      <c r="H1068" t="s">
        <v>670</v>
      </c>
      <c r="I1068">
        <v>0.56399655398324067</v>
      </c>
    </row>
    <row r="1069" spans="1:9" x14ac:dyDescent="0.25">
      <c r="A1069" t="s">
        <v>485</v>
      </c>
      <c r="B1069" t="s">
        <v>2</v>
      </c>
      <c r="C1069" t="s">
        <v>485</v>
      </c>
      <c r="D1069">
        <v>235840</v>
      </c>
      <c r="E1069" t="s">
        <v>672</v>
      </c>
      <c r="F1069" t="s">
        <v>3</v>
      </c>
      <c r="G1069" t="s">
        <v>670</v>
      </c>
      <c r="H1069" t="s">
        <v>670</v>
      </c>
      <c r="I1069">
        <v>1.7130000000000001</v>
      </c>
    </row>
    <row r="1070" spans="1:9" x14ac:dyDescent="0.25">
      <c r="A1070" t="s">
        <v>485</v>
      </c>
      <c r="B1070" t="s">
        <v>2</v>
      </c>
      <c r="C1070" t="s">
        <v>485</v>
      </c>
      <c r="D1070">
        <v>235840</v>
      </c>
      <c r="E1070" t="s">
        <v>672</v>
      </c>
      <c r="F1070" t="s">
        <v>113</v>
      </c>
      <c r="G1070" t="s">
        <v>670</v>
      </c>
      <c r="H1070" t="s">
        <v>670</v>
      </c>
      <c r="I1070">
        <v>1.778</v>
      </c>
    </row>
    <row r="1071" spans="1:9" x14ac:dyDescent="0.25">
      <c r="A1071" t="s">
        <v>486</v>
      </c>
      <c r="B1071" t="s">
        <v>2</v>
      </c>
      <c r="C1071" t="s">
        <v>486</v>
      </c>
      <c r="D1071">
        <v>35940</v>
      </c>
      <c r="E1071" t="s">
        <v>672</v>
      </c>
      <c r="F1071" t="s">
        <v>3</v>
      </c>
      <c r="G1071" t="s">
        <v>670</v>
      </c>
      <c r="H1071" t="s">
        <v>670</v>
      </c>
      <c r="I1071" t="s">
        <v>673</v>
      </c>
    </row>
    <row r="1072" spans="1:9" x14ac:dyDescent="0.25">
      <c r="A1072" t="s">
        <v>486</v>
      </c>
      <c r="B1072" t="s">
        <v>2</v>
      </c>
      <c r="C1072" t="s">
        <v>486</v>
      </c>
      <c r="D1072">
        <v>35940</v>
      </c>
      <c r="E1072" t="s">
        <v>672</v>
      </c>
      <c r="F1072" t="s">
        <v>113</v>
      </c>
      <c r="G1072" t="s">
        <v>670</v>
      </c>
      <c r="H1072" t="s">
        <v>670</v>
      </c>
      <c r="I1072" t="s">
        <v>673</v>
      </c>
    </row>
    <row r="1073" spans="1:9" x14ac:dyDescent="0.25">
      <c r="A1073" t="s">
        <v>487</v>
      </c>
      <c r="B1073" t="s">
        <v>2</v>
      </c>
      <c r="C1073" t="s">
        <v>487</v>
      </c>
      <c r="D1073">
        <v>35980</v>
      </c>
      <c r="E1073" t="s">
        <v>669</v>
      </c>
      <c r="F1073" t="s">
        <v>118</v>
      </c>
      <c r="G1073" t="s">
        <v>670</v>
      </c>
      <c r="H1073" t="s">
        <v>670</v>
      </c>
      <c r="I1073">
        <v>2.4412119055736556</v>
      </c>
    </row>
    <row r="1074" spans="1:9" x14ac:dyDescent="0.25">
      <c r="A1074" t="s">
        <v>487</v>
      </c>
      <c r="B1074" t="s">
        <v>2</v>
      </c>
      <c r="C1074" t="s">
        <v>487</v>
      </c>
      <c r="D1074">
        <v>35980</v>
      </c>
      <c r="E1074" t="s">
        <v>672</v>
      </c>
      <c r="F1074" t="s">
        <v>3</v>
      </c>
      <c r="G1074" t="s">
        <v>670</v>
      </c>
      <c r="H1074" t="s">
        <v>670</v>
      </c>
      <c r="I1074">
        <v>2.242</v>
      </c>
    </row>
    <row r="1075" spans="1:9" x14ac:dyDescent="0.25">
      <c r="A1075" t="s">
        <v>487</v>
      </c>
      <c r="B1075" t="s">
        <v>2</v>
      </c>
      <c r="C1075" t="s">
        <v>487</v>
      </c>
      <c r="D1075">
        <v>35980</v>
      </c>
      <c r="E1075" t="s">
        <v>672</v>
      </c>
      <c r="F1075" t="s">
        <v>113</v>
      </c>
      <c r="G1075" t="s">
        <v>670</v>
      </c>
      <c r="H1075" t="s">
        <v>670</v>
      </c>
      <c r="I1075">
        <v>2.2679999999999998</v>
      </c>
    </row>
    <row r="1076" spans="1:9" x14ac:dyDescent="0.25">
      <c r="A1076" t="s">
        <v>488</v>
      </c>
      <c r="B1076" t="s">
        <v>2</v>
      </c>
      <c r="C1076" t="s">
        <v>488</v>
      </c>
      <c r="D1076">
        <v>36084</v>
      </c>
      <c r="E1076" t="s">
        <v>669</v>
      </c>
      <c r="F1076" t="s">
        <v>118</v>
      </c>
      <c r="G1076" t="s">
        <v>670</v>
      </c>
      <c r="H1076" t="s">
        <v>670</v>
      </c>
      <c r="I1076">
        <v>3.0611484308050665</v>
      </c>
    </row>
    <row r="1077" spans="1:9" x14ac:dyDescent="0.25">
      <c r="A1077" t="s">
        <v>488</v>
      </c>
      <c r="B1077" t="s">
        <v>2</v>
      </c>
      <c r="C1077" t="s">
        <v>488</v>
      </c>
      <c r="D1077">
        <v>36084</v>
      </c>
      <c r="E1077" t="s">
        <v>671</v>
      </c>
      <c r="F1077" t="s">
        <v>116</v>
      </c>
      <c r="G1077" t="s">
        <v>670</v>
      </c>
      <c r="H1077" t="s">
        <v>670</v>
      </c>
      <c r="I1077">
        <v>0.54361090616944741</v>
      </c>
    </row>
    <row r="1078" spans="1:9" x14ac:dyDescent="0.25">
      <c r="A1078" t="s">
        <v>488</v>
      </c>
      <c r="B1078" t="s">
        <v>2</v>
      </c>
      <c r="C1078" t="s">
        <v>488</v>
      </c>
      <c r="D1078">
        <v>36084</v>
      </c>
      <c r="E1078" t="s">
        <v>672</v>
      </c>
      <c r="F1078" t="s">
        <v>3</v>
      </c>
      <c r="G1078" t="s">
        <v>670</v>
      </c>
      <c r="H1078" t="s">
        <v>670</v>
      </c>
      <c r="I1078">
        <v>3.1789999999999998</v>
      </c>
    </row>
    <row r="1079" spans="1:9" x14ac:dyDescent="0.25">
      <c r="A1079" t="s">
        <v>488</v>
      </c>
      <c r="B1079" t="s">
        <v>2</v>
      </c>
      <c r="C1079" t="s">
        <v>488</v>
      </c>
      <c r="D1079">
        <v>36084</v>
      </c>
      <c r="E1079" t="s">
        <v>672</v>
      </c>
      <c r="F1079" t="s">
        <v>113</v>
      </c>
      <c r="G1079" t="s">
        <v>670</v>
      </c>
      <c r="H1079" t="s">
        <v>670</v>
      </c>
      <c r="I1079">
        <v>3.2309999999999999</v>
      </c>
    </row>
    <row r="1080" spans="1:9" x14ac:dyDescent="0.25">
      <c r="A1080" t="s">
        <v>489</v>
      </c>
      <c r="B1080" t="s">
        <v>2</v>
      </c>
      <c r="C1080" t="s">
        <v>489</v>
      </c>
      <c r="D1080">
        <v>36100</v>
      </c>
      <c r="E1080" t="s">
        <v>672</v>
      </c>
      <c r="F1080" t="s">
        <v>3</v>
      </c>
      <c r="G1080" t="s">
        <v>670</v>
      </c>
      <c r="H1080" t="s">
        <v>670</v>
      </c>
      <c r="I1080">
        <v>1.339</v>
      </c>
    </row>
    <row r="1081" spans="1:9" x14ac:dyDescent="0.25">
      <c r="A1081" t="s">
        <v>489</v>
      </c>
      <c r="B1081" t="s">
        <v>2</v>
      </c>
      <c r="C1081" t="s">
        <v>489</v>
      </c>
      <c r="D1081">
        <v>36100</v>
      </c>
      <c r="E1081" t="s">
        <v>672</v>
      </c>
      <c r="F1081" t="s">
        <v>113</v>
      </c>
      <c r="G1081" t="s">
        <v>670</v>
      </c>
      <c r="H1081" t="s">
        <v>670</v>
      </c>
      <c r="I1081">
        <v>1.363</v>
      </c>
    </row>
    <row r="1082" spans="1:9" x14ac:dyDescent="0.25">
      <c r="A1082" t="s">
        <v>27</v>
      </c>
      <c r="B1082" t="s">
        <v>2</v>
      </c>
      <c r="C1082" t="s">
        <v>27</v>
      </c>
      <c r="D1082">
        <v>36420</v>
      </c>
      <c r="E1082" t="s">
        <v>669</v>
      </c>
      <c r="F1082" t="s">
        <v>118</v>
      </c>
      <c r="G1082" t="s">
        <v>670</v>
      </c>
      <c r="H1082" t="s">
        <v>670</v>
      </c>
      <c r="I1082">
        <v>1.2735336734343197</v>
      </c>
    </row>
    <row r="1083" spans="1:9" x14ac:dyDescent="0.25">
      <c r="A1083" t="s">
        <v>27</v>
      </c>
      <c r="B1083" t="s">
        <v>2</v>
      </c>
      <c r="C1083" t="s">
        <v>27</v>
      </c>
      <c r="D1083">
        <v>36420</v>
      </c>
      <c r="E1083" t="s">
        <v>671</v>
      </c>
      <c r="F1083" t="s">
        <v>116</v>
      </c>
      <c r="G1083" t="s">
        <v>670</v>
      </c>
      <c r="H1083" t="s">
        <v>670</v>
      </c>
      <c r="I1083">
        <v>0.4760690951979526</v>
      </c>
    </row>
    <row r="1084" spans="1:9" x14ac:dyDescent="0.25">
      <c r="A1084" t="s">
        <v>27</v>
      </c>
      <c r="B1084" t="s">
        <v>2</v>
      </c>
      <c r="C1084" t="s">
        <v>27</v>
      </c>
      <c r="D1084">
        <v>36420</v>
      </c>
      <c r="E1084" t="s">
        <v>672</v>
      </c>
      <c r="F1084" t="s">
        <v>3</v>
      </c>
      <c r="G1084" t="s">
        <v>670</v>
      </c>
      <c r="H1084" t="s">
        <v>670</v>
      </c>
      <c r="I1084">
        <v>1.2230000000000001</v>
      </c>
    </row>
    <row r="1085" spans="1:9" x14ac:dyDescent="0.25">
      <c r="A1085" t="s">
        <v>27</v>
      </c>
      <c r="B1085" t="s">
        <v>2</v>
      </c>
      <c r="C1085" t="s">
        <v>27</v>
      </c>
      <c r="D1085">
        <v>36420</v>
      </c>
      <c r="E1085" t="s">
        <v>672</v>
      </c>
      <c r="F1085" t="s">
        <v>113</v>
      </c>
      <c r="G1085" t="s">
        <v>670</v>
      </c>
      <c r="H1085" t="s">
        <v>670</v>
      </c>
      <c r="I1085">
        <v>1.2350000000000001</v>
      </c>
    </row>
    <row r="1086" spans="1:9" x14ac:dyDescent="0.25">
      <c r="A1086" t="s">
        <v>490</v>
      </c>
      <c r="B1086" t="s">
        <v>2</v>
      </c>
      <c r="C1086" t="s">
        <v>490</v>
      </c>
      <c r="D1086">
        <v>36500</v>
      </c>
      <c r="E1086" t="s">
        <v>669</v>
      </c>
      <c r="F1086" t="s">
        <v>118</v>
      </c>
      <c r="G1086" t="s">
        <v>670</v>
      </c>
      <c r="H1086" t="s">
        <v>670</v>
      </c>
      <c r="I1086">
        <v>1.9341470774320337</v>
      </c>
    </row>
    <row r="1087" spans="1:9" x14ac:dyDescent="0.25">
      <c r="A1087" t="s">
        <v>490</v>
      </c>
      <c r="B1087" t="s">
        <v>2</v>
      </c>
      <c r="C1087" t="s">
        <v>490</v>
      </c>
      <c r="D1087">
        <v>36500</v>
      </c>
      <c r="E1087" t="s">
        <v>671</v>
      </c>
      <c r="F1087" t="s">
        <v>116</v>
      </c>
      <c r="G1087" t="s">
        <v>670</v>
      </c>
      <c r="H1087" t="s">
        <v>670</v>
      </c>
      <c r="I1087">
        <v>0.60096424769022339</v>
      </c>
    </row>
    <row r="1088" spans="1:9" x14ac:dyDescent="0.25">
      <c r="A1088" t="s">
        <v>490</v>
      </c>
      <c r="B1088" t="s">
        <v>2</v>
      </c>
      <c r="C1088" t="s">
        <v>490</v>
      </c>
      <c r="D1088">
        <v>36500</v>
      </c>
      <c r="E1088" t="s">
        <v>672</v>
      </c>
      <c r="F1088" t="s">
        <v>3</v>
      </c>
      <c r="G1088" t="s">
        <v>670</v>
      </c>
      <c r="H1088" t="s">
        <v>670</v>
      </c>
      <c r="I1088">
        <v>2.0259999999999998</v>
      </c>
    </row>
    <row r="1089" spans="1:9" x14ac:dyDescent="0.25">
      <c r="A1089" t="s">
        <v>490</v>
      </c>
      <c r="B1089" t="s">
        <v>2</v>
      </c>
      <c r="C1089" t="s">
        <v>490</v>
      </c>
      <c r="D1089">
        <v>36500</v>
      </c>
      <c r="E1089" t="s">
        <v>672</v>
      </c>
      <c r="F1089" t="s">
        <v>113</v>
      </c>
      <c r="G1089" t="s">
        <v>670</v>
      </c>
      <c r="H1089" t="s">
        <v>670</v>
      </c>
      <c r="I1089">
        <v>2.0670000000000002</v>
      </c>
    </row>
    <row r="1090" spans="1:9" x14ac:dyDescent="0.25">
      <c r="A1090" t="s">
        <v>491</v>
      </c>
      <c r="B1090" t="s">
        <v>2</v>
      </c>
      <c r="C1090" t="s">
        <v>491</v>
      </c>
      <c r="D1090">
        <v>36540</v>
      </c>
      <c r="E1090" t="s">
        <v>669</v>
      </c>
      <c r="F1090" t="s">
        <v>118</v>
      </c>
      <c r="G1090" t="s">
        <v>670</v>
      </c>
      <c r="H1090" t="s">
        <v>670</v>
      </c>
      <c r="I1090">
        <v>1.3698302852950379</v>
      </c>
    </row>
    <row r="1091" spans="1:9" x14ac:dyDescent="0.25">
      <c r="A1091" t="s">
        <v>491</v>
      </c>
      <c r="B1091" t="s">
        <v>2</v>
      </c>
      <c r="C1091" t="s">
        <v>491</v>
      </c>
      <c r="D1091">
        <v>36540</v>
      </c>
      <c r="E1091" t="s">
        <v>671</v>
      </c>
      <c r="F1091" t="s">
        <v>116</v>
      </c>
      <c r="G1091" t="s">
        <v>670</v>
      </c>
      <c r="H1091" t="s">
        <v>670</v>
      </c>
      <c r="I1091">
        <v>0.60053155148653936</v>
      </c>
    </row>
    <row r="1092" spans="1:9" x14ac:dyDescent="0.25">
      <c r="A1092" t="s">
        <v>491</v>
      </c>
      <c r="B1092" t="s">
        <v>2</v>
      </c>
      <c r="C1092" t="s">
        <v>491</v>
      </c>
      <c r="D1092">
        <v>36540</v>
      </c>
      <c r="E1092" t="s">
        <v>672</v>
      </c>
      <c r="F1092" t="s">
        <v>3</v>
      </c>
      <c r="G1092" t="s">
        <v>670</v>
      </c>
      <c r="H1092" t="s">
        <v>670</v>
      </c>
      <c r="I1092">
        <v>1.4159999999999999</v>
      </c>
    </row>
    <row r="1093" spans="1:9" x14ac:dyDescent="0.25">
      <c r="A1093" t="s">
        <v>491</v>
      </c>
      <c r="B1093" t="s">
        <v>2</v>
      </c>
      <c r="C1093" t="s">
        <v>491</v>
      </c>
      <c r="D1093">
        <v>36540</v>
      </c>
      <c r="E1093" t="s">
        <v>672</v>
      </c>
      <c r="F1093" t="s">
        <v>113</v>
      </c>
      <c r="G1093" t="s">
        <v>670</v>
      </c>
      <c r="H1093" t="s">
        <v>670</v>
      </c>
      <c r="I1093">
        <v>1.4319999999999999</v>
      </c>
    </row>
    <row r="1094" spans="1:9" x14ac:dyDescent="0.25">
      <c r="A1094" t="s">
        <v>492</v>
      </c>
      <c r="B1094" t="s">
        <v>2</v>
      </c>
      <c r="C1094" t="s">
        <v>492</v>
      </c>
      <c r="D1094">
        <v>36700</v>
      </c>
      <c r="E1094" t="s">
        <v>672</v>
      </c>
      <c r="F1094" t="s">
        <v>3</v>
      </c>
      <c r="G1094" t="s">
        <v>670</v>
      </c>
      <c r="H1094" t="s">
        <v>670</v>
      </c>
      <c r="I1094" t="s">
        <v>673</v>
      </c>
    </row>
    <row r="1095" spans="1:9" x14ac:dyDescent="0.25">
      <c r="A1095" t="s">
        <v>492</v>
      </c>
      <c r="B1095" t="s">
        <v>2</v>
      </c>
      <c r="C1095" t="s">
        <v>492</v>
      </c>
      <c r="D1095">
        <v>36700</v>
      </c>
      <c r="E1095" t="s">
        <v>672</v>
      </c>
      <c r="F1095" t="s">
        <v>113</v>
      </c>
      <c r="G1095" t="s">
        <v>670</v>
      </c>
      <c r="H1095" t="s">
        <v>670</v>
      </c>
      <c r="I1095" t="s">
        <v>673</v>
      </c>
    </row>
    <row r="1096" spans="1:9" x14ac:dyDescent="0.25">
      <c r="A1096" t="s">
        <v>26</v>
      </c>
      <c r="B1096" t="s">
        <v>2</v>
      </c>
      <c r="C1096" t="s">
        <v>26</v>
      </c>
      <c r="D1096">
        <v>36740</v>
      </c>
      <c r="E1096" t="s">
        <v>669</v>
      </c>
      <c r="F1096" t="s">
        <v>118</v>
      </c>
      <c r="G1096" t="s">
        <v>670</v>
      </c>
      <c r="H1096" t="s">
        <v>670</v>
      </c>
      <c r="I1096">
        <v>1.81754952397075</v>
      </c>
    </row>
    <row r="1097" spans="1:9" x14ac:dyDescent="0.25">
      <c r="A1097" t="s">
        <v>26</v>
      </c>
      <c r="B1097" t="s">
        <v>2</v>
      </c>
      <c r="C1097" t="s">
        <v>26</v>
      </c>
      <c r="D1097">
        <v>36740</v>
      </c>
      <c r="E1097" t="s">
        <v>671</v>
      </c>
      <c r="F1097" t="s">
        <v>116</v>
      </c>
      <c r="G1097" t="s">
        <v>670</v>
      </c>
      <c r="H1097" t="s">
        <v>670</v>
      </c>
      <c r="I1097">
        <v>0.56587710033126559</v>
      </c>
    </row>
    <row r="1098" spans="1:9" x14ac:dyDescent="0.25">
      <c r="A1098" t="s">
        <v>26</v>
      </c>
      <c r="B1098" t="s">
        <v>2</v>
      </c>
      <c r="C1098" t="s">
        <v>26</v>
      </c>
      <c r="D1098">
        <v>36740</v>
      </c>
      <c r="E1098" t="s">
        <v>672</v>
      </c>
      <c r="F1098" t="s">
        <v>3</v>
      </c>
      <c r="G1098" t="s">
        <v>670</v>
      </c>
      <c r="H1098" t="s">
        <v>670</v>
      </c>
      <c r="I1098">
        <v>1.756</v>
      </c>
    </row>
    <row r="1099" spans="1:9" x14ac:dyDescent="0.25">
      <c r="A1099" t="s">
        <v>26</v>
      </c>
      <c r="B1099" t="s">
        <v>2</v>
      </c>
      <c r="C1099" t="s">
        <v>26</v>
      </c>
      <c r="D1099">
        <v>36740</v>
      </c>
      <c r="E1099" t="s">
        <v>672</v>
      </c>
      <c r="F1099" t="s">
        <v>113</v>
      </c>
      <c r="G1099" t="s">
        <v>670</v>
      </c>
      <c r="H1099" t="s">
        <v>670</v>
      </c>
      <c r="I1099">
        <v>1.796</v>
      </c>
    </row>
    <row r="1100" spans="1:9" x14ac:dyDescent="0.25">
      <c r="A1100" t="s">
        <v>493</v>
      </c>
      <c r="B1100" t="s">
        <v>2</v>
      </c>
      <c r="C1100" t="s">
        <v>493</v>
      </c>
      <c r="D1100">
        <v>36780</v>
      </c>
      <c r="E1100" t="s">
        <v>669</v>
      </c>
      <c r="F1100" t="s">
        <v>118</v>
      </c>
      <c r="G1100" t="s">
        <v>670</v>
      </c>
      <c r="H1100" t="s">
        <v>670</v>
      </c>
      <c r="I1100">
        <v>1.0367028470032182</v>
      </c>
    </row>
    <row r="1101" spans="1:9" x14ac:dyDescent="0.25">
      <c r="A1101" t="s">
        <v>493</v>
      </c>
      <c r="B1101" t="s">
        <v>2</v>
      </c>
      <c r="C1101" t="s">
        <v>493</v>
      </c>
      <c r="D1101">
        <v>36780</v>
      </c>
      <c r="E1101" t="s">
        <v>672</v>
      </c>
      <c r="F1101" t="s">
        <v>3</v>
      </c>
      <c r="G1101" t="s">
        <v>670</v>
      </c>
      <c r="H1101" t="s">
        <v>670</v>
      </c>
      <c r="I1101">
        <v>1.2410000000000001</v>
      </c>
    </row>
    <row r="1102" spans="1:9" x14ac:dyDescent="0.25">
      <c r="A1102" t="s">
        <v>493</v>
      </c>
      <c r="B1102" t="s">
        <v>2</v>
      </c>
      <c r="C1102" t="s">
        <v>493</v>
      </c>
      <c r="D1102">
        <v>36780</v>
      </c>
      <c r="E1102" t="s">
        <v>672</v>
      </c>
      <c r="F1102" t="s">
        <v>113</v>
      </c>
      <c r="G1102" t="s">
        <v>670</v>
      </c>
      <c r="H1102" t="s">
        <v>670</v>
      </c>
      <c r="I1102">
        <v>1.2430000000000001</v>
      </c>
    </row>
    <row r="1103" spans="1:9" x14ac:dyDescent="0.25">
      <c r="A1103" t="s">
        <v>494</v>
      </c>
      <c r="B1103" t="s">
        <v>2</v>
      </c>
      <c r="C1103" t="s">
        <v>494</v>
      </c>
      <c r="D1103">
        <v>36940</v>
      </c>
      <c r="E1103" t="s">
        <v>672</v>
      </c>
      <c r="F1103" t="s">
        <v>3</v>
      </c>
      <c r="G1103" t="s">
        <v>670</v>
      </c>
      <c r="H1103" t="s">
        <v>670</v>
      </c>
      <c r="I1103">
        <v>1.8129999999999999</v>
      </c>
    </row>
    <row r="1104" spans="1:9" x14ac:dyDescent="0.25">
      <c r="A1104" t="s">
        <v>494</v>
      </c>
      <c r="B1104" t="s">
        <v>2</v>
      </c>
      <c r="C1104" t="s">
        <v>494</v>
      </c>
      <c r="D1104">
        <v>36940</v>
      </c>
      <c r="E1104" t="s">
        <v>672</v>
      </c>
      <c r="F1104" t="s">
        <v>113</v>
      </c>
      <c r="G1104" t="s">
        <v>670</v>
      </c>
      <c r="H1104" t="s">
        <v>670</v>
      </c>
      <c r="I1104">
        <v>1.8129999999999999</v>
      </c>
    </row>
    <row r="1105" spans="1:9" x14ac:dyDescent="0.25">
      <c r="A1105" t="s">
        <v>495</v>
      </c>
      <c r="B1105" t="s">
        <v>2</v>
      </c>
      <c r="C1105" t="s">
        <v>495</v>
      </c>
      <c r="D1105">
        <v>36980</v>
      </c>
      <c r="E1105" t="s">
        <v>672</v>
      </c>
      <c r="F1105" t="s">
        <v>3</v>
      </c>
      <c r="G1105" t="s">
        <v>670</v>
      </c>
      <c r="H1105" t="s">
        <v>670</v>
      </c>
      <c r="I1105">
        <v>1.202</v>
      </c>
    </row>
    <row r="1106" spans="1:9" x14ac:dyDescent="0.25">
      <c r="A1106" t="s">
        <v>495</v>
      </c>
      <c r="B1106" t="s">
        <v>2</v>
      </c>
      <c r="C1106" t="s">
        <v>495</v>
      </c>
      <c r="D1106">
        <v>36980</v>
      </c>
      <c r="E1106" t="s">
        <v>672</v>
      </c>
      <c r="F1106" t="s">
        <v>113</v>
      </c>
      <c r="G1106" t="s">
        <v>670</v>
      </c>
      <c r="H1106" t="s">
        <v>670</v>
      </c>
      <c r="I1106">
        <v>1.202</v>
      </c>
    </row>
    <row r="1107" spans="1:9" x14ac:dyDescent="0.25">
      <c r="A1107" t="s">
        <v>496</v>
      </c>
      <c r="B1107" t="s">
        <v>2</v>
      </c>
      <c r="C1107" t="s">
        <v>496</v>
      </c>
      <c r="D1107">
        <v>37020</v>
      </c>
      <c r="E1107" t="s">
        <v>669</v>
      </c>
      <c r="F1107" t="s">
        <v>118</v>
      </c>
      <c r="G1107" t="s">
        <v>670</v>
      </c>
      <c r="H1107" t="s">
        <v>670</v>
      </c>
      <c r="I1107">
        <v>1.022721478515374</v>
      </c>
    </row>
    <row r="1108" spans="1:9" x14ac:dyDescent="0.25">
      <c r="A1108" t="s">
        <v>496</v>
      </c>
      <c r="B1108" t="s">
        <v>2</v>
      </c>
      <c r="C1108" t="s">
        <v>496</v>
      </c>
      <c r="D1108">
        <v>37020</v>
      </c>
      <c r="E1108" t="s">
        <v>672</v>
      </c>
      <c r="F1108" t="s">
        <v>3</v>
      </c>
      <c r="G1108" t="s">
        <v>670</v>
      </c>
      <c r="H1108" t="s">
        <v>670</v>
      </c>
      <c r="I1108">
        <v>1.5009999999999999</v>
      </c>
    </row>
    <row r="1109" spans="1:9" x14ac:dyDescent="0.25">
      <c r="A1109" t="s">
        <v>496</v>
      </c>
      <c r="B1109" t="s">
        <v>2</v>
      </c>
      <c r="C1109" t="s">
        <v>496</v>
      </c>
      <c r="D1109">
        <v>37020</v>
      </c>
      <c r="E1109" t="s">
        <v>672</v>
      </c>
      <c r="F1109" t="s">
        <v>113</v>
      </c>
      <c r="G1109" t="s">
        <v>670</v>
      </c>
      <c r="H1109" t="s">
        <v>670</v>
      </c>
      <c r="I1109">
        <v>1.5009999999999999</v>
      </c>
    </row>
    <row r="1110" spans="1:9" x14ac:dyDescent="0.25">
      <c r="A1110" t="s">
        <v>497</v>
      </c>
      <c r="B1110" t="s">
        <v>2</v>
      </c>
      <c r="C1110" t="s">
        <v>497</v>
      </c>
      <c r="D1110">
        <v>37060</v>
      </c>
      <c r="E1110" t="s">
        <v>672</v>
      </c>
      <c r="F1110" t="s">
        <v>3</v>
      </c>
      <c r="G1110" t="s">
        <v>670</v>
      </c>
      <c r="H1110" t="s">
        <v>670</v>
      </c>
      <c r="I1110">
        <v>1.655</v>
      </c>
    </row>
    <row r="1111" spans="1:9" x14ac:dyDescent="0.25">
      <c r="A1111" t="s">
        <v>497</v>
      </c>
      <c r="B1111" t="s">
        <v>2</v>
      </c>
      <c r="C1111" t="s">
        <v>497</v>
      </c>
      <c r="D1111">
        <v>37060</v>
      </c>
      <c r="E1111" t="s">
        <v>672</v>
      </c>
      <c r="F1111" t="s">
        <v>113</v>
      </c>
      <c r="G1111" t="s">
        <v>670</v>
      </c>
      <c r="H1111" t="s">
        <v>670</v>
      </c>
      <c r="I1111">
        <v>1.655</v>
      </c>
    </row>
    <row r="1112" spans="1:9" x14ac:dyDescent="0.25">
      <c r="A1112" t="s">
        <v>498</v>
      </c>
      <c r="B1112" t="s">
        <v>2</v>
      </c>
      <c r="C1112" t="s">
        <v>498</v>
      </c>
      <c r="D1112">
        <v>37100</v>
      </c>
      <c r="E1112" t="s">
        <v>669</v>
      </c>
      <c r="F1112" t="s">
        <v>118</v>
      </c>
      <c r="G1112" t="s">
        <v>670</v>
      </c>
      <c r="H1112" t="s">
        <v>670</v>
      </c>
      <c r="I1112">
        <v>3.2955039260595052</v>
      </c>
    </row>
    <row r="1113" spans="1:9" x14ac:dyDescent="0.25">
      <c r="A1113" t="s">
        <v>498</v>
      </c>
      <c r="B1113" t="s">
        <v>2</v>
      </c>
      <c r="C1113" t="s">
        <v>498</v>
      </c>
      <c r="D1113">
        <v>37100</v>
      </c>
      <c r="E1113" t="s">
        <v>671</v>
      </c>
      <c r="F1113" t="s">
        <v>116</v>
      </c>
      <c r="G1113" t="s">
        <v>670</v>
      </c>
      <c r="H1113" t="s">
        <v>670</v>
      </c>
      <c r="I1113">
        <v>0.64429127915202755</v>
      </c>
    </row>
    <row r="1114" spans="1:9" x14ac:dyDescent="0.25">
      <c r="A1114" t="s">
        <v>498</v>
      </c>
      <c r="B1114" t="s">
        <v>2</v>
      </c>
      <c r="C1114" t="s">
        <v>498</v>
      </c>
      <c r="D1114">
        <v>37100</v>
      </c>
      <c r="E1114" t="s">
        <v>672</v>
      </c>
      <c r="F1114" t="s">
        <v>3</v>
      </c>
      <c r="G1114" t="s">
        <v>670</v>
      </c>
      <c r="H1114" t="s">
        <v>670</v>
      </c>
      <c r="I1114">
        <v>3.028</v>
      </c>
    </row>
    <row r="1115" spans="1:9" x14ac:dyDescent="0.25">
      <c r="A1115" t="s">
        <v>498</v>
      </c>
      <c r="B1115" t="s">
        <v>2</v>
      </c>
      <c r="C1115" t="s">
        <v>498</v>
      </c>
      <c r="D1115">
        <v>37100</v>
      </c>
      <c r="E1115" t="s">
        <v>672</v>
      </c>
      <c r="F1115" t="s">
        <v>113</v>
      </c>
      <c r="G1115" t="s">
        <v>670</v>
      </c>
      <c r="H1115" t="s">
        <v>670</v>
      </c>
      <c r="I1115">
        <v>3.0430000000000001</v>
      </c>
    </row>
    <row r="1116" spans="1:9" x14ac:dyDescent="0.25">
      <c r="A1116" t="s">
        <v>499</v>
      </c>
      <c r="B1116" t="s">
        <v>2</v>
      </c>
      <c r="C1116" t="s">
        <v>499</v>
      </c>
      <c r="D1116">
        <v>37140</v>
      </c>
      <c r="E1116" t="s">
        <v>672</v>
      </c>
      <c r="F1116" t="s">
        <v>3</v>
      </c>
      <c r="G1116" t="s">
        <v>670</v>
      </c>
      <c r="H1116" t="s">
        <v>670</v>
      </c>
      <c r="I1116">
        <v>1.2230000000000001</v>
      </c>
    </row>
    <row r="1117" spans="1:9" x14ac:dyDescent="0.25">
      <c r="A1117" t="s">
        <v>499</v>
      </c>
      <c r="B1117" t="s">
        <v>2</v>
      </c>
      <c r="C1117" t="s">
        <v>499</v>
      </c>
      <c r="D1117">
        <v>37140</v>
      </c>
      <c r="E1117" t="s">
        <v>672</v>
      </c>
      <c r="F1117" t="s">
        <v>113</v>
      </c>
      <c r="G1117" t="s">
        <v>670</v>
      </c>
      <c r="H1117" t="s">
        <v>670</v>
      </c>
      <c r="I1117">
        <v>1.238</v>
      </c>
    </row>
    <row r="1118" spans="1:9" x14ac:dyDescent="0.25">
      <c r="A1118" t="s">
        <v>500</v>
      </c>
      <c r="B1118" t="s">
        <v>2</v>
      </c>
      <c r="C1118" t="s">
        <v>500</v>
      </c>
      <c r="D1118">
        <v>37260</v>
      </c>
      <c r="E1118" t="s">
        <v>672</v>
      </c>
      <c r="F1118" t="s">
        <v>3</v>
      </c>
      <c r="G1118" t="s">
        <v>670</v>
      </c>
      <c r="H1118" t="s">
        <v>670</v>
      </c>
      <c r="I1118" t="s">
        <v>673</v>
      </c>
    </row>
    <row r="1119" spans="1:9" x14ac:dyDescent="0.25">
      <c r="A1119" t="s">
        <v>500</v>
      </c>
      <c r="B1119" t="s">
        <v>2</v>
      </c>
      <c r="C1119" t="s">
        <v>500</v>
      </c>
      <c r="D1119">
        <v>37260</v>
      </c>
      <c r="E1119" t="s">
        <v>672</v>
      </c>
      <c r="F1119" t="s">
        <v>113</v>
      </c>
      <c r="G1119" t="s">
        <v>670</v>
      </c>
      <c r="H1119" t="s">
        <v>670</v>
      </c>
      <c r="I1119" t="s">
        <v>673</v>
      </c>
    </row>
    <row r="1120" spans="1:9" x14ac:dyDescent="0.25">
      <c r="A1120" t="s">
        <v>501</v>
      </c>
      <c r="B1120" t="s">
        <v>2</v>
      </c>
      <c r="C1120" t="s">
        <v>501</v>
      </c>
      <c r="D1120">
        <v>37340</v>
      </c>
      <c r="E1120" t="s">
        <v>669</v>
      </c>
      <c r="F1120" t="s">
        <v>118</v>
      </c>
      <c r="G1120" t="s">
        <v>670</v>
      </c>
      <c r="H1120" t="s">
        <v>670</v>
      </c>
      <c r="I1120">
        <v>1.6588836467533681</v>
      </c>
    </row>
    <row r="1121" spans="1:9" x14ac:dyDescent="0.25">
      <c r="A1121" t="s">
        <v>501</v>
      </c>
      <c r="B1121" t="s">
        <v>2</v>
      </c>
      <c r="C1121" t="s">
        <v>501</v>
      </c>
      <c r="D1121">
        <v>37340</v>
      </c>
      <c r="E1121" t="s">
        <v>671</v>
      </c>
      <c r="F1121" t="s">
        <v>116</v>
      </c>
      <c r="G1121" t="s">
        <v>670</v>
      </c>
      <c r="H1121" t="s">
        <v>670</v>
      </c>
      <c r="I1121">
        <v>0.54586858206731381</v>
      </c>
    </row>
    <row r="1122" spans="1:9" x14ac:dyDescent="0.25">
      <c r="A1122" t="s">
        <v>501</v>
      </c>
      <c r="B1122" t="s">
        <v>2</v>
      </c>
      <c r="C1122" t="s">
        <v>501</v>
      </c>
      <c r="D1122">
        <v>37340</v>
      </c>
      <c r="E1122" t="s">
        <v>672</v>
      </c>
      <c r="F1122" t="s">
        <v>3</v>
      </c>
      <c r="G1122" t="s">
        <v>670</v>
      </c>
      <c r="H1122" t="s">
        <v>670</v>
      </c>
      <c r="I1122">
        <v>1.627</v>
      </c>
    </row>
    <row r="1123" spans="1:9" x14ac:dyDescent="0.25">
      <c r="A1123" t="s">
        <v>501</v>
      </c>
      <c r="B1123" t="s">
        <v>2</v>
      </c>
      <c r="C1123" t="s">
        <v>501</v>
      </c>
      <c r="D1123">
        <v>37340</v>
      </c>
      <c r="E1123" t="s">
        <v>672</v>
      </c>
      <c r="F1123" t="s">
        <v>113</v>
      </c>
      <c r="G1123" t="s">
        <v>670</v>
      </c>
      <c r="H1123" t="s">
        <v>670</v>
      </c>
      <c r="I1123">
        <v>1.6579999999999999</v>
      </c>
    </row>
    <row r="1124" spans="1:9" x14ac:dyDescent="0.25">
      <c r="A1124" t="s">
        <v>502</v>
      </c>
      <c r="B1124" t="s">
        <v>2</v>
      </c>
      <c r="C1124" t="s">
        <v>502</v>
      </c>
      <c r="D1124">
        <v>37460</v>
      </c>
      <c r="E1124" t="s">
        <v>669</v>
      </c>
      <c r="F1124" t="s">
        <v>118</v>
      </c>
      <c r="G1124" t="s">
        <v>670</v>
      </c>
      <c r="H1124" t="s">
        <v>670</v>
      </c>
      <c r="I1124">
        <v>1.4575316808200904</v>
      </c>
    </row>
    <row r="1125" spans="1:9" x14ac:dyDescent="0.25">
      <c r="A1125" t="s">
        <v>502</v>
      </c>
      <c r="B1125" t="s">
        <v>2</v>
      </c>
      <c r="C1125" t="s">
        <v>502</v>
      </c>
      <c r="D1125">
        <v>37460</v>
      </c>
      <c r="E1125" t="s">
        <v>672</v>
      </c>
      <c r="F1125" t="s">
        <v>3</v>
      </c>
      <c r="G1125" t="s">
        <v>670</v>
      </c>
      <c r="H1125" t="s">
        <v>670</v>
      </c>
      <c r="I1125">
        <v>1.411</v>
      </c>
    </row>
    <row r="1126" spans="1:9" x14ac:dyDescent="0.25">
      <c r="A1126" t="s">
        <v>502</v>
      </c>
      <c r="B1126" t="s">
        <v>2</v>
      </c>
      <c r="C1126" t="s">
        <v>502</v>
      </c>
      <c r="D1126">
        <v>37460</v>
      </c>
      <c r="E1126" t="s">
        <v>672</v>
      </c>
      <c r="F1126" t="s">
        <v>113</v>
      </c>
      <c r="G1126" t="s">
        <v>670</v>
      </c>
      <c r="H1126" t="s">
        <v>670</v>
      </c>
      <c r="I1126">
        <v>1.468</v>
      </c>
    </row>
    <row r="1127" spans="1:9" x14ac:dyDescent="0.25">
      <c r="A1127" t="s">
        <v>503</v>
      </c>
      <c r="B1127" t="s">
        <v>2</v>
      </c>
      <c r="C1127" t="s">
        <v>503</v>
      </c>
      <c r="D1127">
        <v>37580</v>
      </c>
      <c r="E1127" t="s">
        <v>672</v>
      </c>
      <c r="F1127" t="s">
        <v>3</v>
      </c>
      <c r="G1127" t="s">
        <v>670</v>
      </c>
      <c r="H1127" t="s">
        <v>670</v>
      </c>
      <c r="I1127" t="s">
        <v>673</v>
      </c>
    </row>
    <row r="1128" spans="1:9" x14ac:dyDescent="0.25">
      <c r="A1128" t="s">
        <v>503</v>
      </c>
      <c r="B1128" t="s">
        <v>2</v>
      </c>
      <c r="C1128" t="s">
        <v>503</v>
      </c>
      <c r="D1128">
        <v>37580</v>
      </c>
      <c r="E1128" t="s">
        <v>672</v>
      </c>
      <c r="F1128" t="s">
        <v>113</v>
      </c>
      <c r="G1128" t="s">
        <v>670</v>
      </c>
      <c r="H1128" t="s">
        <v>670</v>
      </c>
      <c r="I1128" t="s">
        <v>673</v>
      </c>
    </row>
    <row r="1129" spans="1:9" x14ac:dyDescent="0.25">
      <c r="A1129" t="s">
        <v>504</v>
      </c>
      <c r="B1129" t="s">
        <v>2</v>
      </c>
      <c r="C1129" t="s">
        <v>504</v>
      </c>
      <c r="D1129">
        <v>37620</v>
      </c>
      <c r="E1129" t="s">
        <v>669</v>
      </c>
      <c r="F1129" t="s">
        <v>118</v>
      </c>
      <c r="G1129" t="s">
        <v>670</v>
      </c>
      <c r="H1129" t="s">
        <v>670</v>
      </c>
      <c r="I1129">
        <v>0.98004687970542581</v>
      </c>
    </row>
    <row r="1130" spans="1:9" x14ac:dyDescent="0.25">
      <c r="A1130" t="s">
        <v>504</v>
      </c>
      <c r="B1130" t="s">
        <v>2</v>
      </c>
      <c r="C1130" t="s">
        <v>504</v>
      </c>
      <c r="D1130">
        <v>37620</v>
      </c>
      <c r="E1130" t="s">
        <v>672</v>
      </c>
      <c r="F1130" t="s">
        <v>3</v>
      </c>
      <c r="G1130" t="s">
        <v>670</v>
      </c>
      <c r="H1130" t="s">
        <v>670</v>
      </c>
      <c r="I1130" t="s">
        <v>673</v>
      </c>
    </row>
    <row r="1131" spans="1:9" x14ac:dyDescent="0.25">
      <c r="A1131" t="s">
        <v>504</v>
      </c>
      <c r="B1131" t="s">
        <v>2</v>
      </c>
      <c r="C1131" t="s">
        <v>504</v>
      </c>
      <c r="D1131">
        <v>37620</v>
      </c>
      <c r="E1131" t="s">
        <v>672</v>
      </c>
      <c r="F1131" t="s">
        <v>113</v>
      </c>
      <c r="G1131" t="s">
        <v>670</v>
      </c>
      <c r="H1131" t="s">
        <v>670</v>
      </c>
      <c r="I1131" t="s">
        <v>673</v>
      </c>
    </row>
    <row r="1132" spans="1:9" x14ac:dyDescent="0.25">
      <c r="A1132" t="s">
        <v>505</v>
      </c>
      <c r="B1132" t="s">
        <v>2</v>
      </c>
      <c r="C1132" t="s">
        <v>505</v>
      </c>
      <c r="D1132">
        <v>37860</v>
      </c>
      <c r="E1132" t="s">
        <v>669</v>
      </c>
      <c r="F1132" t="s">
        <v>118</v>
      </c>
      <c r="G1132" t="s">
        <v>670</v>
      </c>
      <c r="H1132" t="s">
        <v>670</v>
      </c>
      <c r="I1132">
        <v>1.4579591881533018</v>
      </c>
    </row>
    <row r="1133" spans="1:9" x14ac:dyDescent="0.25">
      <c r="A1133" t="s">
        <v>505</v>
      </c>
      <c r="B1133" t="s">
        <v>2</v>
      </c>
      <c r="C1133" t="s">
        <v>505</v>
      </c>
      <c r="D1133">
        <v>37860</v>
      </c>
      <c r="E1133" t="s">
        <v>671</v>
      </c>
      <c r="F1133" t="s">
        <v>116</v>
      </c>
      <c r="G1133" t="s">
        <v>670</v>
      </c>
      <c r="H1133" t="s">
        <v>670</v>
      </c>
      <c r="I1133">
        <v>0.55089334299295545</v>
      </c>
    </row>
    <row r="1134" spans="1:9" x14ac:dyDescent="0.25">
      <c r="A1134" t="s">
        <v>505</v>
      </c>
      <c r="B1134" t="s">
        <v>2</v>
      </c>
      <c r="C1134" t="s">
        <v>505</v>
      </c>
      <c r="D1134">
        <v>37860</v>
      </c>
      <c r="E1134" t="s">
        <v>672</v>
      </c>
      <c r="F1134" t="s">
        <v>3</v>
      </c>
      <c r="G1134" t="s">
        <v>670</v>
      </c>
      <c r="H1134" t="s">
        <v>670</v>
      </c>
      <c r="I1134">
        <v>1.5029999999999999</v>
      </c>
    </row>
    <row r="1135" spans="1:9" x14ac:dyDescent="0.25">
      <c r="A1135" t="s">
        <v>505</v>
      </c>
      <c r="B1135" t="s">
        <v>2</v>
      </c>
      <c r="C1135" t="s">
        <v>505</v>
      </c>
      <c r="D1135">
        <v>37860</v>
      </c>
      <c r="E1135" t="s">
        <v>672</v>
      </c>
      <c r="F1135" t="s">
        <v>113</v>
      </c>
      <c r="G1135" t="s">
        <v>670</v>
      </c>
      <c r="H1135" t="s">
        <v>670</v>
      </c>
      <c r="I1135">
        <v>1.534</v>
      </c>
    </row>
    <row r="1136" spans="1:9" x14ac:dyDescent="0.25">
      <c r="A1136" t="s">
        <v>506</v>
      </c>
      <c r="B1136" t="s">
        <v>2</v>
      </c>
      <c r="C1136" t="s">
        <v>506</v>
      </c>
      <c r="D1136">
        <v>37900</v>
      </c>
      <c r="E1136" t="s">
        <v>669</v>
      </c>
      <c r="F1136" t="s">
        <v>118</v>
      </c>
      <c r="G1136" t="s">
        <v>670</v>
      </c>
      <c r="H1136" t="s">
        <v>670</v>
      </c>
      <c r="I1136">
        <v>1.4514943329913268</v>
      </c>
    </row>
    <row r="1137" spans="1:9" x14ac:dyDescent="0.25">
      <c r="A1137" t="s">
        <v>506</v>
      </c>
      <c r="B1137" t="s">
        <v>2</v>
      </c>
      <c r="C1137" t="s">
        <v>506</v>
      </c>
      <c r="D1137">
        <v>37900</v>
      </c>
      <c r="E1137" t="s">
        <v>672</v>
      </c>
      <c r="F1137" t="s">
        <v>3</v>
      </c>
      <c r="G1137" t="s">
        <v>670</v>
      </c>
      <c r="H1137" t="s">
        <v>670</v>
      </c>
      <c r="I1137">
        <v>1.3580000000000001</v>
      </c>
    </row>
    <row r="1138" spans="1:9" x14ac:dyDescent="0.25">
      <c r="A1138" t="s">
        <v>506</v>
      </c>
      <c r="B1138" t="s">
        <v>2</v>
      </c>
      <c r="C1138" t="s">
        <v>506</v>
      </c>
      <c r="D1138">
        <v>37900</v>
      </c>
      <c r="E1138" t="s">
        <v>672</v>
      </c>
      <c r="F1138" t="s">
        <v>113</v>
      </c>
      <c r="G1138" t="s">
        <v>670</v>
      </c>
      <c r="H1138" t="s">
        <v>670</v>
      </c>
      <c r="I1138">
        <v>1.367</v>
      </c>
    </row>
    <row r="1139" spans="1:9" x14ac:dyDescent="0.25">
      <c r="A1139" t="s">
        <v>507</v>
      </c>
      <c r="B1139" t="s">
        <v>2</v>
      </c>
      <c r="C1139" t="s">
        <v>507</v>
      </c>
      <c r="D1139">
        <v>37940</v>
      </c>
      <c r="E1139" t="s">
        <v>672</v>
      </c>
      <c r="F1139" t="s">
        <v>3</v>
      </c>
      <c r="G1139" t="s">
        <v>670</v>
      </c>
      <c r="H1139" t="s">
        <v>670</v>
      </c>
      <c r="I1139" t="s">
        <v>673</v>
      </c>
    </row>
    <row r="1140" spans="1:9" x14ac:dyDescent="0.25">
      <c r="A1140" t="s">
        <v>507</v>
      </c>
      <c r="B1140" t="s">
        <v>2</v>
      </c>
      <c r="C1140" t="s">
        <v>507</v>
      </c>
      <c r="D1140">
        <v>37940</v>
      </c>
      <c r="E1140" t="s">
        <v>672</v>
      </c>
      <c r="F1140" t="s">
        <v>113</v>
      </c>
      <c r="G1140" t="s">
        <v>670</v>
      </c>
      <c r="H1140" t="s">
        <v>670</v>
      </c>
      <c r="I1140" t="s">
        <v>673</v>
      </c>
    </row>
    <row r="1141" spans="1:9" x14ac:dyDescent="0.25">
      <c r="A1141" t="s">
        <v>508</v>
      </c>
      <c r="B1141" t="s">
        <v>2</v>
      </c>
      <c r="C1141" t="s">
        <v>508</v>
      </c>
      <c r="D1141">
        <v>37980</v>
      </c>
      <c r="E1141" t="s">
        <v>669</v>
      </c>
      <c r="F1141" t="s">
        <v>118</v>
      </c>
      <c r="G1141" t="s">
        <v>670</v>
      </c>
      <c r="H1141" t="s">
        <v>670</v>
      </c>
      <c r="I1141">
        <v>2.2015552913544769</v>
      </c>
    </row>
    <row r="1142" spans="1:9" x14ac:dyDescent="0.25">
      <c r="A1142" t="s">
        <v>508</v>
      </c>
      <c r="B1142" t="s">
        <v>2</v>
      </c>
      <c r="C1142" t="s">
        <v>508</v>
      </c>
      <c r="D1142">
        <v>37980</v>
      </c>
      <c r="E1142" t="s">
        <v>671</v>
      </c>
      <c r="F1142" t="s">
        <v>116</v>
      </c>
      <c r="G1142" t="s">
        <v>670</v>
      </c>
      <c r="H1142" t="s">
        <v>670</v>
      </c>
      <c r="I1142">
        <v>0.55953652254577257</v>
      </c>
    </row>
    <row r="1143" spans="1:9" x14ac:dyDescent="0.25">
      <c r="A1143" t="s">
        <v>508</v>
      </c>
      <c r="B1143" t="s">
        <v>2</v>
      </c>
      <c r="C1143" t="s">
        <v>508</v>
      </c>
      <c r="D1143">
        <v>37980</v>
      </c>
      <c r="E1143" t="s">
        <v>672</v>
      </c>
      <c r="F1143" t="s">
        <v>3</v>
      </c>
      <c r="G1143" t="s">
        <v>670</v>
      </c>
      <c r="H1143" t="s">
        <v>670</v>
      </c>
      <c r="I1143">
        <v>2.15</v>
      </c>
    </row>
    <row r="1144" spans="1:9" x14ac:dyDescent="0.25">
      <c r="A1144" t="s">
        <v>508</v>
      </c>
      <c r="B1144" t="s">
        <v>2</v>
      </c>
      <c r="C1144" t="s">
        <v>508</v>
      </c>
      <c r="D1144">
        <v>37980</v>
      </c>
      <c r="E1144" t="s">
        <v>672</v>
      </c>
      <c r="F1144" t="s">
        <v>113</v>
      </c>
      <c r="G1144" t="s">
        <v>670</v>
      </c>
      <c r="H1144" t="s">
        <v>670</v>
      </c>
      <c r="I1144">
        <v>2.181</v>
      </c>
    </row>
    <row r="1145" spans="1:9" x14ac:dyDescent="0.25">
      <c r="A1145" t="s">
        <v>31</v>
      </c>
      <c r="B1145" t="s">
        <v>2</v>
      </c>
      <c r="C1145" t="s">
        <v>31</v>
      </c>
      <c r="D1145">
        <v>38060</v>
      </c>
      <c r="E1145" t="s">
        <v>669</v>
      </c>
      <c r="F1145" t="s">
        <v>118</v>
      </c>
      <c r="G1145" t="s">
        <v>670</v>
      </c>
      <c r="H1145" t="s">
        <v>670</v>
      </c>
      <c r="I1145">
        <v>1.7568578332734623</v>
      </c>
    </row>
    <row r="1146" spans="1:9" x14ac:dyDescent="0.25">
      <c r="A1146" t="s">
        <v>31</v>
      </c>
      <c r="B1146" t="s">
        <v>2</v>
      </c>
      <c r="C1146" t="s">
        <v>31</v>
      </c>
      <c r="D1146">
        <v>38060</v>
      </c>
      <c r="E1146" t="s">
        <v>671</v>
      </c>
      <c r="F1146" t="s">
        <v>116</v>
      </c>
      <c r="G1146" t="s">
        <v>670</v>
      </c>
      <c r="H1146" t="s">
        <v>670</v>
      </c>
      <c r="I1146">
        <v>0.64455207612456422</v>
      </c>
    </row>
    <row r="1147" spans="1:9" x14ac:dyDescent="0.25">
      <c r="A1147" t="s">
        <v>31</v>
      </c>
      <c r="B1147" t="s">
        <v>2</v>
      </c>
      <c r="C1147" t="s">
        <v>31</v>
      </c>
      <c r="D1147">
        <v>38060</v>
      </c>
      <c r="E1147" t="s">
        <v>672</v>
      </c>
      <c r="F1147" t="s">
        <v>3</v>
      </c>
      <c r="G1147" t="s">
        <v>670</v>
      </c>
      <c r="H1147" t="s">
        <v>670</v>
      </c>
      <c r="I1147">
        <v>1.665</v>
      </c>
    </row>
    <row r="1148" spans="1:9" x14ac:dyDescent="0.25">
      <c r="A1148" t="s">
        <v>31</v>
      </c>
      <c r="B1148" t="s">
        <v>2</v>
      </c>
      <c r="C1148" t="s">
        <v>31</v>
      </c>
      <c r="D1148">
        <v>38060</v>
      </c>
      <c r="E1148" t="s">
        <v>672</v>
      </c>
      <c r="F1148" t="s">
        <v>113</v>
      </c>
      <c r="G1148" t="s">
        <v>670</v>
      </c>
      <c r="H1148" t="s">
        <v>670</v>
      </c>
      <c r="I1148">
        <v>1.73</v>
      </c>
    </row>
    <row r="1149" spans="1:9" x14ac:dyDescent="0.25">
      <c r="A1149" t="s">
        <v>509</v>
      </c>
      <c r="B1149" t="s">
        <v>2</v>
      </c>
      <c r="C1149" t="s">
        <v>509</v>
      </c>
      <c r="D1149">
        <v>38180</v>
      </c>
      <c r="E1149" t="s">
        <v>672</v>
      </c>
      <c r="F1149" t="s">
        <v>3</v>
      </c>
      <c r="G1149" t="s">
        <v>670</v>
      </c>
      <c r="H1149" t="s">
        <v>670</v>
      </c>
      <c r="I1149" t="s">
        <v>673</v>
      </c>
    </row>
    <row r="1150" spans="1:9" x14ac:dyDescent="0.25">
      <c r="A1150" t="s">
        <v>509</v>
      </c>
      <c r="B1150" t="s">
        <v>2</v>
      </c>
      <c r="C1150" t="s">
        <v>509</v>
      </c>
      <c r="D1150">
        <v>38180</v>
      </c>
      <c r="E1150" t="s">
        <v>672</v>
      </c>
      <c r="F1150" t="s">
        <v>113</v>
      </c>
      <c r="G1150" t="s">
        <v>670</v>
      </c>
      <c r="H1150" t="s">
        <v>670</v>
      </c>
      <c r="I1150" t="s">
        <v>673</v>
      </c>
    </row>
    <row r="1151" spans="1:9" x14ac:dyDescent="0.25">
      <c r="A1151" t="s">
        <v>510</v>
      </c>
      <c r="B1151" t="s">
        <v>2</v>
      </c>
      <c r="C1151" t="s">
        <v>510</v>
      </c>
      <c r="D1151">
        <v>38220</v>
      </c>
      <c r="E1151" t="s">
        <v>669</v>
      </c>
      <c r="F1151" t="s">
        <v>118</v>
      </c>
      <c r="G1151" t="s">
        <v>670</v>
      </c>
      <c r="H1151" t="s">
        <v>670</v>
      </c>
      <c r="I1151">
        <v>1.1155358425379653</v>
      </c>
    </row>
    <row r="1152" spans="1:9" x14ac:dyDescent="0.25">
      <c r="A1152" t="s">
        <v>510</v>
      </c>
      <c r="B1152" t="s">
        <v>2</v>
      </c>
      <c r="C1152" t="s">
        <v>510</v>
      </c>
      <c r="D1152">
        <v>38220</v>
      </c>
      <c r="E1152" t="s">
        <v>672</v>
      </c>
      <c r="F1152" t="s">
        <v>3</v>
      </c>
      <c r="G1152" t="s">
        <v>670</v>
      </c>
      <c r="H1152" t="s">
        <v>670</v>
      </c>
      <c r="I1152" t="s">
        <v>673</v>
      </c>
    </row>
    <row r="1153" spans="1:9" x14ac:dyDescent="0.25">
      <c r="A1153" t="s">
        <v>510</v>
      </c>
      <c r="B1153" t="s">
        <v>2</v>
      </c>
      <c r="C1153" t="s">
        <v>510</v>
      </c>
      <c r="D1153">
        <v>38220</v>
      </c>
      <c r="E1153" t="s">
        <v>672</v>
      </c>
      <c r="F1153" t="s">
        <v>113</v>
      </c>
      <c r="G1153" t="s">
        <v>670</v>
      </c>
      <c r="H1153" t="s">
        <v>670</v>
      </c>
      <c r="I1153" t="s">
        <v>673</v>
      </c>
    </row>
    <row r="1154" spans="1:9" x14ac:dyDescent="0.25">
      <c r="A1154" t="s">
        <v>511</v>
      </c>
      <c r="B1154" t="s">
        <v>2</v>
      </c>
      <c r="C1154" t="s">
        <v>511</v>
      </c>
      <c r="D1154">
        <v>38240</v>
      </c>
      <c r="E1154" t="s">
        <v>672</v>
      </c>
      <c r="F1154" t="s">
        <v>3</v>
      </c>
      <c r="G1154" t="s">
        <v>670</v>
      </c>
      <c r="H1154" t="s">
        <v>670</v>
      </c>
      <c r="I1154">
        <v>1.4450000000000001</v>
      </c>
    </row>
    <row r="1155" spans="1:9" x14ac:dyDescent="0.25">
      <c r="A1155" t="s">
        <v>511</v>
      </c>
      <c r="B1155" t="s">
        <v>2</v>
      </c>
      <c r="C1155" t="s">
        <v>511</v>
      </c>
      <c r="D1155">
        <v>38240</v>
      </c>
      <c r="E1155" t="s">
        <v>672</v>
      </c>
      <c r="F1155" t="s">
        <v>113</v>
      </c>
      <c r="G1155" t="s">
        <v>670</v>
      </c>
      <c r="H1155" t="s">
        <v>670</v>
      </c>
      <c r="I1155">
        <v>1.5469999999999999</v>
      </c>
    </row>
    <row r="1156" spans="1:9" x14ac:dyDescent="0.25">
      <c r="A1156" t="s">
        <v>512</v>
      </c>
      <c r="B1156" t="s">
        <v>2</v>
      </c>
      <c r="C1156" t="s">
        <v>512</v>
      </c>
      <c r="D1156">
        <v>38300</v>
      </c>
      <c r="E1156" t="s">
        <v>669</v>
      </c>
      <c r="F1156" t="s">
        <v>118</v>
      </c>
      <c r="G1156" t="s">
        <v>670</v>
      </c>
      <c r="H1156" t="s">
        <v>670</v>
      </c>
      <c r="I1156">
        <v>1.7082363547769102</v>
      </c>
    </row>
    <row r="1157" spans="1:9" x14ac:dyDescent="0.25">
      <c r="A1157" t="s">
        <v>512</v>
      </c>
      <c r="B1157" t="s">
        <v>2</v>
      </c>
      <c r="C1157" t="s">
        <v>512</v>
      </c>
      <c r="D1157">
        <v>38300</v>
      </c>
      <c r="E1157" t="s">
        <v>671</v>
      </c>
      <c r="F1157" t="s">
        <v>116</v>
      </c>
      <c r="G1157" t="s">
        <v>670</v>
      </c>
      <c r="H1157" t="s">
        <v>670</v>
      </c>
      <c r="I1157">
        <v>0.55358077484027834</v>
      </c>
    </row>
    <row r="1158" spans="1:9" x14ac:dyDescent="0.25">
      <c r="A1158" t="s">
        <v>512</v>
      </c>
      <c r="B1158" t="s">
        <v>2</v>
      </c>
      <c r="C1158" t="s">
        <v>512</v>
      </c>
      <c r="D1158">
        <v>38300</v>
      </c>
      <c r="E1158" t="s">
        <v>672</v>
      </c>
      <c r="F1158" t="s">
        <v>3</v>
      </c>
      <c r="G1158" t="s">
        <v>670</v>
      </c>
      <c r="H1158" t="s">
        <v>670</v>
      </c>
      <c r="I1158">
        <v>1.7709999999999999</v>
      </c>
    </row>
    <row r="1159" spans="1:9" x14ac:dyDescent="0.25">
      <c r="A1159" t="s">
        <v>512</v>
      </c>
      <c r="B1159" t="s">
        <v>2</v>
      </c>
      <c r="C1159" t="s">
        <v>512</v>
      </c>
      <c r="D1159">
        <v>38300</v>
      </c>
      <c r="E1159" t="s">
        <v>672</v>
      </c>
      <c r="F1159" t="s">
        <v>113</v>
      </c>
      <c r="G1159" t="s">
        <v>670</v>
      </c>
      <c r="H1159" t="s">
        <v>670</v>
      </c>
      <c r="I1159">
        <v>1.796</v>
      </c>
    </row>
    <row r="1160" spans="1:9" x14ac:dyDescent="0.25">
      <c r="A1160" t="s">
        <v>513</v>
      </c>
      <c r="B1160" t="s">
        <v>2</v>
      </c>
      <c r="C1160" t="s">
        <v>513</v>
      </c>
      <c r="D1160">
        <v>38540</v>
      </c>
      <c r="E1160" t="s">
        <v>672</v>
      </c>
      <c r="F1160" t="s">
        <v>3</v>
      </c>
      <c r="G1160" t="s">
        <v>670</v>
      </c>
      <c r="H1160" t="s">
        <v>670</v>
      </c>
      <c r="I1160">
        <v>1.278</v>
      </c>
    </row>
    <row r="1161" spans="1:9" x14ac:dyDescent="0.25">
      <c r="A1161" t="s">
        <v>513</v>
      </c>
      <c r="B1161" t="s">
        <v>2</v>
      </c>
      <c r="C1161" t="s">
        <v>513</v>
      </c>
      <c r="D1161">
        <v>38540</v>
      </c>
      <c r="E1161" t="s">
        <v>672</v>
      </c>
      <c r="F1161" t="s">
        <v>113</v>
      </c>
      <c r="G1161" t="s">
        <v>670</v>
      </c>
      <c r="H1161" t="s">
        <v>670</v>
      </c>
      <c r="I1161">
        <v>1.278</v>
      </c>
    </row>
    <row r="1162" spans="1:9" x14ac:dyDescent="0.25">
      <c r="A1162" t="s">
        <v>514</v>
      </c>
      <c r="B1162" t="s">
        <v>2</v>
      </c>
      <c r="C1162" t="s">
        <v>514</v>
      </c>
      <c r="D1162">
        <v>38620</v>
      </c>
      <c r="E1162" t="s">
        <v>672</v>
      </c>
      <c r="F1162" t="s">
        <v>3</v>
      </c>
      <c r="G1162" t="s">
        <v>670</v>
      </c>
      <c r="H1162" t="s">
        <v>670</v>
      </c>
      <c r="I1162" t="s">
        <v>673</v>
      </c>
    </row>
    <row r="1163" spans="1:9" x14ac:dyDescent="0.25">
      <c r="A1163" t="s">
        <v>514</v>
      </c>
      <c r="B1163" t="s">
        <v>2</v>
      </c>
      <c r="C1163" t="s">
        <v>514</v>
      </c>
      <c r="D1163">
        <v>38620</v>
      </c>
      <c r="E1163" t="s">
        <v>672</v>
      </c>
      <c r="F1163" t="s">
        <v>113</v>
      </c>
      <c r="G1163" t="s">
        <v>670</v>
      </c>
      <c r="H1163" t="s">
        <v>670</v>
      </c>
      <c r="I1163" t="s">
        <v>673</v>
      </c>
    </row>
    <row r="1164" spans="1:9" x14ac:dyDescent="0.25">
      <c r="A1164" t="s">
        <v>515</v>
      </c>
      <c r="B1164" t="s">
        <v>2</v>
      </c>
      <c r="C1164" t="s">
        <v>515</v>
      </c>
      <c r="D1164">
        <v>38860</v>
      </c>
      <c r="E1164" t="s">
        <v>669</v>
      </c>
      <c r="F1164" t="s">
        <v>118</v>
      </c>
      <c r="G1164" t="s">
        <v>670</v>
      </c>
      <c r="H1164" t="s">
        <v>670</v>
      </c>
      <c r="I1164">
        <v>2.0386647557237629</v>
      </c>
    </row>
    <row r="1165" spans="1:9" x14ac:dyDescent="0.25">
      <c r="A1165" t="s">
        <v>515</v>
      </c>
      <c r="B1165" t="s">
        <v>2</v>
      </c>
      <c r="C1165" t="s">
        <v>515</v>
      </c>
      <c r="D1165">
        <v>38860</v>
      </c>
      <c r="E1165" t="s">
        <v>671</v>
      </c>
      <c r="F1165" t="s">
        <v>116</v>
      </c>
      <c r="G1165" t="s">
        <v>670</v>
      </c>
      <c r="H1165" t="s">
        <v>670</v>
      </c>
      <c r="I1165">
        <v>0.47889556878442779</v>
      </c>
    </row>
    <row r="1166" spans="1:9" x14ac:dyDescent="0.25">
      <c r="A1166" t="s">
        <v>515</v>
      </c>
      <c r="B1166" t="s">
        <v>2</v>
      </c>
      <c r="C1166" t="s">
        <v>515</v>
      </c>
      <c r="D1166">
        <v>38860</v>
      </c>
      <c r="E1166" t="s">
        <v>672</v>
      </c>
      <c r="F1166" t="s">
        <v>3</v>
      </c>
      <c r="G1166" t="s">
        <v>670</v>
      </c>
      <c r="H1166" t="s">
        <v>670</v>
      </c>
      <c r="I1166">
        <v>2.7120000000000002</v>
      </c>
    </row>
    <row r="1167" spans="1:9" x14ac:dyDescent="0.25">
      <c r="A1167" t="s">
        <v>515</v>
      </c>
      <c r="B1167" t="s">
        <v>2</v>
      </c>
      <c r="C1167" t="s">
        <v>515</v>
      </c>
      <c r="D1167">
        <v>38860</v>
      </c>
      <c r="E1167" t="s">
        <v>672</v>
      </c>
      <c r="F1167" t="s">
        <v>113</v>
      </c>
      <c r="G1167" t="s">
        <v>670</v>
      </c>
      <c r="H1167" t="s">
        <v>670</v>
      </c>
      <c r="I1167">
        <v>2.75</v>
      </c>
    </row>
    <row r="1168" spans="1:9" x14ac:dyDescent="0.25">
      <c r="A1168" t="s">
        <v>21</v>
      </c>
      <c r="B1168" t="s">
        <v>2</v>
      </c>
      <c r="C1168" t="s">
        <v>21</v>
      </c>
      <c r="D1168">
        <v>38900</v>
      </c>
      <c r="E1168" t="s">
        <v>669</v>
      </c>
      <c r="F1168" t="s">
        <v>118</v>
      </c>
      <c r="G1168" t="s">
        <v>670</v>
      </c>
      <c r="H1168" t="s">
        <v>670</v>
      </c>
      <c r="I1168">
        <v>2.0557072488174133</v>
      </c>
    </row>
    <row r="1169" spans="1:9" x14ac:dyDescent="0.25">
      <c r="A1169" t="s">
        <v>21</v>
      </c>
      <c r="B1169" t="s">
        <v>2</v>
      </c>
      <c r="C1169" t="s">
        <v>21</v>
      </c>
      <c r="D1169">
        <v>38900</v>
      </c>
      <c r="E1169" t="s">
        <v>671</v>
      </c>
      <c r="F1169" t="s">
        <v>116</v>
      </c>
      <c r="G1169" t="s">
        <v>670</v>
      </c>
      <c r="H1169" t="s">
        <v>670</v>
      </c>
      <c r="I1169">
        <v>0.59978393698808041</v>
      </c>
    </row>
    <row r="1170" spans="1:9" x14ac:dyDescent="0.25">
      <c r="A1170" t="s">
        <v>21</v>
      </c>
      <c r="B1170" t="s">
        <v>2</v>
      </c>
      <c r="C1170" t="s">
        <v>21</v>
      </c>
      <c r="D1170">
        <v>38900</v>
      </c>
      <c r="E1170" t="s">
        <v>672</v>
      </c>
      <c r="F1170" t="s">
        <v>3</v>
      </c>
      <c r="G1170" t="s">
        <v>670</v>
      </c>
      <c r="H1170" t="s">
        <v>670</v>
      </c>
      <c r="I1170">
        <v>2.0019999999999998</v>
      </c>
    </row>
    <row r="1171" spans="1:9" x14ac:dyDescent="0.25">
      <c r="A1171" t="s">
        <v>21</v>
      </c>
      <c r="B1171" t="s">
        <v>2</v>
      </c>
      <c r="C1171" t="s">
        <v>21</v>
      </c>
      <c r="D1171">
        <v>38900</v>
      </c>
      <c r="E1171" t="s">
        <v>672</v>
      </c>
      <c r="F1171" t="s">
        <v>113</v>
      </c>
      <c r="G1171" t="s">
        <v>670</v>
      </c>
      <c r="H1171" t="s">
        <v>670</v>
      </c>
      <c r="I1171">
        <v>2.0449999999999999</v>
      </c>
    </row>
    <row r="1172" spans="1:9" x14ac:dyDescent="0.25">
      <c r="A1172" t="s">
        <v>516</v>
      </c>
      <c r="B1172" t="s">
        <v>2</v>
      </c>
      <c r="C1172" t="s">
        <v>516</v>
      </c>
      <c r="D1172">
        <v>238940</v>
      </c>
      <c r="E1172" t="s">
        <v>669</v>
      </c>
      <c r="F1172" t="s">
        <v>118</v>
      </c>
      <c r="G1172" t="s">
        <v>670</v>
      </c>
      <c r="H1172" t="s">
        <v>670</v>
      </c>
      <c r="I1172">
        <v>1.7566193456772676</v>
      </c>
    </row>
    <row r="1173" spans="1:9" x14ac:dyDescent="0.25">
      <c r="A1173" t="s">
        <v>516</v>
      </c>
      <c r="B1173" t="s">
        <v>2</v>
      </c>
      <c r="C1173" t="s">
        <v>516</v>
      </c>
      <c r="D1173">
        <v>238940</v>
      </c>
      <c r="E1173" t="s">
        <v>671</v>
      </c>
      <c r="F1173" t="s">
        <v>116</v>
      </c>
      <c r="G1173" t="s">
        <v>670</v>
      </c>
      <c r="H1173" t="s">
        <v>670</v>
      </c>
      <c r="I1173">
        <v>0.56094143180284495</v>
      </c>
    </row>
    <row r="1174" spans="1:9" x14ac:dyDescent="0.25">
      <c r="A1174" t="s">
        <v>516</v>
      </c>
      <c r="B1174" t="s">
        <v>2</v>
      </c>
      <c r="C1174" t="s">
        <v>516</v>
      </c>
      <c r="D1174">
        <v>238940</v>
      </c>
      <c r="E1174" t="s">
        <v>672</v>
      </c>
      <c r="F1174" t="s">
        <v>3</v>
      </c>
      <c r="G1174" t="s">
        <v>670</v>
      </c>
      <c r="H1174" t="s">
        <v>670</v>
      </c>
      <c r="I1174">
        <v>1.8879999999999999</v>
      </c>
    </row>
    <row r="1175" spans="1:9" x14ac:dyDescent="0.25">
      <c r="A1175" t="s">
        <v>516</v>
      </c>
      <c r="B1175" t="s">
        <v>2</v>
      </c>
      <c r="C1175" t="s">
        <v>516</v>
      </c>
      <c r="D1175">
        <v>238940</v>
      </c>
      <c r="E1175" t="s">
        <v>672</v>
      </c>
      <c r="F1175" t="s">
        <v>113</v>
      </c>
      <c r="G1175" t="s">
        <v>670</v>
      </c>
      <c r="H1175" t="s">
        <v>670</v>
      </c>
      <c r="I1175">
        <v>1.9219999999999999</v>
      </c>
    </row>
    <row r="1176" spans="1:9" x14ac:dyDescent="0.25">
      <c r="A1176" t="s">
        <v>517</v>
      </c>
      <c r="B1176" t="s">
        <v>2</v>
      </c>
      <c r="C1176" t="s">
        <v>517</v>
      </c>
      <c r="D1176">
        <v>39060</v>
      </c>
      <c r="E1176" t="s">
        <v>672</v>
      </c>
      <c r="F1176" t="s">
        <v>3</v>
      </c>
      <c r="G1176" t="s">
        <v>670</v>
      </c>
      <c r="H1176" t="s">
        <v>670</v>
      </c>
      <c r="I1176" t="s">
        <v>673</v>
      </c>
    </row>
    <row r="1177" spans="1:9" x14ac:dyDescent="0.25">
      <c r="A1177" t="s">
        <v>517</v>
      </c>
      <c r="B1177" t="s">
        <v>2</v>
      </c>
      <c r="C1177" t="s">
        <v>517</v>
      </c>
      <c r="D1177">
        <v>39060</v>
      </c>
      <c r="E1177" t="s">
        <v>672</v>
      </c>
      <c r="F1177" t="s">
        <v>113</v>
      </c>
      <c r="G1177" t="s">
        <v>670</v>
      </c>
      <c r="H1177" t="s">
        <v>670</v>
      </c>
      <c r="I1177" t="s">
        <v>673</v>
      </c>
    </row>
    <row r="1178" spans="1:9" x14ac:dyDescent="0.25">
      <c r="A1178" t="s">
        <v>518</v>
      </c>
      <c r="B1178" t="s">
        <v>2</v>
      </c>
      <c r="C1178" t="s">
        <v>518</v>
      </c>
      <c r="D1178">
        <v>39150</v>
      </c>
      <c r="E1178" t="s">
        <v>669</v>
      </c>
      <c r="F1178" t="s">
        <v>118</v>
      </c>
      <c r="G1178" t="s">
        <v>670</v>
      </c>
      <c r="H1178" t="s">
        <v>670</v>
      </c>
      <c r="I1178">
        <v>1.5601889168782666</v>
      </c>
    </row>
    <row r="1179" spans="1:9" x14ac:dyDescent="0.25">
      <c r="A1179" t="s">
        <v>518</v>
      </c>
      <c r="B1179" t="s">
        <v>2</v>
      </c>
      <c r="C1179" t="s">
        <v>518</v>
      </c>
      <c r="D1179">
        <v>39150</v>
      </c>
      <c r="E1179" t="s">
        <v>672</v>
      </c>
      <c r="F1179" t="s">
        <v>3</v>
      </c>
      <c r="G1179" t="s">
        <v>670</v>
      </c>
      <c r="H1179" t="s">
        <v>670</v>
      </c>
      <c r="I1179">
        <v>1.8919999999999999</v>
      </c>
    </row>
    <row r="1180" spans="1:9" x14ac:dyDescent="0.25">
      <c r="A1180" t="s">
        <v>518</v>
      </c>
      <c r="B1180" t="s">
        <v>2</v>
      </c>
      <c r="C1180" t="s">
        <v>518</v>
      </c>
      <c r="D1180">
        <v>39150</v>
      </c>
      <c r="E1180" t="s">
        <v>672</v>
      </c>
      <c r="F1180" t="s">
        <v>113</v>
      </c>
      <c r="G1180" t="s">
        <v>670</v>
      </c>
      <c r="H1180" t="s">
        <v>670</v>
      </c>
      <c r="I1180">
        <v>1.9219999999999999</v>
      </c>
    </row>
    <row r="1181" spans="1:9" x14ac:dyDescent="0.25">
      <c r="A1181" t="s">
        <v>519</v>
      </c>
      <c r="B1181" t="s">
        <v>2</v>
      </c>
      <c r="C1181" t="s">
        <v>519</v>
      </c>
      <c r="D1181">
        <v>39300</v>
      </c>
      <c r="E1181" t="s">
        <v>669</v>
      </c>
      <c r="F1181" t="s">
        <v>118</v>
      </c>
      <c r="G1181" t="s">
        <v>670</v>
      </c>
      <c r="H1181" t="s">
        <v>670</v>
      </c>
      <c r="I1181">
        <v>2.2933993006773834</v>
      </c>
    </row>
    <row r="1182" spans="1:9" x14ac:dyDescent="0.25">
      <c r="A1182" t="s">
        <v>519</v>
      </c>
      <c r="B1182" t="s">
        <v>2</v>
      </c>
      <c r="C1182" t="s">
        <v>519</v>
      </c>
      <c r="D1182">
        <v>39300</v>
      </c>
      <c r="E1182" t="s">
        <v>671</v>
      </c>
      <c r="F1182" t="s">
        <v>116</v>
      </c>
      <c r="G1182" t="s">
        <v>670</v>
      </c>
      <c r="H1182" t="s">
        <v>670</v>
      </c>
      <c r="I1182">
        <v>0.52542425219576583</v>
      </c>
    </row>
    <row r="1183" spans="1:9" x14ac:dyDescent="0.25">
      <c r="A1183" t="s">
        <v>519</v>
      </c>
      <c r="B1183" t="s">
        <v>2</v>
      </c>
      <c r="C1183" t="s">
        <v>519</v>
      </c>
      <c r="D1183">
        <v>39300</v>
      </c>
      <c r="E1183" t="s">
        <v>672</v>
      </c>
      <c r="F1183" t="s">
        <v>3</v>
      </c>
      <c r="G1183" t="s">
        <v>670</v>
      </c>
      <c r="H1183" t="s">
        <v>670</v>
      </c>
      <c r="I1183">
        <v>2.4489999999999998</v>
      </c>
    </row>
    <row r="1184" spans="1:9" x14ac:dyDescent="0.25">
      <c r="A1184" t="s">
        <v>519</v>
      </c>
      <c r="B1184" t="s">
        <v>2</v>
      </c>
      <c r="C1184" t="s">
        <v>519</v>
      </c>
      <c r="D1184">
        <v>39300</v>
      </c>
      <c r="E1184" t="s">
        <v>672</v>
      </c>
      <c r="F1184" t="s">
        <v>113</v>
      </c>
      <c r="G1184" t="s">
        <v>670</v>
      </c>
      <c r="H1184" t="s">
        <v>670</v>
      </c>
      <c r="I1184">
        <v>2.4689999999999999</v>
      </c>
    </row>
    <row r="1185" spans="1:9" x14ac:dyDescent="0.25">
      <c r="A1185" t="s">
        <v>520</v>
      </c>
      <c r="B1185" t="s">
        <v>2</v>
      </c>
      <c r="C1185" t="s">
        <v>520</v>
      </c>
      <c r="D1185">
        <v>39340</v>
      </c>
      <c r="E1185" t="s">
        <v>669</v>
      </c>
      <c r="F1185" t="s">
        <v>118</v>
      </c>
      <c r="G1185" t="s">
        <v>670</v>
      </c>
      <c r="H1185" t="s">
        <v>670</v>
      </c>
      <c r="I1185">
        <v>1.5648407162121707</v>
      </c>
    </row>
    <row r="1186" spans="1:9" x14ac:dyDescent="0.25">
      <c r="A1186" t="s">
        <v>520</v>
      </c>
      <c r="B1186" t="s">
        <v>2</v>
      </c>
      <c r="C1186" t="s">
        <v>520</v>
      </c>
      <c r="D1186">
        <v>39340</v>
      </c>
      <c r="E1186" t="s">
        <v>672</v>
      </c>
      <c r="F1186" t="s">
        <v>3</v>
      </c>
      <c r="G1186" t="s">
        <v>670</v>
      </c>
      <c r="H1186" t="s">
        <v>670</v>
      </c>
      <c r="I1186">
        <v>1.5309999999999999</v>
      </c>
    </row>
    <row r="1187" spans="1:9" x14ac:dyDescent="0.25">
      <c r="A1187" t="s">
        <v>520</v>
      </c>
      <c r="B1187" t="s">
        <v>2</v>
      </c>
      <c r="C1187" t="s">
        <v>520</v>
      </c>
      <c r="D1187">
        <v>39340</v>
      </c>
      <c r="E1187" t="s">
        <v>672</v>
      </c>
      <c r="F1187" t="s">
        <v>113</v>
      </c>
      <c r="G1187" t="s">
        <v>670</v>
      </c>
      <c r="H1187" t="s">
        <v>670</v>
      </c>
      <c r="I1187">
        <v>1.5629999999999999</v>
      </c>
    </row>
    <row r="1188" spans="1:9" x14ac:dyDescent="0.25">
      <c r="A1188" t="s">
        <v>521</v>
      </c>
      <c r="B1188" t="s">
        <v>2</v>
      </c>
      <c r="C1188" t="s">
        <v>521</v>
      </c>
      <c r="D1188">
        <v>39380</v>
      </c>
      <c r="E1188" t="s">
        <v>669</v>
      </c>
      <c r="F1188" t="s">
        <v>118</v>
      </c>
      <c r="G1188" t="s">
        <v>670</v>
      </c>
      <c r="H1188" t="s">
        <v>670</v>
      </c>
      <c r="I1188">
        <v>1.6963032673742899</v>
      </c>
    </row>
    <row r="1189" spans="1:9" x14ac:dyDescent="0.25">
      <c r="A1189" t="s">
        <v>521</v>
      </c>
      <c r="B1189" t="s">
        <v>2</v>
      </c>
      <c r="C1189" t="s">
        <v>521</v>
      </c>
      <c r="D1189">
        <v>39380</v>
      </c>
      <c r="E1189" t="s">
        <v>672</v>
      </c>
      <c r="F1189" t="s">
        <v>3</v>
      </c>
      <c r="G1189" t="s">
        <v>670</v>
      </c>
      <c r="H1189" t="s">
        <v>670</v>
      </c>
      <c r="I1189">
        <v>1.5740000000000001</v>
      </c>
    </row>
    <row r="1190" spans="1:9" x14ac:dyDescent="0.25">
      <c r="A1190" t="s">
        <v>521</v>
      </c>
      <c r="B1190" t="s">
        <v>2</v>
      </c>
      <c r="C1190" t="s">
        <v>521</v>
      </c>
      <c r="D1190">
        <v>39380</v>
      </c>
      <c r="E1190" t="s">
        <v>672</v>
      </c>
      <c r="F1190" t="s">
        <v>113</v>
      </c>
      <c r="G1190" t="s">
        <v>670</v>
      </c>
      <c r="H1190" t="s">
        <v>670</v>
      </c>
      <c r="I1190">
        <v>1.585</v>
      </c>
    </row>
    <row r="1191" spans="1:9" x14ac:dyDescent="0.25">
      <c r="A1191" t="s">
        <v>522</v>
      </c>
      <c r="B1191" t="s">
        <v>2</v>
      </c>
      <c r="C1191" t="s">
        <v>522</v>
      </c>
      <c r="D1191">
        <v>39420</v>
      </c>
      <c r="E1191" t="s">
        <v>672</v>
      </c>
      <c r="F1191" t="s">
        <v>3</v>
      </c>
      <c r="G1191" t="s">
        <v>670</v>
      </c>
      <c r="H1191" t="s">
        <v>670</v>
      </c>
      <c r="I1191">
        <v>1.4139999999999999</v>
      </c>
    </row>
    <row r="1192" spans="1:9" x14ac:dyDescent="0.25">
      <c r="A1192" t="s">
        <v>522</v>
      </c>
      <c r="B1192" t="s">
        <v>2</v>
      </c>
      <c r="C1192" t="s">
        <v>522</v>
      </c>
      <c r="D1192">
        <v>39420</v>
      </c>
      <c r="E1192" t="s">
        <v>672</v>
      </c>
      <c r="F1192" t="s">
        <v>113</v>
      </c>
      <c r="G1192" t="s">
        <v>670</v>
      </c>
      <c r="H1192" t="s">
        <v>670</v>
      </c>
      <c r="I1192">
        <v>1.4370000000000001</v>
      </c>
    </row>
    <row r="1193" spans="1:9" x14ac:dyDescent="0.25">
      <c r="A1193" t="s">
        <v>33</v>
      </c>
      <c r="B1193" t="s">
        <v>2</v>
      </c>
      <c r="C1193" t="s">
        <v>33</v>
      </c>
      <c r="D1193">
        <v>239580</v>
      </c>
      <c r="E1193" t="s">
        <v>669</v>
      </c>
      <c r="F1193" t="s">
        <v>118</v>
      </c>
      <c r="G1193" t="s">
        <v>670</v>
      </c>
      <c r="H1193" t="s">
        <v>670</v>
      </c>
      <c r="I1193">
        <v>1.5775924397245698</v>
      </c>
    </row>
    <row r="1194" spans="1:9" x14ac:dyDescent="0.25">
      <c r="A1194" t="s">
        <v>33</v>
      </c>
      <c r="B1194" t="s">
        <v>2</v>
      </c>
      <c r="C1194" t="s">
        <v>33</v>
      </c>
      <c r="D1194">
        <v>239580</v>
      </c>
      <c r="E1194" t="s">
        <v>671</v>
      </c>
      <c r="F1194" t="s">
        <v>116</v>
      </c>
      <c r="G1194" t="s">
        <v>670</v>
      </c>
      <c r="H1194" t="s">
        <v>670</v>
      </c>
      <c r="I1194">
        <v>0.57639592785805482</v>
      </c>
    </row>
    <row r="1195" spans="1:9" x14ac:dyDescent="0.25">
      <c r="A1195" t="s">
        <v>33</v>
      </c>
      <c r="B1195" t="s">
        <v>2</v>
      </c>
      <c r="C1195" t="s">
        <v>33</v>
      </c>
      <c r="D1195">
        <v>239580</v>
      </c>
      <c r="E1195" t="s">
        <v>672</v>
      </c>
      <c r="F1195" t="s">
        <v>3</v>
      </c>
      <c r="G1195" t="s">
        <v>670</v>
      </c>
      <c r="H1195" t="s">
        <v>670</v>
      </c>
      <c r="I1195">
        <v>1.4970000000000001</v>
      </c>
    </row>
    <row r="1196" spans="1:9" x14ac:dyDescent="0.25">
      <c r="A1196" t="s">
        <v>33</v>
      </c>
      <c r="B1196" t="s">
        <v>2</v>
      </c>
      <c r="C1196" t="s">
        <v>33</v>
      </c>
      <c r="D1196">
        <v>239580</v>
      </c>
      <c r="E1196" t="s">
        <v>672</v>
      </c>
      <c r="F1196" t="s">
        <v>113</v>
      </c>
      <c r="G1196" t="s">
        <v>670</v>
      </c>
      <c r="H1196" t="s">
        <v>670</v>
      </c>
      <c r="I1196">
        <v>1.54</v>
      </c>
    </row>
    <row r="1197" spans="1:9" x14ac:dyDescent="0.25">
      <c r="A1197" t="s">
        <v>523</v>
      </c>
      <c r="B1197" t="s">
        <v>2</v>
      </c>
      <c r="C1197" t="s">
        <v>523</v>
      </c>
      <c r="D1197">
        <v>39660</v>
      </c>
      <c r="E1197" t="s">
        <v>672</v>
      </c>
      <c r="F1197" t="s">
        <v>3</v>
      </c>
      <c r="G1197" t="s">
        <v>670</v>
      </c>
      <c r="H1197" t="s">
        <v>670</v>
      </c>
      <c r="I1197">
        <v>1.43</v>
      </c>
    </row>
    <row r="1198" spans="1:9" x14ac:dyDescent="0.25">
      <c r="A1198" t="s">
        <v>523</v>
      </c>
      <c r="B1198" t="s">
        <v>2</v>
      </c>
      <c r="C1198" t="s">
        <v>523</v>
      </c>
      <c r="D1198">
        <v>39660</v>
      </c>
      <c r="E1198" t="s">
        <v>672</v>
      </c>
      <c r="F1198" t="s">
        <v>113</v>
      </c>
      <c r="G1198" t="s">
        <v>670</v>
      </c>
      <c r="H1198" t="s">
        <v>670</v>
      </c>
      <c r="I1198">
        <v>1.452</v>
      </c>
    </row>
    <row r="1199" spans="1:9" x14ac:dyDescent="0.25">
      <c r="A1199" t="s">
        <v>524</v>
      </c>
      <c r="B1199" t="s">
        <v>2</v>
      </c>
      <c r="C1199" t="s">
        <v>524</v>
      </c>
      <c r="D1199">
        <v>39740</v>
      </c>
      <c r="E1199" t="s">
        <v>672</v>
      </c>
      <c r="F1199" t="s">
        <v>3</v>
      </c>
      <c r="G1199" t="s">
        <v>670</v>
      </c>
      <c r="H1199" t="s">
        <v>670</v>
      </c>
      <c r="I1199">
        <v>1.7170000000000001</v>
      </c>
    </row>
    <row r="1200" spans="1:9" x14ac:dyDescent="0.25">
      <c r="A1200" t="s">
        <v>524</v>
      </c>
      <c r="B1200" t="s">
        <v>2</v>
      </c>
      <c r="C1200" t="s">
        <v>524</v>
      </c>
      <c r="D1200">
        <v>39740</v>
      </c>
      <c r="E1200" t="s">
        <v>672</v>
      </c>
      <c r="F1200" t="s">
        <v>113</v>
      </c>
      <c r="G1200" t="s">
        <v>670</v>
      </c>
      <c r="H1200" t="s">
        <v>670</v>
      </c>
      <c r="I1200">
        <v>1.7230000000000001</v>
      </c>
    </row>
    <row r="1201" spans="1:9" x14ac:dyDescent="0.25">
      <c r="A1201" t="s">
        <v>525</v>
      </c>
      <c r="B1201" t="s">
        <v>2</v>
      </c>
      <c r="C1201" t="s">
        <v>525</v>
      </c>
      <c r="D1201">
        <v>39780</v>
      </c>
      <c r="E1201" t="s">
        <v>672</v>
      </c>
      <c r="F1201" t="s">
        <v>3</v>
      </c>
      <c r="G1201" t="s">
        <v>670</v>
      </c>
      <c r="H1201" t="s">
        <v>670</v>
      </c>
      <c r="I1201" t="s">
        <v>673</v>
      </c>
    </row>
    <row r="1202" spans="1:9" x14ac:dyDescent="0.25">
      <c r="A1202" t="s">
        <v>525</v>
      </c>
      <c r="B1202" t="s">
        <v>2</v>
      </c>
      <c r="C1202" t="s">
        <v>525</v>
      </c>
      <c r="D1202">
        <v>39780</v>
      </c>
      <c r="E1202" t="s">
        <v>672</v>
      </c>
      <c r="F1202" t="s">
        <v>113</v>
      </c>
      <c r="G1202" t="s">
        <v>670</v>
      </c>
      <c r="H1202" t="s">
        <v>670</v>
      </c>
      <c r="I1202" t="s">
        <v>673</v>
      </c>
    </row>
    <row r="1203" spans="1:9" x14ac:dyDescent="0.25">
      <c r="A1203" t="s">
        <v>526</v>
      </c>
      <c r="B1203" t="s">
        <v>2</v>
      </c>
      <c r="C1203" t="s">
        <v>526</v>
      </c>
      <c r="D1203">
        <v>39820</v>
      </c>
      <c r="E1203" t="s">
        <v>669</v>
      </c>
      <c r="F1203" t="s">
        <v>118</v>
      </c>
      <c r="G1203" t="s">
        <v>670</v>
      </c>
      <c r="H1203" t="s">
        <v>670</v>
      </c>
      <c r="I1203">
        <v>3.7842811872404902</v>
      </c>
    </row>
    <row r="1204" spans="1:9" x14ac:dyDescent="0.25">
      <c r="A1204" t="s">
        <v>526</v>
      </c>
      <c r="B1204" t="s">
        <v>2</v>
      </c>
      <c r="C1204" t="s">
        <v>526</v>
      </c>
      <c r="D1204">
        <v>39820</v>
      </c>
      <c r="E1204" t="s">
        <v>672</v>
      </c>
      <c r="F1204" t="s">
        <v>3</v>
      </c>
      <c r="G1204" t="s">
        <v>670</v>
      </c>
      <c r="H1204" t="s">
        <v>670</v>
      </c>
      <c r="I1204">
        <v>1.726</v>
      </c>
    </row>
    <row r="1205" spans="1:9" x14ac:dyDescent="0.25">
      <c r="A1205" t="s">
        <v>526</v>
      </c>
      <c r="B1205" t="s">
        <v>2</v>
      </c>
      <c r="C1205" t="s">
        <v>526</v>
      </c>
      <c r="D1205">
        <v>39820</v>
      </c>
      <c r="E1205" t="s">
        <v>672</v>
      </c>
      <c r="F1205" t="s">
        <v>113</v>
      </c>
      <c r="G1205" t="s">
        <v>670</v>
      </c>
      <c r="H1205" t="s">
        <v>670</v>
      </c>
      <c r="I1205">
        <v>1.726</v>
      </c>
    </row>
    <row r="1206" spans="1:9" x14ac:dyDescent="0.25">
      <c r="A1206" t="s">
        <v>527</v>
      </c>
      <c r="B1206" t="s">
        <v>2</v>
      </c>
      <c r="C1206" t="s">
        <v>527</v>
      </c>
      <c r="D1206">
        <v>39860</v>
      </c>
      <c r="E1206" t="s">
        <v>672</v>
      </c>
      <c r="F1206" t="s">
        <v>3</v>
      </c>
      <c r="G1206" t="s">
        <v>670</v>
      </c>
      <c r="H1206" t="s">
        <v>670</v>
      </c>
      <c r="I1206" t="s">
        <v>673</v>
      </c>
    </row>
    <row r="1207" spans="1:9" x14ac:dyDescent="0.25">
      <c r="A1207" t="s">
        <v>527</v>
      </c>
      <c r="B1207" t="s">
        <v>2</v>
      </c>
      <c r="C1207" t="s">
        <v>527</v>
      </c>
      <c r="D1207">
        <v>39860</v>
      </c>
      <c r="E1207" t="s">
        <v>672</v>
      </c>
      <c r="F1207" t="s">
        <v>113</v>
      </c>
      <c r="G1207" t="s">
        <v>670</v>
      </c>
      <c r="H1207" t="s">
        <v>670</v>
      </c>
      <c r="I1207" t="s">
        <v>673</v>
      </c>
    </row>
    <row r="1208" spans="1:9" x14ac:dyDescent="0.25">
      <c r="A1208" t="s">
        <v>8</v>
      </c>
      <c r="B1208" t="s">
        <v>2</v>
      </c>
      <c r="C1208" t="s">
        <v>8</v>
      </c>
      <c r="D1208">
        <v>39900</v>
      </c>
      <c r="E1208" t="s">
        <v>669</v>
      </c>
      <c r="F1208" t="s">
        <v>118</v>
      </c>
      <c r="G1208" t="s">
        <v>670</v>
      </c>
      <c r="H1208" t="s">
        <v>670</v>
      </c>
      <c r="I1208">
        <v>1.8497800107062918</v>
      </c>
    </row>
    <row r="1209" spans="1:9" x14ac:dyDescent="0.25">
      <c r="A1209" t="s">
        <v>8</v>
      </c>
      <c r="B1209" t="s">
        <v>2</v>
      </c>
      <c r="C1209" t="s">
        <v>8</v>
      </c>
      <c r="D1209">
        <v>39900</v>
      </c>
      <c r="E1209" t="s">
        <v>671</v>
      </c>
      <c r="F1209" t="s">
        <v>116</v>
      </c>
      <c r="G1209" t="s">
        <v>670</v>
      </c>
      <c r="H1209" t="s">
        <v>670</v>
      </c>
      <c r="I1209">
        <v>0.5955964680186111</v>
      </c>
    </row>
    <row r="1210" spans="1:9" x14ac:dyDescent="0.25">
      <c r="A1210" t="s">
        <v>8</v>
      </c>
      <c r="B1210" t="s">
        <v>2</v>
      </c>
      <c r="C1210" t="s">
        <v>8</v>
      </c>
      <c r="D1210">
        <v>39900</v>
      </c>
      <c r="E1210" t="s">
        <v>672</v>
      </c>
      <c r="F1210" t="s">
        <v>3</v>
      </c>
      <c r="G1210" t="s">
        <v>670</v>
      </c>
      <c r="H1210" t="s">
        <v>670</v>
      </c>
      <c r="I1210">
        <v>1.921</v>
      </c>
    </row>
    <row r="1211" spans="1:9" x14ac:dyDescent="0.25">
      <c r="A1211" t="s">
        <v>8</v>
      </c>
      <c r="B1211" t="s">
        <v>2</v>
      </c>
      <c r="C1211" t="s">
        <v>8</v>
      </c>
      <c r="D1211">
        <v>39900</v>
      </c>
      <c r="E1211" t="s">
        <v>672</v>
      </c>
      <c r="F1211" t="s">
        <v>113</v>
      </c>
      <c r="G1211" t="s">
        <v>670</v>
      </c>
      <c r="H1211" t="s">
        <v>670</v>
      </c>
      <c r="I1211">
        <v>1.94</v>
      </c>
    </row>
    <row r="1212" spans="1:9" x14ac:dyDescent="0.25">
      <c r="A1212" t="s">
        <v>528</v>
      </c>
      <c r="B1212" t="s">
        <v>2</v>
      </c>
      <c r="C1212" t="s">
        <v>528</v>
      </c>
      <c r="D1212">
        <v>39940</v>
      </c>
      <c r="E1212" t="s">
        <v>672</v>
      </c>
      <c r="F1212" t="s">
        <v>3</v>
      </c>
      <c r="G1212" t="s">
        <v>670</v>
      </c>
      <c r="H1212" t="s">
        <v>670</v>
      </c>
      <c r="I1212">
        <v>1.4590000000000001</v>
      </c>
    </row>
    <row r="1213" spans="1:9" x14ac:dyDescent="0.25">
      <c r="A1213" t="s">
        <v>528</v>
      </c>
      <c r="B1213" t="s">
        <v>2</v>
      </c>
      <c r="C1213" t="s">
        <v>528</v>
      </c>
      <c r="D1213">
        <v>39940</v>
      </c>
      <c r="E1213" t="s">
        <v>672</v>
      </c>
      <c r="F1213" t="s">
        <v>113</v>
      </c>
      <c r="G1213" t="s">
        <v>670</v>
      </c>
      <c r="H1213" t="s">
        <v>670</v>
      </c>
      <c r="I1213">
        <v>1.4590000000000001</v>
      </c>
    </row>
    <row r="1214" spans="1:9" x14ac:dyDescent="0.25">
      <c r="A1214" t="s">
        <v>529</v>
      </c>
      <c r="B1214" t="s">
        <v>2</v>
      </c>
      <c r="C1214" t="s">
        <v>529</v>
      </c>
      <c r="D1214">
        <v>40080</v>
      </c>
      <c r="E1214" t="s">
        <v>669</v>
      </c>
      <c r="F1214" t="s">
        <v>118</v>
      </c>
      <c r="G1214" t="s">
        <v>670</v>
      </c>
      <c r="H1214" t="s">
        <v>670</v>
      </c>
      <c r="I1214">
        <v>1.5629615343113197</v>
      </c>
    </row>
    <row r="1215" spans="1:9" x14ac:dyDescent="0.25">
      <c r="A1215" t="s">
        <v>529</v>
      </c>
      <c r="B1215" t="s">
        <v>2</v>
      </c>
      <c r="C1215" t="s">
        <v>529</v>
      </c>
      <c r="D1215">
        <v>40080</v>
      </c>
      <c r="E1215" t="s">
        <v>672</v>
      </c>
      <c r="F1215" t="s">
        <v>3</v>
      </c>
      <c r="G1215" t="s">
        <v>670</v>
      </c>
      <c r="H1215" t="s">
        <v>670</v>
      </c>
      <c r="I1215" t="s">
        <v>673</v>
      </c>
    </row>
    <row r="1216" spans="1:9" x14ac:dyDescent="0.25">
      <c r="A1216" t="s">
        <v>529</v>
      </c>
      <c r="B1216" t="s">
        <v>2</v>
      </c>
      <c r="C1216" t="s">
        <v>529</v>
      </c>
      <c r="D1216">
        <v>40080</v>
      </c>
      <c r="E1216" t="s">
        <v>672</v>
      </c>
      <c r="F1216" t="s">
        <v>113</v>
      </c>
      <c r="G1216" t="s">
        <v>670</v>
      </c>
      <c r="H1216" t="s">
        <v>670</v>
      </c>
      <c r="I1216" t="s">
        <v>673</v>
      </c>
    </row>
    <row r="1217" spans="1:9" x14ac:dyDescent="0.25">
      <c r="A1217" t="s">
        <v>530</v>
      </c>
      <c r="B1217" t="s">
        <v>2</v>
      </c>
      <c r="C1217" t="s">
        <v>530</v>
      </c>
      <c r="D1217">
        <v>39980</v>
      </c>
      <c r="E1217" t="s">
        <v>669</v>
      </c>
      <c r="F1217" t="s">
        <v>118</v>
      </c>
      <c r="G1217" t="s">
        <v>670</v>
      </c>
      <c r="H1217" t="s">
        <v>670</v>
      </c>
      <c r="I1217">
        <v>0.91998722017181622</v>
      </c>
    </row>
    <row r="1218" spans="1:9" x14ac:dyDescent="0.25">
      <c r="A1218" t="s">
        <v>530</v>
      </c>
      <c r="B1218" t="s">
        <v>2</v>
      </c>
      <c r="C1218" t="s">
        <v>530</v>
      </c>
      <c r="D1218">
        <v>39980</v>
      </c>
      <c r="E1218" t="s">
        <v>672</v>
      </c>
      <c r="F1218" t="s">
        <v>3</v>
      </c>
      <c r="G1218" t="s">
        <v>670</v>
      </c>
      <c r="H1218" t="s">
        <v>670</v>
      </c>
      <c r="I1218" t="s">
        <v>673</v>
      </c>
    </row>
    <row r="1219" spans="1:9" x14ac:dyDescent="0.25">
      <c r="A1219" t="s">
        <v>530</v>
      </c>
      <c r="B1219" t="s">
        <v>2</v>
      </c>
      <c r="C1219" t="s">
        <v>530</v>
      </c>
      <c r="D1219">
        <v>39980</v>
      </c>
      <c r="E1219" t="s">
        <v>672</v>
      </c>
      <c r="F1219" t="s">
        <v>113</v>
      </c>
      <c r="G1219" t="s">
        <v>670</v>
      </c>
      <c r="H1219" t="s">
        <v>670</v>
      </c>
      <c r="I1219" t="s">
        <v>673</v>
      </c>
    </row>
    <row r="1220" spans="1:9" x14ac:dyDescent="0.25">
      <c r="A1220" t="s">
        <v>9</v>
      </c>
      <c r="B1220" t="s">
        <v>2</v>
      </c>
      <c r="C1220" t="s">
        <v>9</v>
      </c>
      <c r="D1220">
        <v>40060</v>
      </c>
      <c r="E1220" t="s">
        <v>669</v>
      </c>
      <c r="F1220" t="s">
        <v>118</v>
      </c>
      <c r="G1220" t="s">
        <v>670</v>
      </c>
      <c r="H1220" t="s">
        <v>670</v>
      </c>
      <c r="I1220">
        <v>1.6919450275703463</v>
      </c>
    </row>
    <row r="1221" spans="1:9" x14ac:dyDescent="0.25">
      <c r="A1221" t="s">
        <v>9</v>
      </c>
      <c r="B1221" t="s">
        <v>2</v>
      </c>
      <c r="C1221" t="s">
        <v>9</v>
      </c>
      <c r="D1221">
        <v>40060</v>
      </c>
      <c r="E1221" t="s">
        <v>671</v>
      </c>
      <c r="F1221" t="s">
        <v>116</v>
      </c>
      <c r="G1221" t="s">
        <v>670</v>
      </c>
      <c r="H1221" t="s">
        <v>670</v>
      </c>
      <c r="I1221">
        <v>0.53144367113021451</v>
      </c>
    </row>
    <row r="1222" spans="1:9" x14ac:dyDescent="0.25">
      <c r="A1222" t="s">
        <v>9</v>
      </c>
      <c r="B1222" t="s">
        <v>2</v>
      </c>
      <c r="C1222" t="s">
        <v>9</v>
      </c>
      <c r="D1222">
        <v>40060</v>
      </c>
      <c r="E1222" t="s">
        <v>672</v>
      </c>
      <c r="F1222" t="s">
        <v>3</v>
      </c>
      <c r="G1222" t="s">
        <v>670</v>
      </c>
      <c r="H1222" t="s">
        <v>670</v>
      </c>
      <c r="I1222">
        <v>1.7569999999999999</v>
      </c>
    </row>
    <row r="1223" spans="1:9" x14ac:dyDescent="0.25">
      <c r="A1223" t="s">
        <v>9</v>
      </c>
      <c r="B1223" t="s">
        <v>2</v>
      </c>
      <c r="C1223" t="s">
        <v>9</v>
      </c>
      <c r="D1223">
        <v>40060</v>
      </c>
      <c r="E1223" t="s">
        <v>672</v>
      </c>
      <c r="F1223" t="s">
        <v>113</v>
      </c>
      <c r="G1223" t="s">
        <v>670</v>
      </c>
      <c r="H1223" t="s">
        <v>670</v>
      </c>
      <c r="I1223">
        <v>1.7769999999999999</v>
      </c>
    </row>
    <row r="1224" spans="1:9" x14ac:dyDescent="0.25">
      <c r="A1224" t="s">
        <v>531</v>
      </c>
      <c r="B1224" t="s">
        <v>2</v>
      </c>
      <c r="C1224" t="s">
        <v>531</v>
      </c>
      <c r="D1224">
        <v>40090</v>
      </c>
      <c r="E1224" t="s">
        <v>669</v>
      </c>
      <c r="F1224" t="s">
        <v>118</v>
      </c>
      <c r="G1224" t="s">
        <v>670</v>
      </c>
      <c r="H1224" t="s">
        <v>670</v>
      </c>
      <c r="I1224">
        <v>2.4249857721504262</v>
      </c>
    </row>
    <row r="1225" spans="1:9" x14ac:dyDescent="0.25">
      <c r="A1225" t="s">
        <v>531</v>
      </c>
      <c r="B1225" t="s">
        <v>2</v>
      </c>
      <c r="C1225" t="s">
        <v>531</v>
      </c>
      <c r="D1225">
        <v>40090</v>
      </c>
      <c r="E1225" t="s">
        <v>672</v>
      </c>
      <c r="F1225" t="s">
        <v>3</v>
      </c>
      <c r="G1225" t="s">
        <v>670</v>
      </c>
      <c r="H1225" t="s">
        <v>670</v>
      </c>
      <c r="I1225">
        <v>2.8359999999999999</v>
      </c>
    </row>
    <row r="1226" spans="1:9" x14ac:dyDescent="0.25">
      <c r="A1226" t="s">
        <v>531</v>
      </c>
      <c r="B1226" t="s">
        <v>2</v>
      </c>
      <c r="C1226" t="s">
        <v>531</v>
      </c>
      <c r="D1226">
        <v>40090</v>
      </c>
      <c r="E1226" t="s">
        <v>672</v>
      </c>
      <c r="F1226" t="s">
        <v>113</v>
      </c>
      <c r="G1226" t="s">
        <v>670</v>
      </c>
      <c r="H1226" t="s">
        <v>670</v>
      </c>
      <c r="I1226">
        <v>2.9470000000000001</v>
      </c>
    </row>
    <row r="1227" spans="1:9" x14ac:dyDescent="0.25">
      <c r="A1227" t="s">
        <v>11</v>
      </c>
      <c r="B1227" t="s">
        <v>2</v>
      </c>
      <c r="C1227" t="s">
        <v>11</v>
      </c>
      <c r="D1227">
        <v>40140</v>
      </c>
      <c r="E1227" t="s">
        <v>669</v>
      </c>
      <c r="F1227" t="s">
        <v>118</v>
      </c>
      <c r="G1227" t="s">
        <v>670</v>
      </c>
      <c r="H1227" t="s">
        <v>670</v>
      </c>
      <c r="I1227">
        <v>2.4639715471329229</v>
      </c>
    </row>
    <row r="1228" spans="1:9" x14ac:dyDescent="0.25">
      <c r="A1228" t="s">
        <v>11</v>
      </c>
      <c r="B1228" t="s">
        <v>2</v>
      </c>
      <c r="C1228" t="s">
        <v>11</v>
      </c>
      <c r="D1228">
        <v>40140</v>
      </c>
      <c r="E1228" t="s">
        <v>671</v>
      </c>
      <c r="F1228" t="s">
        <v>116</v>
      </c>
      <c r="G1228" t="s">
        <v>670</v>
      </c>
      <c r="H1228" t="s">
        <v>670</v>
      </c>
      <c r="I1228">
        <v>0.58185782655597929</v>
      </c>
    </row>
    <row r="1229" spans="1:9" x14ac:dyDescent="0.25">
      <c r="A1229" t="s">
        <v>11</v>
      </c>
      <c r="B1229" t="s">
        <v>2</v>
      </c>
      <c r="C1229" t="s">
        <v>11</v>
      </c>
      <c r="D1229">
        <v>40140</v>
      </c>
      <c r="E1229" t="s">
        <v>672</v>
      </c>
      <c r="F1229" t="s">
        <v>3</v>
      </c>
      <c r="G1229" t="s">
        <v>670</v>
      </c>
      <c r="H1229" t="s">
        <v>670</v>
      </c>
      <c r="I1229">
        <v>2.5259999999999998</v>
      </c>
    </row>
    <row r="1230" spans="1:9" x14ac:dyDescent="0.25">
      <c r="A1230" t="s">
        <v>11</v>
      </c>
      <c r="B1230" t="s">
        <v>2</v>
      </c>
      <c r="C1230" t="s">
        <v>11</v>
      </c>
      <c r="D1230">
        <v>40140</v>
      </c>
      <c r="E1230" t="s">
        <v>672</v>
      </c>
      <c r="F1230" t="s">
        <v>113</v>
      </c>
      <c r="G1230" t="s">
        <v>670</v>
      </c>
      <c r="H1230" t="s">
        <v>670</v>
      </c>
      <c r="I1230">
        <v>2.5459999999999998</v>
      </c>
    </row>
    <row r="1231" spans="1:9" x14ac:dyDescent="0.25">
      <c r="A1231" t="s">
        <v>532</v>
      </c>
      <c r="B1231" t="s">
        <v>2</v>
      </c>
      <c r="C1231" t="s">
        <v>532</v>
      </c>
      <c r="D1231">
        <v>40220</v>
      </c>
      <c r="E1231" t="s">
        <v>669</v>
      </c>
      <c r="F1231" t="s">
        <v>118</v>
      </c>
      <c r="G1231" t="s">
        <v>670</v>
      </c>
      <c r="H1231" t="s">
        <v>670</v>
      </c>
      <c r="I1231">
        <v>1.1842208595474046</v>
      </c>
    </row>
    <row r="1232" spans="1:9" x14ac:dyDescent="0.25">
      <c r="A1232" t="s">
        <v>532</v>
      </c>
      <c r="B1232" t="s">
        <v>2</v>
      </c>
      <c r="C1232" t="s">
        <v>532</v>
      </c>
      <c r="D1232">
        <v>40220</v>
      </c>
      <c r="E1232" t="s">
        <v>671</v>
      </c>
      <c r="F1232" t="s">
        <v>116</v>
      </c>
      <c r="G1232" t="s">
        <v>670</v>
      </c>
      <c r="H1232" t="s">
        <v>670</v>
      </c>
      <c r="I1232">
        <v>0.54358837956959938</v>
      </c>
    </row>
    <row r="1233" spans="1:9" x14ac:dyDescent="0.25">
      <c r="A1233" t="s">
        <v>532</v>
      </c>
      <c r="B1233" t="s">
        <v>2</v>
      </c>
      <c r="C1233" t="s">
        <v>532</v>
      </c>
      <c r="D1233">
        <v>40220</v>
      </c>
      <c r="E1233" t="s">
        <v>672</v>
      </c>
      <c r="F1233" t="s">
        <v>3</v>
      </c>
      <c r="G1233" t="s">
        <v>670</v>
      </c>
      <c r="H1233" t="s">
        <v>670</v>
      </c>
      <c r="I1233">
        <v>1.5289999999999999</v>
      </c>
    </row>
    <row r="1234" spans="1:9" x14ac:dyDescent="0.25">
      <c r="A1234" t="s">
        <v>532</v>
      </c>
      <c r="B1234" t="s">
        <v>2</v>
      </c>
      <c r="C1234" t="s">
        <v>532</v>
      </c>
      <c r="D1234">
        <v>40220</v>
      </c>
      <c r="E1234" t="s">
        <v>672</v>
      </c>
      <c r="F1234" t="s">
        <v>113</v>
      </c>
      <c r="G1234" t="s">
        <v>670</v>
      </c>
      <c r="H1234" t="s">
        <v>670</v>
      </c>
      <c r="I1234">
        <v>1.536</v>
      </c>
    </row>
    <row r="1235" spans="1:9" x14ac:dyDescent="0.25">
      <c r="A1235" t="s">
        <v>533</v>
      </c>
      <c r="B1235" t="s">
        <v>2</v>
      </c>
      <c r="C1235" t="s">
        <v>533</v>
      </c>
      <c r="D1235">
        <v>40340</v>
      </c>
      <c r="E1235" t="s">
        <v>672</v>
      </c>
      <c r="F1235" t="s">
        <v>3</v>
      </c>
      <c r="G1235" t="s">
        <v>670</v>
      </c>
      <c r="H1235" t="s">
        <v>670</v>
      </c>
      <c r="I1235">
        <v>1.6639999999999999</v>
      </c>
    </row>
    <row r="1236" spans="1:9" x14ac:dyDescent="0.25">
      <c r="A1236" t="s">
        <v>533</v>
      </c>
      <c r="B1236" t="s">
        <v>2</v>
      </c>
      <c r="C1236" t="s">
        <v>533</v>
      </c>
      <c r="D1236">
        <v>40340</v>
      </c>
      <c r="E1236" t="s">
        <v>672</v>
      </c>
      <c r="F1236" t="s">
        <v>113</v>
      </c>
      <c r="G1236" t="s">
        <v>670</v>
      </c>
      <c r="H1236" t="s">
        <v>670</v>
      </c>
      <c r="I1236">
        <v>1.6819999999999999</v>
      </c>
    </row>
    <row r="1237" spans="1:9" x14ac:dyDescent="0.25">
      <c r="A1237" t="s">
        <v>534</v>
      </c>
      <c r="B1237" t="s">
        <v>2</v>
      </c>
      <c r="C1237" t="s">
        <v>534</v>
      </c>
      <c r="D1237">
        <v>40380</v>
      </c>
      <c r="E1237" t="s">
        <v>669</v>
      </c>
      <c r="F1237" t="s">
        <v>118</v>
      </c>
      <c r="G1237" t="s">
        <v>670</v>
      </c>
      <c r="H1237" t="s">
        <v>670</v>
      </c>
      <c r="I1237">
        <v>1.5322409870669889</v>
      </c>
    </row>
    <row r="1238" spans="1:9" x14ac:dyDescent="0.25">
      <c r="A1238" t="s">
        <v>534</v>
      </c>
      <c r="B1238" t="s">
        <v>2</v>
      </c>
      <c r="C1238" t="s">
        <v>534</v>
      </c>
      <c r="D1238">
        <v>40380</v>
      </c>
      <c r="E1238" t="s">
        <v>671</v>
      </c>
      <c r="F1238" t="s">
        <v>116</v>
      </c>
      <c r="G1238" t="s">
        <v>670</v>
      </c>
      <c r="H1238" t="s">
        <v>670</v>
      </c>
      <c r="I1238">
        <v>0.57085184300193914</v>
      </c>
    </row>
    <row r="1239" spans="1:9" x14ac:dyDescent="0.25">
      <c r="A1239" t="s">
        <v>534</v>
      </c>
      <c r="B1239" t="s">
        <v>2</v>
      </c>
      <c r="C1239" t="s">
        <v>534</v>
      </c>
      <c r="D1239">
        <v>40380</v>
      </c>
      <c r="E1239" t="s">
        <v>672</v>
      </c>
      <c r="F1239" t="s">
        <v>3</v>
      </c>
      <c r="G1239" t="s">
        <v>670</v>
      </c>
      <c r="H1239" t="s">
        <v>670</v>
      </c>
      <c r="I1239">
        <v>1.631</v>
      </c>
    </row>
    <row r="1240" spans="1:9" x14ac:dyDescent="0.25">
      <c r="A1240" t="s">
        <v>534</v>
      </c>
      <c r="B1240" t="s">
        <v>2</v>
      </c>
      <c r="C1240" t="s">
        <v>534</v>
      </c>
      <c r="D1240">
        <v>40380</v>
      </c>
      <c r="E1240" t="s">
        <v>672</v>
      </c>
      <c r="F1240" t="s">
        <v>113</v>
      </c>
      <c r="G1240" t="s">
        <v>670</v>
      </c>
      <c r="H1240" t="s">
        <v>670</v>
      </c>
      <c r="I1240">
        <v>1.635</v>
      </c>
    </row>
    <row r="1241" spans="1:9" x14ac:dyDescent="0.25">
      <c r="A1241" t="s">
        <v>535</v>
      </c>
      <c r="B1241" t="s">
        <v>2</v>
      </c>
      <c r="C1241" t="s">
        <v>535</v>
      </c>
      <c r="D1241">
        <v>40420</v>
      </c>
      <c r="E1241" t="s">
        <v>669</v>
      </c>
      <c r="F1241" t="s">
        <v>118</v>
      </c>
      <c r="G1241" t="s">
        <v>670</v>
      </c>
      <c r="H1241" t="s">
        <v>670</v>
      </c>
      <c r="I1241">
        <v>1.0373878202173705</v>
      </c>
    </row>
    <row r="1242" spans="1:9" x14ac:dyDescent="0.25">
      <c r="A1242" t="s">
        <v>535</v>
      </c>
      <c r="B1242" t="s">
        <v>2</v>
      </c>
      <c r="C1242" t="s">
        <v>535</v>
      </c>
      <c r="D1242">
        <v>40420</v>
      </c>
      <c r="E1242" t="s">
        <v>672</v>
      </c>
      <c r="F1242" t="s">
        <v>3</v>
      </c>
      <c r="G1242" t="s">
        <v>670</v>
      </c>
      <c r="H1242" t="s">
        <v>670</v>
      </c>
      <c r="I1242">
        <v>1.4910000000000001</v>
      </c>
    </row>
    <row r="1243" spans="1:9" x14ac:dyDescent="0.25">
      <c r="A1243" t="s">
        <v>535</v>
      </c>
      <c r="B1243" t="s">
        <v>2</v>
      </c>
      <c r="C1243" t="s">
        <v>535</v>
      </c>
      <c r="D1243">
        <v>40420</v>
      </c>
      <c r="E1243" t="s">
        <v>672</v>
      </c>
      <c r="F1243" t="s">
        <v>113</v>
      </c>
      <c r="G1243" t="s">
        <v>670</v>
      </c>
      <c r="H1243" t="s">
        <v>670</v>
      </c>
      <c r="I1243">
        <v>1.4910000000000001</v>
      </c>
    </row>
    <row r="1244" spans="1:9" x14ac:dyDescent="0.25">
      <c r="A1244" t="s">
        <v>536</v>
      </c>
      <c r="B1244" t="s">
        <v>2</v>
      </c>
      <c r="C1244" t="s">
        <v>536</v>
      </c>
      <c r="D1244">
        <v>40540</v>
      </c>
      <c r="E1244" t="s">
        <v>672</v>
      </c>
      <c r="F1244" t="s">
        <v>3</v>
      </c>
      <c r="G1244" t="s">
        <v>670</v>
      </c>
      <c r="H1244" t="s">
        <v>670</v>
      </c>
      <c r="I1244">
        <v>0.98399999999999999</v>
      </c>
    </row>
    <row r="1245" spans="1:9" x14ac:dyDescent="0.25">
      <c r="A1245" t="s">
        <v>536</v>
      </c>
      <c r="B1245" t="s">
        <v>2</v>
      </c>
      <c r="C1245" t="s">
        <v>536</v>
      </c>
      <c r="D1245">
        <v>40540</v>
      </c>
      <c r="E1245" t="s">
        <v>672</v>
      </c>
      <c r="F1245" t="s">
        <v>113</v>
      </c>
      <c r="G1245" t="s">
        <v>670</v>
      </c>
      <c r="H1245" t="s">
        <v>670</v>
      </c>
      <c r="I1245">
        <v>0.98399999999999999</v>
      </c>
    </row>
    <row r="1246" spans="1:9" x14ac:dyDescent="0.25">
      <c r="A1246" t="s">
        <v>537</v>
      </c>
      <c r="B1246" t="s">
        <v>2</v>
      </c>
      <c r="C1246" t="s">
        <v>537</v>
      </c>
      <c r="D1246">
        <v>40580</v>
      </c>
      <c r="E1246" t="s">
        <v>672</v>
      </c>
      <c r="F1246" t="s">
        <v>3</v>
      </c>
      <c r="G1246" t="s">
        <v>670</v>
      </c>
      <c r="H1246" t="s">
        <v>670</v>
      </c>
      <c r="I1246">
        <v>1.218</v>
      </c>
    </row>
    <row r="1247" spans="1:9" x14ac:dyDescent="0.25">
      <c r="A1247" t="s">
        <v>537</v>
      </c>
      <c r="B1247" t="s">
        <v>2</v>
      </c>
      <c r="C1247" t="s">
        <v>537</v>
      </c>
      <c r="D1247">
        <v>40580</v>
      </c>
      <c r="E1247" t="s">
        <v>672</v>
      </c>
      <c r="F1247" t="s">
        <v>113</v>
      </c>
      <c r="G1247" t="s">
        <v>670</v>
      </c>
      <c r="H1247" t="s">
        <v>670</v>
      </c>
      <c r="I1247">
        <v>1.218</v>
      </c>
    </row>
    <row r="1248" spans="1:9" x14ac:dyDescent="0.25">
      <c r="A1248" t="s">
        <v>538</v>
      </c>
      <c r="B1248" t="s">
        <v>2</v>
      </c>
      <c r="C1248" t="s">
        <v>538</v>
      </c>
      <c r="D1248">
        <v>40660</v>
      </c>
      <c r="E1248" t="s">
        <v>669</v>
      </c>
      <c r="F1248" t="s">
        <v>118</v>
      </c>
      <c r="G1248" t="s">
        <v>670</v>
      </c>
      <c r="H1248" t="s">
        <v>670</v>
      </c>
      <c r="I1248">
        <v>1.0537550978155001</v>
      </c>
    </row>
    <row r="1249" spans="1:9" x14ac:dyDescent="0.25">
      <c r="A1249" t="s">
        <v>538</v>
      </c>
      <c r="B1249" t="s">
        <v>2</v>
      </c>
      <c r="C1249" t="s">
        <v>538</v>
      </c>
      <c r="D1249">
        <v>40660</v>
      </c>
      <c r="E1249" t="s">
        <v>672</v>
      </c>
      <c r="F1249" t="s">
        <v>3</v>
      </c>
      <c r="G1249" t="s">
        <v>670</v>
      </c>
      <c r="H1249" t="s">
        <v>670</v>
      </c>
      <c r="I1249">
        <v>1.3819999999999999</v>
      </c>
    </row>
    <row r="1250" spans="1:9" x14ac:dyDescent="0.25">
      <c r="A1250" t="s">
        <v>538</v>
      </c>
      <c r="B1250" t="s">
        <v>2</v>
      </c>
      <c r="C1250" t="s">
        <v>538</v>
      </c>
      <c r="D1250">
        <v>40660</v>
      </c>
      <c r="E1250" t="s">
        <v>672</v>
      </c>
      <c r="F1250" t="s">
        <v>113</v>
      </c>
      <c r="G1250" t="s">
        <v>670</v>
      </c>
      <c r="H1250" t="s">
        <v>670</v>
      </c>
      <c r="I1250">
        <v>1.3939999999999999</v>
      </c>
    </row>
    <row r="1251" spans="1:9" x14ac:dyDescent="0.25">
      <c r="A1251" t="s">
        <v>539</v>
      </c>
      <c r="B1251" t="s">
        <v>2</v>
      </c>
      <c r="C1251" t="s">
        <v>539</v>
      </c>
      <c r="D1251">
        <v>40740</v>
      </c>
      <c r="E1251" t="s">
        <v>672</v>
      </c>
      <c r="F1251" t="s">
        <v>3</v>
      </c>
      <c r="G1251" t="s">
        <v>670</v>
      </c>
      <c r="H1251" t="s">
        <v>670</v>
      </c>
      <c r="I1251">
        <v>1.4670000000000001</v>
      </c>
    </row>
    <row r="1252" spans="1:9" x14ac:dyDescent="0.25">
      <c r="A1252" t="s">
        <v>539</v>
      </c>
      <c r="B1252" t="s">
        <v>2</v>
      </c>
      <c r="C1252" t="s">
        <v>539</v>
      </c>
      <c r="D1252">
        <v>40740</v>
      </c>
      <c r="E1252" t="s">
        <v>672</v>
      </c>
      <c r="F1252" t="s">
        <v>113</v>
      </c>
      <c r="G1252" t="s">
        <v>670</v>
      </c>
      <c r="H1252" t="s">
        <v>670</v>
      </c>
      <c r="I1252">
        <v>1.468</v>
      </c>
    </row>
    <row r="1253" spans="1:9" x14ac:dyDescent="0.25">
      <c r="A1253" t="s">
        <v>540</v>
      </c>
      <c r="B1253" t="s">
        <v>2</v>
      </c>
      <c r="C1253" t="s">
        <v>540</v>
      </c>
      <c r="D1253">
        <v>40780</v>
      </c>
      <c r="E1253" t="s">
        <v>672</v>
      </c>
      <c r="F1253" t="s">
        <v>3</v>
      </c>
      <c r="G1253" t="s">
        <v>670</v>
      </c>
      <c r="H1253" t="s">
        <v>670</v>
      </c>
      <c r="I1253" t="s">
        <v>673</v>
      </c>
    </row>
    <row r="1254" spans="1:9" x14ac:dyDescent="0.25">
      <c r="A1254" t="s">
        <v>540</v>
      </c>
      <c r="B1254" t="s">
        <v>2</v>
      </c>
      <c r="C1254" t="s">
        <v>540</v>
      </c>
      <c r="D1254">
        <v>40780</v>
      </c>
      <c r="E1254" t="s">
        <v>672</v>
      </c>
      <c r="F1254" t="s">
        <v>113</v>
      </c>
      <c r="G1254" t="s">
        <v>670</v>
      </c>
      <c r="H1254" t="s">
        <v>670</v>
      </c>
      <c r="I1254" t="s">
        <v>673</v>
      </c>
    </row>
    <row r="1255" spans="1:9" x14ac:dyDescent="0.25">
      <c r="A1255" t="s">
        <v>17</v>
      </c>
      <c r="B1255" t="s">
        <v>2</v>
      </c>
      <c r="C1255" t="s">
        <v>17</v>
      </c>
      <c r="D1255">
        <v>40900</v>
      </c>
      <c r="E1255" t="s">
        <v>669</v>
      </c>
      <c r="F1255" t="s">
        <v>118</v>
      </c>
      <c r="G1255" t="s">
        <v>670</v>
      </c>
      <c r="H1255" t="s">
        <v>670</v>
      </c>
      <c r="I1255">
        <v>2.2979819556615388</v>
      </c>
    </row>
    <row r="1256" spans="1:9" x14ac:dyDescent="0.25">
      <c r="A1256" t="s">
        <v>17</v>
      </c>
      <c r="B1256" t="s">
        <v>2</v>
      </c>
      <c r="C1256" t="s">
        <v>17</v>
      </c>
      <c r="D1256">
        <v>40900</v>
      </c>
      <c r="E1256" t="s">
        <v>671</v>
      </c>
      <c r="F1256" t="s">
        <v>116</v>
      </c>
      <c r="G1256" t="s">
        <v>670</v>
      </c>
      <c r="H1256" t="s">
        <v>670</v>
      </c>
      <c r="I1256">
        <v>0.54185137177675968</v>
      </c>
    </row>
    <row r="1257" spans="1:9" x14ac:dyDescent="0.25">
      <c r="A1257" t="s">
        <v>17</v>
      </c>
      <c r="B1257" t="s">
        <v>2</v>
      </c>
      <c r="C1257" t="s">
        <v>17</v>
      </c>
      <c r="D1257">
        <v>40900</v>
      </c>
      <c r="E1257" t="s">
        <v>672</v>
      </c>
      <c r="F1257" t="s">
        <v>3</v>
      </c>
      <c r="G1257" t="s">
        <v>670</v>
      </c>
      <c r="H1257" t="s">
        <v>670</v>
      </c>
      <c r="I1257">
        <v>2.2629999999999999</v>
      </c>
    </row>
    <row r="1258" spans="1:9" x14ac:dyDescent="0.25">
      <c r="A1258" t="s">
        <v>17</v>
      </c>
      <c r="B1258" t="s">
        <v>2</v>
      </c>
      <c r="C1258" t="s">
        <v>17</v>
      </c>
      <c r="D1258">
        <v>40900</v>
      </c>
      <c r="E1258" t="s">
        <v>672</v>
      </c>
      <c r="F1258" t="s">
        <v>113</v>
      </c>
      <c r="G1258" t="s">
        <v>670</v>
      </c>
      <c r="H1258" t="s">
        <v>670</v>
      </c>
      <c r="I1258">
        <v>2.2930000000000001</v>
      </c>
    </row>
    <row r="1259" spans="1:9" x14ac:dyDescent="0.25">
      <c r="A1259" t="s">
        <v>541</v>
      </c>
      <c r="B1259" t="s">
        <v>2</v>
      </c>
      <c r="C1259" t="s">
        <v>541</v>
      </c>
      <c r="D1259">
        <v>340980</v>
      </c>
      <c r="E1259" t="s">
        <v>669</v>
      </c>
      <c r="F1259" t="s">
        <v>118</v>
      </c>
      <c r="G1259" t="s">
        <v>670</v>
      </c>
      <c r="H1259" t="s">
        <v>670</v>
      </c>
      <c r="I1259">
        <v>1.058393753223229</v>
      </c>
    </row>
    <row r="1260" spans="1:9" x14ac:dyDescent="0.25">
      <c r="A1260" t="s">
        <v>541</v>
      </c>
      <c r="B1260" t="s">
        <v>2</v>
      </c>
      <c r="C1260" t="s">
        <v>541</v>
      </c>
      <c r="D1260">
        <v>340980</v>
      </c>
      <c r="E1260" t="s">
        <v>671</v>
      </c>
      <c r="F1260" t="s">
        <v>116</v>
      </c>
      <c r="G1260" t="s">
        <v>670</v>
      </c>
      <c r="H1260" t="s">
        <v>670</v>
      </c>
      <c r="I1260">
        <v>0.58994441798977226</v>
      </c>
    </row>
    <row r="1261" spans="1:9" x14ac:dyDescent="0.25">
      <c r="A1261" t="s">
        <v>541</v>
      </c>
      <c r="B1261" t="s">
        <v>2</v>
      </c>
      <c r="C1261" t="s">
        <v>541</v>
      </c>
      <c r="D1261">
        <v>340980</v>
      </c>
      <c r="E1261" t="s">
        <v>672</v>
      </c>
      <c r="F1261" t="s">
        <v>3</v>
      </c>
      <c r="G1261" t="s">
        <v>670</v>
      </c>
      <c r="H1261" t="s">
        <v>670</v>
      </c>
      <c r="I1261">
        <v>1.167</v>
      </c>
    </row>
    <row r="1262" spans="1:9" x14ac:dyDescent="0.25">
      <c r="A1262" t="s">
        <v>541</v>
      </c>
      <c r="B1262" t="s">
        <v>2</v>
      </c>
      <c r="C1262" t="s">
        <v>541</v>
      </c>
      <c r="D1262">
        <v>340980</v>
      </c>
      <c r="E1262" t="s">
        <v>672</v>
      </c>
      <c r="F1262" t="s">
        <v>113</v>
      </c>
      <c r="G1262" t="s">
        <v>670</v>
      </c>
      <c r="H1262" t="s">
        <v>670</v>
      </c>
      <c r="I1262">
        <v>1.17</v>
      </c>
    </row>
    <row r="1263" spans="1:9" x14ac:dyDescent="0.25">
      <c r="A1263" t="s">
        <v>542</v>
      </c>
      <c r="B1263" t="s">
        <v>2</v>
      </c>
      <c r="C1263" t="s">
        <v>542</v>
      </c>
      <c r="D1263">
        <v>41420</v>
      </c>
      <c r="E1263" t="s">
        <v>669</v>
      </c>
      <c r="F1263" t="s">
        <v>118</v>
      </c>
      <c r="G1263" t="s">
        <v>670</v>
      </c>
      <c r="H1263" t="s">
        <v>670</v>
      </c>
      <c r="I1263">
        <v>1.5313368180125349</v>
      </c>
    </row>
    <row r="1264" spans="1:9" x14ac:dyDescent="0.25">
      <c r="A1264" t="s">
        <v>542</v>
      </c>
      <c r="B1264" t="s">
        <v>2</v>
      </c>
      <c r="C1264" t="s">
        <v>542</v>
      </c>
      <c r="D1264">
        <v>41420</v>
      </c>
      <c r="E1264" t="s">
        <v>672</v>
      </c>
      <c r="F1264" t="s">
        <v>3</v>
      </c>
      <c r="G1264" t="s">
        <v>670</v>
      </c>
      <c r="H1264" t="s">
        <v>670</v>
      </c>
      <c r="I1264">
        <v>1.7350000000000001</v>
      </c>
    </row>
    <row r="1265" spans="1:9" x14ac:dyDescent="0.25">
      <c r="A1265" t="s">
        <v>542</v>
      </c>
      <c r="B1265" t="s">
        <v>2</v>
      </c>
      <c r="C1265" t="s">
        <v>542</v>
      </c>
      <c r="D1265">
        <v>41420</v>
      </c>
      <c r="E1265" t="s">
        <v>672</v>
      </c>
      <c r="F1265" t="s">
        <v>113</v>
      </c>
      <c r="G1265" t="s">
        <v>670</v>
      </c>
      <c r="H1265" t="s">
        <v>670</v>
      </c>
      <c r="I1265">
        <v>1.7629999999999999</v>
      </c>
    </row>
    <row r="1266" spans="1:9" x14ac:dyDescent="0.25">
      <c r="A1266" t="s">
        <v>543</v>
      </c>
      <c r="B1266" t="s">
        <v>2</v>
      </c>
      <c r="C1266" t="s">
        <v>543</v>
      </c>
      <c r="D1266">
        <v>41500</v>
      </c>
      <c r="E1266" t="s">
        <v>669</v>
      </c>
      <c r="F1266" t="s">
        <v>118</v>
      </c>
      <c r="G1266" t="s">
        <v>670</v>
      </c>
      <c r="H1266" t="s">
        <v>670</v>
      </c>
      <c r="I1266">
        <v>2.6459341536998457</v>
      </c>
    </row>
    <row r="1267" spans="1:9" x14ac:dyDescent="0.25">
      <c r="A1267" t="s">
        <v>543</v>
      </c>
      <c r="B1267" t="s">
        <v>2</v>
      </c>
      <c r="C1267" t="s">
        <v>543</v>
      </c>
      <c r="D1267">
        <v>41500</v>
      </c>
      <c r="E1267" t="s">
        <v>671</v>
      </c>
      <c r="F1267" t="s">
        <v>116</v>
      </c>
      <c r="G1267" t="s">
        <v>670</v>
      </c>
      <c r="H1267" t="s">
        <v>670</v>
      </c>
      <c r="I1267">
        <v>0.63134659364492085</v>
      </c>
    </row>
    <row r="1268" spans="1:9" x14ac:dyDescent="0.25">
      <c r="A1268" t="s">
        <v>543</v>
      </c>
      <c r="B1268" t="s">
        <v>2</v>
      </c>
      <c r="C1268" t="s">
        <v>543</v>
      </c>
      <c r="D1268">
        <v>41500</v>
      </c>
      <c r="E1268" t="s">
        <v>672</v>
      </c>
      <c r="F1268" t="s">
        <v>3</v>
      </c>
      <c r="G1268" t="s">
        <v>670</v>
      </c>
      <c r="H1268" t="s">
        <v>670</v>
      </c>
      <c r="I1268">
        <v>3.0870000000000002</v>
      </c>
    </row>
    <row r="1269" spans="1:9" x14ac:dyDescent="0.25">
      <c r="A1269" t="s">
        <v>543</v>
      </c>
      <c r="B1269" t="s">
        <v>2</v>
      </c>
      <c r="C1269" t="s">
        <v>543</v>
      </c>
      <c r="D1269">
        <v>41500</v>
      </c>
      <c r="E1269" t="s">
        <v>672</v>
      </c>
      <c r="F1269" t="s">
        <v>113</v>
      </c>
      <c r="G1269" t="s">
        <v>670</v>
      </c>
      <c r="H1269" t="s">
        <v>670</v>
      </c>
      <c r="I1269">
        <v>3.0880000000000001</v>
      </c>
    </row>
    <row r="1270" spans="1:9" x14ac:dyDescent="0.25">
      <c r="A1270" t="s">
        <v>544</v>
      </c>
      <c r="B1270" t="s">
        <v>2</v>
      </c>
      <c r="C1270" t="s">
        <v>544</v>
      </c>
      <c r="D1270">
        <v>341540</v>
      </c>
      <c r="E1270" t="s">
        <v>669</v>
      </c>
      <c r="F1270" t="s">
        <v>118</v>
      </c>
      <c r="G1270" t="s">
        <v>670</v>
      </c>
      <c r="H1270" t="s">
        <v>670</v>
      </c>
      <c r="I1270">
        <v>1.5250786380804964</v>
      </c>
    </row>
    <row r="1271" spans="1:9" x14ac:dyDescent="0.25">
      <c r="A1271" t="s">
        <v>544</v>
      </c>
      <c r="B1271" t="s">
        <v>2</v>
      </c>
      <c r="C1271" t="s">
        <v>544</v>
      </c>
      <c r="D1271">
        <v>341540</v>
      </c>
      <c r="E1271" t="s">
        <v>671</v>
      </c>
      <c r="F1271" t="s">
        <v>116</v>
      </c>
      <c r="G1271" t="s">
        <v>670</v>
      </c>
      <c r="H1271" t="s">
        <v>670</v>
      </c>
      <c r="I1271">
        <v>0.61289882291090647</v>
      </c>
    </row>
    <row r="1272" spans="1:9" x14ac:dyDescent="0.25">
      <c r="A1272" t="s">
        <v>544</v>
      </c>
      <c r="B1272" t="s">
        <v>2</v>
      </c>
      <c r="C1272" t="s">
        <v>544</v>
      </c>
      <c r="D1272">
        <v>341540</v>
      </c>
      <c r="E1272" t="s">
        <v>672</v>
      </c>
      <c r="F1272" t="s">
        <v>3</v>
      </c>
      <c r="G1272" t="s">
        <v>670</v>
      </c>
      <c r="H1272" t="s">
        <v>670</v>
      </c>
      <c r="I1272">
        <v>1.5840000000000001</v>
      </c>
    </row>
    <row r="1273" spans="1:9" x14ac:dyDescent="0.25">
      <c r="A1273" t="s">
        <v>544</v>
      </c>
      <c r="B1273" t="s">
        <v>2</v>
      </c>
      <c r="C1273" t="s">
        <v>544</v>
      </c>
      <c r="D1273">
        <v>341540</v>
      </c>
      <c r="E1273" t="s">
        <v>672</v>
      </c>
      <c r="F1273" t="s">
        <v>113</v>
      </c>
      <c r="G1273" t="s">
        <v>670</v>
      </c>
      <c r="H1273" t="s">
        <v>670</v>
      </c>
      <c r="I1273">
        <v>1.5920000000000001</v>
      </c>
    </row>
    <row r="1274" spans="1:9" x14ac:dyDescent="0.25">
      <c r="A1274" t="s">
        <v>10</v>
      </c>
      <c r="B1274" t="s">
        <v>2</v>
      </c>
      <c r="C1274" t="s">
        <v>10</v>
      </c>
      <c r="D1274">
        <v>341620</v>
      </c>
      <c r="E1274" t="s">
        <v>669</v>
      </c>
      <c r="F1274" t="s">
        <v>118</v>
      </c>
      <c r="G1274" t="s">
        <v>670</v>
      </c>
      <c r="H1274" t="s">
        <v>670</v>
      </c>
      <c r="I1274">
        <v>1.6047771779549493</v>
      </c>
    </row>
    <row r="1275" spans="1:9" x14ac:dyDescent="0.25">
      <c r="A1275" t="s">
        <v>10</v>
      </c>
      <c r="B1275" t="s">
        <v>2</v>
      </c>
      <c r="C1275" t="s">
        <v>10</v>
      </c>
      <c r="D1275">
        <v>341620</v>
      </c>
      <c r="E1275" t="s">
        <v>671</v>
      </c>
      <c r="F1275" t="s">
        <v>116</v>
      </c>
      <c r="G1275" t="s">
        <v>670</v>
      </c>
      <c r="H1275" t="s">
        <v>670</v>
      </c>
      <c r="I1275">
        <v>0.64274807927986632</v>
      </c>
    </row>
    <row r="1276" spans="1:9" x14ac:dyDescent="0.25">
      <c r="A1276" t="s">
        <v>10</v>
      </c>
      <c r="B1276" t="s">
        <v>2</v>
      </c>
      <c r="C1276" t="s">
        <v>10</v>
      </c>
      <c r="D1276">
        <v>341620</v>
      </c>
      <c r="E1276" t="s">
        <v>672</v>
      </c>
      <c r="F1276" t="s">
        <v>3</v>
      </c>
      <c r="G1276" t="s">
        <v>670</v>
      </c>
      <c r="H1276" t="s">
        <v>670</v>
      </c>
      <c r="I1276">
        <v>1.6559999999999999</v>
      </c>
    </row>
    <row r="1277" spans="1:9" x14ac:dyDescent="0.25">
      <c r="A1277" t="s">
        <v>10</v>
      </c>
      <c r="B1277" t="s">
        <v>2</v>
      </c>
      <c r="C1277" t="s">
        <v>10</v>
      </c>
      <c r="D1277">
        <v>341620</v>
      </c>
      <c r="E1277" t="s">
        <v>672</v>
      </c>
      <c r="F1277" t="s">
        <v>113</v>
      </c>
      <c r="G1277" t="s">
        <v>670</v>
      </c>
      <c r="H1277" t="s">
        <v>670</v>
      </c>
      <c r="I1277">
        <v>1.7110000000000001</v>
      </c>
    </row>
    <row r="1278" spans="1:9" x14ac:dyDescent="0.25">
      <c r="A1278" t="s">
        <v>545</v>
      </c>
      <c r="B1278" t="s">
        <v>2</v>
      </c>
      <c r="C1278" t="s">
        <v>545</v>
      </c>
      <c r="D1278">
        <v>41660</v>
      </c>
      <c r="E1278" t="s">
        <v>669</v>
      </c>
      <c r="F1278" t="s">
        <v>118</v>
      </c>
      <c r="G1278" t="s">
        <v>670</v>
      </c>
      <c r="H1278" t="s">
        <v>670</v>
      </c>
      <c r="I1278">
        <v>1.3950022209158845</v>
      </c>
    </row>
    <row r="1279" spans="1:9" x14ac:dyDescent="0.25">
      <c r="A1279" t="s">
        <v>545</v>
      </c>
      <c r="B1279" t="s">
        <v>2</v>
      </c>
      <c r="C1279" t="s">
        <v>545</v>
      </c>
      <c r="D1279">
        <v>41660</v>
      </c>
      <c r="E1279" t="s">
        <v>672</v>
      </c>
      <c r="F1279" t="s">
        <v>3</v>
      </c>
      <c r="G1279" t="s">
        <v>670</v>
      </c>
      <c r="H1279" t="s">
        <v>670</v>
      </c>
      <c r="I1279">
        <v>1.329</v>
      </c>
    </row>
    <row r="1280" spans="1:9" x14ac:dyDescent="0.25">
      <c r="A1280" t="s">
        <v>545</v>
      </c>
      <c r="B1280" t="s">
        <v>2</v>
      </c>
      <c r="C1280" t="s">
        <v>545</v>
      </c>
      <c r="D1280">
        <v>41660</v>
      </c>
      <c r="E1280" t="s">
        <v>672</v>
      </c>
      <c r="F1280" t="s">
        <v>113</v>
      </c>
      <c r="G1280" t="s">
        <v>670</v>
      </c>
      <c r="H1280" t="s">
        <v>670</v>
      </c>
      <c r="I1280">
        <v>1.33</v>
      </c>
    </row>
    <row r="1281" spans="1:9" x14ac:dyDescent="0.25">
      <c r="A1281" t="s">
        <v>40</v>
      </c>
      <c r="B1281" t="s">
        <v>2</v>
      </c>
      <c r="C1281" t="s">
        <v>40</v>
      </c>
      <c r="D1281">
        <v>41700</v>
      </c>
      <c r="E1281" t="s">
        <v>669</v>
      </c>
      <c r="F1281" t="s">
        <v>118</v>
      </c>
      <c r="G1281" t="s">
        <v>670</v>
      </c>
      <c r="H1281" t="s">
        <v>670</v>
      </c>
      <c r="I1281">
        <v>1.4322500958198061</v>
      </c>
    </row>
    <row r="1282" spans="1:9" x14ac:dyDescent="0.25">
      <c r="A1282" t="s">
        <v>40</v>
      </c>
      <c r="B1282" t="s">
        <v>2</v>
      </c>
      <c r="C1282" t="s">
        <v>40</v>
      </c>
      <c r="D1282">
        <v>41700</v>
      </c>
      <c r="E1282" t="s">
        <v>671</v>
      </c>
      <c r="F1282" t="s">
        <v>116</v>
      </c>
      <c r="G1282" t="s">
        <v>670</v>
      </c>
      <c r="H1282" t="s">
        <v>670</v>
      </c>
      <c r="I1282">
        <v>0.46435171286067212</v>
      </c>
    </row>
    <row r="1283" spans="1:9" x14ac:dyDescent="0.25">
      <c r="A1283" t="s">
        <v>40</v>
      </c>
      <c r="B1283" t="s">
        <v>2</v>
      </c>
      <c r="C1283" t="s">
        <v>40</v>
      </c>
      <c r="D1283">
        <v>41700</v>
      </c>
      <c r="E1283" t="s">
        <v>672</v>
      </c>
      <c r="F1283" t="s">
        <v>3</v>
      </c>
      <c r="G1283" t="s">
        <v>670</v>
      </c>
      <c r="H1283" t="s">
        <v>670</v>
      </c>
      <c r="I1283">
        <v>1.3180000000000001</v>
      </c>
    </row>
    <row r="1284" spans="1:9" x14ac:dyDescent="0.25">
      <c r="A1284" t="s">
        <v>40</v>
      </c>
      <c r="B1284" t="s">
        <v>2</v>
      </c>
      <c r="C1284" t="s">
        <v>40</v>
      </c>
      <c r="D1284">
        <v>41700</v>
      </c>
      <c r="E1284" t="s">
        <v>672</v>
      </c>
      <c r="F1284" t="s">
        <v>113</v>
      </c>
      <c r="G1284" t="s">
        <v>670</v>
      </c>
      <c r="H1284" t="s">
        <v>670</v>
      </c>
      <c r="I1284">
        <v>1.3740000000000001</v>
      </c>
    </row>
    <row r="1285" spans="1:9" x14ac:dyDescent="0.25">
      <c r="A1285" t="s">
        <v>546</v>
      </c>
      <c r="B1285" t="s">
        <v>2</v>
      </c>
      <c r="C1285" t="s">
        <v>546</v>
      </c>
      <c r="D1285">
        <v>41740</v>
      </c>
      <c r="E1285" t="s">
        <v>669</v>
      </c>
      <c r="F1285" t="s">
        <v>118</v>
      </c>
      <c r="G1285" t="s">
        <v>670</v>
      </c>
      <c r="H1285" t="s">
        <v>670</v>
      </c>
      <c r="I1285">
        <v>3.1241727301912898</v>
      </c>
    </row>
    <row r="1286" spans="1:9" x14ac:dyDescent="0.25">
      <c r="A1286" t="s">
        <v>546</v>
      </c>
      <c r="B1286" t="s">
        <v>2</v>
      </c>
      <c r="C1286" t="s">
        <v>546</v>
      </c>
      <c r="D1286">
        <v>41740</v>
      </c>
      <c r="E1286" t="s">
        <v>671</v>
      </c>
      <c r="F1286" t="s">
        <v>116</v>
      </c>
      <c r="G1286" t="s">
        <v>670</v>
      </c>
      <c r="H1286" t="s">
        <v>670</v>
      </c>
      <c r="I1286">
        <v>0.62404857956056847</v>
      </c>
    </row>
    <row r="1287" spans="1:9" x14ac:dyDescent="0.25">
      <c r="A1287" t="s">
        <v>546</v>
      </c>
      <c r="B1287" t="s">
        <v>2</v>
      </c>
      <c r="C1287" t="s">
        <v>546</v>
      </c>
      <c r="D1287">
        <v>41740</v>
      </c>
      <c r="E1287" t="s">
        <v>672</v>
      </c>
      <c r="F1287" t="s">
        <v>3</v>
      </c>
      <c r="G1287" t="s">
        <v>670</v>
      </c>
      <c r="H1287" t="s">
        <v>670</v>
      </c>
      <c r="I1287">
        <v>3.145</v>
      </c>
    </row>
    <row r="1288" spans="1:9" x14ac:dyDescent="0.25">
      <c r="A1288" t="s">
        <v>546</v>
      </c>
      <c r="B1288" t="s">
        <v>2</v>
      </c>
      <c r="C1288" t="s">
        <v>546</v>
      </c>
      <c r="D1288">
        <v>41740</v>
      </c>
      <c r="E1288" t="s">
        <v>672</v>
      </c>
      <c r="F1288" t="s">
        <v>113</v>
      </c>
      <c r="G1288" t="s">
        <v>670</v>
      </c>
      <c r="H1288" t="s">
        <v>670</v>
      </c>
      <c r="I1288">
        <v>3.1960000000000002</v>
      </c>
    </row>
    <row r="1289" spans="1:9" x14ac:dyDescent="0.25">
      <c r="A1289" t="s">
        <v>547</v>
      </c>
      <c r="B1289" t="s">
        <v>2</v>
      </c>
      <c r="C1289" t="s">
        <v>547</v>
      </c>
      <c r="D1289">
        <v>41780</v>
      </c>
      <c r="E1289" t="s">
        <v>672</v>
      </c>
      <c r="F1289" t="s">
        <v>3</v>
      </c>
      <c r="G1289" t="s">
        <v>670</v>
      </c>
      <c r="H1289" t="s">
        <v>670</v>
      </c>
      <c r="I1289">
        <v>1.341</v>
      </c>
    </row>
    <row r="1290" spans="1:9" x14ac:dyDescent="0.25">
      <c r="A1290" t="s">
        <v>547</v>
      </c>
      <c r="B1290" t="s">
        <v>2</v>
      </c>
      <c r="C1290" t="s">
        <v>547</v>
      </c>
      <c r="D1290">
        <v>41780</v>
      </c>
      <c r="E1290" t="s">
        <v>672</v>
      </c>
      <c r="F1290" t="s">
        <v>113</v>
      </c>
      <c r="G1290" t="s">
        <v>670</v>
      </c>
      <c r="H1290" t="s">
        <v>670</v>
      </c>
      <c r="I1290">
        <v>1.341</v>
      </c>
    </row>
    <row r="1291" spans="1:9" x14ac:dyDescent="0.25">
      <c r="A1291" t="s">
        <v>548</v>
      </c>
      <c r="B1291" t="s">
        <v>2</v>
      </c>
      <c r="C1291" t="s">
        <v>548</v>
      </c>
      <c r="D1291">
        <v>41820</v>
      </c>
      <c r="E1291" t="s">
        <v>672</v>
      </c>
      <c r="F1291" t="s">
        <v>3</v>
      </c>
      <c r="G1291" t="s">
        <v>670</v>
      </c>
      <c r="H1291" t="s">
        <v>670</v>
      </c>
      <c r="I1291">
        <v>1.2889999999999999</v>
      </c>
    </row>
    <row r="1292" spans="1:9" x14ac:dyDescent="0.25">
      <c r="A1292" t="s">
        <v>548</v>
      </c>
      <c r="B1292" t="s">
        <v>2</v>
      </c>
      <c r="C1292" t="s">
        <v>548</v>
      </c>
      <c r="D1292">
        <v>41820</v>
      </c>
      <c r="E1292" t="s">
        <v>672</v>
      </c>
      <c r="F1292" t="s">
        <v>113</v>
      </c>
      <c r="G1292" t="s">
        <v>670</v>
      </c>
      <c r="H1292" t="s">
        <v>670</v>
      </c>
      <c r="I1292">
        <v>1.2889999999999999</v>
      </c>
    </row>
    <row r="1293" spans="1:9" x14ac:dyDescent="0.25">
      <c r="A1293" t="s">
        <v>549</v>
      </c>
      <c r="B1293" t="s">
        <v>2</v>
      </c>
      <c r="C1293" t="s">
        <v>549</v>
      </c>
      <c r="D1293">
        <v>41860</v>
      </c>
      <c r="E1293" t="s">
        <v>669</v>
      </c>
      <c r="F1293" t="s">
        <v>118</v>
      </c>
      <c r="G1293" t="s">
        <v>670</v>
      </c>
      <c r="H1293" t="s">
        <v>670</v>
      </c>
      <c r="I1293">
        <v>4.2406579540406542</v>
      </c>
    </row>
    <row r="1294" spans="1:9" x14ac:dyDescent="0.25">
      <c r="A1294" t="s">
        <v>549</v>
      </c>
      <c r="B1294" t="s">
        <v>2</v>
      </c>
      <c r="C1294" t="s">
        <v>549</v>
      </c>
      <c r="D1294">
        <v>41860</v>
      </c>
      <c r="E1294" t="s">
        <v>671</v>
      </c>
      <c r="F1294" t="s">
        <v>116</v>
      </c>
      <c r="G1294" t="s">
        <v>670</v>
      </c>
      <c r="H1294" t="s">
        <v>670</v>
      </c>
      <c r="I1294">
        <v>0.57523658892568619</v>
      </c>
    </row>
    <row r="1295" spans="1:9" x14ac:dyDescent="0.25">
      <c r="A1295" t="s">
        <v>549</v>
      </c>
      <c r="B1295" t="s">
        <v>2</v>
      </c>
      <c r="C1295" t="s">
        <v>549</v>
      </c>
      <c r="D1295">
        <v>41860</v>
      </c>
      <c r="E1295" t="s">
        <v>672</v>
      </c>
      <c r="F1295" t="s">
        <v>3</v>
      </c>
      <c r="G1295" t="s">
        <v>670</v>
      </c>
      <c r="H1295" t="s">
        <v>670</v>
      </c>
      <c r="I1295">
        <v>4.5990000000000002</v>
      </c>
    </row>
    <row r="1296" spans="1:9" x14ac:dyDescent="0.25">
      <c r="A1296" t="s">
        <v>549</v>
      </c>
      <c r="B1296" t="s">
        <v>2</v>
      </c>
      <c r="C1296" t="s">
        <v>549</v>
      </c>
      <c r="D1296">
        <v>41860</v>
      </c>
      <c r="E1296" t="s">
        <v>672</v>
      </c>
      <c r="F1296" t="s">
        <v>113</v>
      </c>
      <c r="G1296" t="s">
        <v>670</v>
      </c>
      <c r="H1296" t="s">
        <v>670</v>
      </c>
      <c r="I1296">
        <v>4.6340000000000003</v>
      </c>
    </row>
    <row r="1297" spans="1:9" x14ac:dyDescent="0.25">
      <c r="A1297" t="s">
        <v>550</v>
      </c>
      <c r="B1297" t="s">
        <v>2</v>
      </c>
      <c r="C1297" t="s">
        <v>550</v>
      </c>
      <c r="D1297">
        <v>41940</v>
      </c>
      <c r="E1297" t="s">
        <v>669</v>
      </c>
      <c r="F1297" t="s">
        <v>118</v>
      </c>
      <c r="G1297" t="s">
        <v>670</v>
      </c>
      <c r="H1297" t="s">
        <v>670</v>
      </c>
      <c r="I1297">
        <v>3.6956636898042738</v>
      </c>
    </row>
    <row r="1298" spans="1:9" x14ac:dyDescent="0.25">
      <c r="A1298" t="s">
        <v>550</v>
      </c>
      <c r="B1298" t="s">
        <v>2</v>
      </c>
      <c r="C1298" t="s">
        <v>550</v>
      </c>
      <c r="D1298">
        <v>41940</v>
      </c>
      <c r="E1298" t="s">
        <v>671</v>
      </c>
      <c r="F1298" t="s">
        <v>116</v>
      </c>
      <c r="G1298" t="s">
        <v>670</v>
      </c>
      <c r="H1298" t="s">
        <v>670</v>
      </c>
      <c r="I1298">
        <v>0.60494409245304115</v>
      </c>
    </row>
    <row r="1299" spans="1:9" x14ac:dyDescent="0.25">
      <c r="A1299" t="s">
        <v>550</v>
      </c>
      <c r="B1299" t="s">
        <v>2</v>
      </c>
      <c r="C1299" t="s">
        <v>550</v>
      </c>
      <c r="D1299">
        <v>41940</v>
      </c>
      <c r="E1299" t="s">
        <v>672</v>
      </c>
      <c r="F1299" t="s">
        <v>3</v>
      </c>
      <c r="G1299" t="s">
        <v>670</v>
      </c>
      <c r="H1299" t="s">
        <v>670</v>
      </c>
      <c r="I1299">
        <v>3.823</v>
      </c>
    </row>
    <row r="1300" spans="1:9" x14ac:dyDescent="0.25">
      <c r="A1300" t="s">
        <v>550</v>
      </c>
      <c r="B1300" t="s">
        <v>2</v>
      </c>
      <c r="C1300" t="s">
        <v>550</v>
      </c>
      <c r="D1300">
        <v>41940</v>
      </c>
      <c r="E1300" t="s">
        <v>672</v>
      </c>
      <c r="F1300" t="s">
        <v>113</v>
      </c>
      <c r="G1300" t="s">
        <v>670</v>
      </c>
      <c r="H1300" t="s">
        <v>670</v>
      </c>
      <c r="I1300">
        <v>3.8620000000000001</v>
      </c>
    </row>
    <row r="1301" spans="1:9" x14ac:dyDescent="0.25">
      <c r="A1301" t="s">
        <v>551</v>
      </c>
      <c r="B1301" t="s">
        <v>2</v>
      </c>
      <c r="C1301" t="s">
        <v>551</v>
      </c>
      <c r="D1301">
        <v>42020</v>
      </c>
      <c r="E1301" t="s">
        <v>669</v>
      </c>
      <c r="F1301" t="s">
        <v>118</v>
      </c>
      <c r="G1301" t="s">
        <v>670</v>
      </c>
      <c r="H1301" t="s">
        <v>670</v>
      </c>
      <c r="I1301">
        <v>2.1988775238887617</v>
      </c>
    </row>
    <row r="1302" spans="1:9" x14ac:dyDescent="0.25">
      <c r="A1302" t="s">
        <v>551</v>
      </c>
      <c r="B1302" t="s">
        <v>2</v>
      </c>
      <c r="C1302" t="s">
        <v>551</v>
      </c>
      <c r="D1302">
        <v>42020</v>
      </c>
      <c r="E1302" t="s">
        <v>672</v>
      </c>
      <c r="F1302" t="s">
        <v>3</v>
      </c>
      <c r="G1302" t="s">
        <v>670</v>
      </c>
      <c r="H1302" t="s">
        <v>670</v>
      </c>
      <c r="I1302">
        <v>2.766</v>
      </c>
    </row>
    <row r="1303" spans="1:9" x14ac:dyDescent="0.25">
      <c r="A1303" t="s">
        <v>551</v>
      </c>
      <c r="B1303" t="s">
        <v>2</v>
      </c>
      <c r="C1303" t="s">
        <v>551</v>
      </c>
      <c r="D1303">
        <v>42020</v>
      </c>
      <c r="E1303" t="s">
        <v>672</v>
      </c>
      <c r="F1303" t="s">
        <v>113</v>
      </c>
      <c r="G1303" t="s">
        <v>670</v>
      </c>
      <c r="H1303" t="s">
        <v>670</v>
      </c>
      <c r="I1303">
        <v>2.766</v>
      </c>
    </row>
    <row r="1304" spans="1:9" x14ac:dyDescent="0.25">
      <c r="A1304" t="s">
        <v>552</v>
      </c>
      <c r="B1304" t="s">
        <v>2</v>
      </c>
      <c r="C1304" t="s">
        <v>552</v>
      </c>
      <c r="D1304">
        <v>42100</v>
      </c>
      <c r="E1304" t="s">
        <v>669</v>
      </c>
      <c r="F1304" t="s">
        <v>118</v>
      </c>
      <c r="G1304" t="s">
        <v>670</v>
      </c>
      <c r="H1304" t="s">
        <v>670</v>
      </c>
      <c r="I1304">
        <v>3.8238105480787343</v>
      </c>
    </row>
    <row r="1305" spans="1:9" x14ac:dyDescent="0.25">
      <c r="A1305" t="s">
        <v>552</v>
      </c>
      <c r="B1305" t="s">
        <v>2</v>
      </c>
      <c r="C1305" t="s">
        <v>552</v>
      </c>
      <c r="D1305">
        <v>42100</v>
      </c>
      <c r="E1305" t="s">
        <v>672</v>
      </c>
      <c r="F1305" t="s">
        <v>3</v>
      </c>
      <c r="G1305" t="s">
        <v>670</v>
      </c>
      <c r="H1305" t="s">
        <v>670</v>
      </c>
      <c r="I1305">
        <v>4.26</v>
      </c>
    </row>
    <row r="1306" spans="1:9" x14ac:dyDescent="0.25">
      <c r="A1306" t="s">
        <v>552</v>
      </c>
      <c r="B1306" t="s">
        <v>2</v>
      </c>
      <c r="C1306" t="s">
        <v>552</v>
      </c>
      <c r="D1306">
        <v>42100</v>
      </c>
      <c r="E1306" t="s">
        <v>672</v>
      </c>
      <c r="F1306" t="s">
        <v>113</v>
      </c>
      <c r="G1306" t="s">
        <v>670</v>
      </c>
      <c r="H1306" t="s">
        <v>670</v>
      </c>
      <c r="I1306">
        <v>4.4569999999999999</v>
      </c>
    </row>
    <row r="1307" spans="1:9" x14ac:dyDescent="0.25">
      <c r="A1307" t="s">
        <v>553</v>
      </c>
      <c r="B1307" t="s">
        <v>2</v>
      </c>
      <c r="C1307" t="s">
        <v>553</v>
      </c>
      <c r="D1307">
        <v>42140</v>
      </c>
      <c r="E1307" t="s">
        <v>669</v>
      </c>
      <c r="F1307" t="s">
        <v>118</v>
      </c>
      <c r="G1307" t="s">
        <v>670</v>
      </c>
      <c r="H1307" t="s">
        <v>670</v>
      </c>
      <c r="I1307">
        <v>2.1061830597298199</v>
      </c>
    </row>
    <row r="1308" spans="1:9" x14ac:dyDescent="0.25">
      <c r="A1308" t="s">
        <v>553</v>
      </c>
      <c r="B1308" t="s">
        <v>2</v>
      </c>
      <c r="C1308" t="s">
        <v>553</v>
      </c>
      <c r="D1308">
        <v>42140</v>
      </c>
      <c r="E1308" t="s">
        <v>672</v>
      </c>
      <c r="F1308" t="s">
        <v>3</v>
      </c>
      <c r="G1308" t="s">
        <v>670</v>
      </c>
      <c r="H1308" t="s">
        <v>670</v>
      </c>
      <c r="I1308">
        <v>1.9570000000000001</v>
      </c>
    </row>
    <row r="1309" spans="1:9" x14ac:dyDescent="0.25">
      <c r="A1309" t="s">
        <v>553</v>
      </c>
      <c r="B1309" t="s">
        <v>2</v>
      </c>
      <c r="C1309" t="s">
        <v>553</v>
      </c>
      <c r="D1309">
        <v>42140</v>
      </c>
      <c r="E1309" t="s">
        <v>672</v>
      </c>
      <c r="F1309" t="s">
        <v>113</v>
      </c>
      <c r="G1309" t="s">
        <v>670</v>
      </c>
      <c r="H1309" t="s">
        <v>670</v>
      </c>
      <c r="I1309">
        <v>2.0129999999999999</v>
      </c>
    </row>
    <row r="1310" spans="1:9" x14ac:dyDescent="0.25">
      <c r="A1310" t="s">
        <v>554</v>
      </c>
      <c r="B1310" t="s">
        <v>2</v>
      </c>
      <c r="C1310" t="s">
        <v>554</v>
      </c>
      <c r="D1310">
        <v>42200</v>
      </c>
      <c r="E1310" t="s">
        <v>669</v>
      </c>
      <c r="F1310" t="s">
        <v>118</v>
      </c>
      <c r="G1310" t="s">
        <v>670</v>
      </c>
      <c r="H1310" t="s">
        <v>670</v>
      </c>
      <c r="I1310">
        <v>2.8856932030892044</v>
      </c>
    </row>
    <row r="1311" spans="1:9" x14ac:dyDescent="0.25">
      <c r="A1311" t="s">
        <v>554</v>
      </c>
      <c r="B1311" t="s">
        <v>2</v>
      </c>
      <c r="C1311" t="s">
        <v>554</v>
      </c>
      <c r="D1311">
        <v>42200</v>
      </c>
      <c r="E1311" t="s">
        <v>672</v>
      </c>
      <c r="F1311" t="s">
        <v>3</v>
      </c>
      <c r="G1311" t="s">
        <v>670</v>
      </c>
      <c r="H1311" t="s">
        <v>670</v>
      </c>
      <c r="I1311">
        <v>3.3330000000000002</v>
      </c>
    </row>
    <row r="1312" spans="1:9" x14ac:dyDescent="0.25">
      <c r="A1312" t="s">
        <v>554</v>
      </c>
      <c r="B1312" t="s">
        <v>2</v>
      </c>
      <c r="C1312" t="s">
        <v>554</v>
      </c>
      <c r="D1312">
        <v>42200</v>
      </c>
      <c r="E1312" t="s">
        <v>672</v>
      </c>
      <c r="F1312" t="s">
        <v>113</v>
      </c>
      <c r="G1312" t="s">
        <v>670</v>
      </c>
      <c r="H1312" t="s">
        <v>670</v>
      </c>
      <c r="I1312">
        <v>3.3359999999999999</v>
      </c>
    </row>
    <row r="1313" spans="1:9" x14ac:dyDescent="0.25">
      <c r="A1313" t="s">
        <v>555</v>
      </c>
      <c r="B1313" t="s">
        <v>2</v>
      </c>
      <c r="C1313" t="s">
        <v>555</v>
      </c>
      <c r="D1313">
        <v>42220</v>
      </c>
      <c r="E1313" t="s">
        <v>669</v>
      </c>
      <c r="F1313" t="s">
        <v>118</v>
      </c>
      <c r="G1313" t="s">
        <v>670</v>
      </c>
      <c r="H1313" t="s">
        <v>670</v>
      </c>
      <c r="I1313">
        <v>2.8107439188273879</v>
      </c>
    </row>
    <row r="1314" spans="1:9" x14ac:dyDescent="0.25">
      <c r="A1314" t="s">
        <v>555</v>
      </c>
      <c r="B1314" t="s">
        <v>2</v>
      </c>
      <c r="C1314" t="s">
        <v>555</v>
      </c>
      <c r="D1314">
        <v>42220</v>
      </c>
      <c r="E1314" t="s">
        <v>671</v>
      </c>
      <c r="F1314" t="s">
        <v>116</v>
      </c>
      <c r="G1314" t="s">
        <v>670</v>
      </c>
      <c r="H1314" t="s">
        <v>670</v>
      </c>
      <c r="I1314">
        <v>0.58715026537334425</v>
      </c>
    </row>
    <row r="1315" spans="1:9" x14ac:dyDescent="0.25">
      <c r="A1315" t="s">
        <v>555</v>
      </c>
      <c r="B1315" t="s">
        <v>2</v>
      </c>
      <c r="C1315" t="s">
        <v>555</v>
      </c>
      <c r="D1315">
        <v>42220</v>
      </c>
      <c r="E1315" t="s">
        <v>672</v>
      </c>
      <c r="F1315" t="s">
        <v>3</v>
      </c>
      <c r="G1315" t="s">
        <v>670</v>
      </c>
      <c r="H1315" t="s">
        <v>670</v>
      </c>
      <c r="I1315">
        <v>2.7719999999999998</v>
      </c>
    </row>
    <row r="1316" spans="1:9" x14ac:dyDescent="0.25">
      <c r="A1316" t="s">
        <v>555</v>
      </c>
      <c r="B1316" t="s">
        <v>2</v>
      </c>
      <c r="C1316" t="s">
        <v>555</v>
      </c>
      <c r="D1316">
        <v>42220</v>
      </c>
      <c r="E1316" t="s">
        <v>672</v>
      </c>
      <c r="F1316" t="s">
        <v>113</v>
      </c>
      <c r="G1316" t="s">
        <v>670</v>
      </c>
      <c r="H1316" t="s">
        <v>670</v>
      </c>
      <c r="I1316">
        <v>2.8039999999999998</v>
      </c>
    </row>
    <row r="1317" spans="1:9" x14ac:dyDescent="0.25">
      <c r="A1317" t="s">
        <v>556</v>
      </c>
      <c r="B1317" t="s">
        <v>2</v>
      </c>
      <c r="C1317" t="s">
        <v>556</v>
      </c>
      <c r="D1317">
        <v>42300</v>
      </c>
      <c r="E1317" t="s">
        <v>672</v>
      </c>
      <c r="F1317" t="s">
        <v>3</v>
      </c>
      <c r="G1317" t="s">
        <v>670</v>
      </c>
      <c r="H1317" t="s">
        <v>670</v>
      </c>
      <c r="I1317" t="s">
        <v>673</v>
      </c>
    </row>
    <row r="1318" spans="1:9" x14ac:dyDescent="0.25">
      <c r="A1318" t="s">
        <v>556</v>
      </c>
      <c r="B1318" t="s">
        <v>2</v>
      </c>
      <c r="C1318" t="s">
        <v>556</v>
      </c>
      <c r="D1318">
        <v>42300</v>
      </c>
      <c r="E1318" t="s">
        <v>672</v>
      </c>
      <c r="F1318" t="s">
        <v>113</v>
      </c>
      <c r="G1318" t="s">
        <v>670</v>
      </c>
      <c r="H1318" t="s">
        <v>670</v>
      </c>
      <c r="I1318" t="s">
        <v>673</v>
      </c>
    </row>
    <row r="1319" spans="1:9" x14ac:dyDescent="0.25">
      <c r="A1319" t="s">
        <v>557</v>
      </c>
      <c r="B1319" t="s">
        <v>2</v>
      </c>
      <c r="C1319" t="s">
        <v>557</v>
      </c>
      <c r="D1319">
        <v>42340</v>
      </c>
      <c r="E1319" t="s">
        <v>669</v>
      </c>
      <c r="F1319" t="s">
        <v>118</v>
      </c>
      <c r="G1319" t="s">
        <v>670</v>
      </c>
      <c r="H1319" t="s">
        <v>670</v>
      </c>
      <c r="I1319">
        <v>1.5161819183502834</v>
      </c>
    </row>
    <row r="1320" spans="1:9" x14ac:dyDescent="0.25">
      <c r="A1320" t="s">
        <v>557</v>
      </c>
      <c r="B1320" t="s">
        <v>2</v>
      </c>
      <c r="C1320" t="s">
        <v>557</v>
      </c>
      <c r="D1320">
        <v>42340</v>
      </c>
      <c r="E1320" t="s">
        <v>671</v>
      </c>
      <c r="F1320" t="s">
        <v>116</v>
      </c>
      <c r="G1320" t="s">
        <v>670</v>
      </c>
      <c r="H1320" t="s">
        <v>670</v>
      </c>
      <c r="I1320">
        <v>0.55454341498897364</v>
      </c>
    </row>
    <row r="1321" spans="1:9" x14ac:dyDescent="0.25">
      <c r="A1321" t="s">
        <v>557</v>
      </c>
      <c r="B1321" t="s">
        <v>2</v>
      </c>
      <c r="C1321" t="s">
        <v>557</v>
      </c>
      <c r="D1321">
        <v>42340</v>
      </c>
      <c r="E1321" t="s">
        <v>672</v>
      </c>
      <c r="F1321" t="s">
        <v>3</v>
      </c>
      <c r="G1321" t="s">
        <v>670</v>
      </c>
      <c r="H1321" t="s">
        <v>670</v>
      </c>
      <c r="I1321">
        <v>1.548</v>
      </c>
    </row>
    <row r="1322" spans="1:9" x14ac:dyDescent="0.25">
      <c r="A1322" t="s">
        <v>557</v>
      </c>
      <c r="B1322" t="s">
        <v>2</v>
      </c>
      <c r="C1322" t="s">
        <v>557</v>
      </c>
      <c r="D1322">
        <v>42340</v>
      </c>
      <c r="E1322" t="s">
        <v>672</v>
      </c>
      <c r="F1322" t="s">
        <v>113</v>
      </c>
      <c r="G1322" t="s">
        <v>670</v>
      </c>
      <c r="H1322" t="s">
        <v>670</v>
      </c>
      <c r="I1322">
        <v>1.603</v>
      </c>
    </row>
    <row r="1323" spans="1:9" x14ac:dyDescent="0.25">
      <c r="A1323" t="s">
        <v>558</v>
      </c>
      <c r="B1323" t="s">
        <v>2</v>
      </c>
      <c r="C1323" t="s">
        <v>558</v>
      </c>
      <c r="D1323">
        <v>42540</v>
      </c>
      <c r="E1323" t="s">
        <v>669</v>
      </c>
      <c r="F1323" t="s">
        <v>118</v>
      </c>
      <c r="G1323" t="s">
        <v>670</v>
      </c>
      <c r="H1323" t="s">
        <v>670</v>
      </c>
      <c r="I1323">
        <v>1.4817686909888723</v>
      </c>
    </row>
    <row r="1324" spans="1:9" x14ac:dyDescent="0.25">
      <c r="A1324" t="s">
        <v>558</v>
      </c>
      <c r="B1324" t="s">
        <v>2</v>
      </c>
      <c r="C1324" t="s">
        <v>558</v>
      </c>
      <c r="D1324">
        <v>42540</v>
      </c>
      <c r="E1324" t="s">
        <v>672</v>
      </c>
      <c r="F1324" t="s">
        <v>3</v>
      </c>
      <c r="G1324" t="s">
        <v>670</v>
      </c>
      <c r="H1324" t="s">
        <v>670</v>
      </c>
      <c r="I1324">
        <v>1.702</v>
      </c>
    </row>
    <row r="1325" spans="1:9" x14ac:dyDescent="0.25">
      <c r="A1325" t="s">
        <v>558</v>
      </c>
      <c r="B1325" t="s">
        <v>2</v>
      </c>
      <c r="C1325" t="s">
        <v>558</v>
      </c>
      <c r="D1325">
        <v>42540</v>
      </c>
      <c r="E1325" t="s">
        <v>672</v>
      </c>
      <c r="F1325" t="s">
        <v>113</v>
      </c>
      <c r="G1325" t="s">
        <v>670</v>
      </c>
      <c r="H1325" t="s">
        <v>670</v>
      </c>
      <c r="I1325">
        <v>1.7030000000000001</v>
      </c>
    </row>
    <row r="1326" spans="1:9" x14ac:dyDescent="0.25">
      <c r="A1326" t="s">
        <v>16</v>
      </c>
      <c r="B1326" t="s">
        <v>2</v>
      </c>
      <c r="C1326" t="s">
        <v>16</v>
      </c>
      <c r="D1326">
        <v>42644</v>
      </c>
      <c r="E1326" t="s">
        <v>669</v>
      </c>
      <c r="F1326" t="s">
        <v>118</v>
      </c>
      <c r="G1326" t="s">
        <v>670</v>
      </c>
      <c r="H1326" t="s">
        <v>670</v>
      </c>
      <c r="I1326">
        <v>2.781775087780233</v>
      </c>
    </row>
    <row r="1327" spans="1:9" x14ac:dyDescent="0.25">
      <c r="A1327" t="s">
        <v>16</v>
      </c>
      <c r="B1327" t="s">
        <v>2</v>
      </c>
      <c r="C1327" t="s">
        <v>16</v>
      </c>
      <c r="D1327">
        <v>42644</v>
      </c>
      <c r="E1327" t="s">
        <v>671</v>
      </c>
      <c r="F1327" t="s">
        <v>116</v>
      </c>
      <c r="G1327" t="s">
        <v>670</v>
      </c>
      <c r="H1327" t="s">
        <v>670</v>
      </c>
      <c r="I1327">
        <v>0.61691436964527024</v>
      </c>
    </row>
    <row r="1328" spans="1:9" x14ac:dyDescent="0.25">
      <c r="A1328" t="s">
        <v>16</v>
      </c>
      <c r="B1328" t="s">
        <v>2</v>
      </c>
      <c r="C1328" t="s">
        <v>16</v>
      </c>
      <c r="D1328">
        <v>42644</v>
      </c>
      <c r="E1328" t="s">
        <v>672</v>
      </c>
      <c r="F1328" t="s">
        <v>3</v>
      </c>
      <c r="G1328" t="s">
        <v>670</v>
      </c>
      <c r="H1328" t="s">
        <v>670</v>
      </c>
      <c r="I1328">
        <v>2.7480000000000002</v>
      </c>
    </row>
    <row r="1329" spans="1:9" x14ac:dyDescent="0.25">
      <c r="A1329" t="s">
        <v>16</v>
      </c>
      <c r="B1329" t="s">
        <v>2</v>
      </c>
      <c r="C1329" t="s">
        <v>16</v>
      </c>
      <c r="D1329">
        <v>42644</v>
      </c>
      <c r="E1329" t="s">
        <v>672</v>
      </c>
      <c r="F1329" t="s">
        <v>113</v>
      </c>
      <c r="G1329" t="s">
        <v>670</v>
      </c>
      <c r="H1329" t="s">
        <v>670</v>
      </c>
      <c r="I1329">
        <v>2.8029999999999999</v>
      </c>
    </row>
    <row r="1330" spans="1:9" x14ac:dyDescent="0.25">
      <c r="A1330" t="s">
        <v>559</v>
      </c>
      <c r="B1330" t="s">
        <v>2</v>
      </c>
      <c r="C1330" t="s">
        <v>559</v>
      </c>
      <c r="D1330">
        <v>42900</v>
      </c>
      <c r="E1330" t="s">
        <v>672</v>
      </c>
      <c r="F1330" t="s">
        <v>3</v>
      </c>
      <c r="G1330" t="s">
        <v>670</v>
      </c>
      <c r="H1330" t="s">
        <v>670</v>
      </c>
      <c r="I1330" t="s">
        <v>673</v>
      </c>
    </row>
    <row r="1331" spans="1:9" x14ac:dyDescent="0.25">
      <c r="A1331" t="s">
        <v>559</v>
      </c>
      <c r="B1331" t="s">
        <v>2</v>
      </c>
      <c r="C1331" t="s">
        <v>559</v>
      </c>
      <c r="D1331">
        <v>42900</v>
      </c>
      <c r="E1331" t="s">
        <v>672</v>
      </c>
      <c r="F1331" t="s">
        <v>113</v>
      </c>
      <c r="G1331" t="s">
        <v>670</v>
      </c>
      <c r="H1331" t="s">
        <v>670</v>
      </c>
      <c r="I1331" t="s">
        <v>673</v>
      </c>
    </row>
    <row r="1332" spans="1:9" x14ac:dyDescent="0.25">
      <c r="A1332" t="s">
        <v>560</v>
      </c>
      <c r="B1332" t="s">
        <v>2</v>
      </c>
      <c r="C1332" t="s">
        <v>560</v>
      </c>
      <c r="D1332">
        <v>42860</v>
      </c>
      <c r="E1332" t="s">
        <v>672</v>
      </c>
      <c r="F1332" t="s">
        <v>3</v>
      </c>
      <c r="G1332" t="s">
        <v>670</v>
      </c>
      <c r="H1332" t="s">
        <v>670</v>
      </c>
      <c r="I1332">
        <v>1.2689999999999999</v>
      </c>
    </row>
    <row r="1333" spans="1:9" x14ac:dyDescent="0.25">
      <c r="A1333" t="s">
        <v>560</v>
      </c>
      <c r="B1333" t="s">
        <v>2</v>
      </c>
      <c r="C1333" t="s">
        <v>560</v>
      </c>
      <c r="D1333">
        <v>42860</v>
      </c>
      <c r="E1333" t="s">
        <v>672</v>
      </c>
      <c r="F1333" t="s">
        <v>113</v>
      </c>
      <c r="G1333" t="s">
        <v>670</v>
      </c>
      <c r="H1333" t="s">
        <v>670</v>
      </c>
      <c r="I1333">
        <v>1.3240000000000001</v>
      </c>
    </row>
    <row r="1334" spans="1:9" x14ac:dyDescent="0.25">
      <c r="A1334" t="s">
        <v>561</v>
      </c>
      <c r="B1334" t="s">
        <v>2</v>
      </c>
      <c r="C1334" t="s">
        <v>561</v>
      </c>
      <c r="D1334">
        <v>42940</v>
      </c>
      <c r="E1334" t="s">
        <v>672</v>
      </c>
      <c r="F1334" t="s">
        <v>3</v>
      </c>
      <c r="G1334" t="s">
        <v>670</v>
      </c>
      <c r="H1334" t="s">
        <v>670</v>
      </c>
      <c r="I1334">
        <v>1.3740000000000001</v>
      </c>
    </row>
    <row r="1335" spans="1:9" x14ac:dyDescent="0.25">
      <c r="A1335" t="s">
        <v>561</v>
      </c>
      <c r="B1335" t="s">
        <v>2</v>
      </c>
      <c r="C1335" t="s">
        <v>561</v>
      </c>
      <c r="D1335">
        <v>42940</v>
      </c>
      <c r="E1335" t="s">
        <v>672</v>
      </c>
      <c r="F1335" t="s">
        <v>113</v>
      </c>
      <c r="G1335" t="s">
        <v>670</v>
      </c>
      <c r="H1335" t="s">
        <v>670</v>
      </c>
      <c r="I1335">
        <v>1.3740000000000001</v>
      </c>
    </row>
    <row r="1336" spans="1:9" x14ac:dyDescent="0.25">
      <c r="A1336" t="s">
        <v>562</v>
      </c>
      <c r="B1336" t="s">
        <v>2</v>
      </c>
      <c r="C1336" t="s">
        <v>562</v>
      </c>
      <c r="D1336">
        <v>42980</v>
      </c>
      <c r="E1336" t="s">
        <v>669</v>
      </c>
      <c r="F1336" t="s">
        <v>118</v>
      </c>
      <c r="G1336" t="s">
        <v>670</v>
      </c>
      <c r="H1336" t="s">
        <v>670</v>
      </c>
      <c r="I1336">
        <v>0.95964972874109944</v>
      </c>
    </row>
    <row r="1337" spans="1:9" x14ac:dyDescent="0.25">
      <c r="A1337" t="s">
        <v>562</v>
      </c>
      <c r="B1337" t="s">
        <v>2</v>
      </c>
      <c r="C1337" t="s">
        <v>562</v>
      </c>
      <c r="D1337">
        <v>42980</v>
      </c>
      <c r="E1337" t="s">
        <v>672</v>
      </c>
      <c r="F1337" t="s">
        <v>3</v>
      </c>
      <c r="G1337" t="s">
        <v>670</v>
      </c>
      <c r="H1337" t="s">
        <v>670</v>
      </c>
      <c r="I1337" t="s">
        <v>673</v>
      </c>
    </row>
    <row r="1338" spans="1:9" x14ac:dyDescent="0.25">
      <c r="A1338" t="s">
        <v>562</v>
      </c>
      <c r="B1338" t="s">
        <v>2</v>
      </c>
      <c r="C1338" t="s">
        <v>562</v>
      </c>
      <c r="D1338">
        <v>42980</v>
      </c>
      <c r="E1338" t="s">
        <v>672</v>
      </c>
      <c r="F1338" t="s">
        <v>113</v>
      </c>
      <c r="G1338" t="s">
        <v>670</v>
      </c>
      <c r="H1338" t="s">
        <v>670</v>
      </c>
      <c r="I1338" t="s">
        <v>673</v>
      </c>
    </row>
    <row r="1339" spans="1:9" x14ac:dyDescent="0.25">
      <c r="A1339" t="s">
        <v>563</v>
      </c>
      <c r="B1339" t="s">
        <v>2</v>
      </c>
      <c r="C1339" t="s">
        <v>563</v>
      </c>
      <c r="D1339">
        <v>43020</v>
      </c>
      <c r="E1339" t="s">
        <v>672</v>
      </c>
      <c r="F1339" t="s">
        <v>3</v>
      </c>
      <c r="G1339" t="s">
        <v>670</v>
      </c>
      <c r="H1339" t="s">
        <v>670</v>
      </c>
      <c r="I1339" t="s">
        <v>673</v>
      </c>
    </row>
    <row r="1340" spans="1:9" x14ac:dyDescent="0.25">
      <c r="A1340" t="s">
        <v>563</v>
      </c>
      <c r="B1340" t="s">
        <v>2</v>
      </c>
      <c r="C1340" t="s">
        <v>563</v>
      </c>
      <c r="D1340">
        <v>43020</v>
      </c>
      <c r="E1340" t="s">
        <v>672</v>
      </c>
      <c r="F1340" t="s">
        <v>113</v>
      </c>
      <c r="G1340" t="s">
        <v>670</v>
      </c>
      <c r="H1340" t="s">
        <v>670</v>
      </c>
      <c r="I1340" t="s">
        <v>673</v>
      </c>
    </row>
    <row r="1341" spans="1:9" x14ac:dyDescent="0.25">
      <c r="A1341" t="s">
        <v>564</v>
      </c>
      <c r="B1341" t="s">
        <v>2</v>
      </c>
      <c r="C1341" t="s">
        <v>564</v>
      </c>
      <c r="D1341">
        <v>43100</v>
      </c>
      <c r="E1341" t="s">
        <v>669</v>
      </c>
      <c r="F1341" t="s">
        <v>118</v>
      </c>
      <c r="G1341" t="s">
        <v>670</v>
      </c>
      <c r="H1341" t="s">
        <v>670</v>
      </c>
      <c r="I1341">
        <v>1.008779964428804</v>
      </c>
    </row>
    <row r="1342" spans="1:9" x14ac:dyDescent="0.25">
      <c r="A1342" t="s">
        <v>564</v>
      </c>
      <c r="B1342" t="s">
        <v>2</v>
      </c>
      <c r="C1342" t="s">
        <v>564</v>
      </c>
      <c r="D1342">
        <v>43100</v>
      </c>
      <c r="E1342" t="s">
        <v>672</v>
      </c>
      <c r="F1342" t="s">
        <v>3</v>
      </c>
      <c r="G1342" t="s">
        <v>670</v>
      </c>
      <c r="H1342" t="s">
        <v>670</v>
      </c>
      <c r="I1342">
        <v>1.139</v>
      </c>
    </row>
    <row r="1343" spans="1:9" x14ac:dyDescent="0.25">
      <c r="A1343" t="s">
        <v>564</v>
      </c>
      <c r="B1343" t="s">
        <v>2</v>
      </c>
      <c r="C1343" t="s">
        <v>564</v>
      </c>
      <c r="D1343">
        <v>43100</v>
      </c>
      <c r="E1343" t="s">
        <v>672</v>
      </c>
      <c r="F1343" t="s">
        <v>113</v>
      </c>
      <c r="G1343" t="s">
        <v>670</v>
      </c>
      <c r="H1343" t="s">
        <v>670</v>
      </c>
      <c r="I1343">
        <v>1.1499999999999999</v>
      </c>
    </row>
    <row r="1344" spans="1:9" x14ac:dyDescent="0.25">
      <c r="A1344" t="s">
        <v>565</v>
      </c>
      <c r="B1344" t="s">
        <v>2</v>
      </c>
      <c r="C1344" t="s">
        <v>565</v>
      </c>
      <c r="D1344">
        <v>43140</v>
      </c>
      <c r="E1344" t="s">
        <v>672</v>
      </c>
      <c r="F1344" t="s">
        <v>3</v>
      </c>
      <c r="G1344" t="s">
        <v>670</v>
      </c>
      <c r="H1344" t="s">
        <v>670</v>
      </c>
      <c r="I1344">
        <v>1.339</v>
      </c>
    </row>
    <row r="1345" spans="1:9" x14ac:dyDescent="0.25">
      <c r="A1345" t="s">
        <v>565</v>
      </c>
      <c r="B1345" t="s">
        <v>2</v>
      </c>
      <c r="C1345" t="s">
        <v>565</v>
      </c>
      <c r="D1345">
        <v>43140</v>
      </c>
      <c r="E1345" t="s">
        <v>672</v>
      </c>
      <c r="F1345" t="s">
        <v>113</v>
      </c>
      <c r="G1345" t="s">
        <v>670</v>
      </c>
      <c r="H1345" t="s">
        <v>670</v>
      </c>
      <c r="I1345">
        <v>1.369</v>
      </c>
    </row>
    <row r="1346" spans="1:9" x14ac:dyDescent="0.25">
      <c r="A1346" t="s">
        <v>566</v>
      </c>
      <c r="B1346" t="s">
        <v>2</v>
      </c>
      <c r="C1346" t="s">
        <v>566</v>
      </c>
      <c r="D1346">
        <v>43220</v>
      </c>
      <c r="E1346" t="s">
        <v>672</v>
      </c>
      <c r="F1346" t="s">
        <v>3</v>
      </c>
      <c r="G1346" t="s">
        <v>670</v>
      </c>
      <c r="H1346" t="s">
        <v>670</v>
      </c>
      <c r="I1346" t="s">
        <v>673</v>
      </c>
    </row>
    <row r="1347" spans="1:9" x14ac:dyDescent="0.25">
      <c r="A1347" t="s">
        <v>566</v>
      </c>
      <c r="B1347" t="s">
        <v>2</v>
      </c>
      <c r="C1347" t="s">
        <v>566</v>
      </c>
      <c r="D1347">
        <v>43220</v>
      </c>
      <c r="E1347" t="s">
        <v>672</v>
      </c>
      <c r="F1347" t="s">
        <v>113</v>
      </c>
      <c r="G1347" t="s">
        <v>670</v>
      </c>
      <c r="H1347" t="s">
        <v>670</v>
      </c>
      <c r="I1347" t="s">
        <v>673</v>
      </c>
    </row>
    <row r="1348" spans="1:9" x14ac:dyDescent="0.25">
      <c r="A1348" t="s">
        <v>567</v>
      </c>
      <c r="B1348" t="s">
        <v>2</v>
      </c>
      <c r="C1348" t="s">
        <v>567</v>
      </c>
      <c r="D1348">
        <v>43300</v>
      </c>
      <c r="E1348" t="s">
        <v>669</v>
      </c>
      <c r="F1348" t="s">
        <v>118</v>
      </c>
      <c r="G1348" t="s">
        <v>670</v>
      </c>
      <c r="H1348" t="s">
        <v>670</v>
      </c>
      <c r="I1348">
        <v>1.2862447440404843</v>
      </c>
    </row>
    <row r="1349" spans="1:9" x14ac:dyDescent="0.25">
      <c r="A1349" t="s">
        <v>567</v>
      </c>
      <c r="B1349" t="s">
        <v>2</v>
      </c>
      <c r="C1349" t="s">
        <v>567</v>
      </c>
      <c r="D1349">
        <v>43300</v>
      </c>
      <c r="E1349" t="s">
        <v>672</v>
      </c>
      <c r="F1349" t="s">
        <v>3</v>
      </c>
      <c r="G1349" t="s">
        <v>670</v>
      </c>
      <c r="H1349" t="s">
        <v>670</v>
      </c>
      <c r="I1349">
        <v>1.2350000000000001</v>
      </c>
    </row>
    <row r="1350" spans="1:9" x14ac:dyDescent="0.25">
      <c r="A1350" t="s">
        <v>567</v>
      </c>
      <c r="B1350" t="s">
        <v>2</v>
      </c>
      <c r="C1350" t="s">
        <v>567</v>
      </c>
      <c r="D1350">
        <v>43300</v>
      </c>
      <c r="E1350" t="s">
        <v>672</v>
      </c>
      <c r="F1350" t="s">
        <v>113</v>
      </c>
      <c r="G1350" t="s">
        <v>670</v>
      </c>
      <c r="H1350" t="s">
        <v>670</v>
      </c>
      <c r="I1350">
        <v>1.292</v>
      </c>
    </row>
    <row r="1351" spans="1:9" x14ac:dyDescent="0.25">
      <c r="A1351" t="s">
        <v>568</v>
      </c>
      <c r="B1351" t="s">
        <v>2</v>
      </c>
      <c r="C1351" t="s">
        <v>568</v>
      </c>
      <c r="D1351">
        <v>243340</v>
      </c>
      <c r="E1351" t="s">
        <v>669</v>
      </c>
      <c r="F1351" t="s">
        <v>118</v>
      </c>
      <c r="G1351" t="s">
        <v>670</v>
      </c>
      <c r="H1351" t="s">
        <v>670</v>
      </c>
      <c r="I1351">
        <v>1.2420380702463532</v>
      </c>
    </row>
    <row r="1352" spans="1:9" x14ac:dyDescent="0.25">
      <c r="A1352" t="s">
        <v>568</v>
      </c>
      <c r="B1352" t="s">
        <v>2</v>
      </c>
      <c r="C1352" t="s">
        <v>568</v>
      </c>
      <c r="D1352">
        <v>243340</v>
      </c>
      <c r="E1352" t="s">
        <v>671</v>
      </c>
      <c r="F1352" t="s">
        <v>116</v>
      </c>
      <c r="G1352" t="s">
        <v>670</v>
      </c>
      <c r="H1352" t="s">
        <v>670</v>
      </c>
      <c r="I1352">
        <v>0.52587351853232167</v>
      </c>
    </row>
    <row r="1353" spans="1:9" x14ac:dyDescent="0.25">
      <c r="A1353" t="s">
        <v>568</v>
      </c>
      <c r="B1353" t="s">
        <v>2</v>
      </c>
      <c r="C1353" t="s">
        <v>568</v>
      </c>
      <c r="D1353">
        <v>243340</v>
      </c>
      <c r="E1353" t="s">
        <v>672</v>
      </c>
      <c r="F1353" t="s">
        <v>3</v>
      </c>
      <c r="G1353" t="s">
        <v>670</v>
      </c>
      <c r="H1353" t="s">
        <v>670</v>
      </c>
      <c r="I1353">
        <v>1.214</v>
      </c>
    </row>
    <row r="1354" spans="1:9" x14ac:dyDescent="0.25">
      <c r="A1354" t="s">
        <v>568</v>
      </c>
      <c r="B1354" t="s">
        <v>2</v>
      </c>
      <c r="C1354" t="s">
        <v>568</v>
      </c>
      <c r="D1354">
        <v>243340</v>
      </c>
      <c r="E1354" t="s">
        <v>672</v>
      </c>
      <c r="F1354" t="s">
        <v>113</v>
      </c>
      <c r="G1354" t="s">
        <v>670</v>
      </c>
      <c r="H1354" t="s">
        <v>670</v>
      </c>
      <c r="I1354">
        <v>1.22</v>
      </c>
    </row>
    <row r="1355" spans="1:9" x14ac:dyDescent="0.25">
      <c r="A1355" t="s">
        <v>569</v>
      </c>
      <c r="B1355" t="s">
        <v>2</v>
      </c>
      <c r="C1355" t="s">
        <v>569</v>
      </c>
      <c r="D1355">
        <v>43420</v>
      </c>
      <c r="E1355" t="s">
        <v>672</v>
      </c>
      <c r="F1355" t="s">
        <v>3</v>
      </c>
      <c r="G1355" t="s">
        <v>670</v>
      </c>
      <c r="H1355" t="s">
        <v>670</v>
      </c>
      <c r="I1355">
        <v>1.458</v>
      </c>
    </row>
    <row r="1356" spans="1:9" x14ac:dyDescent="0.25">
      <c r="A1356" t="s">
        <v>569</v>
      </c>
      <c r="B1356" t="s">
        <v>2</v>
      </c>
      <c r="C1356" t="s">
        <v>569</v>
      </c>
      <c r="D1356">
        <v>43420</v>
      </c>
      <c r="E1356" t="s">
        <v>672</v>
      </c>
      <c r="F1356" t="s">
        <v>113</v>
      </c>
      <c r="G1356" t="s">
        <v>670</v>
      </c>
      <c r="H1356" t="s">
        <v>670</v>
      </c>
      <c r="I1356">
        <v>1.474</v>
      </c>
    </row>
    <row r="1357" spans="1:9" x14ac:dyDescent="0.25">
      <c r="A1357" t="s">
        <v>570</v>
      </c>
      <c r="B1357" t="s">
        <v>2</v>
      </c>
      <c r="C1357" t="s">
        <v>570</v>
      </c>
      <c r="D1357">
        <v>243580</v>
      </c>
      <c r="E1357" t="s">
        <v>669</v>
      </c>
      <c r="F1357" t="s">
        <v>118</v>
      </c>
      <c r="G1357" t="s">
        <v>670</v>
      </c>
      <c r="H1357" t="s">
        <v>670</v>
      </c>
      <c r="I1357">
        <v>1.0898323464944988</v>
      </c>
    </row>
    <row r="1358" spans="1:9" x14ac:dyDescent="0.25">
      <c r="A1358" t="s">
        <v>570</v>
      </c>
      <c r="B1358" t="s">
        <v>2</v>
      </c>
      <c r="C1358" t="s">
        <v>570</v>
      </c>
      <c r="D1358">
        <v>243580</v>
      </c>
      <c r="E1358" t="s">
        <v>672</v>
      </c>
      <c r="F1358" t="s">
        <v>3</v>
      </c>
      <c r="G1358" t="s">
        <v>670</v>
      </c>
      <c r="H1358" t="s">
        <v>670</v>
      </c>
      <c r="I1358">
        <v>1.286</v>
      </c>
    </row>
    <row r="1359" spans="1:9" x14ac:dyDescent="0.25">
      <c r="A1359" t="s">
        <v>570</v>
      </c>
      <c r="B1359" t="s">
        <v>2</v>
      </c>
      <c r="C1359" t="s">
        <v>570</v>
      </c>
      <c r="D1359">
        <v>243580</v>
      </c>
      <c r="E1359" t="s">
        <v>672</v>
      </c>
      <c r="F1359" t="s">
        <v>113</v>
      </c>
      <c r="G1359" t="s">
        <v>670</v>
      </c>
      <c r="H1359" t="s">
        <v>670</v>
      </c>
      <c r="I1359">
        <v>1.29</v>
      </c>
    </row>
    <row r="1360" spans="1:9" x14ac:dyDescent="0.25">
      <c r="A1360" t="s">
        <v>571</v>
      </c>
      <c r="B1360" t="s">
        <v>2</v>
      </c>
      <c r="C1360" t="s">
        <v>571</v>
      </c>
      <c r="D1360">
        <v>43620</v>
      </c>
      <c r="E1360" t="s">
        <v>669</v>
      </c>
      <c r="F1360" t="s">
        <v>118</v>
      </c>
      <c r="G1360" t="s">
        <v>670</v>
      </c>
      <c r="H1360" t="s">
        <v>670</v>
      </c>
      <c r="I1360">
        <v>1.1164652946899689</v>
      </c>
    </row>
    <row r="1361" spans="1:9" x14ac:dyDescent="0.25">
      <c r="A1361" t="s">
        <v>571</v>
      </c>
      <c r="B1361" t="s">
        <v>2</v>
      </c>
      <c r="C1361" t="s">
        <v>571</v>
      </c>
      <c r="D1361">
        <v>43620</v>
      </c>
      <c r="E1361" t="s">
        <v>672</v>
      </c>
      <c r="F1361" t="s">
        <v>3</v>
      </c>
      <c r="G1361" t="s">
        <v>670</v>
      </c>
      <c r="H1361" t="s">
        <v>670</v>
      </c>
      <c r="I1361">
        <v>1.2490000000000001</v>
      </c>
    </row>
    <row r="1362" spans="1:9" x14ac:dyDescent="0.25">
      <c r="A1362" t="s">
        <v>571</v>
      </c>
      <c r="B1362" t="s">
        <v>2</v>
      </c>
      <c r="C1362" t="s">
        <v>571</v>
      </c>
      <c r="D1362">
        <v>43620</v>
      </c>
      <c r="E1362" t="s">
        <v>672</v>
      </c>
      <c r="F1362" t="s">
        <v>113</v>
      </c>
      <c r="G1362" t="s">
        <v>670</v>
      </c>
      <c r="H1362" t="s">
        <v>670</v>
      </c>
      <c r="I1362">
        <v>1.2689999999999999</v>
      </c>
    </row>
    <row r="1363" spans="1:9" x14ac:dyDescent="0.25">
      <c r="A1363" t="s">
        <v>572</v>
      </c>
      <c r="B1363" t="s">
        <v>2</v>
      </c>
      <c r="C1363" t="s">
        <v>572</v>
      </c>
      <c r="D1363">
        <v>43780</v>
      </c>
      <c r="E1363" t="s">
        <v>669</v>
      </c>
      <c r="F1363" t="s">
        <v>118</v>
      </c>
      <c r="G1363" t="s">
        <v>670</v>
      </c>
      <c r="H1363" t="s">
        <v>670</v>
      </c>
      <c r="I1363">
        <v>1.3794512344127863</v>
      </c>
    </row>
    <row r="1364" spans="1:9" x14ac:dyDescent="0.25">
      <c r="A1364" t="s">
        <v>572</v>
      </c>
      <c r="B1364" t="s">
        <v>2</v>
      </c>
      <c r="C1364" t="s">
        <v>572</v>
      </c>
      <c r="D1364">
        <v>43780</v>
      </c>
      <c r="E1364" t="s">
        <v>672</v>
      </c>
      <c r="F1364" t="s">
        <v>3</v>
      </c>
      <c r="G1364" t="s">
        <v>670</v>
      </c>
      <c r="H1364" t="s">
        <v>670</v>
      </c>
      <c r="I1364">
        <v>1.534</v>
      </c>
    </row>
    <row r="1365" spans="1:9" x14ac:dyDescent="0.25">
      <c r="A1365" t="s">
        <v>572</v>
      </c>
      <c r="B1365" t="s">
        <v>2</v>
      </c>
      <c r="C1365" t="s">
        <v>572</v>
      </c>
      <c r="D1365">
        <v>43780</v>
      </c>
      <c r="E1365" t="s">
        <v>672</v>
      </c>
      <c r="F1365" t="s">
        <v>113</v>
      </c>
      <c r="G1365" t="s">
        <v>670</v>
      </c>
      <c r="H1365" t="s">
        <v>670</v>
      </c>
      <c r="I1365">
        <v>1.5349999999999999</v>
      </c>
    </row>
    <row r="1366" spans="1:9" x14ac:dyDescent="0.25">
      <c r="A1366" t="s">
        <v>573</v>
      </c>
      <c r="B1366" t="s">
        <v>2</v>
      </c>
      <c r="C1366" t="s">
        <v>573</v>
      </c>
      <c r="D1366">
        <v>43980</v>
      </c>
      <c r="E1366" t="s">
        <v>672</v>
      </c>
      <c r="F1366" t="s">
        <v>3</v>
      </c>
      <c r="G1366" t="s">
        <v>670</v>
      </c>
      <c r="H1366" t="s">
        <v>670</v>
      </c>
      <c r="I1366" t="s">
        <v>673</v>
      </c>
    </row>
    <row r="1367" spans="1:9" x14ac:dyDescent="0.25">
      <c r="A1367" t="s">
        <v>573</v>
      </c>
      <c r="B1367" t="s">
        <v>2</v>
      </c>
      <c r="C1367" t="s">
        <v>573</v>
      </c>
      <c r="D1367">
        <v>43980</v>
      </c>
      <c r="E1367" t="s">
        <v>672</v>
      </c>
      <c r="F1367" t="s">
        <v>113</v>
      </c>
      <c r="G1367" t="s">
        <v>670</v>
      </c>
      <c r="H1367" t="s">
        <v>670</v>
      </c>
      <c r="I1367" t="s">
        <v>673</v>
      </c>
    </row>
    <row r="1368" spans="1:9" x14ac:dyDescent="0.25">
      <c r="A1368" t="s">
        <v>574</v>
      </c>
      <c r="B1368" t="s">
        <v>2</v>
      </c>
      <c r="C1368" t="s">
        <v>574</v>
      </c>
      <c r="D1368">
        <v>44060</v>
      </c>
      <c r="E1368" t="s">
        <v>669</v>
      </c>
      <c r="F1368" t="s">
        <v>118</v>
      </c>
      <c r="G1368" t="s">
        <v>670</v>
      </c>
      <c r="H1368" t="s">
        <v>670</v>
      </c>
      <c r="I1368">
        <v>1.6254219230426759</v>
      </c>
    </row>
    <row r="1369" spans="1:9" x14ac:dyDescent="0.25">
      <c r="A1369" t="s">
        <v>574</v>
      </c>
      <c r="B1369" t="s">
        <v>2</v>
      </c>
      <c r="C1369" t="s">
        <v>574</v>
      </c>
      <c r="D1369">
        <v>44060</v>
      </c>
      <c r="E1369" t="s">
        <v>671</v>
      </c>
      <c r="F1369" t="s">
        <v>116</v>
      </c>
      <c r="G1369" t="s">
        <v>670</v>
      </c>
      <c r="H1369" t="s">
        <v>670</v>
      </c>
      <c r="I1369">
        <v>0.64397838648692962</v>
      </c>
    </row>
    <row r="1370" spans="1:9" x14ac:dyDescent="0.25">
      <c r="A1370" t="s">
        <v>574</v>
      </c>
      <c r="B1370" t="s">
        <v>2</v>
      </c>
      <c r="C1370" t="s">
        <v>574</v>
      </c>
      <c r="D1370">
        <v>44060</v>
      </c>
      <c r="E1370" t="s">
        <v>672</v>
      </c>
      <c r="F1370" t="s">
        <v>3</v>
      </c>
      <c r="G1370" t="s">
        <v>670</v>
      </c>
      <c r="H1370" t="s">
        <v>670</v>
      </c>
      <c r="I1370">
        <v>1.546</v>
      </c>
    </row>
    <row r="1371" spans="1:9" x14ac:dyDescent="0.25">
      <c r="A1371" t="s">
        <v>574</v>
      </c>
      <c r="B1371" t="s">
        <v>2</v>
      </c>
      <c r="C1371" t="s">
        <v>574</v>
      </c>
      <c r="D1371">
        <v>44060</v>
      </c>
      <c r="E1371" t="s">
        <v>672</v>
      </c>
      <c r="F1371" t="s">
        <v>113</v>
      </c>
      <c r="G1371" t="s">
        <v>670</v>
      </c>
      <c r="H1371" t="s">
        <v>670</v>
      </c>
      <c r="I1371">
        <v>1.5720000000000001</v>
      </c>
    </row>
    <row r="1372" spans="1:9" x14ac:dyDescent="0.25">
      <c r="A1372" t="s">
        <v>575</v>
      </c>
      <c r="B1372" t="s">
        <v>2</v>
      </c>
      <c r="C1372" t="s">
        <v>575</v>
      </c>
      <c r="D1372">
        <v>344140</v>
      </c>
      <c r="E1372" t="s">
        <v>669</v>
      </c>
      <c r="F1372" t="s">
        <v>118</v>
      </c>
      <c r="G1372" t="s">
        <v>670</v>
      </c>
      <c r="H1372" t="s">
        <v>670</v>
      </c>
      <c r="I1372">
        <v>2.0643911693229224</v>
      </c>
    </row>
    <row r="1373" spans="1:9" x14ac:dyDescent="0.25">
      <c r="A1373" t="s">
        <v>575</v>
      </c>
      <c r="B1373" t="s">
        <v>2</v>
      </c>
      <c r="C1373" t="s">
        <v>575</v>
      </c>
      <c r="D1373">
        <v>344140</v>
      </c>
      <c r="E1373" t="s">
        <v>672</v>
      </c>
      <c r="F1373" t="s">
        <v>3</v>
      </c>
      <c r="G1373" t="s">
        <v>670</v>
      </c>
      <c r="H1373" t="s">
        <v>670</v>
      </c>
      <c r="I1373">
        <v>2.4489999999999998</v>
      </c>
    </row>
    <row r="1374" spans="1:9" x14ac:dyDescent="0.25">
      <c r="A1374" t="s">
        <v>575</v>
      </c>
      <c r="B1374" t="s">
        <v>2</v>
      </c>
      <c r="C1374" t="s">
        <v>575</v>
      </c>
      <c r="D1374">
        <v>344140</v>
      </c>
      <c r="E1374" t="s">
        <v>672</v>
      </c>
      <c r="F1374" t="s">
        <v>113</v>
      </c>
      <c r="G1374" t="s">
        <v>670</v>
      </c>
      <c r="H1374" t="s">
        <v>670</v>
      </c>
      <c r="I1374">
        <v>2.464</v>
      </c>
    </row>
    <row r="1375" spans="1:9" x14ac:dyDescent="0.25">
      <c r="A1375" t="s">
        <v>576</v>
      </c>
      <c r="B1375" t="s">
        <v>2</v>
      </c>
      <c r="C1375" t="s">
        <v>576</v>
      </c>
      <c r="D1375">
        <v>44100</v>
      </c>
      <c r="E1375" t="s">
        <v>669</v>
      </c>
      <c r="F1375" t="s">
        <v>118</v>
      </c>
      <c r="G1375" t="s">
        <v>670</v>
      </c>
      <c r="H1375" t="s">
        <v>670</v>
      </c>
      <c r="I1375">
        <v>1.0851778501670004</v>
      </c>
    </row>
    <row r="1376" spans="1:9" x14ac:dyDescent="0.25">
      <c r="A1376" t="s">
        <v>576</v>
      </c>
      <c r="B1376" t="s">
        <v>2</v>
      </c>
      <c r="C1376" t="s">
        <v>576</v>
      </c>
      <c r="D1376">
        <v>44100</v>
      </c>
      <c r="E1376" t="s">
        <v>672</v>
      </c>
      <c r="F1376" t="s">
        <v>3</v>
      </c>
      <c r="G1376" t="s">
        <v>670</v>
      </c>
      <c r="H1376" t="s">
        <v>670</v>
      </c>
      <c r="I1376">
        <v>1.222</v>
      </c>
    </row>
    <row r="1377" spans="1:9" x14ac:dyDescent="0.25">
      <c r="A1377" t="s">
        <v>576</v>
      </c>
      <c r="B1377" t="s">
        <v>2</v>
      </c>
      <c r="C1377" t="s">
        <v>576</v>
      </c>
      <c r="D1377">
        <v>44100</v>
      </c>
      <c r="E1377" t="s">
        <v>672</v>
      </c>
      <c r="F1377" t="s">
        <v>113</v>
      </c>
      <c r="G1377" t="s">
        <v>670</v>
      </c>
      <c r="H1377" t="s">
        <v>670</v>
      </c>
      <c r="I1377">
        <v>1.222</v>
      </c>
    </row>
    <row r="1378" spans="1:9" x14ac:dyDescent="0.25">
      <c r="A1378" t="s">
        <v>577</v>
      </c>
      <c r="B1378" t="s">
        <v>2</v>
      </c>
      <c r="C1378" t="s">
        <v>577</v>
      </c>
      <c r="D1378">
        <v>44180</v>
      </c>
      <c r="E1378" t="s">
        <v>669</v>
      </c>
      <c r="F1378" t="s">
        <v>118</v>
      </c>
      <c r="G1378" t="s">
        <v>670</v>
      </c>
      <c r="H1378" t="s">
        <v>670</v>
      </c>
      <c r="I1378">
        <v>1.0386193196106688</v>
      </c>
    </row>
    <row r="1379" spans="1:9" x14ac:dyDescent="0.25">
      <c r="A1379" t="s">
        <v>577</v>
      </c>
      <c r="B1379" t="s">
        <v>2</v>
      </c>
      <c r="C1379" t="s">
        <v>577</v>
      </c>
      <c r="D1379">
        <v>44180</v>
      </c>
      <c r="E1379" t="s">
        <v>671</v>
      </c>
      <c r="F1379" t="s">
        <v>116</v>
      </c>
      <c r="G1379" t="s">
        <v>670</v>
      </c>
      <c r="H1379" t="s">
        <v>670</v>
      </c>
      <c r="I1379">
        <v>0.61487847784395455</v>
      </c>
    </row>
    <row r="1380" spans="1:9" x14ac:dyDescent="0.25">
      <c r="A1380" t="s">
        <v>577</v>
      </c>
      <c r="B1380" t="s">
        <v>2</v>
      </c>
      <c r="C1380" t="s">
        <v>577</v>
      </c>
      <c r="D1380">
        <v>44180</v>
      </c>
      <c r="E1380" t="s">
        <v>672</v>
      </c>
      <c r="F1380" t="s">
        <v>3</v>
      </c>
      <c r="G1380" t="s">
        <v>670</v>
      </c>
      <c r="H1380" t="s">
        <v>670</v>
      </c>
      <c r="I1380">
        <v>1.206</v>
      </c>
    </row>
    <row r="1381" spans="1:9" x14ac:dyDescent="0.25">
      <c r="A1381" t="s">
        <v>577</v>
      </c>
      <c r="B1381" t="s">
        <v>2</v>
      </c>
      <c r="C1381" t="s">
        <v>577</v>
      </c>
      <c r="D1381">
        <v>44180</v>
      </c>
      <c r="E1381" t="s">
        <v>672</v>
      </c>
      <c r="F1381" t="s">
        <v>113</v>
      </c>
      <c r="G1381" t="s">
        <v>670</v>
      </c>
      <c r="H1381" t="s">
        <v>670</v>
      </c>
      <c r="I1381">
        <v>1.2070000000000001</v>
      </c>
    </row>
    <row r="1382" spans="1:9" x14ac:dyDescent="0.25">
      <c r="A1382" t="s">
        <v>578</v>
      </c>
      <c r="B1382" t="s">
        <v>2</v>
      </c>
      <c r="C1382" t="s">
        <v>578</v>
      </c>
      <c r="D1382">
        <v>44220</v>
      </c>
      <c r="E1382" t="s">
        <v>672</v>
      </c>
      <c r="F1382" t="s">
        <v>3</v>
      </c>
      <c r="G1382" t="s">
        <v>670</v>
      </c>
      <c r="H1382" t="s">
        <v>670</v>
      </c>
      <c r="I1382">
        <v>1.2649999999999999</v>
      </c>
    </row>
    <row r="1383" spans="1:9" x14ac:dyDescent="0.25">
      <c r="A1383" t="s">
        <v>578</v>
      </c>
      <c r="B1383" t="s">
        <v>2</v>
      </c>
      <c r="C1383" t="s">
        <v>578</v>
      </c>
      <c r="D1383">
        <v>44220</v>
      </c>
      <c r="E1383" t="s">
        <v>672</v>
      </c>
      <c r="F1383" t="s">
        <v>113</v>
      </c>
      <c r="G1383" t="s">
        <v>670</v>
      </c>
      <c r="H1383" t="s">
        <v>670</v>
      </c>
      <c r="I1383">
        <v>1.2649999999999999</v>
      </c>
    </row>
    <row r="1384" spans="1:9" x14ac:dyDescent="0.25">
      <c r="A1384" t="s">
        <v>579</v>
      </c>
      <c r="B1384" t="s">
        <v>2</v>
      </c>
      <c r="C1384" t="s">
        <v>579</v>
      </c>
      <c r="D1384">
        <v>44260</v>
      </c>
      <c r="E1384" t="s">
        <v>672</v>
      </c>
      <c r="F1384" t="s">
        <v>3</v>
      </c>
      <c r="G1384" t="s">
        <v>670</v>
      </c>
      <c r="H1384" t="s">
        <v>670</v>
      </c>
      <c r="I1384">
        <v>1.2350000000000001</v>
      </c>
    </row>
    <row r="1385" spans="1:9" x14ac:dyDescent="0.25">
      <c r="A1385" t="s">
        <v>579</v>
      </c>
      <c r="B1385" t="s">
        <v>2</v>
      </c>
      <c r="C1385" t="s">
        <v>579</v>
      </c>
      <c r="D1385">
        <v>44260</v>
      </c>
      <c r="E1385" t="s">
        <v>672</v>
      </c>
      <c r="F1385" t="s">
        <v>113</v>
      </c>
      <c r="G1385" t="s">
        <v>670</v>
      </c>
      <c r="H1385" t="s">
        <v>670</v>
      </c>
      <c r="I1385">
        <v>1.2430000000000001</v>
      </c>
    </row>
    <row r="1386" spans="1:9" x14ac:dyDescent="0.25">
      <c r="A1386" t="s">
        <v>580</v>
      </c>
      <c r="B1386" t="s">
        <v>2</v>
      </c>
      <c r="C1386" t="s">
        <v>580</v>
      </c>
      <c r="D1386">
        <v>44300</v>
      </c>
      <c r="E1386" t="s">
        <v>669</v>
      </c>
      <c r="F1386" t="s">
        <v>118</v>
      </c>
      <c r="G1386" t="s">
        <v>670</v>
      </c>
      <c r="H1386" t="s">
        <v>670</v>
      </c>
      <c r="I1386">
        <v>1.348331835342423</v>
      </c>
    </row>
    <row r="1387" spans="1:9" x14ac:dyDescent="0.25">
      <c r="A1387" t="s">
        <v>580</v>
      </c>
      <c r="B1387" t="s">
        <v>2</v>
      </c>
      <c r="C1387" t="s">
        <v>580</v>
      </c>
      <c r="D1387">
        <v>44300</v>
      </c>
      <c r="E1387" t="s">
        <v>672</v>
      </c>
      <c r="F1387" t="s">
        <v>3</v>
      </c>
      <c r="G1387" t="s">
        <v>670</v>
      </c>
      <c r="H1387" t="s">
        <v>670</v>
      </c>
      <c r="I1387">
        <v>1.7869999999999999</v>
      </c>
    </row>
    <row r="1388" spans="1:9" x14ac:dyDescent="0.25">
      <c r="A1388" t="s">
        <v>580</v>
      </c>
      <c r="B1388" t="s">
        <v>2</v>
      </c>
      <c r="C1388" t="s">
        <v>580</v>
      </c>
      <c r="D1388">
        <v>44300</v>
      </c>
      <c r="E1388" t="s">
        <v>672</v>
      </c>
      <c r="F1388" t="s">
        <v>113</v>
      </c>
      <c r="G1388" t="s">
        <v>670</v>
      </c>
      <c r="H1388" t="s">
        <v>670</v>
      </c>
      <c r="I1388">
        <v>1.7869999999999999</v>
      </c>
    </row>
    <row r="1389" spans="1:9" x14ac:dyDescent="0.25">
      <c r="A1389" t="s">
        <v>581</v>
      </c>
      <c r="B1389" t="s">
        <v>2</v>
      </c>
      <c r="C1389" t="s">
        <v>581</v>
      </c>
      <c r="D1389">
        <v>44340</v>
      </c>
      <c r="E1389" t="s">
        <v>672</v>
      </c>
      <c r="F1389" t="s">
        <v>3</v>
      </c>
      <c r="G1389" t="s">
        <v>670</v>
      </c>
      <c r="H1389" t="s">
        <v>670</v>
      </c>
      <c r="I1389">
        <v>1.2370000000000001</v>
      </c>
    </row>
    <row r="1390" spans="1:9" x14ac:dyDescent="0.25">
      <c r="A1390" t="s">
        <v>581</v>
      </c>
      <c r="B1390" t="s">
        <v>2</v>
      </c>
      <c r="C1390" t="s">
        <v>581</v>
      </c>
      <c r="D1390">
        <v>44340</v>
      </c>
      <c r="E1390" t="s">
        <v>672</v>
      </c>
      <c r="F1390" t="s">
        <v>113</v>
      </c>
      <c r="G1390" t="s">
        <v>670</v>
      </c>
      <c r="H1390" t="s">
        <v>670</v>
      </c>
      <c r="I1390">
        <v>1.2549999999999999</v>
      </c>
    </row>
    <row r="1391" spans="1:9" x14ac:dyDescent="0.25">
      <c r="A1391" t="s">
        <v>582</v>
      </c>
      <c r="B1391" t="s">
        <v>2</v>
      </c>
      <c r="C1391" t="s">
        <v>582</v>
      </c>
      <c r="D1391">
        <v>44420</v>
      </c>
      <c r="E1391" t="s">
        <v>672</v>
      </c>
      <c r="F1391" t="s">
        <v>3</v>
      </c>
      <c r="G1391" t="s">
        <v>670</v>
      </c>
      <c r="H1391" t="s">
        <v>670</v>
      </c>
      <c r="I1391">
        <v>1.601</v>
      </c>
    </row>
    <row r="1392" spans="1:9" x14ac:dyDescent="0.25">
      <c r="A1392" t="s">
        <v>582</v>
      </c>
      <c r="B1392" t="s">
        <v>2</v>
      </c>
      <c r="C1392" t="s">
        <v>582</v>
      </c>
      <c r="D1392">
        <v>44420</v>
      </c>
      <c r="E1392" t="s">
        <v>672</v>
      </c>
      <c r="F1392" t="s">
        <v>113</v>
      </c>
      <c r="G1392" t="s">
        <v>670</v>
      </c>
      <c r="H1392" t="s">
        <v>670</v>
      </c>
      <c r="I1392">
        <v>1.601</v>
      </c>
    </row>
    <row r="1393" spans="1:9" x14ac:dyDescent="0.25">
      <c r="A1393" t="s">
        <v>583</v>
      </c>
      <c r="B1393" t="s">
        <v>2</v>
      </c>
      <c r="C1393" t="s">
        <v>583</v>
      </c>
      <c r="D1393">
        <v>41060</v>
      </c>
      <c r="E1393" t="s">
        <v>669</v>
      </c>
      <c r="F1393" t="s">
        <v>118</v>
      </c>
      <c r="G1393" t="s">
        <v>670</v>
      </c>
      <c r="H1393" t="s">
        <v>670</v>
      </c>
      <c r="I1393">
        <v>1.1840120809670578</v>
      </c>
    </row>
    <row r="1394" spans="1:9" x14ac:dyDescent="0.25">
      <c r="A1394" t="s">
        <v>583</v>
      </c>
      <c r="B1394" t="s">
        <v>2</v>
      </c>
      <c r="C1394" t="s">
        <v>583</v>
      </c>
      <c r="D1394">
        <v>41060</v>
      </c>
      <c r="E1394" t="s">
        <v>672</v>
      </c>
      <c r="F1394" t="s">
        <v>3</v>
      </c>
      <c r="G1394" t="s">
        <v>670</v>
      </c>
      <c r="H1394" t="s">
        <v>670</v>
      </c>
      <c r="I1394">
        <v>1.29</v>
      </c>
    </row>
    <row r="1395" spans="1:9" x14ac:dyDescent="0.25">
      <c r="A1395" t="s">
        <v>583</v>
      </c>
      <c r="B1395" t="s">
        <v>2</v>
      </c>
      <c r="C1395" t="s">
        <v>583</v>
      </c>
      <c r="D1395">
        <v>41060</v>
      </c>
      <c r="E1395" t="s">
        <v>672</v>
      </c>
      <c r="F1395" t="s">
        <v>113</v>
      </c>
      <c r="G1395" t="s">
        <v>670</v>
      </c>
      <c r="H1395" t="s">
        <v>670</v>
      </c>
      <c r="I1395">
        <v>1.2969999999999999</v>
      </c>
    </row>
    <row r="1396" spans="1:9" x14ac:dyDescent="0.25">
      <c r="A1396" t="s">
        <v>584</v>
      </c>
      <c r="B1396" t="s">
        <v>2</v>
      </c>
      <c r="C1396" t="s">
        <v>584</v>
      </c>
      <c r="D1396">
        <v>44460</v>
      </c>
      <c r="E1396" t="s">
        <v>672</v>
      </c>
      <c r="F1396" t="s">
        <v>3</v>
      </c>
      <c r="G1396" t="s">
        <v>670</v>
      </c>
      <c r="H1396" t="s">
        <v>670</v>
      </c>
      <c r="I1396" t="s">
        <v>673</v>
      </c>
    </row>
    <row r="1397" spans="1:9" x14ac:dyDescent="0.25">
      <c r="A1397" t="s">
        <v>584</v>
      </c>
      <c r="B1397" t="s">
        <v>2</v>
      </c>
      <c r="C1397" t="s">
        <v>584</v>
      </c>
      <c r="D1397">
        <v>44460</v>
      </c>
      <c r="E1397" t="s">
        <v>672</v>
      </c>
      <c r="F1397" t="s">
        <v>113</v>
      </c>
      <c r="G1397" t="s">
        <v>670</v>
      </c>
      <c r="H1397" t="s">
        <v>670</v>
      </c>
      <c r="I1397" t="s">
        <v>673</v>
      </c>
    </row>
    <row r="1398" spans="1:9" x14ac:dyDescent="0.25">
      <c r="A1398" t="s">
        <v>585</v>
      </c>
      <c r="B1398" t="s">
        <v>2</v>
      </c>
      <c r="C1398" t="s">
        <v>585</v>
      </c>
      <c r="D1398">
        <v>44500</v>
      </c>
      <c r="E1398" t="s">
        <v>672</v>
      </c>
      <c r="F1398" t="s">
        <v>3</v>
      </c>
      <c r="G1398" t="s">
        <v>670</v>
      </c>
      <c r="H1398" t="s">
        <v>670</v>
      </c>
      <c r="I1398">
        <v>1.155</v>
      </c>
    </row>
    <row r="1399" spans="1:9" x14ac:dyDescent="0.25">
      <c r="A1399" t="s">
        <v>585</v>
      </c>
      <c r="B1399" t="s">
        <v>2</v>
      </c>
      <c r="C1399" t="s">
        <v>585</v>
      </c>
      <c r="D1399">
        <v>44500</v>
      </c>
      <c r="E1399" t="s">
        <v>672</v>
      </c>
      <c r="F1399" t="s">
        <v>113</v>
      </c>
      <c r="G1399" t="s">
        <v>670</v>
      </c>
      <c r="H1399" t="s">
        <v>670</v>
      </c>
      <c r="I1399">
        <v>1.165</v>
      </c>
    </row>
    <row r="1400" spans="1:9" x14ac:dyDescent="0.25">
      <c r="A1400" t="s">
        <v>586</v>
      </c>
      <c r="B1400" t="s">
        <v>2</v>
      </c>
      <c r="C1400" t="s">
        <v>586</v>
      </c>
      <c r="D1400">
        <v>44620</v>
      </c>
      <c r="E1400" t="s">
        <v>672</v>
      </c>
      <c r="F1400" t="s">
        <v>3</v>
      </c>
      <c r="G1400" t="s">
        <v>670</v>
      </c>
      <c r="H1400" t="s">
        <v>670</v>
      </c>
      <c r="I1400">
        <v>1.359</v>
      </c>
    </row>
    <row r="1401" spans="1:9" x14ac:dyDescent="0.25">
      <c r="A1401" t="s">
        <v>586</v>
      </c>
      <c r="B1401" t="s">
        <v>2</v>
      </c>
      <c r="C1401" t="s">
        <v>586</v>
      </c>
      <c r="D1401">
        <v>44620</v>
      </c>
      <c r="E1401" t="s">
        <v>672</v>
      </c>
      <c r="F1401" t="s">
        <v>113</v>
      </c>
      <c r="G1401" t="s">
        <v>670</v>
      </c>
      <c r="H1401" t="s">
        <v>670</v>
      </c>
      <c r="I1401">
        <v>1.3959999999999999</v>
      </c>
    </row>
    <row r="1402" spans="1:9" x14ac:dyDescent="0.25">
      <c r="A1402" t="s">
        <v>587</v>
      </c>
      <c r="B1402" t="s">
        <v>2</v>
      </c>
      <c r="C1402" t="s">
        <v>587</v>
      </c>
      <c r="D1402">
        <v>41100</v>
      </c>
      <c r="E1402" t="s">
        <v>669</v>
      </c>
      <c r="F1402" t="s">
        <v>118</v>
      </c>
      <c r="G1402" t="s">
        <v>670</v>
      </c>
      <c r="H1402" t="s">
        <v>670</v>
      </c>
      <c r="I1402">
        <v>1.4166186443177584</v>
      </c>
    </row>
    <row r="1403" spans="1:9" x14ac:dyDescent="0.25">
      <c r="A1403" t="s">
        <v>587</v>
      </c>
      <c r="B1403" t="s">
        <v>2</v>
      </c>
      <c r="C1403" t="s">
        <v>587</v>
      </c>
      <c r="D1403">
        <v>41100</v>
      </c>
      <c r="E1403" t="s">
        <v>672</v>
      </c>
      <c r="F1403" t="s">
        <v>3</v>
      </c>
      <c r="G1403" t="s">
        <v>670</v>
      </c>
      <c r="H1403" t="s">
        <v>670</v>
      </c>
      <c r="I1403">
        <v>1.6339999999999999</v>
      </c>
    </row>
    <row r="1404" spans="1:9" x14ac:dyDescent="0.25">
      <c r="A1404" t="s">
        <v>587</v>
      </c>
      <c r="B1404" t="s">
        <v>2</v>
      </c>
      <c r="C1404" t="s">
        <v>587</v>
      </c>
      <c r="D1404">
        <v>41100</v>
      </c>
      <c r="E1404" t="s">
        <v>672</v>
      </c>
      <c r="F1404" t="s">
        <v>113</v>
      </c>
      <c r="G1404" t="s">
        <v>670</v>
      </c>
      <c r="H1404" t="s">
        <v>670</v>
      </c>
      <c r="I1404">
        <v>1.6930000000000001</v>
      </c>
    </row>
    <row r="1405" spans="1:9" x14ac:dyDescent="0.25">
      <c r="A1405" t="s">
        <v>588</v>
      </c>
      <c r="B1405" t="s">
        <v>2</v>
      </c>
      <c r="C1405" t="s">
        <v>588</v>
      </c>
      <c r="D1405">
        <v>44660</v>
      </c>
      <c r="E1405" t="s">
        <v>669</v>
      </c>
      <c r="F1405" t="s">
        <v>118</v>
      </c>
      <c r="G1405" t="s">
        <v>670</v>
      </c>
      <c r="H1405" t="s">
        <v>670</v>
      </c>
      <c r="I1405">
        <v>1.0521598576421045</v>
      </c>
    </row>
    <row r="1406" spans="1:9" x14ac:dyDescent="0.25">
      <c r="A1406" t="s">
        <v>588</v>
      </c>
      <c r="B1406" t="s">
        <v>2</v>
      </c>
      <c r="C1406" t="s">
        <v>588</v>
      </c>
      <c r="D1406">
        <v>44660</v>
      </c>
      <c r="E1406" t="s">
        <v>672</v>
      </c>
      <c r="F1406" t="s">
        <v>3</v>
      </c>
      <c r="G1406" t="s">
        <v>670</v>
      </c>
      <c r="H1406" t="s">
        <v>670</v>
      </c>
      <c r="I1406">
        <v>1.167</v>
      </c>
    </row>
    <row r="1407" spans="1:9" x14ac:dyDescent="0.25">
      <c r="A1407" t="s">
        <v>588</v>
      </c>
      <c r="B1407" t="s">
        <v>2</v>
      </c>
      <c r="C1407" t="s">
        <v>588</v>
      </c>
      <c r="D1407">
        <v>44660</v>
      </c>
      <c r="E1407" t="s">
        <v>672</v>
      </c>
      <c r="F1407" t="s">
        <v>113</v>
      </c>
      <c r="G1407" t="s">
        <v>670</v>
      </c>
      <c r="H1407" t="s">
        <v>670</v>
      </c>
      <c r="I1407">
        <v>1.169</v>
      </c>
    </row>
    <row r="1408" spans="1:9" x14ac:dyDescent="0.25">
      <c r="A1408" t="s">
        <v>589</v>
      </c>
      <c r="B1408" t="s">
        <v>2</v>
      </c>
      <c r="C1408" t="s">
        <v>589</v>
      </c>
      <c r="D1408">
        <v>41140</v>
      </c>
      <c r="E1408" t="s">
        <v>672</v>
      </c>
      <c r="F1408" t="s">
        <v>3</v>
      </c>
      <c r="G1408" t="s">
        <v>670</v>
      </c>
      <c r="H1408" t="s">
        <v>670</v>
      </c>
      <c r="I1408">
        <v>1.0209999999999999</v>
      </c>
    </row>
    <row r="1409" spans="1:9" x14ac:dyDescent="0.25">
      <c r="A1409" t="s">
        <v>589</v>
      </c>
      <c r="B1409" t="s">
        <v>2</v>
      </c>
      <c r="C1409" t="s">
        <v>589</v>
      </c>
      <c r="D1409">
        <v>41140</v>
      </c>
      <c r="E1409" t="s">
        <v>672</v>
      </c>
      <c r="F1409" t="s">
        <v>113</v>
      </c>
      <c r="G1409" t="s">
        <v>670</v>
      </c>
      <c r="H1409" t="s">
        <v>670</v>
      </c>
      <c r="I1409">
        <v>1.0209999999999999</v>
      </c>
    </row>
    <row r="1410" spans="1:9" x14ac:dyDescent="0.25">
      <c r="A1410" t="s">
        <v>590</v>
      </c>
      <c r="B1410" t="s">
        <v>2</v>
      </c>
      <c r="C1410" t="s">
        <v>590</v>
      </c>
      <c r="D1410">
        <v>41180</v>
      </c>
      <c r="E1410" t="s">
        <v>669</v>
      </c>
      <c r="F1410" t="s">
        <v>118</v>
      </c>
      <c r="G1410" t="s">
        <v>670</v>
      </c>
      <c r="H1410" t="s">
        <v>670</v>
      </c>
      <c r="I1410">
        <v>1.5463112273498107</v>
      </c>
    </row>
    <row r="1411" spans="1:9" x14ac:dyDescent="0.25">
      <c r="A1411" t="s">
        <v>590</v>
      </c>
      <c r="B1411" t="s">
        <v>2</v>
      </c>
      <c r="C1411" t="s">
        <v>590</v>
      </c>
      <c r="D1411">
        <v>41180</v>
      </c>
      <c r="E1411" t="s">
        <v>671</v>
      </c>
      <c r="F1411" t="s">
        <v>116</v>
      </c>
      <c r="G1411" t="s">
        <v>670</v>
      </c>
      <c r="H1411" t="s">
        <v>670</v>
      </c>
      <c r="I1411">
        <v>0.55951004634753543</v>
      </c>
    </row>
    <row r="1412" spans="1:9" x14ac:dyDescent="0.25">
      <c r="A1412" t="s">
        <v>590</v>
      </c>
      <c r="B1412" t="s">
        <v>2</v>
      </c>
      <c r="C1412" t="s">
        <v>590</v>
      </c>
      <c r="D1412">
        <v>41180</v>
      </c>
      <c r="E1412" t="s">
        <v>672</v>
      </c>
      <c r="F1412" t="s">
        <v>3</v>
      </c>
      <c r="G1412" t="s">
        <v>670</v>
      </c>
      <c r="H1412" t="s">
        <v>670</v>
      </c>
      <c r="I1412">
        <v>1.532</v>
      </c>
    </row>
    <row r="1413" spans="1:9" x14ac:dyDescent="0.25">
      <c r="A1413" t="s">
        <v>590</v>
      </c>
      <c r="B1413" t="s">
        <v>2</v>
      </c>
      <c r="C1413" t="s">
        <v>590</v>
      </c>
      <c r="D1413">
        <v>41180</v>
      </c>
      <c r="E1413" t="s">
        <v>672</v>
      </c>
      <c r="F1413" t="s">
        <v>113</v>
      </c>
      <c r="G1413" t="s">
        <v>670</v>
      </c>
      <c r="H1413" t="s">
        <v>670</v>
      </c>
      <c r="I1413">
        <v>1.5449999999999999</v>
      </c>
    </row>
    <row r="1414" spans="1:9" x14ac:dyDescent="0.25">
      <c r="A1414" t="s">
        <v>591</v>
      </c>
      <c r="B1414" t="s">
        <v>2</v>
      </c>
      <c r="C1414" t="s">
        <v>591</v>
      </c>
      <c r="D1414">
        <v>44700</v>
      </c>
      <c r="E1414" t="s">
        <v>669</v>
      </c>
      <c r="F1414" t="s">
        <v>118</v>
      </c>
      <c r="G1414" t="s">
        <v>670</v>
      </c>
      <c r="H1414" t="s">
        <v>670</v>
      </c>
      <c r="I1414">
        <v>2.1103471342580278</v>
      </c>
    </row>
    <row r="1415" spans="1:9" x14ac:dyDescent="0.25">
      <c r="A1415" t="s">
        <v>591</v>
      </c>
      <c r="B1415" t="s">
        <v>2</v>
      </c>
      <c r="C1415" t="s">
        <v>591</v>
      </c>
      <c r="D1415">
        <v>44700</v>
      </c>
      <c r="E1415" t="s">
        <v>672</v>
      </c>
      <c r="F1415" t="s">
        <v>3</v>
      </c>
      <c r="G1415" t="s">
        <v>670</v>
      </c>
      <c r="H1415" t="s">
        <v>670</v>
      </c>
      <c r="I1415">
        <v>2.323</v>
      </c>
    </row>
    <row r="1416" spans="1:9" x14ac:dyDescent="0.25">
      <c r="A1416" t="s">
        <v>591</v>
      </c>
      <c r="B1416" t="s">
        <v>2</v>
      </c>
      <c r="C1416" t="s">
        <v>591</v>
      </c>
      <c r="D1416">
        <v>44700</v>
      </c>
      <c r="E1416" t="s">
        <v>672</v>
      </c>
      <c r="F1416" t="s">
        <v>113</v>
      </c>
      <c r="G1416" t="s">
        <v>670</v>
      </c>
      <c r="H1416" t="s">
        <v>670</v>
      </c>
      <c r="I1416">
        <v>2.3319999999999999</v>
      </c>
    </row>
    <row r="1417" spans="1:9" x14ac:dyDescent="0.25">
      <c r="A1417" t="s">
        <v>592</v>
      </c>
      <c r="B1417" t="s">
        <v>2</v>
      </c>
      <c r="C1417" t="s">
        <v>592</v>
      </c>
      <c r="D1417">
        <v>44740</v>
      </c>
      <c r="E1417" t="s">
        <v>672</v>
      </c>
      <c r="F1417" t="s">
        <v>3</v>
      </c>
      <c r="G1417" t="s">
        <v>670</v>
      </c>
      <c r="H1417" t="s">
        <v>670</v>
      </c>
      <c r="I1417" t="s">
        <v>673</v>
      </c>
    </row>
    <row r="1418" spans="1:9" x14ac:dyDescent="0.25">
      <c r="A1418" t="s">
        <v>592</v>
      </c>
      <c r="B1418" t="s">
        <v>2</v>
      </c>
      <c r="C1418" t="s">
        <v>592</v>
      </c>
      <c r="D1418">
        <v>44740</v>
      </c>
      <c r="E1418" t="s">
        <v>672</v>
      </c>
      <c r="F1418" t="s">
        <v>113</v>
      </c>
      <c r="G1418" t="s">
        <v>670</v>
      </c>
      <c r="H1418" t="s">
        <v>670</v>
      </c>
      <c r="I1418" t="s">
        <v>673</v>
      </c>
    </row>
    <row r="1419" spans="1:9" x14ac:dyDescent="0.25">
      <c r="A1419" t="s">
        <v>593</v>
      </c>
      <c r="B1419" t="s">
        <v>2</v>
      </c>
      <c r="C1419" t="s">
        <v>593</v>
      </c>
      <c r="D1419">
        <v>44940</v>
      </c>
      <c r="E1419" t="s">
        <v>669</v>
      </c>
      <c r="F1419" t="s">
        <v>118</v>
      </c>
      <c r="G1419" t="s">
        <v>670</v>
      </c>
      <c r="H1419" t="s">
        <v>670</v>
      </c>
      <c r="I1419">
        <v>1.1387826988827807</v>
      </c>
    </row>
    <row r="1420" spans="1:9" x14ac:dyDescent="0.25">
      <c r="A1420" t="s">
        <v>593</v>
      </c>
      <c r="B1420" t="s">
        <v>2</v>
      </c>
      <c r="C1420" t="s">
        <v>593</v>
      </c>
      <c r="D1420">
        <v>44940</v>
      </c>
      <c r="E1420" t="s">
        <v>672</v>
      </c>
      <c r="F1420" t="s">
        <v>3</v>
      </c>
      <c r="G1420" t="s">
        <v>670</v>
      </c>
      <c r="H1420" t="s">
        <v>670</v>
      </c>
      <c r="I1420">
        <v>1.115</v>
      </c>
    </row>
    <row r="1421" spans="1:9" x14ac:dyDescent="0.25">
      <c r="A1421" t="s">
        <v>593</v>
      </c>
      <c r="B1421" t="s">
        <v>2</v>
      </c>
      <c r="C1421" t="s">
        <v>593</v>
      </c>
      <c r="D1421">
        <v>44940</v>
      </c>
      <c r="E1421" t="s">
        <v>672</v>
      </c>
      <c r="F1421" t="s">
        <v>113</v>
      </c>
      <c r="G1421" t="s">
        <v>670</v>
      </c>
      <c r="H1421" t="s">
        <v>670</v>
      </c>
      <c r="I1421">
        <v>1.115</v>
      </c>
    </row>
    <row r="1422" spans="1:9" x14ac:dyDescent="0.25">
      <c r="A1422" t="s">
        <v>594</v>
      </c>
      <c r="B1422" t="s">
        <v>2</v>
      </c>
      <c r="C1422" t="s">
        <v>594</v>
      </c>
      <c r="D1422">
        <v>44980</v>
      </c>
      <c r="E1422" t="s">
        <v>672</v>
      </c>
      <c r="F1422" t="s">
        <v>3</v>
      </c>
      <c r="G1422" t="s">
        <v>670</v>
      </c>
      <c r="H1422" t="s">
        <v>670</v>
      </c>
      <c r="I1422" t="s">
        <v>673</v>
      </c>
    </row>
    <row r="1423" spans="1:9" x14ac:dyDescent="0.25">
      <c r="A1423" t="s">
        <v>594</v>
      </c>
      <c r="B1423" t="s">
        <v>2</v>
      </c>
      <c r="C1423" t="s">
        <v>594</v>
      </c>
      <c r="D1423">
        <v>44980</v>
      </c>
      <c r="E1423" t="s">
        <v>672</v>
      </c>
      <c r="F1423" t="s">
        <v>113</v>
      </c>
      <c r="G1423" t="s">
        <v>670</v>
      </c>
      <c r="H1423" t="s">
        <v>670</v>
      </c>
      <c r="I1423" t="s">
        <v>673</v>
      </c>
    </row>
    <row r="1424" spans="1:9" x14ac:dyDescent="0.25">
      <c r="A1424" t="s">
        <v>595</v>
      </c>
      <c r="B1424" t="s">
        <v>2</v>
      </c>
      <c r="C1424" t="s">
        <v>595</v>
      </c>
      <c r="D1424">
        <v>45060</v>
      </c>
      <c r="E1424" t="s">
        <v>669</v>
      </c>
      <c r="F1424" t="s">
        <v>118</v>
      </c>
      <c r="G1424" t="s">
        <v>670</v>
      </c>
      <c r="H1424" t="s">
        <v>670</v>
      </c>
      <c r="I1424">
        <v>1.3454548852367922</v>
      </c>
    </row>
    <row r="1425" spans="1:9" x14ac:dyDescent="0.25">
      <c r="A1425" t="s">
        <v>595</v>
      </c>
      <c r="B1425" t="s">
        <v>2</v>
      </c>
      <c r="C1425" t="s">
        <v>595</v>
      </c>
      <c r="D1425">
        <v>45060</v>
      </c>
      <c r="E1425" t="s">
        <v>672</v>
      </c>
      <c r="F1425" t="s">
        <v>3</v>
      </c>
      <c r="G1425" t="s">
        <v>670</v>
      </c>
      <c r="H1425" t="s">
        <v>670</v>
      </c>
      <c r="I1425">
        <v>1.5940000000000001</v>
      </c>
    </row>
    <row r="1426" spans="1:9" x14ac:dyDescent="0.25">
      <c r="A1426" t="s">
        <v>595</v>
      </c>
      <c r="B1426" t="s">
        <v>2</v>
      </c>
      <c r="C1426" t="s">
        <v>595</v>
      </c>
      <c r="D1426">
        <v>45060</v>
      </c>
      <c r="E1426" t="s">
        <v>672</v>
      </c>
      <c r="F1426" t="s">
        <v>113</v>
      </c>
      <c r="G1426" t="s">
        <v>670</v>
      </c>
      <c r="H1426" t="s">
        <v>670</v>
      </c>
      <c r="I1426">
        <v>1.6</v>
      </c>
    </row>
    <row r="1427" spans="1:9" x14ac:dyDescent="0.25">
      <c r="A1427" t="s">
        <v>596</v>
      </c>
      <c r="B1427" t="s">
        <v>2</v>
      </c>
      <c r="C1427" t="s">
        <v>596</v>
      </c>
      <c r="D1427">
        <v>45104</v>
      </c>
      <c r="E1427" t="s">
        <v>669</v>
      </c>
      <c r="F1427" t="s">
        <v>118</v>
      </c>
      <c r="G1427" t="s">
        <v>670</v>
      </c>
      <c r="H1427" t="s">
        <v>670</v>
      </c>
      <c r="I1427">
        <v>2.0300134081545376</v>
      </c>
    </row>
    <row r="1428" spans="1:9" x14ac:dyDescent="0.25">
      <c r="A1428" t="s">
        <v>596</v>
      </c>
      <c r="B1428" t="s">
        <v>2</v>
      </c>
      <c r="C1428" t="s">
        <v>596</v>
      </c>
      <c r="D1428">
        <v>45104</v>
      </c>
      <c r="E1428" t="s">
        <v>671</v>
      </c>
      <c r="F1428" t="s">
        <v>116</v>
      </c>
      <c r="G1428" t="s">
        <v>670</v>
      </c>
      <c r="H1428" t="s">
        <v>670</v>
      </c>
      <c r="I1428">
        <v>0.60674574439567286</v>
      </c>
    </row>
    <row r="1429" spans="1:9" x14ac:dyDescent="0.25">
      <c r="A1429" t="s">
        <v>596</v>
      </c>
      <c r="B1429" t="s">
        <v>2</v>
      </c>
      <c r="C1429" t="s">
        <v>596</v>
      </c>
      <c r="D1429">
        <v>45104</v>
      </c>
      <c r="E1429" t="s">
        <v>672</v>
      </c>
      <c r="F1429" t="s">
        <v>3</v>
      </c>
      <c r="G1429" t="s">
        <v>670</v>
      </c>
      <c r="H1429" t="s">
        <v>670</v>
      </c>
      <c r="I1429">
        <v>2.1120000000000001</v>
      </c>
    </row>
    <row r="1430" spans="1:9" x14ac:dyDescent="0.25">
      <c r="A1430" t="s">
        <v>596</v>
      </c>
      <c r="B1430" t="s">
        <v>2</v>
      </c>
      <c r="C1430" t="s">
        <v>596</v>
      </c>
      <c r="D1430">
        <v>45104</v>
      </c>
      <c r="E1430" t="s">
        <v>672</v>
      </c>
      <c r="F1430" t="s">
        <v>113</v>
      </c>
      <c r="G1430" t="s">
        <v>670</v>
      </c>
      <c r="H1430" t="s">
        <v>670</v>
      </c>
      <c r="I1430">
        <v>2.1469999999999998</v>
      </c>
    </row>
    <row r="1431" spans="1:9" x14ac:dyDescent="0.25">
      <c r="A1431" t="s">
        <v>597</v>
      </c>
      <c r="B1431" t="s">
        <v>2</v>
      </c>
      <c r="C1431" t="s">
        <v>597</v>
      </c>
      <c r="D1431">
        <v>45140</v>
      </c>
      <c r="E1431" t="s">
        <v>672</v>
      </c>
      <c r="F1431" t="s">
        <v>3</v>
      </c>
      <c r="G1431" t="s">
        <v>670</v>
      </c>
      <c r="H1431" t="s">
        <v>670</v>
      </c>
      <c r="I1431" t="s">
        <v>673</v>
      </c>
    </row>
    <row r="1432" spans="1:9" x14ac:dyDescent="0.25">
      <c r="A1432" t="s">
        <v>597</v>
      </c>
      <c r="B1432" t="s">
        <v>2</v>
      </c>
      <c r="C1432" t="s">
        <v>597</v>
      </c>
      <c r="D1432">
        <v>45140</v>
      </c>
      <c r="E1432" t="s">
        <v>672</v>
      </c>
      <c r="F1432" t="s">
        <v>113</v>
      </c>
      <c r="G1432" t="s">
        <v>670</v>
      </c>
      <c r="H1432" t="s">
        <v>670</v>
      </c>
      <c r="I1432" t="s">
        <v>673</v>
      </c>
    </row>
    <row r="1433" spans="1:9" x14ac:dyDescent="0.25">
      <c r="A1433" t="s">
        <v>598</v>
      </c>
      <c r="B1433" t="s">
        <v>2</v>
      </c>
      <c r="C1433" t="s">
        <v>598</v>
      </c>
      <c r="D1433">
        <v>45180</v>
      </c>
      <c r="E1433" t="s">
        <v>672</v>
      </c>
      <c r="F1433" t="s">
        <v>3</v>
      </c>
      <c r="G1433" t="s">
        <v>670</v>
      </c>
      <c r="H1433" t="s">
        <v>670</v>
      </c>
      <c r="I1433" t="s">
        <v>673</v>
      </c>
    </row>
    <row r="1434" spans="1:9" x14ac:dyDescent="0.25">
      <c r="A1434" t="s">
        <v>598</v>
      </c>
      <c r="B1434" t="s">
        <v>2</v>
      </c>
      <c r="C1434" t="s">
        <v>598</v>
      </c>
      <c r="D1434">
        <v>45180</v>
      </c>
      <c r="E1434" t="s">
        <v>672</v>
      </c>
      <c r="F1434" t="s">
        <v>113</v>
      </c>
      <c r="G1434" t="s">
        <v>670</v>
      </c>
      <c r="H1434" t="s">
        <v>670</v>
      </c>
      <c r="I1434" t="s">
        <v>673</v>
      </c>
    </row>
    <row r="1435" spans="1:9" x14ac:dyDescent="0.25">
      <c r="A1435" t="s">
        <v>599</v>
      </c>
      <c r="B1435" t="s">
        <v>2</v>
      </c>
      <c r="C1435" t="s">
        <v>599</v>
      </c>
      <c r="D1435">
        <v>45220</v>
      </c>
      <c r="E1435" t="s">
        <v>669</v>
      </c>
      <c r="F1435" t="s">
        <v>118</v>
      </c>
      <c r="G1435" t="s">
        <v>670</v>
      </c>
      <c r="H1435" t="s">
        <v>670</v>
      </c>
      <c r="I1435">
        <v>1.4245486034086403</v>
      </c>
    </row>
    <row r="1436" spans="1:9" x14ac:dyDescent="0.25">
      <c r="A1436" t="s">
        <v>599</v>
      </c>
      <c r="B1436" t="s">
        <v>2</v>
      </c>
      <c r="C1436" t="s">
        <v>599</v>
      </c>
      <c r="D1436">
        <v>45220</v>
      </c>
      <c r="E1436" t="s">
        <v>671</v>
      </c>
      <c r="F1436" t="s">
        <v>116</v>
      </c>
      <c r="G1436" t="s">
        <v>670</v>
      </c>
      <c r="H1436" t="s">
        <v>670</v>
      </c>
      <c r="I1436">
        <v>0.50571203511490426</v>
      </c>
    </row>
    <row r="1437" spans="1:9" x14ac:dyDescent="0.25">
      <c r="A1437" t="s">
        <v>599</v>
      </c>
      <c r="B1437" t="s">
        <v>2</v>
      </c>
      <c r="C1437" t="s">
        <v>599</v>
      </c>
      <c r="D1437">
        <v>45220</v>
      </c>
      <c r="E1437" t="s">
        <v>672</v>
      </c>
      <c r="F1437" t="s">
        <v>3</v>
      </c>
      <c r="G1437" t="s">
        <v>670</v>
      </c>
      <c r="H1437" t="s">
        <v>670</v>
      </c>
      <c r="I1437">
        <v>1.3640000000000001</v>
      </c>
    </row>
    <row r="1438" spans="1:9" x14ac:dyDescent="0.25">
      <c r="A1438" t="s">
        <v>599</v>
      </c>
      <c r="B1438" t="s">
        <v>2</v>
      </c>
      <c r="C1438" t="s">
        <v>599</v>
      </c>
      <c r="D1438">
        <v>45220</v>
      </c>
      <c r="E1438" t="s">
        <v>672</v>
      </c>
      <c r="F1438" t="s">
        <v>113</v>
      </c>
      <c r="G1438" t="s">
        <v>670</v>
      </c>
      <c r="H1438" t="s">
        <v>670</v>
      </c>
      <c r="I1438">
        <v>1.3839999999999999</v>
      </c>
    </row>
    <row r="1439" spans="1:9" x14ac:dyDescent="0.25">
      <c r="A1439" t="s">
        <v>34</v>
      </c>
      <c r="B1439" t="s">
        <v>2</v>
      </c>
      <c r="C1439" t="s">
        <v>34</v>
      </c>
      <c r="D1439">
        <v>45300</v>
      </c>
      <c r="E1439" t="s">
        <v>669</v>
      </c>
      <c r="F1439" t="s">
        <v>118</v>
      </c>
      <c r="G1439" t="s">
        <v>670</v>
      </c>
      <c r="H1439" t="s">
        <v>670</v>
      </c>
      <c r="I1439">
        <v>1.9980104461434138</v>
      </c>
    </row>
    <row r="1440" spans="1:9" x14ac:dyDescent="0.25">
      <c r="A1440" t="s">
        <v>34</v>
      </c>
      <c r="B1440" t="s">
        <v>2</v>
      </c>
      <c r="C1440" t="s">
        <v>34</v>
      </c>
      <c r="D1440">
        <v>45300</v>
      </c>
      <c r="E1440" t="s">
        <v>671</v>
      </c>
      <c r="F1440" t="s">
        <v>116</v>
      </c>
      <c r="G1440" t="s">
        <v>670</v>
      </c>
      <c r="H1440" t="s">
        <v>670</v>
      </c>
      <c r="I1440">
        <v>0.54399359456184548</v>
      </c>
    </row>
    <row r="1441" spans="1:9" x14ac:dyDescent="0.25">
      <c r="A1441" t="s">
        <v>34</v>
      </c>
      <c r="B1441" t="s">
        <v>2</v>
      </c>
      <c r="C1441" t="s">
        <v>34</v>
      </c>
      <c r="D1441">
        <v>45300</v>
      </c>
      <c r="E1441" t="s">
        <v>672</v>
      </c>
      <c r="F1441" t="s">
        <v>3</v>
      </c>
      <c r="G1441" t="s">
        <v>670</v>
      </c>
      <c r="H1441" t="s">
        <v>670</v>
      </c>
      <c r="I1441">
        <v>1.8759999999999999</v>
      </c>
    </row>
    <row r="1442" spans="1:9" x14ac:dyDescent="0.25">
      <c r="A1442" t="s">
        <v>34</v>
      </c>
      <c r="B1442" t="s">
        <v>2</v>
      </c>
      <c r="C1442" t="s">
        <v>34</v>
      </c>
      <c r="D1442">
        <v>45300</v>
      </c>
      <c r="E1442" t="s">
        <v>672</v>
      </c>
      <c r="F1442" t="s">
        <v>113</v>
      </c>
      <c r="G1442" t="s">
        <v>670</v>
      </c>
      <c r="H1442" t="s">
        <v>670</v>
      </c>
      <c r="I1442">
        <v>1.9259999999999999</v>
      </c>
    </row>
    <row r="1443" spans="1:9" x14ac:dyDescent="0.25">
      <c r="A1443" t="s">
        <v>600</v>
      </c>
      <c r="B1443" t="s">
        <v>2</v>
      </c>
      <c r="C1443" t="s">
        <v>600</v>
      </c>
      <c r="D1443">
        <v>45460</v>
      </c>
      <c r="E1443" t="s">
        <v>669</v>
      </c>
      <c r="F1443" t="s">
        <v>118</v>
      </c>
      <c r="G1443" t="s">
        <v>670</v>
      </c>
      <c r="H1443" t="s">
        <v>670</v>
      </c>
      <c r="I1443">
        <v>1.0564573570532321</v>
      </c>
    </row>
    <row r="1444" spans="1:9" x14ac:dyDescent="0.25">
      <c r="A1444" t="s">
        <v>600</v>
      </c>
      <c r="B1444" t="s">
        <v>2</v>
      </c>
      <c r="C1444" t="s">
        <v>600</v>
      </c>
      <c r="D1444">
        <v>45460</v>
      </c>
      <c r="E1444" t="s">
        <v>672</v>
      </c>
      <c r="F1444" t="s">
        <v>3</v>
      </c>
      <c r="G1444" t="s">
        <v>670</v>
      </c>
      <c r="H1444" t="s">
        <v>670</v>
      </c>
      <c r="I1444">
        <v>1.2150000000000001</v>
      </c>
    </row>
    <row r="1445" spans="1:9" x14ac:dyDescent="0.25">
      <c r="A1445" t="s">
        <v>600</v>
      </c>
      <c r="B1445" t="s">
        <v>2</v>
      </c>
      <c r="C1445" t="s">
        <v>600</v>
      </c>
      <c r="D1445">
        <v>45460</v>
      </c>
      <c r="E1445" t="s">
        <v>672</v>
      </c>
      <c r="F1445" t="s">
        <v>113</v>
      </c>
      <c r="G1445" t="s">
        <v>670</v>
      </c>
      <c r="H1445" t="s">
        <v>670</v>
      </c>
      <c r="I1445">
        <v>1.218</v>
      </c>
    </row>
    <row r="1446" spans="1:9" x14ac:dyDescent="0.25">
      <c r="A1446" t="s">
        <v>601</v>
      </c>
      <c r="B1446" t="s">
        <v>2</v>
      </c>
      <c r="C1446" t="s">
        <v>601</v>
      </c>
      <c r="D1446">
        <v>45500</v>
      </c>
      <c r="E1446" t="s">
        <v>669</v>
      </c>
      <c r="F1446" t="s">
        <v>118</v>
      </c>
      <c r="G1446" t="s">
        <v>670</v>
      </c>
      <c r="H1446" t="s">
        <v>670</v>
      </c>
      <c r="I1446">
        <v>0.96821740501169662</v>
      </c>
    </row>
    <row r="1447" spans="1:9" x14ac:dyDescent="0.25">
      <c r="A1447" t="s">
        <v>601</v>
      </c>
      <c r="B1447" t="s">
        <v>2</v>
      </c>
      <c r="C1447" t="s">
        <v>601</v>
      </c>
      <c r="D1447">
        <v>45500</v>
      </c>
      <c r="E1447" t="s">
        <v>672</v>
      </c>
      <c r="F1447" t="s">
        <v>3</v>
      </c>
      <c r="G1447" t="s">
        <v>670</v>
      </c>
      <c r="H1447" t="s">
        <v>670</v>
      </c>
      <c r="I1447">
        <v>1.1499999999999999</v>
      </c>
    </row>
    <row r="1448" spans="1:9" x14ac:dyDescent="0.25">
      <c r="A1448" t="s">
        <v>601</v>
      </c>
      <c r="B1448" t="s">
        <v>2</v>
      </c>
      <c r="C1448" t="s">
        <v>601</v>
      </c>
      <c r="D1448">
        <v>45500</v>
      </c>
      <c r="E1448" t="s">
        <v>672</v>
      </c>
      <c r="F1448" t="s">
        <v>113</v>
      </c>
      <c r="G1448" t="s">
        <v>670</v>
      </c>
      <c r="H1448" t="s">
        <v>670</v>
      </c>
      <c r="I1448">
        <v>1.1679999999999999</v>
      </c>
    </row>
    <row r="1449" spans="1:9" x14ac:dyDescent="0.25">
      <c r="A1449" t="s">
        <v>602</v>
      </c>
      <c r="B1449" t="s">
        <v>2</v>
      </c>
      <c r="C1449" t="s">
        <v>602</v>
      </c>
      <c r="D1449">
        <v>45620</v>
      </c>
      <c r="E1449" t="s">
        <v>672</v>
      </c>
      <c r="F1449" t="s">
        <v>3</v>
      </c>
      <c r="G1449" t="s">
        <v>670</v>
      </c>
      <c r="H1449" t="s">
        <v>670</v>
      </c>
      <c r="I1449">
        <v>1.2769999999999999</v>
      </c>
    </row>
    <row r="1450" spans="1:9" x14ac:dyDescent="0.25">
      <c r="A1450" t="s">
        <v>602</v>
      </c>
      <c r="B1450" t="s">
        <v>2</v>
      </c>
      <c r="C1450" t="s">
        <v>602</v>
      </c>
      <c r="D1450">
        <v>45620</v>
      </c>
      <c r="E1450" t="s">
        <v>672</v>
      </c>
      <c r="F1450" t="s">
        <v>113</v>
      </c>
      <c r="G1450" t="s">
        <v>670</v>
      </c>
      <c r="H1450" t="s">
        <v>670</v>
      </c>
      <c r="I1450">
        <v>1.2829999999999999</v>
      </c>
    </row>
    <row r="1451" spans="1:9" x14ac:dyDescent="0.25">
      <c r="A1451" t="s">
        <v>603</v>
      </c>
      <c r="B1451" t="s">
        <v>2</v>
      </c>
      <c r="C1451" t="s">
        <v>603</v>
      </c>
      <c r="D1451">
        <v>45700</v>
      </c>
      <c r="E1451" t="s">
        <v>672</v>
      </c>
      <c r="F1451" t="s">
        <v>3</v>
      </c>
      <c r="G1451" t="s">
        <v>670</v>
      </c>
      <c r="H1451" t="s">
        <v>670</v>
      </c>
      <c r="I1451" t="s">
        <v>673</v>
      </c>
    </row>
    <row r="1452" spans="1:9" x14ac:dyDescent="0.25">
      <c r="A1452" t="s">
        <v>603</v>
      </c>
      <c r="B1452" t="s">
        <v>2</v>
      </c>
      <c r="C1452" t="s">
        <v>603</v>
      </c>
      <c r="D1452">
        <v>45700</v>
      </c>
      <c r="E1452" t="s">
        <v>672</v>
      </c>
      <c r="F1452" t="s">
        <v>113</v>
      </c>
      <c r="G1452" t="s">
        <v>670</v>
      </c>
      <c r="H1452" t="s">
        <v>670</v>
      </c>
      <c r="I1452" t="s">
        <v>673</v>
      </c>
    </row>
    <row r="1453" spans="1:9" x14ac:dyDescent="0.25">
      <c r="A1453" t="s">
        <v>604</v>
      </c>
      <c r="B1453" t="s">
        <v>2</v>
      </c>
      <c r="C1453" t="s">
        <v>604</v>
      </c>
      <c r="D1453">
        <v>45780</v>
      </c>
      <c r="E1453" t="s">
        <v>669</v>
      </c>
      <c r="F1453" t="s">
        <v>118</v>
      </c>
      <c r="G1453" t="s">
        <v>670</v>
      </c>
      <c r="H1453" t="s">
        <v>670</v>
      </c>
      <c r="I1453">
        <v>1.2276499164581263</v>
      </c>
    </row>
    <row r="1454" spans="1:9" x14ac:dyDescent="0.25">
      <c r="A1454" t="s">
        <v>604</v>
      </c>
      <c r="B1454" t="s">
        <v>2</v>
      </c>
      <c r="C1454" t="s">
        <v>604</v>
      </c>
      <c r="D1454">
        <v>45780</v>
      </c>
      <c r="E1454" t="s">
        <v>671</v>
      </c>
      <c r="F1454" t="s">
        <v>116</v>
      </c>
      <c r="G1454" t="s">
        <v>670</v>
      </c>
      <c r="H1454" t="s">
        <v>670</v>
      </c>
      <c r="I1454">
        <v>0.5458278551657616</v>
      </c>
    </row>
    <row r="1455" spans="1:9" x14ac:dyDescent="0.25">
      <c r="A1455" t="s">
        <v>604</v>
      </c>
      <c r="B1455" t="s">
        <v>2</v>
      </c>
      <c r="C1455" t="s">
        <v>604</v>
      </c>
      <c r="D1455">
        <v>45780</v>
      </c>
      <c r="E1455" t="s">
        <v>672</v>
      </c>
      <c r="F1455" t="s">
        <v>3</v>
      </c>
      <c r="G1455" t="s">
        <v>670</v>
      </c>
      <c r="H1455" t="s">
        <v>670</v>
      </c>
      <c r="I1455">
        <v>1.2529999999999999</v>
      </c>
    </row>
    <row r="1456" spans="1:9" x14ac:dyDescent="0.25">
      <c r="A1456" t="s">
        <v>604</v>
      </c>
      <c r="B1456" t="s">
        <v>2</v>
      </c>
      <c r="C1456" t="s">
        <v>604</v>
      </c>
      <c r="D1456">
        <v>45780</v>
      </c>
      <c r="E1456" t="s">
        <v>672</v>
      </c>
      <c r="F1456" t="s">
        <v>113</v>
      </c>
      <c r="G1456" t="s">
        <v>670</v>
      </c>
      <c r="H1456" t="s">
        <v>670</v>
      </c>
      <c r="I1456">
        <v>1.2609999999999999</v>
      </c>
    </row>
    <row r="1457" spans="1:9" x14ac:dyDescent="0.25">
      <c r="A1457" t="s">
        <v>605</v>
      </c>
      <c r="B1457" t="s">
        <v>2</v>
      </c>
      <c r="C1457" t="s">
        <v>605</v>
      </c>
      <c r="D1457">
        <v>45820</v>
      </c>
      <c r="E1457" t="s">
        <v>669</v>
      </c>
      <c r="F1457" t="s">
        <v>118</v>
      </c>
      <c r="G1457" t="s">
        <v>670</v>
      </c>
      <c r="H1457" t="s">
        <v>670</v>
      </c>
      <c r="I1457">
        <v>1.1166344785859366</v>
      </c>
    </row>
    <row r="1458" spans="1:9" x14ac:dyDescent="0.25">
      <c r="A1458" t="s">
        <v>605</v>
      </c>
      <c r="B1458" t="s">
        <v>2</v>
      </c>
      <c r="C1458" t="s">
        <v>605</v>
      </c>
      <c r="D1458">
        <v>45820</v>
      </c>
      <c r="E1458" t="s">
        <v>672</v>
      </c>
      <c r="F1458" t="s">
        <v>3</v>
      </c>
      <c r="G1458" t="s">
        <v>670</v>
      </c>
      <c r="H1458" t="s">
        <v>670</v>
      </c>
      <c r="I1458">
        <v>1.171</v>
      </c>
    </row>
    <row r="1459" spans="1:9" x14ac:dyDescent="0.25">
      <c r="A1459" t="s">
        <v>605</v>
      </c>
      <c r="B1459" t="s">
        <v>2</v>
      </c>
      <c r="C1459" t="s">
        <v>605</v>
      </c>
      <c r="D1459">
        <v>45820</v>
      </c>
      <c r="E1459" t="s">
        <v>672</v>
      </c>
      <c r="F1459" t="s">
        <v>113</v>
      </c>
      <c r="G1459" t="s">
        <v>670</v>
      </c>
      <c r="H1459" t="s">
        <v>670</v>
      </c>
      <c r="I1459">
        <v>1.1759999999999999</v>
      </c>
    </row>
    <row r="1460" spans="1:9" x14ac:dyDescent="0.25">
      <c r="A1460" t="s">
        <v>606</v>
      </c>
      <c r="B1460" t="s">
        <v>2</v>
      </c>
      <c r="C1460" t="s">
        <v>606</v>
      </c>
      <c r="D1460">
        <v>45880</v>
      </c>
      <c r="E1460" t="s">
        <v>672</v>
      </c>
      <c r="F1460" t="s">
        <v>3</v>
      </c>
      <c r="G1460" t="s">
        <v>670</v>
      </c>
      <c r="H1460" t="s">
        <v>670</v>
      </c>
      <c r="I1460" t="s">
        <v>673</v>
      </c>
    </row>
    <row r="1461" spans="1:9" x14ac:dyDescent="0.25">
      <c r="A1461" t="s">
        <v>606</v>
      </c>
      <c r="B1461" t="s">
        <v>2</v>
      </c>
      <c r="C1461" t="s">
        <v>606</v>
      </c>
      <c r="D1461">
        <v>45880</v>
      </c>
      <c r="E1461" t="s">
        <v>672</v>
      </c>
      <c r="F1461" t="s">
        <v>113</v>
      </c>
      <c r="G1461" t="s">
        <v>670</v>
      </c>
      <c r="H1461" t="s">
        <v>670</v>
      </c>
      <c r="I1461" t="s">
        <v>673</v>
      </c>
    </row>
    <row r="1462" spans="1:9" x14ac:dyDescent="0.25">
      <c r="A1462" t="s">
        <v>607</v>
      </c>
      <c r="B1462" t="s">
        <v>2</v>
      </c>
      <c r="C1462" t="s">
        <v>607</v>
      </c>
      <c r="D1462">
        <v>45900</v>
      </c>
      <c r="E1462" t="s">
        <v>669</v>
      </c>
      <c r="F1462" t="s">
        <v>118</v>
      </c>
      <c r="G1462" t="s">
        <v>670</v>
      </c>
      <c r="H1462" t="s">
        <v>670</v>
      </c>
      <c r="I1462">
        <v>1.6168937963140686</v>
      </c>
    </row>
    <row r="1463" spans="1:9" x14ac:dyDescent="0.25">
      <c r="A1463" t="s">
        <v>607</v>
      </c>
      <c r="B1463" t="s">
        <v>2</v>
      </c>
      <c r="C1463" t="s">
        <v>607</v>
      </c>
      <c r="D1463">
        <v>45900</v>
      </c>
      <c r="E1463" t="s">
        <v>672</v>
      </c>
      <c r="F1463" t="s">
        <v>3</v>
      </c>
      <c r="G1463" t="s">
        <v>670</v>
      </c>
      <c r="H1463" t="s">
        <v>670</v>
      </c>
      <c r="I1463">
        <v>1.91</v>
      </c>
    </row>
    <row r="1464" spans="1:9" x14ac:dyDescent="0.25">
      <c r="A1464" t="s">
        <v>607</v>
      </c>
      <c r="B1464" t="s">
        <v>2</v>
      </c>
      <c r="C1464" t="s">
        <v>607</v>
      </c>
      <c r="D1464">
        <v>45900</v>
      </c>
      <c r="E1464" t="s">
        <v>672</v>
      </c>
      <c r="F1464" t="s">
        <v>113</v>
      </c>
      <c r="G1464" t="s">
        <v>670</v>
      </c>
      <c r="H1464" t="s">
        <v>670</v>
      </c>
      <c r="I1464">
        <v>1.91</v>
      </c>
    </row>
    <row r="1465" spans="1:9" x14ac:dyDescent="0.25">
      <c r="A1465" t="s">
        <v>608</v>
      </c>
      <c r="B1465" t="s">
        <v>2</v>
      </c>
      <c r="C1465" t="s">
        <v>608</v>
      </c>
      <c r="D1465">
        <v>45940</v>
      </c>
      <c r="E1465" t="s">
        <v>669</v>
      </c>
      <c r="F1465" t="s">
        <v>118</v>
      </c>
      <c r="G1465" t="s">
        <v>670</v>
      </c>
      <c r="H1465" t="s">
        <v>670</v>
      </c>
      <c r="I1465">
        <v>2.0158418213889764</v>
      </c>
    </row>
    <row r="1466" spans="1:9" x14ac:dyDescent="0.25">
      <c r="A1466" t="s">
        <v>608</v>
      </c>
      <c r="B1466" t="s">
        <v>2</v>
      </c>
      <c r="C1466" t="s">
        <v>608</v>
      </c>
      <c r="D1466">
        <v>45940</v>
      </c>
      <c r="E1466" t="s">
        <v>672</v>
      </c>
      <c r="F1466" t="s">
        <v>3</v>
      </c>
      <c r="G1466" t="s">
        <v>670</v>
      </c>
      <c r="H1466" t="s">
        <v>670</v>
      </c>
      <c r="I1466">
        <v>2.4249999999999998</v>
      </c>
    </row>
    <row r="1467" spans="1:9" x14ac:dyDescent="0.25">
      <c r="A1467" t="s">
        <v>608</v>
      </c>
      <c r="B1467" t="s">
        <v>2</v>
      </c>
      <c r="C1467" t="s">
        <v>608</v>
      </c>
      <c r="D1467">
        <v>45940</v>
      </c>
      <c r="E1467" t="s">
        <v>672</v>
      </c>
      <c r="F1467" t="s">
        <v>113</v>
      </c>
      <c r="G1467" t="s">
        <v>670</v>
      </c>
      <c r="H1467" t="s">
        <v>670</v>
      </c>
      <c r="I1467">
        <v>2.4670000000000001</v>
      </c>
    </row>
    <row r="1468" spans="1:9" x14ac:dyDescent="0.25">
      <c r="A1468" t="s">
        <v>609</v>
      </c>
      <c r="B1468" t="s">
        <v>2</v>
      </c>
      <c r="C1468" t="s">
        <v>609</v>
      </c>
      <c r="D1468">
        <v>45980</v>
      </c>
      <c r="E1468" t="s">
        <v>672</v>
      </c>
      <c r="F1468" t="s">
        <v>3</v>
      </c>
      <c r="G1468" t="s">
        <v>670</v>
      </c>
      <c r="H1468" t="s">
        <v>670</v>
      </c>
      <c r="I1468" t="s">
        <v>673</v>
      </c>
    </row>
    <row r="1469" spans="1:9" x14ac:dyDescent="0.25">
      <c r="A1469" t="s">
        <v>609</v>
      </c>
      <c r="B1469" t="s">
        <v>2</v>
      </c>
      <c r="C1469" t="s">
        <v>609</v>
      </c>
      <c r="D1469">
        <v>45980</v>
      </c>
      <c r="E1469" t="s">
        <v>672</v>
      </c>
      <c r="F1469" t="s">
        <v>113</v>
      </c>
      <c r="G1469" t="s">
        <v>670</v>
      </c>
      <c r="H1469" t="s">
        <v>670</v>
      </c>
      <c r="I1469" t="s">
        <v>673</v>
      </c>
    </row>
    <row r="1470" spans="1:9" x14ac:dyDescent="0.25">
      <c r="A1470" t="s">
        <v>610</v>
      </c>
      <c r="B1470" t="s">
        <v>2</v>
      </c>
      <c r="C1470" t="s">
        <v>610</v>
      </c>
      <c r="D1470">
        <v>46020</v>
      </c>
      <c r="E1470" t="s">
        <v>672</v>
      </c>
      <c r="F1470" t="s">
        <v>3</v>
      </c>
      <c r="G1470" t="s">
        <v>670</v>
      </c>
      <c r="H1470" t="s">
        <v>670</v>
      </c>
      <c r="I1470" t="s">
        <v>673</v>
      </c>
    </row>
    <row r="1471" spans="1:9" x14ac:dyDescent="0.25">
      <c r="A1471" t="s">
        <v>610</v>
      </c>
      <c r="B1471" t="s">
        <v>2</v>
      </c>
      <c r="C1471" t="s">
        <v>610</v>
      </c>
      <c r="D1471">
        <v>46020</v>
      </c>
      <c r="E1471" t="s">
        <v>672</v>
      </c>
      <c r="F1471" t="s">
        <v>113</v>
      </c>
      <c r="G1471" t="s">
        <v>670</v>
      </c>
      <c r="H1471" t="s">
        <v>670</v>
      </c>
      <c r="I1471" t="s">
        <v>673</v>
      </c>
    </row>
    <row r="1472" spans="1:9" x14ac:dyDescent="0.25">
      <c r="A1472" t="s">
        <v>20</v>
      </c>
      <c r="B1472" t="s">
        <v>2</v>
      </c>
      <c r="C1472" t="s">
        <v>20</v>
      </c>
      <c r="D1472">
        <v>46060</v>
      </c>
      <c r="E1472" t="s">
        <v>669</v>
      </c>
      <c r="F1472" t="s">
        <v>118</v>
      </c>
      <c r="G1472" t="s">
        <v>670</v>
      </c>
      <c r="H1472" t="s">
        <v>670</v>
      </c>
      <c r="I1472">
        <v>1.4777692042002191</v>
      </c>
    </row>
    <row r="1473" spans="1:9" x14ac:dyDescent="0.25">
      <c r="A1473" t="s">
        <v>20</v>
      </c>
      <c r="B1473" t="s">
        <v>2</v>
      </c>
      <c r="C1473" t="s">
        <v>20</v>
      </c>
      <c r="D1473">
        <v>46060</v>
      </c>
      <c r="E1473" t="s">
        <v>671</v>
      </c>
      <c r="F1473" t="s">
        <v>116</v>
      </c>
      <c r="G1473" t="s">
        <v>670</v>
      </c>
      <c r="H1473" t="s">
        <v>670</v>
      </c>
      <c r="I1473">
        <v>0.60440237714026468</v>
      </c>
    </row>
    <row r="1474" spans="1:9" x14ac:dyDescent="0.25">
      <c r="A1474" t="s">
        <v>20</v>
      </c>
      <c r="B1474" t="s">
        <v>2</v>
      </c>
      <c r="C1474" t="s">
        <v>20</v>
      </c>
      <c r="D1474">
        <v>46060</v>
      </c>
      <c r="E1474" t="s">
        <v>672</v>
      </c>
      <c r="F1474" t="s">
        <v>3</v>
      </c>
      <c r="G1474" t="s">
        <v>670</v>
      </c>
      <c r="H1474" t="s">
        <v>670</v>
      </c>
      <c r="I1474">
        <v>1.446</v>
      </c>
    </row>
    <row r="1475" spans="1:9" x14ac:dyDescent="0.25">
      <c r="A1475" t="s">
        <v>20</v>
      </c>
      <c r="B1475" t="s">
        <v>2</v>
      </c>
      <c r="C1475" t="s">
        <v>20</v>
      </c>
      <c r="D1475">
        <v>46060</v>
      </c>
      <c r="E1475" t="s">
        <v>672</v>
      </c>
      <c r="F1475" t="s">
        <v>113</v>
      </c>
      <c r="G1475" t="s">
        <v>670</v>
      </c>
      <c r="H1475" t="s">
        <v>670</v>
      </c>
      <c r="I1475">
        <v>1.48</v>
      </c>
    </row>
    <row r="1476" spans="1:9" x14ac:dyDescent="0.25">
      <c r="A1476" t="s">
        <v>24</v>
      </c>
      <c r="B1476" t="s">
        <v>2</v>
      </c>
      <c r="C1476" t="s">
        <v>24</v>
      </c>
      <c r="D1476">
        <v>46140</v>
      </c>
      <c r="E1476" t="s">
        <v>669</v>
      </c>
      <c r="F1476" t="s">
        <v>118</v>
      </c>
      <c r="G1476" t="s">
        <v>670</v>
      </c>
      <c r="H1476" t="s">
        <v>670</v>
      </c>
      <c r="I1476">
        <v>1.2542785420010232</v>
      </c>
    </row>
    <row r="1477" spans="1:9" x14ac:dyDescent="0.25">
      <c r="A1477" t="s">
        <v>24</v>
      </c>
      <c r="B1477" t="s">
        <v>2</v>
      </c>
      <c r="C1477" t="s">
        <v>24</v>
      </c>
      <c r="D1477">
        <v>46140</v>
      </c>
      <c r="E1477" t="s">
        <v>671</v>
      </c>
      <c r="F1477" t="s">
        <v>116</v>
      </c>
      <c r="G1477" t="s">
        <v>670</v>
      </c>
      <c r="H1477" t="s">
        <v>670</v>
      </c>
      <c r="I1477">
        <v>0.47132920947517215</v>
      </c>
    </row>
    <row r="1478" spans="1:9" x14ac:dyDescent="0.25">
      <c r="A1478" t="s">
        <v>24</v>
      </c>
      <c r="B1478" t="s">
        <v>2</v>
      </c>
      <c r="C1478" t="s">
        <v>24</v>
      </c>
      <c r="D1478">
        <v>46140</v>
      </c>
      <c r="E1478" t="s">
        <v>672</v>
      </c>
      <c r="F1478" t="s">
        <v>3</v>
      </c>
      <c r="G1478" t="s">
        <v>670</v>
      </c>
      <c r="H1478" t="s">
        <v>670</v>
      </c>
      <c r="I1478">
        <v>1.2250000000000001</v>
      </c>
    </row>
    <row r="1479" spans="1:9" x14ac:dyDescent="0.25">
      <c r="A1479" t="s">
        <v>24</v>
      </c>
      <c r="B1479" t="s">
        <v>2</v>
      </c>
      <c r="C1479" t="s">
        <v>24</v>
      </c>
      <c r="D1479">
        <v>46140</v>
      </c>
      <c r="E1479" t="s">
        <v>672</v>
      </c>
      <c r="F1479" t="s">
        <v>113</v>
      </c>
      <c r="G1479" t="s">
        <v>670</v>
      </c>
      <c r="H1479" t="s">
        <v>670</v>
      </c>
      <c r="I1479">
        <v>1.234</v>
      </c>
    </row>
    <row r="1480" spans="1:9" x14ac:dyDescent="0.25">
      <c r="A1480" t="s">
        <v>611</v>
      </c>
      <c r="B1480" t="s">
        <v>2</v>
      </c>
      <c r="C1480" t="s">
        <v>611</v>
      </c>
      <c r="D1480">
        <v>46180</v>
      </c>
      <c r="E1480" t="s">
        <v>672</v>
      </c>
      <c r="F1480" t="s">
        <v>3</v>
      </c>
      <c r="G1480" t="s">
        <v>670</v>
      </c>
      <c r="H1480" t="s">
        <v>670</v>
      </c>
      <c r="I1480">
        <v>1.333</v>
      </c>
    </row>
    <row r="1481" spans="1:9" x14ac:dyDescent="0.25">
      <c r="A1481" t="s">
        <v>611</v>
      </c>
      <c r="B1481" t="s">
        <v>2</v>
      </c>
      <c r="C1481" t="s">
        <v>611</v>
      </c>
      <c r="D1481">
        <v>46180</v>
      </c>
      <c r="E1481" t="s">
        <v>672</v>
      </c>
      <c r="F1481" t="s">
        <v>113</v>
      </c>
      <c r="G1481" t="s">
        <v>670</v>
      </c>
      <c r="H1481" t="s">
        <v>670</v>
      </c>
      <c r="I1481">
        <v>1.333</v>
      </c>
    </row>
    <row r="1482" spans="1:9" x14ac:dyDescent="0.25">
      <c r="A1482" t="s">
        <v>612</v>
      </c>
      <c r="B1482" t="s">
        <v>2</v>
      </c>
      <c r="C1482" t="s">
        <v>612</v>
      </c>
      <c r="D1482">
        <v>46220</v>
      </c>
      <c r="E1482" t="s">
        <v>669</v>
      </c>
      <c r="F1482" t="s">
        <v>118</v>
      </c>
      <c r="G1482" t="s">
        <v>670</v>
      </c>
      <c r="H1482" t="s">
        <v>670</v>
      </c>
      <c r="I1482">
        <v>1.0617377189893629</v>
      </c>
    </row>
    <row r="1483" spans="1:9" x14ac:dyDescent="0.25">
      <c r="A1483" t="s">
        <v>612</v>
      </c>
      <c r="B1483" t="s">
        <v>2</v>
      </c>
      <c r="C1483" t="s">
        <v>612</v>
      </c>
      <c r="D1483">
        <v>46220</v>
      </c>
      <c r="E1483" t="s">
        <v>672</v>
      </c>
      <c r="F1483" t="s">
        <v>3</v>
      </c>
      <c r="G1483" t="s">
        <v>670</v>
      </c>
      <c r="H1483" t="s">
        <v>670</v>
      </c>
      <c r="I1483">
        <v>1.163</v>
      </c>
    </row>
    <row r="1484" spans="1:9" x14ac:dyDescent="0.25">
      <c r="A1484" t="s">
        <v>612</v>
      </c>
      <c r="B1484" t="s">
        <v>2</v>
      </c>
      <c r="C1484" t="s">
        <v>612</v>
      </c>
      <c r="D1484">
        <v>46220</v>
      </c>
      <c r="E1484" t="s">
        <v>672</v>
      </c>
      <c r="F1484" t="s">
        <v>113</v>
      </c>
      <c r="G1484" t="s">
        <v>670</v>
      </c>
      <c r="H1484" t="s">
        <v>670</v>
      </c>
      <c r="I1484">
        <v>1.175</v>
      </c>
    </row>
    <row r="1485" spans="1:9" x14ac:dyDescent="0.25">
      <c r="A1485" t="s">
        <v>613</v>
      </c>
      <c r="B1485" t="s">
        <v>2</v>
      </c>
      <c r="C1485" t="s">
        <v>613</v>
      </c>
      <c r="D1485">
        <v>46300</v>
      </c>
      <c r="E1485" t="s">
        <v>672</v>
      </c>
      <c r="F1485" t="s">
        <v>3</v>
      </c>
      <c r="G1485" t="s">
        <v>670</v>
      </c>
      <c r="H1485" t="s">
        <v>670</v>
      </c>
      <c r="I1485" t="s">
        <v>673</v>
      </c>
    </row>
    <row r="1486" spans="1:9" x14ac:dyDescent="0.25">
      <c r="A1486" t="s">
        <v>613</v>
      </c>
      <c r="B1486" t="s">
        <v>2</v>
      </c>
      <c r="C1486" t="s">
        <v>613</v>
      </c>
      <c r="D1486">
        <v>46300</v>
      </c>
      <c r="E1486" t="s">
        <v>672</v>
      </c>
      <c r="F1486" t="s">
        <v>113</v>
      </c>
      <c r="G1486" t="s">
        <v>670</v>
      </c>
      <c r="H1486" t="s">
        <v>670</v>
      </c>
      <c r="I1486" t="s">
        <v>673</v>
      </c>
    </row>
    <row r="1487" spans="1:9" x14ac:dyDescent="0.25">
      <c r="A1487" t="s">
        <v>614</v>
      </c>
      <c r="B1487" t="s">
        <v>2</v>
      </c>
      <c r="C1487" t="s">
        <v>614</v>
      </c>
      <c r="D1487">
        <v>46340</v>
      </c>
      <c r="E1487" t="s">
        <v>669</v>
      </c>
      <c r="F1487" t="s">
        <v>118</v>
      </c>
      <c r="G1487" t="s">
        <v>670</v>
      </c>
      <c r="H1487" t="s">
        <v>670</v>
      </c>
      <c r="I1487">
        <v>1.5404190419728752</v>
      </c>
    </row>
    <row r="1488" spans="1:9" x14ac:dyDescent="0.25">
      <c r="A1488" t="s">
        <v>614</v>
      </c>
      <c r="B1488" t="s">
        <v>2</v>
      </c>
      <c r="C1488" t="s">
        <v>614</v>
      </c>
      <c r="D1488">
        <v>46340</v>
      </c>
      <c r="E1488" t="s">
        <v>671</v>
      </c>
      <c r="F1488" t="s">
        <v>116</v>
      </c>
      <c r="G1488" t="s">
        <v>670</v>
      </c>
      <c r="H1488" t="s">
        <v>670</v>
      </c>
      <c r="I1488">
        <v>0.57626202463148457</v>
      </c>
    </row>
    <row r="1489" spans="1:9" x14ac:dyDescent="0.25">
      <c r="A1489" t="s">
        <v>614</v>
      </c>
      <c r="B1489" t="s">
        <v>2</v>
      </c>
      <c r="C1489" t="s">
        <v>614</v>
      </c>
      <c r="D1489">
        <v>46340</v>
      </c>
      <c r="E1489" t="s">
        <v>672</v>
      </c>
      <c r="F1489" t="s">
        <v>3</v>
      </c>
      <c r="G1489" t="s">
        <v>670</v>
      </c>
      <c r="H1489" t="s">
        <v>670</v>
      </c>
      <c r="I1489">
        <v>1.2929999999999999</v>
      </c>
    </row>
    <row r="1490" spans="1:9" x14ac:dyDescent="0.25">
      <c r="A1490" t="s">
        <v>614</v>
      </c>
      <c r="B1490" t="s">
        <v>2</v>
      </c>
      <c r="C1490" t="s">
        <v>614</v>
      </c>
      <c r="D1490">
        <v>46340</v>
      </c>
      <c r="E1490" t="s">
        <v>672</v>
      </c>
      <c r="F1490" t="s">
        <v>113</v>
      </c>
      <c r="G1490" t="s">
        <v>670</v>
      </c>
      <c r="H1490" t="s">
        <v>670</v>
      </c>
      <c r="I1490">
        <v>1.3080000000000001</v>
      </c>
    </row>
    <row r="1491" spans="1:9" x14ac:dyDescent="0.25">
      <c r="A1491" t="s">
        <v>615</v>
      </c>
      <c r="B1491" t="s">
        <v>2</v>
      </c>
      <c r="C1491" t="s">
        <v>615</v>
      </c>
      <c r="D1491">
        <v>46380</v>
      </c>
      <c r="E1491" t="s">
        <v>672</v>
      </c>
      <c r="F1491" t="s">
        <v>3</v>
      </c>
      <c r="G1491" t="s">
        <v>670</v>
      </c>
      <c r="H1491" t="s">
        <v>670</v>
      </c>
      <c r="I1491">
        <v>2.016</v>
      </c>
    </row>
    <row r="1492" spans="1:9" x14ac:dyDescent="0.25">
      <c r="A1492" t="s">
        <v>615</v>
      </c>
      <c r="B1492" t="s">
        <v>2</v>
      </c>
      <c r="C1492" t="s">
        <v>615</v>
      </c>
      <c r="D1492">
        <v>46380</v>
      </c>
      <c r="E1492" t="s">
        <v>672</v>
      </c>
      <c r="F1492" t="s">
        <v>113</v>
      </c>
      <c r="G1492" t="s">
        <v>670</v>
      </c>
      <c r="H1492" t="s">
        <v>670</v>
      </c>
      <c r="I1492">
        <v>2.0289999999999999</v>
      </c>
    </row>
    <row r="1493" spans="1:9" x14ac:dyDescent="0.25">
      <c r="A1493" t="s">
        <v>616</v>
      </c>
      <c r="B1493" t="s">
        <v>2</v>
      </c>
      <c r="C1493" t="s">
        <v>616</v>
      </c>
      <c r="D1493">
        <v>46520</v>
      </c>
      <c r="E1493" t="s">
        <v>669</v>
      </c>
      <c r="F1493" t="s">
        <v>118</v>
      </c>
      <c r="G1493" t="s">
        <v>670</v>
      </c>
      <c r="H1493" t="s">
        <v>670</v>
      </c>
      <c r="I1493">
        <v>2.8692406326428119</v>
      </c>
    </row>
    <row r="1494" spans="1:9" x14ac:dyDescent="0.25">
      <c r="A1494" t="s">
        <v>616</v>
      </c>
      <c r="B1494" t="s">
        <v>2</v>
      </c>
      <c r="C1494" t="s">
        <v>616</v>
      </c>
      <c r="D1494">
        <v>46520</v>
      </c>
      <c r="E1494" t="s">
        <v>672</v>
      </c>
      <c r="F1494" t="s">
        <v>3</v>
      </c>
      <c r="G1494" t="s">
        <v>670</v>
      </c>
      <c r="H1494" t="s">
        <v>670</v>
      </c>
      <c r="I1494">
        <v>3.0870000000000002</v>
      </c>
    </row>
    <row r="1495" spans="1:9" x14ac:dyDescent="0.25">
      <c r="A1495" t="s">
        <v>616</v>
      </c>
      <c r="B1495" t="s">
        <v>2</v>
      </c>
      <c r="C1495" t="s">
        <v>616</v>
      </c>
      <c r="D1495">
        <v>46520</v>
      </c>
      <c r="E1495" t="s">
        <v>672</v>
      </c>
      <c r="F1495" t="s">
        <v>113</v>
      </c>
      <c r="G1495" t="s">
        <v>670</v>
      </c>
      <c r="H1495" t="s">
        <v>670</v>
      </c>
      <c r="I1495">
        <v>3.0939999999999999</v>
      </c>
    </row>
    <row r="1496" spans="1:9" x14ac:dyDescent="0.25">
      <c r="A1496" t="s">
        <v>617</v>
      </c>
      <c r="B1496" t="s">
        <v>2</v>
      </c>
      <c r="C1496" t="s">
        <v>617</v>
      </c>
      <c r="D1496">
        <v>46540</v>
      </c>
      <c r="E1496" t="s">
        <v>669</v>
      </c>
      <c r="F1496" t="s">
        <v>118</v>
      </c>
      <c r="G1496" t="s">
        <v>670</v>
      </c>
      <c r="H1496" t="s">
        <v>670</v>
      </c>
      <c r="I1496">
        <v>1.0767658353291358</v>
      </c>
    </row>
    <row r="1497" spans="1:9" x14ac:dyDescent="0.25">
      <c r="A1497" t="s">
        <v>617</v>
      </c>
      <c r="B1497" t="s">
        <v>2</v>
      </c>
      <c r="C1497" t="s">
        <v>617</v>
      </c>
      <c r="D1497">
        <v>46540</v>
      </c>
      <c r="E1497" t="s">
        <v>672</v>
      </c>
      <c r="F1497" t="s">
        <v>3</v>
      </c>
      <c r="G1497" t="s">
        <v>670</v>
      </c>
      <c r="H1497" t="s">
        <v>670</v>
      </c>
      <c r="I1497">
        <v>1.5449999999999999</v>
      </c>
    </row>
    <row r="1498" spans="1:9" x14ac:dyDescent="0.25">
      <c r="A1498" t="s">
        <v>617</v>
      </c>
      <c r="B1498" t="s">
        <v>2</v>
      </c>
      <c r="C1498" t="s">
        <v>617</v>
      </c>
      <c r="D1498">
        <v>46540</v>
      </c>
      <c r="E1498" t="s">
        <v>672</v>
      </c>
      <c r="F1498" t="s">
        <v>113</v>
      </c>
      <c r="G1498" t="s">
        <v>670</v>
      </c>
      <c r="H1498" t="s">
        <v>670</v>
      </c>
      <c r="I1498">
        <v>1.5449999999999999</v>
      </c>
    </row>
    <row r="1499" spans="1:9" x14ac:dyDescent="0.25">
      <c r="A1499" t="s">
        <v>618</v>
      </c>
      <c r="B1499" t="s">
        <v>2</v>
      </c>
      <c r="C1499" t="s">
        <v>618</v>
      </c>
      <c r="D1499">
        <v>46620</v>
      </c>
      <c r="E1499" t="s">
        <v>672</v>
      </c>
      <c r="F1499" t="s">
        <v>3</v>
      </c>
      <c r="G1499" t="s">
        <v>670</v>
      </c>
      <c r="H1499" t="s">
        <v>670</v>
      </c>
      <c r="I1499" t="s">
        <v>673</v>
      </c>
    </row>
    <row r="1500" spans="1:9" x14ac:dyDescent="0.25">
      <c r="A1500" t="s">
        <v>618</v>
      </c>
      <c r="B1500" t="s">
        <v>2</v>
      </c>
      <c r="C1500" t="s">
        <v>618</v>
      </c>
      <c r="D1500">
        <v>46620</v>
      </c>
      <c r="E1500" t="s">
        <v>672</v>
      </c>
      <c r="F1500" t="s">
        <v>113</v>
      </c>
      <c r="G1500" t="s">
        <v>670</v>
      </c>
      <c r="H1500" t="s">
        <v>670</v>
      </c>
      <c r="I1500" t="s">
        <v>673</v>
      </c>
    </row>
    <row r="1501" spans="1:9" x14ac:dyDescent="0.25">
      <c r="A1501" t="s">
        <v>619</v>
      </c>
      <c r="B1501" t="s">
        <v>2</v>
      </c>
      <c r="C1501" t="s">
        <v>619</v>
      </c>
      <c r="D1501">
        <v>46660</v>
      </c>
      <c r="E1501" t="s">
        <v>669</v>
      </c>
      <c r="F1501" t="s">
        <v>118</v>
      </c>
      <c r="G1501" t="s">
        <v>670</v>
      </c>
      <c r="H1501" t="s">
        <v>670</v>
      </c>
      <c r="I1501">
        <v>1.1339642082989414</v>
      </c>
    </row>
    <row r="1502" spans="1:9" x14ac:dyDescent="0.25">
      <c r="A1502" t="s">
        <v>619</v>
      </c>
      <c r="B1502" t="s">
        <v>2</v>
      </c>
      <c r="C1502" t="s">
        <v>619</v>
      </c>
      <c r="D1502">
        <v>46660</v>
      </c>
      <c r="E1502" t="s">
        <v>672</v>
      </c>
      <c r="F1502" t="s">
        <v>3</v>
      </c>
      <c r="G1502" t="s">
        <v>670</v>
      </c>
      <c r="H1502" t="s">
        <v>670</v>
      </c>
      <c r="I1502">
        <v>1.129</v>
      </c>
    </row>
    <row r="1503" spans="1:9" x14ac:dyDescent="0.25">
      <c r="A1503" t="s">
        <v>619</v>
      </c>
      <c r="B1503" t="s">
        <v>2</v>
      </c>
      <c r="C1503" t="s">
        <v>619</v>
      </c>
      <c r="D1503">
        <v>46660</v>
      </c>
      <c r="E1503" t="s">
        <v>672</v>
      </c>
      <c r="F1503" t="s">
        <v>113</v>
      </c>
      <c r="G1503" t="s">
        <v>670</v>
      </c>
      <c r="H1503" t="s">
        <v>670</v>
      </c>
      <c r="I1503">
        <v>1.151</v>
      </c>
    </row>
    <row r="1504" spans="1:9" x14ac:dyDescent="0.25">
      <c r="A1504" t="s">
        <v>620</v>
      </c>
      <c r="B1504" t="s">
        <v>2</v>
      </c>
      <c r="C1504" t="s">
        <v>620</v>
      </c>
      <c r="D1504">
        <v>246700</v>
      </c>
      <c r="E1504" t="s">
        <v>669</v>
      </c>
      <c r="F1504" t="s">
        <v>118</v>
      </c>
      <c r="G1504" t="s">
        <v>670</v>
      </c>
      <c r="H1504" t="s">
        <v>670</v>
      </c>
      <c r="I1504">
        <v>2.4349310648461708</v>
      </c>
    </row>
    <row r="1505" spans="1:9" x14ac:dyDescent="0.25">
      <c r="A1505" t="s">
        <v>620</v>
      </c>
      <c r="B1505" t="s">
        <v>2</v>
      </c>
      <c r="C1505" t="s">
        <v>620</v>
      </c>
      <c r="D1505">
        <v>246700</v>
      </c>
      <c r="E1505" t="s">
        <v>671</v>
      </c>
      <c r="F1505" t="s">
        <v>116</v>
      </c>
      <c r="G1505" t="s">
        <v>670</v>
      </c>
      <c r="H1505" t="s">
        <v>670</v>
      </c>
      <c r="I1505">
        <v>0.56960728503640745</v>
      </c>
    </row>
    <row r="1506" spans="1:9" x14ac:dyDescent="0.25">
      <c r="A1506" t="s">
        <v>620</v>
      </c>
      <c r="B1506" t="s">
        <v>2</v>
      </c>
      <c r="C1506" t="s">
        <v>620</v>
      </c>
      <c r="D1506">
        <v>246700</v>
      </c>
      <c r="E1506" t="s">
        <v>672</v>
      </c>
      <c r="F1506" t="s">
        <v>3</v>
      </c>
      <c r="G1506" t="s">
        <v>670</v>
      </c>
      <c r="H1506" t="s">
        <v>670</v>
      </c>
      <c r="I1506">
        <v>2.5470000000000002</v>
      </c>
    </row>
    <row r="1507" spans="1:9" x14ac:dyDescent="0.25">
      <c r="A1507" t="s">
        <v>620</v>
      </c>
      <c r="B1507" t="s">
        <v>2</v>
      </c>
      <c r="C1507" t="s">
        <v>620</v>
      </c>
      <c r="D1507">
        <v>246700</v>
      </c>
      <c r="E1507" t="s">
        <v>672</v>
      </c>
      <c r="F1507" t="s">
        <v>113</v>
      </c>
      <c r="G1507" t="s">
        <v>670</v>
      </c>
      <c r="H1507" t="s">
        <v>670</v>
      </c>
      <c r="I1507">
        <v>2.585</v>
      </c>
    </row>
    <row r="1508" spans="1:9" x14ac:dyDescent="0.25">
      <c r="A1508" t="s">
        <v>621</v>
      </c>
      <c r="B1508" t="s">
        <v>2</v>
      </c>
      <c r="C1508" t="s">
        <v>621</v>
      </c>
      <c r="D1508">
        <v>46860</v>
      </c>
      <c r="E1508" t="s">
        <v>672</v>
      </c>
      <c r="F1508" t="s">
        <v>3</v>
      </c>
      <c r="G1508" t="s">
        <v>670</v>
      </c>
      <c r="H1508" t="s">
        <v>670</v>
      </c>
      <c r="I1508" t="s">
        <v>673</v>
      </c>
    </row>
    <row r="1509" spans="1:9" x14ac:dyDescent="0.25">
      <c r="A1509" t="s">
        <v>621</v>
      </c>
      <c r="B1509" t="s">
        <v>2</v>
      </c>
      <c r="C1509" t="s">
        <v>621</v>
      </c>
      <c r="D1509">
        <v>46860</v>
      </c>
      <c r="E1509" t="s">
        <v>672</v>
      </c>
      <c r="F1509" t="s">
        <v>113</v>
      </c>
      <c r="G1509" t="s">
        <v>670</v>
      </c>
      <c r="H1509" t="s">
        <v>670</v>
      </c>
      <c r="I1509" t="s">
        <v>673</v>
      </c>
    </row>
    <row r="1510" spans="1:9" x14ac:dyDescent="0.25">
      <c r="A1510" t="s">
        <v>622</v>
      </c>
      <c r="B1510" t="s">
        <v>2</v>
      </c>
      <c r="C1510" t="s">
        <v>622</v>
      </c>
      <c r="D1510">
        <v>46900</v>
      </c>
      <c r="E1510" t="s">
        <v>672</v>
      </c>
      <c r="F1510" t="s">
        <v>3</v>
      </c>
      <c r="G1510" t="s">
        <v>670</v>
      </c>
      <c r="H1510" t="s">
        <v>670</v>
      </c>
      <c r="I1510" t="s">
        <v>673</v>
      </c>
    </row>
    <row r="1511" spans="1:9" x14ac:dyDescent="0.25">
      <c r="A1511" t="s">
        <v>622</v>
      </c>
      <c r="B1511" t="s">
        <v>2</v>
      </c>
      <c r="C1511" t="s">
        <v>622</v>
      </c>
      <c r="D1511">
        <v>46900</v>
      </c>
      <c r="E1511" t="s">
        <v>672</v>
      </c>
      <c r="F1511" t="s">
        <v>113</v>
      </c>
      <c r="G1511" t="s">
        <v>670</v>
      </c>
      <c r="H1511" t="s">
        <v>670</v>
      </c>
      <c r="I1511" t="s">
        <v>673</v>
      </c>
    </row>
    <row r="1512" spans="1:9" x14ac:dyDescent="0.25">
      <c r="A1512" t="s">
        <v>623</v>
      </c>
      <c r="B1512" t="s">
        <v>2</v>
      </c>
      <c r="C1512" t="s">
        <v>623</v>
      </c>
      <c r="D1512">
        <v>46980</v>
      </c>
      <c r="E1512" t="s">
        <v>669</v>
      </c>
      <c r="F1512" t="s">
        <v>118</v>
      </c>
      <c r="G1512" t="s">
        <v>670</v>
      </c>
      <c r="H1512" t="s">
        <v>670</v>
      </c>
      <c r="I1512">
        <v>1.0882378326069428</v>
      </c>
    </row>
    <row r="1513" spans="1:9" x14ac:dyDescent="0.25">
      <c r="A1513" t="s">
        <v>623</v>
      </c>
      <c r="B1513" t="s">
        <v>2</v>
      </c>
      <c r="C1513" t="s">
        <v>623</v>
      </c>
      <c r="D1513">
        <v>46980</v>
      </c>
      <c r="E1513" t="s">
        <v>672</v>
      </c>
      <c r="F1513" t="s">
        <v>3</v>
      </c>
      <c r="G1513" t="s">
        <v>670</v>
      </c>
      <c r="H1513" t="s">
        <v>670</v>
      </c>
      <c r="I1513">
        <v>1.1160000000000001</v>
      </c>
    </row>
    <row r="1514" spans="1:9" x14ac:dyDescent="0.25">
      <c r="A1514" t="s">
        <v>623</v>
      </c>
      <c r="B1514" t="s">
        <v>2</v>
      </c>
      <c r="C1514" t="s">
        <v>623</v>
      </c>
      <c r="D1514">
        <v>46980</v>
      </c>
      <c r="E1514" t="s">
        <v>672</v>
      </c>
      <c r="F1514" t="s">
        <v>113</v>
      </c>
      <c r="G1514" t="s">
        <v>670</v>
      </c>
      <c r="H1514" t="s">
        <v>670</v>
      </c>
      <c r="I1514">
        <v>1.121</v>
      </c>
    </row>
    <row r="1515" spans="1:9" x14ac:dyDescent="0.25">
      <c r="A1515" t="s">
        <v>624</v>
      </c>
      <c r="B1515" t="s">
        <v>2</v>
      </c>
      <c r="C1515" t="s">
        <v>624</v>
      </c>
      <c r="D1515">
        <v>47020</v>
      </c>
      <c r="E1515" t="s">
        <v>669</v>
      </c>
      <c r="F1515" t="s">
        <v>118</v>
      </c>
      <c r="G1515" t="s">
        <v>670</v>
      </c>
      <c r="H1515" t="s">
        <v>670</v>
      </c>
      <c r="I1515">
        <v>1.295214704443405</v>
      </c>
    </row>
    <row r="1516" spans="1:9" x14ac:dyDescent="0.25">
      <c r="A1516" t="s">
        <v>624</v>
      </c>
      <c r="B1516" t="s">
        <v>2</v>
      </c>
      <c r="C1516" t="s">
        <v>624</v>
      </c>
      <c r="D1516">
        <v>47020</v>
      </c>
      <c r="E1516" t="s">
        <v>672</v>
      </c>
      <c r="F1516" t="s">
        <v>3</v>
      </c>
      <c r="G1516" t="s">
        <v>670</v>
      </c>
      <c r="H1516" t="s">
        <v>670</v>
      </c>
      <c r="I1516">
        <v>1.304</v>
      </c>
    </row>
    <row r="1517" spans="1:9" x14ac:dyDescent="0.25">
      <c r="A1517" t="s">
        <v>624</v>
      </c>
      <c r="B1517" t="s">
        <v>2</v>
      </c>
      <c r="C1517" t="s">
        <v>624</v>
      </c>
      <c r="D1517">
        <v>47020</v>
      </c>
      <c r="E1517" t="s">
        <v>672</v>
      </c>
      <c r="F1517" t="s">
        <v>113</v>
      </c>
      <c r="G1517" t="s">
        <v>670</v>
      </c>
      <c r="H1517" t="s">
        <v>670</v>
      </c>
      <c r="I1517">
        <v>1.321</v>
      </c>
    </row>
    <row r="1518" spans="1:9" x14ac:dyDescent="0.25">
      <c r="A1518" t="s">
        <v>625</v>
      </c>
      <c r="B1518" t="s">
        <v>2</v>
      </c>
      <c r="C1518" t="s">
        <v>625</v>
      </c>
      <c r="D1518">
        <v>47220</v>
      </c>
      <c r="E1518" t="s">
        <v>672</v>
      </c>
      <c r="F1518" t="s">
        <v>3</v>
      </c>
      <c r="G1518" t="s">
        <v>670</v>
      </c>
      <c r="H1518" t="s">
        <v>670</v>
      </c>
      <c r="I1518">
        <v>1.64</v>
      </c>
    </row>
    <row r="1519" spans="1:9" x14ac:dyDescent="0.25">
      <c r="A1519" t="s">
        <v>625</v>
      </c>
      <c r="B1519" t="s">
        <v>2</v>
      </c>
      <c r="C1519" t="s">
        <v>625</v>
      </c>
      <c r="D1519">
        <v>47220</v>
      </c>
      <c r="E1519" t="s">
        <v>672</v>
      </c>
      <c r="F1519" t="s">
        <v>113</v>
      </c>
      <c r="G1519" t="s">
        <v>670</v>
      </c>
      <c r="H1519" t="s">
        <v>670</v>
      </c>
      <c r="I1519">
        <v>1.64</v>
      </c>
    </row>
    <row r="1520" spans="1:9" x14ac:dyDescent="0.25">
      <c r="A1520" t="s">
        <v>626</v>
      </c>
      <c r="B1520" t="s">
        <v>2</v>
      </c>
      <c r="C1520" t="s">
        <v>626</v>
      </c>
      <c r="D1520">
        <v>47260</v>
      </c>
      <c r="E1520" t="s">
        <v>669</v>
      </c>
      <c r="F1520" t="s">
        <v>118</v>
      </c>
      <c r="G1520" t="s">
        <v>670</v>
      </c>
      <c r="H1520" t="s">
        <v>670</v>
      </c>
      <c r="I1520">
        <v>1.6465249959424493</v>
      </c>
    </row>
    <row r="1521" spans="1:9" x14ac:dyDescent="0.25">
      <c r="A1521" t="s">
        <v>626</v>
      </c>
      <c r="B1521" t="s">
        <v>2</v>
      </c>
      <c r="C1521" t="s">
        <v>626</v>
      </c>
      <c r="D1521">
        <v>47260</v>
      </c>
      <c r="E1521" t="s">
        <v>671</v>
      </c>
      <c r="F1521" t="s">
        <v>116</v>
      </c>
      <c r="G1521" t="s">
        <v>670</v>
      </c>
      <c r="H1521" t="s">
        <v>670</v>
      </c>
      <c r="I1521">
        <v>0.6125918789278979</v>
      </c>
    </row>
    <row r="1522" spans="1:9" x14ac:dyDescent="0.25">
      <c r="A1522" t="s">
        <v>626</v>
      </c>
      <c r="B1522" t="s">
        <v>2</v>
      </c>
      <c r="C1522" t="s">
        <v>626</v>
      </c>
      <c r="D1522">
        <v>47260</v>
      </c>
      <c r="E1522" t="s">
        <v>672</v>
      </c>
      <c r="F1522" t="s">
        <v>3</v>
      </c>
      <c r="G1522" t="s">
        <v>670</v>
      </c>
      <c r="H1522" t="s">
        <v>670</v>
      </c>
      <c r="I1522">
        <v>1.71</v>
      </c>
    </row>
    <row r="1523" spans="1:9" x14ac:dyDescent="0.25">
      <c r="A1523" t="s">
        <v>626</v>
      </c>
      <c r="B1523" t="s">
        <v>2</v>
      </c>
      <c r="C1523" t="s">
        <v>626</v>
      </c>
      <c r="D1523">
        <v>47260</v>
      </c>
      <c r="E1523" t="s">
        <v>672</v>
      </c>
      <c r="F1523" t="s">
        <v>113</v>
      </c>
      <c r="G1523" t="s">
        <v>670</v>
      </c>
      <c r="H1523" t="s">
        <v>670</v>
      </c>
      <c r="I1523">
        <v>1.716</v>
      </c>
    </row>
    <row r="1524" spans="1:9" x14ac:dyDescent="0.25">
      <c r="A1524" t="s">
        <v>627</v>
      </c>
      <c r="B1524" t="s">
        <v>2</v>
      </c>
      <c r="C1524" t="s">
        <v>627</v>
      </c>
      <c r="D1524">
        <v>47300</v>
      </c>
      <c r="E1524" t="s">
        <v>669</v>
      </c>
      <c r="F1524" t="s">
        <v>118</v>
      </c>
      <c r="G1524" t="s">
        <v>670</v>
      </c>
      <c r="H1524" t="s">
        <v>670</v>
      </c>
      <c r="I1524">
        <v>1.4517881286713794</v>
      </c>
    </row>
    <row r="1525" spans="1:9" x14ac:dyDescent="0.25">
      <c r="A1525" t="s">
        <v>627</v>
      </c>
      <c r="B1525" t="s">
        <v>2</v>
      </c>
      <c r="C1525" t="s">
        <v>627</v>
      </c>
      <c r="D1525">
        <v>47300</v>
      </c>
      <c r="E1525" t="s">
        <v>672</v>
      </c>
      <c r="F1525" t="s">
        <v>3</v>
      </c>
      <c r="G1525" t="s">
        <v>670</v>
      </c>
      <c r="H1525" t="s">
        <v>670</v>
      </c>
      <c r="I1525">
        <v>1.7949999999999999</v>
      </c>
    </row>
    <row r="1526" spans="1:9" x14ac:dyDescent="0.25">
      <c r="A1526" t="s">
        <v>627</v>
      </c>
      <c r="B1526" t="s">
        <v>2</v>
      </c>
      <c r="C1526" t="s">
        <v>627</v>
      </c>
      <c r="D1526">
        <v>47300</v>
      </c>
      <c r="E1526" t="s">
        <v>672</v>
      </c>
      <c r="F1526" t="s">
        <v>113</v>
      </c>
      <c r="G1526" t="s">
        <v>670</v>
      </c>
      <c r="H1526" t="s">
        <v>670</v>
      </c>
      <c r="I1526">
        <v>1.798</v>
      </c>
    </row>
    <row r="1527" spans="1:9" x14ac:dyDescent="0.25">
      <c r="A1527" t="s">
        <v>628</v>
      </c>
      <c r="B1527" t="s">
        <v>2</v>
      </c>
      <c r="C1527" t="s">
        <v>628</v>
      </c>
      <c r="D1527">
        <v>47380</v>
      </c>
      <c r="E1527" t="s">
        <v>669</v>
      </c>
      <c r="F1527" t="s">
        <v>118</v>
      </c>
      <c r="G1527" t="s">
        <v>670</v>
      </c>
      <c r="H1527" t="s">
        <v>670</v>
      </c>
      <c r="I1527">
        <v>1.4340443808608982</v>
      </c>
    </row>
    <row r="1528" spans="1:9" x14ac:dyDescent="0.25">
      <c r="A1528" t="s">
        <v>628</v>
      </c>
      <c r="B1528" t="s">
        <v>2</v>
      </c>
      <c r="C1528" t="s">
        <v>628</v>
      </c>
      <c r="D1528">
        <v>47380</v>
      </c>
      <c r="E1528" t="s">
        <v>671</v>
      </c>
      <c r="F1528" t="s">
        <v>116</v>
      </c>
      <c r="G1528" t="s">
        <v>670</v>
      </c>
      <c r="H1528" t="s">
        <v>670</v>
      </c>
      <c r="I1528">
        <v>0.57733712978304075</v>
      </c>
    </row>
    <row r="1529" spans="1:9" x14ac:dyDescent="0.25">
      <c r="A1529" t="s">
        <v>628</v>
      </c>
      <c r="B1529" t="s">
        <v>2</v>
      </c>
      <c r="C1529" t="s">
        <v>628</v>
      </c>
      <c r="D1529">
        <v>47380</v>
      </c>
      <c r="E1529" t="s">
        <v>672</v>
      </c>
      <c r="F1529" t="s">
        <v>3</v>
      </c>
      <c r="G1529" t="s">
        <v>670</v>
      </c>
      <c r="H1529" t="s">
        <v>670</v>
      </c>
      <c r="I1529">
        <v>1.4390000000000001</v>
      </c>
    </row>
    <row r="1530" spans="1:9" x14ac:dyDescent="0.25">
      <c r="A1530" t="s">
        <v>628</v>
      </c>
      <c r="B1530" t="s">
        <v>2</v>
      </c>
      <c r="C1530" t="s">
        <v>628</v>
      </c>
      <c r="D1530">
        <v>47380</v>
      </c>
      <c r="E1530" t="s">
        <v>672</v>
      </c>
      <c r="F1530" t="s">
        <v>113</v>
      </c>
      <c r="G1530" t="s">
        <v>670</v>
      </c>
      <c r="H1530" t="s">
        <v>670</v>
      </c>
      <c r="I1530">
        <v>1.4550000000000001</v>
      </c>
    </row>
    <row r="1531" spans="1:9" x14ac:dyDescent="0.25">
      <c r="A1531" t="s">
        <v>629</v>
      </c>
      <c r="B1531" t="s">
        <v>2</v>
      </c>
      <c r="C1531" t="s">
        <v>629</v>
      </c>
      <c r="D1531">
        <v>47460</v>
      </c>
      <c r="E1531" t="s">
        <v>672</v>
      </c>
      <c r="F1531" t="s">
        <v>3</v>
      </c>
      <c r="G1531" t="s">
        <v>670</v>
      </c>
      <c r="H1531" t="s">
        <v>670</v>
      </c>
      <c r="I1531">
        <v>1.6879999999999999</v>
      </c>
    </row>
    <row r="1532" spans="1:9" x14ac:dyDescent="0.25">
      <c r="A1532" t="s">
        <v>629</v>
      </c>
      <c r="B1532" t="s">
        <v>2</v>
      </c>
      <c r="C1532" t="s">
        <v>629</v>
      </c>
      <c r="D1532">
        <v>47460</v>
      </c>
      <c r="E1532" t="s">
        <v>672</v>
      </c>
      <c r="F1532" t="s">
        <v>113</v>
      </c>
      <c r="G1532" t="s">
        <v>670</v>
      </c>
      <c r="H1532" t="s">
        <v>670</v>
      </c>
      <c r="I1532">
        <v>1.752</v>
      </c>
    </row>
    <row r="1533" spans="1:9" x14ac:dyDescent="0.25">
      <c r="A1533" t="s">
        <v>630</v>
      </c>
      <c r="B1533" t="s">
        <v>2</v>
      </c>
      <c r="C1533" t="s">
        <v>630</v>
      </c>
      <c r="D1533">
        <v>47660</v>
      </c>
      <c r="E1533" t="s">
        <v>672</v>
      </c>
      <c r="F1533" t="s">
        <v>3</v>
      </c>
      <c r="G1533" t="s">
        <v>670</v>
      </c>
      <c r="H1533" t="s">
        <v>670</v>
      </c>
      <c r="I1533" t="s">
        <v>673</v>
      </c>
    </row>
    <row r="1534" spans="1:9" x14ac:dyDescent="0.25">
      <c r="A1534" t="s">
        <v>630</v>
      </c>
      <c r="B1534" t="s">
        <v>2</v>
      </c>
      <c r="C1534" t="s">
        <v>630</v>
      </c>
      <c r="D1534">
        <v>47660</v>
      </c>
      <c r="E1534" t="s">
        <v>672</v>
      </c>
      <c r="F1534" t="s">
        <v>113</v>
      </c>
      <c r="G1534" t="s">
        <v>670</v>
      </c>
      <c r="H1534" t="s">
        <v>670</v>
      </c>
      <c r="I1534" t="s">
        <v>673</v>
      </c>
    </row>
    <row r="1535" spans="1:9" x14ac:dyDescent="0.25">
      <c r="A1535" t="s">
        <v>631</v>
      </c>
      <c r="B1535" t="s">
        <v>2</v>
      </c>
      <c r="C1535" t="s">
        <v>631</v>
      </c>
      <c r="D1535">
        <v>47700</v>
      </c>
      <c r="E1535" t="s">
        <v>669</v>
      </c>
      <c r="F1535" t="s">
        <v>118</v>
      </c>
      <c r="G1535" t="s">
        <v>670</v>
      </c>
      <c r="H1535" t="s">
        <v>670</v>
      </c>
      <c r="I1535">
        <v>1.0554897228025955</v>
      </c>
    </row>
    <row r="1536" spans="1:9" x14ac:dyDescent="0.25">
      <c r="A1536" t="s">
        <v>631</v>
      </c>
      <c r="B1536" t="s">
        <v>2</v>
      </c>
      <c r="C1536" t="s">
        <v>631</v>
      </c>
      <c r="D1536">
        <v>47700</v>
      </c>
      <c r="E1536" t="s">
        <v>672</v>
      </c>
      <c r="F1536" t="s">
        <v>3</v>
      </c>
      <c r="G1536" t="s">
        <v>670</v>
      </c>
      <c r="H1536" t="s">
        <v>670</v>
      </c>
      <c r="I1536">
        <v>1.4810000000000001</v>
      </c>
    </row>
    <row r="1537" spans="1:9" x14ac:dyDescent="0.25">
      <c r="A1537" t="s">
        <v>631</v>
      </c>
      <c r="B1537" t="s">
        <v>2</v>
      </c>
      <c r="C1537" t="s">
        <v>631</v>
      </c>
      <c r="D1537">
        <v>47700</v>
      </c>
      <c r="E1537" t="s">
        <v>672</v>
      </c>
      <c r="F1537" t="s">
        <v>113</v>
      </c>
      <c r="G1537" t="s">
        <v>670</v>
      </c>
      <c r="H1537" t="s">
        <v>670</v>
      </c>
      <c r="I1537">
        <v>1.4810000000000001</v>
      </c>
    </row>
    <row r="1538" spans="1:9" x14ac:dyDescent="0.25">
      <c r="A1538" t="s">
        <v>22</v>
      </c>
      <c r="B1538" t="s">
        <v>2</v>
      </c>
      <c r="C1538" t="s">
        <v>22</v>
      </c>
      <c r="D1538">
        <v>47900</v>
      </c>
      <c r="E1538" t="s">
        <v>669</v>
      </c>
      <c r="F1538" t="s">
        <v>118</v>
      </c>
      <c r="G1538" t="s">
        <v>670</v>
      </c>
      <c r="H1538" t="s">
        <v>670</v>
      </c>
      <c r="I1538">
        <v>2.5805043237583472</v>
      </c>
    </row>
    <row r="1539" spans="1:9" x14ac:dyDescent="0.25">
      <c r="A1539" t="s">
        <v>22</v>
      </c>
      <c r="B1539" t="s">
        <v>2</v>
      </c>
      <c r="C1539" t="s">
        <v>22</v>
      </c>
      <c r="D1539">
        <v>47900</v>
      </c>
      <c r="E1539" t="s">
        <v>671</v>
      </c>
      <c r="F1539" t="s">
        <v>116</v>
      </c>
      <c r="G1539" t="s">
        <v>670</v>
      </c>
      <c r="H1539" t="s">
        <v>670</v>
      </c>
      <c r="I1539">
        <v>0.57632665762876911</v>
      </c>
    </row>
    <row r="1540" spans="1:9" x14ac:dyDescent="0.25">
      <c r="A1540" t="s">
        <v>22</v>
      </c>
      <c r="B1540" t="s">
        <v>2</v>
      </c>
      <c r="C1540" t="s">
        <v>22</v>
      </c>
      <c r="D1540">
        <v>47900</v>
      </c>
      <c r="E1540" t="s">
        <v>672</v>
      </c>
      <c r="F1540" t="s">
        <v>3</v>
      </c>
      <c r="G1540" t="s">
        <v>670</v>
      </c>
      <c r="H1540" t="s">
        <v>670</v>
      </c>
      <c r="I1540">
        <v>2.5099999999999998</v>
      </c>
    </row>
    <row r="1541" spans="1:9" x14ac:dyDescent="0.25">
      <c r="A1541" t="s">
        <v>22</v>
      </c>
      <c r="B1541" t="s">
        <v>2</v>
      </c>
      <c r="C1541" t="s">
        <v>22</v>
      </c>
      <c r="D1541">
        <v>47900</v>
      </c>
      <c r="E1541" t="s">
        <v>672</v>
      </c>
      <c r="F1541" t="s">
        <v>113</v>
      </c>
      <c r="G1541" t="s">
        <v>670</v>
      </c>
      <c r="H1541" t="s">
        <v>670</v>
      </c>
      <c r="I1541">
        <v>2.5510000000000002</v>
      </c>
    </row>
    <row r="1542" spans="1:9" x14ac:dyDescent="0.25">
      <c r="A1542" t="s">
        <v>632</v>
      </c>
      <c r="B1542" t="s">
        <v>2</v>
      </c>
      <c r="C1542" t="s">
        <v>632</v>
      </c>
      <c r="D1542">
        <v>47940</v>
      </c>
      <c r="E1542" t="s">
        <v>672</v>
      </c>
      <c r="F1542" t="s">
        <v>3</v>
      </c>
      <c r="G1542" t="s">
        <v>670</v>
      </c>
      <c r="H1542" t="s">
        <v>670</v>
      </c>
      <c r="I1542">
        <v>1.1859999999999999</v>
      </c>
    </row>
    <row r="1543" spans="1:9" x14ac:dyDescent="0.25">
      <c r="A1543" t="s">
        <v>632</v>
      </c>
      <c r="B1543" t="s">
        <v>2</v>
      </c>
      <c r="C1543" t="s">
        <v>632</v>
      </c>
      <c r="D1543">
        <v>47940</v>
      </c>
      <c r="E1543" t="s">
        <v>672</v>
      </c>
      <c r="F1543" t="s">
        <v>113</v>
      </c>
      <c r="G1543" t="s">
        <v>670</v>
      </c>
      <c r="H1543" t="s">
        <v>670</v>
      </c>
      <c r="I1543">
        <v>1.25</v>
      </c>
    </row>
    <row r="1544" spans="1:9" x14ac:dyDescent="0.25">
      <c r="A1544" t="s">
        <v>633</v>
      </c>
      <c r="B1544" t="s">
        <v>2</v>
      </c>
      <c r="C1544" t="s">
        <v>633</v>
      </c>
      <c r="D1544">
        <v>48020</v>
      </c>
      <c r="E1544" t="s">
        <v>669</v>
      </c>
      <c r="F1544" t="s">
        <v>118</v>
      </c>
      <c r="G1544" t="s">
        <v>670</v>
      </c>
      <c r="H1544" t="s">
        <v>670</v>
      </c>
      <c r="I1544">
        <v>1.1350916486707918</v>
      </c>
    </row>
    <row r="1545" spans="1:9" x14ac:dyDescent="0.25">
      <c r="A1545" t="s">
        <v>633</v>
      </c>
      <c r="B1545" t="s">
        <v>2</v>
      </c>
      <c r="C1545" t="s">
        <v>633</v>
      </c>
      <c r="D1545">
        <v>48020</v>
      </c>
      <c r="E1545" t="s">
        <v>672</v>
      </c>
      <c r="F1545" t="s">
        <v>3</v>
      </c>
      <c r="G1545" t="s">
        <v>670</v>
      </c>
      <c r="H1545" t="s">
        <v>670</v>
      </c>
      <c r="I1545" t="s">
        <v>673</v>
      </c>
    </row>
    <row r="1546" spans="1:9" x14ac:dyDescent="0.25">
      <c r="A1546" t="s">
        <v>633</v>
      </c>
      <c r="B1546" t="s">
        <v>2</v>
      </c>
      <c r="C1546" t="s">
        <v>633</v>
      </c>
      <c r="D1546">
        <v>48020</v>
      </c>
      <c r="E1546" t="s">
        <v>672</v>
      </c>
      <c r="F1546" t="s">
        <v>113</v>
      </c>
      <c r="G1546" t="s">
        <v>670</v>
      </c>
      <c r="H1546" t="s">
        <v>670</v>
      </c>
      <c r="I1546" t="s">
        <v>673</v>
      </c>
    </row>
    <row r="1547" spans="1:9" x14ac:dyDescent="0.25">
      <c r="A1547" t="s">
        <v>634</v>
      </c>
      <c r="B1547" t="s">
        <v>2</v>
      </c>
      <c r="C1547" t="s">
        <v>634</v>
      </c>
      <c r="D1547">
        <v>48060</v>
      </c>
      <c r="E1547" t="s">
        <v>672</v>
      </c>
      <c r="F1547" t="s">
        <v>3</v>
      </c>
      <c r="G1547" t="s">
        <v>670</v>
      </c>
      <c r="H1547" t="s">
        <v>670</v>
      </c>
      <c r="I1547">
        <v>1.1060000000000001</v>
      </c>
    </row>
    <row r="1548" spans="1:9" x14ac:dyDescent="0.25">
      <c r="A1548" t="s">
        <v>634</v>
      </c>
      <c r="B1548" t="s">
        <v>2</v>
      </c>
      <c r="C1548" t="s">
        <v>634</v>
      </c>
      <c r="D1548">
        <v>48060</v>
      </c>
      <c r="E1548" t="s">
        <v>672</v>
      </c>
      <c r="F1548" t="s">
        <v>113</v>
      </c>
      <c r="G1548" t="s">
        <v>670</v>
      </c>
      <c r="H1548" t="s">
        <v>670</v>
      </c>
      <c r="I1548">
        <v>1.1120000000000001</v>
      </c>
    </row>
    <row r="1549" spans="1:9" x14ac:dyDescent="0.25">
      <c r="A1549" t="s">
        <v>635</v>
      </c>
      <c r="B1549" t="s">
        <v>2</v>
      </c>
      <c r="C1549" t="s">
        <v>635</v>
      </c>
      <c r="D1549">
        <v>47980</v>
      </c>
      <c r="E1549" t="s">
        <v>672</v>
      </c>
      <c r="F1549" t="s">
        <v>3</v>
      </c>
      <c r="G1549" t="s">
        <v>670</v>
      </c>
      <c r="H1549" t="s">
        <v>670</v>
      </c>
      <c r="I1549" t="s">
        <v>673</v>
      </c>
    </row>
    <row r="1550" spans="1:9" x14ac:dyDescent="0.25">
      <c r="A1550" t="s">
        <v>635</v>
      </c>
      <c r="B1550" t="s">
        <v>2</v>
      </c>
      <c r="C1550" t="s">
        <v>635</v>
      </c>
      <c r="D1550">
        <v>47980</v>
      </c>
      <c r="E1550" t="s">
        <v>672</v>
      </c>
      <c r="F1550" t="s">
        <v>113</v>
      </c>
      <c r="G1550" t="s">
        <v>670</v>
      </c>
      <c r="H1550" t="s">
        <v>670</v>
      </c>
      <c r="I1550" t="s">
        <v>673</v>
      </c>
    </row>
    <row r="1551" spans="1:9" x14ac:dyDescent="0.25">
      <c r="A1551" t="s">
        <v>636</v>
      </c>
      <c r="B1551" t="s">
        <v>2</v>
      </c>
      <c r="C1551" t="s">
        <v>636</v>
      </c>
      <c r="D1551">
        <v>48140</v>
      </c>
      <c r="E1551" t="s">
        <v>672</v>
      </c>
      <c r="F1551" t="s">
        <v>3</v>
      </c>
      <c r="G1551" t="s">
        <v>670</v>
      </c>
      <c r="H1551" t="s">
        <v>670</v>
      </c>
      <c r="I1551">
        <v>1.484</v>
      </c>
    </row>
    <row r="1552" spans="1:9" x14ac:dyDescent="0.25">
      <c r="A1552" t="s">
        <v>636</v>
      </c>
      <c r="B1552" t="s">
        <v>2</v>
      </c>
      <c r="C1552" t="s">
        <v>636</v>
      </c>
      <c r="D1552">
        <v>48140</v>
      </c>
      <c r="E1552" t="s">
        <v>672</v>
      </c>
      <c r="F1552" t="s">
        <v>113</v>
      </c>
      <c r="G1552" t="s">
        <v>670</v>
      </c>
      <c r="H1552" t="s">
        <v>670</v>
      </c>
      <c r="I1552">
        <v>1.484</v>
      </c>
    </row>
    <row r="1553" spans="1:9" x14ac:dyDescent="0.25">
      <c r="A1553" t="s">
        <v>637</v>
      </c>
      <c r="B1553" t="s">
        <v>2</v>
      </c>
      <c r="C1553" t="s">
        <v>637</v>
      </c>
      <c r="D1553">
        <v>48220</v>
      </c>
      <c r="E1553" t="s">
        <v>672</v>
      </c>
      <c r="F1553" t="s">
        <v>3</v>
      </c>
      <c r="G1553" t="s">
        <v>670</v>
      </c>
      <c r="H1553" t="s">
        <v>670</v>
      </c>
      <c r="I1553" t="s">
        <v>673</v>
      </c>
    </row>
    <row r="1554" spans="1:9" x14ac:dyDescent="0.25">
      <c r="A1554" t="s">
        <v>637</v>
      </c>
      <c r="B1554" t="s">
        <v>2</v>
      </c>
      <c r="C1554" t="s">
        <v>637</v>
      </c>
      <c r="D1554">
        <v>48220</v>
      </c>
      <c r="E1554" t="s">
        <v>672</v>
      </c>
      <c r="F1554" t="s">
        <v>113</v>
      </c>
      <c r="G1554" t="s">
        <v>670</v>
      </c>
      <c r="H1554" t="s">
        <v>670</v>
      </c>
      <c r="I1554" t="s">
        <v>673</v>
      </c>
    </row>
    <row r="1555" spans="1:9" x14ac:dyDescent="0.25">
      <c r="A1555" t="s">
        <v>638</v>
      </c>
      <c r="B1555" t="s">
        <v>2</v>
      </c>
      <c r="C1555" t="s">
        <v>638</v>
      </c>
      <c r="D1555">
        <v>48300</v>
      </c>
      <c r="E1555" t="s">
        <v>672</v>
      </c>
      <c r="F1555" t="s">
        <v>3</v>
      </c>
      <c r="G1555" t="s">
        <v>670</v>
      </c>
      <c r="H1555" t="s">
        <v>670</v>
      </c>
      <c r="I1555">
        <v>2.0939999999999999</v>
      </c>
    </row>
    <row r="1556" spans="1:9" x14ac:dyDescent="0.25">
      <c r="A1556" t="s">
        <v>638</v>
      </c>
      <c r="B1556" t="s">
        <v>2</v>
      </c>
      <c r="C1556" t="s">
        <v>638</v>
      </c>
      <c r="D1556">
        <v>48300</v>
      </c>
      <c r="E1556" t="s">
        <v>672</v>
      </c>
      <c r="F1556" t="s">
        <v>113</v>
      </c>
      <c r="G1556" t="s">
        <v>670</v>
      </c>
      <c r="H1556" t="s">
        <v>670</v>
      </c>
      <c r="I1556">
        <v>2.1070000000000002</v>
      </c>
    </row>
    <row r="1557" spans="1:9" x14ac:dyDescent="0.25">
      <c r="A1557" t="s">
        <v>12</v>
      </c>
      <c r="B1557" t="s">
        <v>2</v>
      </c>
      <c r="C1557" t="s">
        <v>12</v>
      </c>
      <c r="D1557">
        <v>48424</v>
      </c>
      <c r="E1557" t="s">
        <v>669</v>
      </c>
      <c r="F1557" t="s">
        <v>118</v>
      </c>
      <c r="G1557" t="s">
        <v>670</v>
      </c>
      <c r="H1557" t="s">
        <v>670</v>
      </c>
      <c r="I1557">
        <v>2.4093894744391138</v>
      </c>
    </row>
    <row r="1558" spans="1:9" x14ac:dyDescent="0.25">
      <c r="A1558" t="s">
        <v>12</v>
      </c>
      <c r="B1558" t="s">
        <v>2</v>
      </c>
      <c r="C1558" t="s">
        <v>12</v>
      </c>
      <c r="D1558">
        <v>48424</v>
      </c>
      <c r="E1558" t="s">
        <v>671</v>
      </c>
      <c r="F1558" t="s">
        <v>116</v>
      </c>
      <c r="G1558" t="s">
        <v>670</v>
      </c>
      <c r="H1558" t="s">
        <v>670</v>
      </c>
      <c r="I1558">
        <v>0.6020516471334717</v>
      </c>
    </row>
    <row r="1559" spans="1:9" x14ac:dyDescent="0.25">
      <c r="A1559" t="s">
        <v>12</v>
      </c>
      <c r="B1559" t="s">
        <v>2</v>
      </c>
      <c r="C1559" t="s">
        <v>12</v>
      </c>
      <c r="D1559">
        <v>48424</v>
      </c>
      <c r="E1559" t="s">
        <v>672</v>
      </c>
      <c r="F1559" t="s">
        <v>3</v>
      </c>
      <c r="G1559" t="s">
        <v>670</v>
      </c>
      <c r="H1559" t="s">
        <v>670</v>
      </c>
      <c r="I1559">
        <v>2.4350000000000001</v>
      </c>
    </row>
    <row r="1560" spans="1:9" x14ac:dyDescent="0.25">
      <c r="A1560" t="s">
        <v>12</v>
      </c>
      <c r="B1560" t="s">
        <v>2</v>
      </c>
      <c r="C1560" t="s">
        <v>12</v>
      </c>
      <c r="D1560">
        <v>48424</v>
      </c>
      <c r="E1560" t="s">
        <v>672</v>
      </c>
      <c r="F1560" t="s">
        <v>113</v>
      </c>
      <c r="G1560" t="s">
        <v>670</v>
      </c>
      <c r="H1560" t="s">
        <v>670</v>
      </c>
      <c r="I1560">
        <v>2.4510000000000001</v>
      </c>
    </row>
    <row r="1561" spans="1:9" x14ac:dyDescent="0.25">
      <c r="A1561" t="s">
        <v>639</v>
      </c>
      <c r="B1561" t="s">
        <v>2</v>
      </c>
      <c r="C1561" t="s">
        <v>639</v>
      </c>
      <c r="D1561">
        <v>48540</v>
      </c>
      <c r="E1561" t="s">
        <v>669</v>
      </c>
      <c r="F1561" t="s">
        <v>118</v>
      </c>
      <c r="G1561" t="s">
        <v>670</v>
      </c>
      <c r="H1561" t="s">
        <v>670</v>
      </c>
      <c r="I1561">
        <v>1.096736206091947</v>
      </c>
    </row>
    <row r="1562" spans="1:9" x14ac:dyDescent="0.25">
      <c r="A1562" t="s">
        <v>639</v>
      </c>
      <c r="B1562" t="s">
        <v>2</v>
      </c>
      <c r="C1562" t="s">
        <v>639</v>
      </c>
      <c r="D1562">
        <v>48540</v>
      </c>
      <c r="E1562" t="s">
        <v>672</v>
      </c>
      <c r="F1562" t="s">
        <v>3</v>
      </c>
      <c r="G1562" t="s">
        <v>670</v>
      </c>
      <c r="H1562" t="s">
        <v>670</v>
      </c>
      <c r="I1562">
        <v>0.95499999999999996</v>
      </c>
    </row>
    <row r="1563" spans="1:9" x14ac:dyDescent="0.25">
      <c r="A1563" t="s">
        <v>639</v>
      </c>
      <c r="B1563" t="s">
        <v>2</v>
      </c>
      <c r="C1563" t="s">
        <v>639</v>
      </c>
      <c r="D1563">
        <v>48540</v>
      </c>
      <c r="E1563" t="s">
        <v>672</v>
      </c>
      <c r="F1563" t="s">
        <v>113</v>
      </c>
      <c r="G1563" t="s">
        <v>670</v>
      </c>
      <c r="H1563" t="s">
        <v>670</v>
      </c>
      <c r="I1563">
        <v>0.95499999999999996</v>
      </c>
    </row>
    <row r="1564" spans="1:9" x14ac:dyDescent="0.25">
      <c r="A1564" t="s">
        <v>640</v>
      </c>
      <c r="B1564" t="s">
        <v>2</v>
      </c>
      <c r="C1564" t="s">
        <v>640</v>
      </c>
      <c r="D1564">
        <v>48580</v>
      </c>
      <c r="E1564" t="s">
        <v>669</v>
      </c>
      <c r="F1564" t="s">
        <v>118</v>
      </c>
      <c r="G1564" t="s">
        <v>670</v>
      </c>
      <c r="H1564" t="s">
        <v>670</v>
      </c>
      <c r="I1564">
        <v>1.4568139862515621</v>
      </c>
    </row>
    <row r="1565" spans="1:9" x14ac:dyDescent="0.25">
      <c r="A1565" t="s">
        <v>640</v>
      </c>
      <c r="B1565" t="s">
        <v>2</v>
      </c>
      <c r="C1565" t="s">
        <v>640</v>
      </c>
      <c r="D1565">
        <v>48580</v>
      </c>
      <c r="E1565" t="s">
        <v>672</v>
      </c>
      <c r="F1565" t="s">
        <v>3</v>
      </c>
      <c r="G1565" t="s">
        <v>670</v>
      </c>
      <c r="H1565" t="s">
        <v>670</v>
      </c>
      <c r="I1565">
        <v>1.575</v>
      </c>
    </row>
    <row r="1566" spans="1:9" x14ac:dyDescent="0.25">
      <c r="A1566" t="s">
        <v>640</v>
      </c>
      <c r="B1566" t="s">
        <v>2</v>
      </c>
      <c r="C1566" t="s">
        <v>640</v>
      </c>
      <c r="D1566">
        <v>48580</v>
      </c>
      <c r="E1566" t="s">
        <v>672</v>
      </c>
      <c r="F1566" t="s">
        <v>113</v>
      </c>
      <c r="G1566" t="s">
        <v>670</v>
      </c>
      <c r="H1566" t="s">
        <v>670</v>
      </c>
      <c r="I1566">
        <v>1.575</v>
      </c>
    </row>
    <row r="1567" spans="1:9" x14ac:dyDescent="0.25">
      <c r="A1567" t="s">
        <v>641</v>
      </c>
      <c r="B1567" t="s">
        <v>2</v>
      </c>
      <c r="C1567" t="s">
        <v>641</v>
      </c>
      <c r="D1567">
        <v>48660</v>
      </c>
      <c r="E1567" t="s">
        <v>669</v>
      </c>
      <c r="F1567" t="s">
        <v>118</v>
      </c>
      <c r="G1567" t="s">
        <v>670</v>
      </c>
      <c r="H1567" t="s">
        <v>670</v>
      </c>
      <c r="I1567">
        <v>0.99972503154672243</v>
      </c>
    </row>
    <row r="1568" spans="1:9" x14ac:dyDescent="0.25">
      <c r="A1568" t="s">
        <v>641</v>
      </c>
      <c r="B1568" t="s">
        <v>2</v>
      </c>
      <c r="C1568" t="s">
        <v>641</v>
      </c>
      <c r="D1568">
        <v>48660</v>
      </c>
      <c r="E1568" t="s">
        <v>671</v>
      </c>
      <c r="F1568" t="s">
        <v>116</v>
      </c>
      <c r="G1568" t="s">
        <v>670</v>
      </c>
      <c r="H1568" t="s">
        <v>670</v>
      </c>
      <c r="I1568">
        <v>0.45280404278582614</v>
      </c>
    </row>
    <row r="1569" spans="1:9" x14ac:dyDescent="0.25">
      <c r="A1569" t="s">
        <v>641</v>
      </c>
      <c r="B1569" t="s">
        <v>2</v>
      </c>
      <c r="C1569" t="s">
        <v>641</v>
      </c>
      <c r="D1569">
        <v>48660</v>
      </c>
      <c r="E1569" t="s">
        <v>672</v>
      </c>
      <c r="F1569" t="s">
        <v>3</v>
      </c>
      <c r="G1569" t="s">
        <v>670</v>
      </c>
      <c r="H1569" t="s">
        <v>670</v>
      </c>
      <c r="I1569">
        <v>1.08</v>
      </c>
    </row>
    <row r="1570" spans="1:9" x14ac:dyDescent="0.25">
      <c r="A1570" t="s">
        <v>641</v>
      </c>
      <c r="B1570" t="s">
        <v>2</v>
      </c>
      <c r="C1570" t="s">
        <v>641</v>
      </c>
      <c r="D1570">
        <v>48660</v>
      </c>
      <c r="E1570" t="s">
        <v>672</v>
      </c>
      <c r="F1570" t="s">
        <v>113</v>
      </c>
      <c r="G1570" t="s">
        <v>670</v>
      </c>
      <c r="H1570" t="s">
        <v>670</v>
      </c>
      <c r="I1570">
        <v>1.083</v>
      </c>
    </row>
    <row r="1571" spans="1:9" x14ac:dyDescent="0.25">
      <c r="A1571" t="s">
        <v>642</v>
      </c>
      <c r="B1571" t="s">
        <v>2</v>
      </c>
      <c r="C1571" t="s">
        <v>642</v>
      </c>
      <c r="D1571">
        <v>48620</v>
      </c>
      <c r="E1571" t="s">
        <v>669</v>
      </c>
      <c r="F1571" t="s">
        <v>118</v>
      </c>
      <c r="G1571" t="s">
        <v>670</v>
      </c>
      <c r="H1571" t="s">
        <v>670</v>
      </c>
      <c r="I1571">
        <v>1.0350253836534313</v>
      </c>
    </row>
    <row r="1572" spans="1:9" x14ac:dyDescent="0.25">
      <c r="A1572" t="s">
        <v>642</v>
      </c>
      <c r="B1572" t="s">
        <v>2</v>
      </c>
      <c r="C1572" t="s">
        <v>642</v>
      </c>
      <c r="D1572">
        <v>48620</v>
      </c>
      <c r="E1572" t="s">
        <v>671</v>
      </c>
      <c r="F1572" t="s">
        <v>116</v>
      </c>
      <c r="G1572" t="s">
        <v>670</v>
      </c>
      <c r="H1572" t="s">
        <v>670</v>
      </c>
      <c r="I1572">
        <v>0.57959844592582299</v>
      </c>
    </row>
    <row r="1573" spans="1:9" x14ac:dyDescent="0.25">
      <c r="A1573" t="s">
        <v>642</v>
      </c>
      <c r="B1573" t="s">
        <v>2</v>
      </c>
      <c r="C1573" t="s">
        <v>642</v>
      </c>
      <c r="D1573">
        <v>48620</v>
      </c>
      <c r="E1573" t="s">
        <v>672</v>
      </c>
      <c r="F1573" t="s">
        <v>3</v>
      </c>
      <c r="G1573" t="s">
        <v>670</v>
      </c>
      <c r="H1573" t="s">
        <v>670</v>
      </c>
      <c r="I1573">
        <v>1.1579999999999999</v>
      </c>
    </row>
    <row r="1574" spans="1:9" x14ac:dyDescent="0.25">
      <c r="A1574" t="s">
        <v>642</v>
      </c>
      <c r="B1574" t="s">
        <v>2</v>
      </c>
      <c r="C1574" t="s">
        <v>642</v>
      </c>
      <c r="D1574">
        <v>48620</v>
      </c>
      <c r="E1574" t="s">
        <v>672</v>
      </c>
      <c r="F1574" t="s">
        <v>113</v>
      </c>
      <c r="G1574" t="s">
        <v>670</v>
      </c>
      <c r="H1574" t="s">
        <v>670</v>
      </c>
      <c r="I1574">
        <v>1.1619999999999999</v>
      </c>
    </row>
    <row r="1575" spans="1:9" x14ac:dyDescent="0.25">
      <c r="A1575" t="s">
        <v>643</v>
      </c>
      <c r="B1575" t="s">
        <v>2</v>
      </c>
      <c r="C1575" t="s">
        <v>643</v>
      </c>
      <c r="D1575">
        <v>48680</v>
      </c>
      <c r="E1575" t="s">
        <v>672</v>
      </c>
      <c r="F1575" t="s">
        <v>3</v>
      </c>
      <c r="G1575" t="s">
        <v>670</v>
      </c>
      <c r="H1575" t="s">
        <v>670</v>
      </c>
      <c r="I1575">
        <v>1.4039999999999999</v>
      </c>
    </row>
    <row r="1576" spans="1:9" x14ac:dyDescent="0.25">
      <c r="A1576" t="s">
        <v>643</v>
      </c>
      <c r="B1576" t="s">
        <v>2</v>
      </c>
      <c r="C1576" t="s">
        <v>643</v>
      </c>
      <c r="D1576">
        <v>48680</v>
      </c>
      <c r="E1576" t="s">
        <v>672</v>
      </c>
      <c r="F1576" t="s">
        <v>113</v>
      </c>
      <c r="G1576" t="s">
        <v>670</v>
      </c>
      <c r="H1576" t="s">
        <v>670</v>
      </c>
      <c r="I1576">
        <v>1.5569999999999999</v>
      </c>
    </row>
    <row r="1577" spans="1:9" x14ac:dyDescent="0.25">
      <c r="A1577" t="s">
        <v>644</v>
      </c>
      <c r="B1577" t="s">
        <v>2</v>
      </c>
      <c r="C1577" t="s">
        <v>644</v>
      </c>
      <c r="D1577">
        <v>48700</v>
      </c>
      <c r="E1577" t="s">
        <v>672</v>
      </c>
      <c r="F1577" t="s">
        <v>3</v>
      </c>
      <c r="G1577" t="s">
        <v>670</v>
      </c>
      <c r="H1577" t="s">
        <v>670</v>
      </c>
      <c r="I1577" t="s">
        <v>673</v>
      </c>
    </row>
    <row r="1578" spans="1:9" x14ac:dyDescent="0.25">
      <c r="A1578" t="s">
        <v>644</v>
      </c>
      <c r="B1578" t="s">
        <v>2</v>
      </c>
      <c r="C1578" t="s">
        <v>644</v>
      </c>
      <c r="D1578">
        <v>48700</v>
      </c>
      <c r="E1578" t="s">
        <v>672</v>
      </c>
      <c r="F1578" t="s">
        <v>113</v>
      </c>
      <c r="G1578" t="s">
        <v>670</v>
      </c>
      <c r="H1578" t="s">
        <v>670</v>
      </c>
      <c r="I1578" t="s">
        <v>673</v>
      </c>
    </row>
    <row r="1579" spans="1:9" x14ac:dyDescent="0.25">
      <c r="A1579" t="s">
        <v>645</v>
      </c>
      <c r="B1579" t="s">
        <v>2</v>
      </c>
      <c r="C1579" t="s">
        <v>645</v>
      </c>
      <c r="D1579">
        <v>48780</v>
      </c>
      <c r="E1579" t="s">
        <v>669</v>
      </c>
      <c r="F1579" t="s">
        <v>118</v>
      </c>
      <c r="G1579" t="s">
        <v>670</v>
      </c>
      <c r="H1579" t="s">
        <v>670</v>
      </c>
      <c r="I1579">
        <v>1.3310730989253361</v>
      </c>
    </row>
    <row r="1580" spans="1:9" x14ac:dyDescent="0.25">
      <c r="A1580" t="s">
        <v>645</v>
      </c>
      <c r="B1580" t="s">
        <v>2</v>
      </c>
      <c r="C1580" t="s">
        <v>645</v>
      </c>
      <c r="D1580">
        <v>48780</v>
      </c>
      <c r="E1580" t="s">
        <v>671</v>
      </c>
      <c r="F1580" t="s">
        <v>116</v>
      </c>
      <c r="G1580" t="s">
        <v>670</v>
      </c>
      <c r="H1580" t="s">
        <v>670</v>
      </c>
      <c r="I1580">
        <v>0.60420247691780482</v>
      </c>
    </row>
    <row r="1581" spans="1:9" x14ac:dyDescent="0.25">
      <c r="A1581" t="s">
        <v>645</v>
      </c>
      <c r="B1581" t="s">
        <v>2</v>
      </c>
      <c r="C1581" t="s">
        <v>645</v>
      </c>
      <c r="D1581">
        <v>48780</v>
      </c>
      <c r="E1581" t="s">
        <v>672</v>
      </c>
      <c r="F1581" t="s">
        <v>3</v>
      </c>
      <c r="G1581" t="s">
        <v>670</v>
      </c>
      <c r="H1581" t="s">
        <v>670</v>
      </c>
      <c r="I1581">
        <v>1.3160000000000001</v>
      </c>
    </row>
    <row r="1582" spans="1:9" x14ac:dyDescent="0.25">
      <c r="A1582" t="s">
        <v>645</v>
      </c>
      <c r="B1582" t="s">
        <v>2</v>
      </c>
      <c r="C1582" t="s">
        <v>645</v>
      </c>
      <c r="D1582">
        <v>48780</v>
      </c>
      <c r="E1582" t="s">
        <v>672</v>
      </c>
      <c r="F1582" t="s">
        <v>113</v>
      </c>
      <c r="G1582" t="s">
        <v>670</v>
      </c>
      <c r="H1582" t="s">
        <v>670</v>
      </c>
      <c r="I1582">
        <v>1.325</v>
      </c>
    </row>
    <row r="1583" spans="1:9" x14ac:dyDescent="0.25">
      <c r="A1583" t="s">
        <v>646</v>
      </c>
      <c r="B1583" t="s">
        <v>2</v>
      </c>
      <c r="C1583" t="s">
        <v>646</v>
      </c>
      <c r="D1583">
        <v>48820</v>
      </c>
      <c r="E1583" t="s">
        <v>672</v>
      </c>
      <c r="F1583" t="s">
        <v>3</v>
      </c>
      <c r="G1583" t="s">
        <v>670</v>
      </c>
      <c r="H1583" t="s">
        <v>670</v>
      </c>
      <c r="I1583" t="s">
        <v>673</v>
      </c>
    </row>
    <row r="1584" spans="1:9" x14ac:dyDescent="0.25">
      <c r="A1584" t="s">
        <v>646</v>
      </c>
      <c r="B1584" t="s">
        <v>2</v>
      </c>
      <c r="C1584" t="s">
        <v>646</v>
      </c>
      <c r="D1584">
        <v>48820</v>
      </c>
      <c r="E1584" t="s">
        <v>672</v>
      </c>
      <c r="F1584" t="s">
        <v>113</v>
      </c>
      <c r="G1584" t="s">
        <v>670</v>
      </c>
      <c r="H1584" t="s">
        <v>670</v>
      </c>
      <c r="I1584" t="s">
        <v>673</v>
      </c>
    </row>
    <row r="1585" spans="1:9" x14ac:dyDescent="0.25">
      <c r="A1585" t="s">
        <v>647</v>
      </c>
      <c r="B1585" t="s">
        <v>2</v>
      </c>
      <c r="C1585" t="s">
        <v>647</v>
      </c>
      <c r="D1585">
        <v>48900</v>
      </c>
      <c r="E1585" t="s">
        <v>669</v>
      </c>
      <c r="F1585" t="s">
        <v>118</v>
      </c>
      <c r="G1585" t="s">
        <v>670</v>
      </c>
      <c r="H1585" t="s">
        <v>670</v>
      </c>
      <c r="I1585">
        <v>1.5071999257933675</v>
      </c>
    </row>
    <row r="1586" spans="1:9" x14ac:dyDescent="0.25">
      <c r="A1586" t="s">
        <v>647</v>
      </c>
      <c r="B1586" t="s">
        <v>2</v>
      </c>
      <c r="C1586" t="s">
        <v>647</v>
      </c>
      <c r="D1586">
        <v>48900</v>
      </c>
      <c r="E1586" t="s">
        <v>671</v>
      </c>
      <c r="F1586" t="s">
        <v>116</v>
      </c>
      <c r="G1586" t="s">
        <v>670</v>
      </c>
      <c r="H1586" t="s">
        <v>670</v>
      </c>
      <c r="I1586">
        <v>0.60293366338970333</v>
      </c>
    </row>
    <row r="1587" spans="1:9" x14ac:dyDescent="0.25">
      <c r="A1587" t="s">
        <v>647</v>
      </c>
      <c r="B1587" t="s">
        <v>2</v>
      </c>
      <c r="C1587" t="s">
        <v>647</v>
      </c>
      <c r="D1587">
        <v>48900</v>
      </c>
      <c r="E1587" t="s">
        <v>672</v>
      </c>
      <c r="F1587" t="s">
        <v>3</v>
      </c>
      <c r="G1587" t="s">
        <v>670</v>
      </c>
      <c r="H1587" t="s">
        <v>670</v>
      </c>
      <c r="I1587">
        <v>1.518</v>
      </c>
    </row>
    <row r="1588" spans="1:9" x14ac:dyDescent="0.25">
      <c r="A1588" t="s">
        <v>647</v>
      </c>
      <c r="B1588" t="s">
        <v>2</v>
      </c>
      <c r="C1588" t="s">
        <v>647</v>
      </c>
      <c r="D1588">
        <v>48900</v>
      </c>
      <c r="E1588" t="s">
        <v>672</v>
      </c>
      <c r="F1588" t="s">
        <v>113</v>
      </c>
      <c r="G1588" t="s">
        <v>670</v>
      </c>
      <c r="H1588" t="s">
        <v>670</v>
      </c>
      <c r="I1588">
        <v>1.5580000000000001</v>
      </c>
    </row>
    <row r="1589" spans="1:9" x14ac:dyDescent="0.25">
      <c r="A1589" t="s">
        <v>648</v>
      </c>
      <c r="B1589" t="s">
        <v>2</v>
      </c>
      <c r="C1589" t="s">
        <v>648</v>
      </c>
      <c r="D1589">
        <v>48980</v>
      </c>
      <c r="E1589" t="s">
        <v>672</v>
      </c>
      <c r="F1589" t="s">
        <v>3</v>
      </c>
      <c r="G1589" t="s">
        <v>670</v>
      </c>
      <c r="H1589" t="s">
        <v>670</v>
      </c>
      <c r="I1589">
        <v>1.246</v>
      </c>
    </row>
    <row r="1590" spans="1:9" x14ac:dyDescent="0.25">
      <c r="A1590" t="s">
        <v>648</v>
      </c>
      <c r="B1590" t="s">
        <v>2</v>
      </c>
      <c r="C1590" t="s">
        <v>648</v>
      </c>
      <c r="D1590">
        <v>48980</v>
      </c>
      <c r="E1590" t="s">
        <v>672</v>
      </c>
      <c r="F1590" t="s">
        <v>113</v>
      </c>
      <c r="G1590" t="s">
        <v>670</v>
      </c>
      <c r="H1590" t="s">
        <v>670</v>
      </c>
      <c r="I1590">
        <v>1.2490000000000001</v>
      </c>
    </row>
    <row r="1591" spans="1:9" x14ac:dyDescent="0.25">
      <c r="A1591" t="s">
        <v>649</v>
      </c>
      <c r="B1591" t="s">
        <v>2</v>
      </c>
      <c r="C1591" t="s">
        <v>649</v>
      </c>
      <c r="D1591">
        <v>49020</v>
      </c>
      <c r="E1591" t="s">
        <v>672</v>
      </c>
      <c r="F1591" t="s">
        <v>3</v>
      </c>
      <c r="G1591" t="s">
        <v>670</v>
      </c>
      <c r="H1591" t="s">
        <v>670</v>
      </c>
      <c r="I1591">
        <v>1.6419999999999999</v>
      </c>
    </row>
    <row r="1592" spans="1:9" x14ac:dyDescent="0.25">
      <c r="A1592" t="s">
        <v>649</v>
      </c>
      <c r="B1592" t="s">
        <v>2</v>
      </c>
      <c r="C1592" t="s">
        <v>649</v>
      </c>
      <c r="D1592">
        <v>49020</v>
      </c>
      <c r="E1592" t="s">
        <v>672</v>
      </c>
      <c r="F1592" t="s">
        <v>113</v>
      </c>
      <c r="G1592" t="s">
        <v>670</v>
      </c>
      <c r="H1592" t="s">
        <v>670</v>
      </c>
      <c r="I1592">
        <v>1.647</v>
      </c>
    </row>
    <row r="1593" spans="1:9" x14ac:dyDescent="0.25">
      <c r="A1593" t="s">
        <v>650</v>
      </c>
      <c r="B1593" t="s">
        <v>2</v>
      </c>
      <c r="C1593" t="s">
        <v>650</v>
      </c>
      <c r="D1593">
        <v>49100</v>
      </c>
      <c r="E1593" t="s">
        <v>672</v>
      </c>
      <c r="F1593" t="s">
        <v>3</v>
      </c>
      <c r="G1593" t="s">
        <v>670</v>
      </c>
      <c r="H1593" t="s">
        <v>670</v>
      </c>
      <c r="I1593" t="s">
        <v>673</v>
      </c>
    </row>
    <row r="1594" spans="1:9" x14ac:dyDescent="0.25">
      <c r="A1594" t="s">
        <v>650</v>
      </c>
      <c r="B1594" t="s">
        <v>2</v>
      </c>
      <c r="C1594" t="s">
        <v>650</v>
      </c>
      <c r="D1594">
        <v>49100</v>
      </c>
      <c r="E1594" t="s">
        <v>672</v>
      </c>
      <c r="F1594" t="s">
        <v>113</v>
      </c>
      <c r="G1594" t="s">
        <v>670</v>
      </c>
      <c r="H1594" t="s">
        <v>670</v>
      </c>
      <c r="I1594" t="s">
        <v>673</v>
      </c>
    </row>
    <row r="1595" spans="1:9" x14ac:dyDescent="0.25">
      <c r="A1595" t="s">
        <v>651</v>
      </c>
      <c r="B1595" t="s">
        <v>2</v>
      </c>
      <c r="C1595" t="s">
        <v>651</v>
      </c>
      <c r="D1595">
        <v>49300</v>
      </c>
      <c r="E1595" t="s">
        <v>669</v>
      </c>
      <c r="F1595" t="s">
        <v>118</v>
      </c>
      <c r="G1595" t="s">
        <v>670</v>
      </c>
      <c r="H1595" t="s">
        <v>670</v>
      </c>
      <c r="I1595">
        <v>1.0458403908727114</v>
      </c>
    </row>
    <row r="1596" spans="1:9" x14ac:dyDescent="0.25">
      <c r="A1596" t="s">
        <v>651</v>
      </c>
      <c r="B1596" t="s">
        <v>2</v>
      </c>
      <c r="C1596" t="s">
        <v>651</v>
      </c>
      <c r="D1596">
        <v>49300</v>
      </c>
      <c r="E1596" t="s">
        <v>672</v>
      </c>
      <c r="F1596" t="s">
        <v>3</v>
      </c>
      <c r="G1596" t="s">
        <v>670</v>
      </c>
      <c r="H1596" t="s">
        <v>670</v>
      </c>
      <c r="I1596">
        <v>1.351</v>
      </c>
    </row>
    <row r="1597" spans="1:9" x14ac:dyDescent="0.25">
      <c r="A1597" t="s">
        <v>651</v>
      </c>
      <c r="B1597" t="s">
        <v>2</v>
      </c>
      <c r="C1597" t="s">
        <v>651</v>
      </c>
      <c r="D1597">
        <v>49300</v>
      </c>
      <c r="E1597" t="s">
        <v>672</v>
      </c>
      <c r="F1597" t="s">
        <v>113</v>
      </c>
      <c r="G1597" t="s">
        <v>670</v>
      </c>
      <c r="H1597" t="s">
        <v>670</v>
      </c>
      <c r="I1597">
        <v>1.375</v>
      </c>
    </row>
    <row r="1598" spans="1:9" x14ac:dyDescent="0.25">
      <c r="A1598" t="s">
        <v>652</v>
      </c>
      <c r="B1598" t="s">
        <v>2</v>
      </c>
      <c r="C1598" t="s">
        <v>652</v>
      </c>
      <c r="D1598">
        <v>249340</v>
      </c>
      <c r="E1598" t="s">
        <v>669</v>
      </c>
      <c r="F1598" t="s">
        <v>118</v>
      </c>
      <c r="G1598" t="s">
        <v>670</v>
      </c>
      <c r="H1598" t="s">
        <v>670</v>
      </c>
      <c r="I1598">
        <v>2.2939368748872617</v>
      </c>
    </row>
    <row r="1599" spans="1:9" x14ac:dyDescent="0.25">
      <c r="A1599" t="s">
        <v>652</v>
      </c>
      <c r="B1599" t="s">
        <v>2</v>
      </c>
      <c r="C1599" t="s">
        <v>652</v>
      </c>
      <c r="D1599">
        <v>249340</v>
      </c>
      <c r="E1599" t="s">
        <v>671</v>
      </c>
      <c r="F1599" t="s">
        <v>116</v>
      </c>
      <c r="G1599" t="s">
        <v>670</v>
      </c>
      <c r="H1599" t="s">
        <v>670</v>
      </c>
      <c r="I1599">
        <v>0.49659172634854937</v>
      </c>
    </row>
    <row r="1600" spans="1:9" x14ac:dyDescent="0.25">
      <c r="A1600" t="s">
        <v>652</v>
      </c>
      <c r="B1600" t="s">
        <v>2</v>
      </c>
      <c r="C1600" t="s">
        <v>652</v>
      </c>
      <c r="D1600">
        <v>249340</v>
      </c>
      <c r="E1600" t="s">
        <v>672</v>
      </c>
      <c r="F1600" t="s">
        <v>3</v>
      </c>
      <c r="G1600" t="s">
        <v>670</v>
      </c>
      <c r="H1600" t="s">
        <v>670</v>
      </c>
      <c r="I1600">
        <v>2.456</v>
      </c>
    </row>
    <row r="1601" spans="1:9" x14ac:dyDescent="0.25">
      <c r="A1601" t="s">
        <v>652</v>
      </c>
      <c r="B1601" t="s">
        <v>2</v>
      </c>
      <c r="C1601" t="s">
        <v>652</v>
      </c>
      <c r="D1601">
        <v>249340</v>
      </c>
      <c r="E1601" t="s">
        <v>672</v>
      </c>
      <c r="F1601" t="s">
        <v>113</v>
      </c>
      <c r="G1601" t="s">
        <v>670</v>
      </c>
      <c r="H1601" t="s">
        <v>670</v>
      </c>
      <c r="I1601">
        <v>2.4820000000000002</v>
      </c>
    </row>
    <row r="1602" spans="1:9" x14ac:dyDescent="0.25">
      <c r="A1602" t="s">
        <v>653</v>
      </c>
      <c r="B1602" t="s">
        <v>2</v>
      </c>
      <c r="C1602" t="s">
        <v>653</v>
      </c>
      <c r="D1602">
        <v>49420</v>
      </c>
      <c r="E1602" t="s">
        <v>669</v>
      </c>
      <c r="F1602" t="s">
        <v>118</v>
      </c>
      <c r="G1602" t="s">
        <v>670</v>
      </c>
      <c r="H1602" t="s">
        <v>670</v>
      </c>
      <c r="I1602">
        <v>0.76970680313481465</v>
      </c>
    </row>
    <row r="1603" spans="1:9" x14ac:dyDescent="0.25">
      <c r="A1603" t="s">
        <v>653</v>
      </c>
      <c r="B1603" t="s">
        <v>2</v>
      </c>
      <c r="C1603" t="s">
        <v>653</v>
      </c>
      <c r="D1603">
        <v>49420</v>
      </c>
      <c r="E1603" t="s">
        <v>672</v>
      </c>
      <c r="F1603" t="s">
        <v>3</v>
      </c>
      <c r="G1603" t="s">
        <v>670</v>
      </c>
      <c r="H1603" t="s">
        <v>670</v>
      </c>
      <c r="I1603" t="s">
        <v>673</v>
      </c>
    </row>
    <row r="1604" spans="1:9" x14ac:dyDescent="0.25">
      <c r="A1604" t="s">
        <v>653</v>
      </c>
      <c r="B1604" t="s">
        <v>2</v>
      </c>
      <c r="C1604" t="s">
        <v>653</v>
      </c>
      <c r="D1604">
        <v>49420</v>
      </c>
      <c r="E1604" t="s">
        <v>672</v>
      </c>
      <c r="F1604" t="s">
        <v>113</v>
      </c>
      <c r="G1604" t="s">
        <v>670</v>
      </c>
      <c r="H1604" t="s">
        <v>670</v>
      </c>
      <c r="I1604" t="s">
        <v>673</v>
      </c>
    </row>
    <row r="1605" spans="1:9" x14ac:dyDescent="0.25">
      <c r="A1605" t="s">
        <v>654</v>
      </c>
      <c r="B1605" t="s">
        <v>2</v>
      </c>
      <c r="C1605" t="s">
        <v>654</v>
      </c>
      <c r="D1605">
        <v>49620</v>
      </c>
      <c r="E1605" t="s">
        <v>672</v>
      </c>
      <c r="F1605" t="s">
        <v>3</v>
      </c>
      <c r="G1605" t="s">
        <v>670</v>
      </c>
      <c r="H1605" t="s">
        <v>670</v>
      </c>
      <c r="I1605">
        <v>1.5369999999999999</v>
      </c>
    </row>
    <row r="1606" spans="1:9" x14ac:dyDescent="0.25">
      <c r="A1606" t="s">
        <v>654</v>
      </c>
      <c r="B1606" t="s">
        <v>2</v>
      </c>
      <c r="C1606" t="s">
        <v>654</v>
      </c>
      <c r="D1606">
        <v>49620</v>
      </c>
      <c r="E1606" t="s">
        <v>672</v>
      </c>
      <c r="F1606" t="s">
        <v>113</v>
      </c>
      <c r="G1606" t="s">
        <v>670</v>
      </c>
      <c r="H1606" t="s">
        <v>670</v>
      </c>
      <c r="I1606">
        <v>1.54</v>
      </c>
    </row>
    <row r="1607" spans="1:9" x14ac:dyDescent="0.25">
      <c r="A1607" t="s">
        <v>655</v>
      </c>
      <c r="B1607" t="s">
        <v>2</v>
      </c>
      <c r="C1607" t="s">
        <v>655</v>
      </c>
      <c r="D1607">
        <v>249660</v>
      </c>
      <c r="E1607" t="s">
        <v>669</v>
      </c>
      <c r="F1607" t="s">
        <v>118</v>
      </c>
      <c r="G1607" t="s">
        <v>670</v>
      </c>
      <c r="H1607" t="s">
        <v>670</v>
      </c>
      <c r="I1607">
        <v>1.1763552102622961</v>
      </c>
    </row>
    <row r="1608" spans="1:9" x14ac:dyDescent="0.25">
      <c r="A1608" t="s">
        <v>655</v>
      </c>
      <c r="B1608" t="s">
        <v>2</v>
      </c>
      <c r="C1608" t="s">
        <v>655</v>
      </c>
      <c r="D1608">
        <v>249660</v>
      </c>
      <c r="E1608" t="s">
        <v>671</v>
      </c>
      <c r="F1608" t="s">
        <v>116</v>
      </c>
      <c r="G1608" t="s">
        <v>670</v>
      </c>
      <c r="H1608" t="s">
        <v>670</v>
      </c>
      <c r="I1608">
        <v>0.4902733605863559</v>
      </c>
    </row>
    <row r="1609" spans="1:9" x14ac:dyDescent="0.25">
      <c r="A1609" t="s">
        <v>655</v>
      </c>
      <c r="B1609" t="s">
        <v>2</v>
      </c>
      <c r="C1609" t="s">
        <v>655</v>
      </c>
      <c r="D1609">
        <v>249660</v>
      </c>
      <c r="E1609" t="s">
        <v>672</v>
      </c>
      <c r="F1609" t="s">
        <v>3</v>
      </c>
      <c r="G1609" t="s">
        <v>670</v>
      </c>
      <c r="H1609" t="s">
        <v>670</v>
      </c>
      <c r="I1609">
        <v>1.1040000000000001</v>
      </c>
    </row>
    <row r="1610" spans="1:9" x14ac:dyDescent="0.25">
      <c r="A1610" t="s">
        <v>655</v>
      </c>
      <c r="B1610" t="s">
        <v>2</v>
      </c>
      <c r="C1610" t="s">
        <v>655</v>
      </c>
      <c r="D1610">
        <v>249660</v>
      </c>
      <c r="E1610" t="s">
        <v>672</v>
      </c>
      <c r="F1610" t="s">
        <v>113</v>
      </c>
      <c r="G1610" t="s">
        <v>670</v>
      </c>
      <c r="H1610" t="s">
        <v>670</v>
      </c>
      <c r="I1610">
        <v>1.107</v>
      </c>
    </row>
    <row r="1611" spans="1:9" x14ac:dyDescent="0.25">
      <c r="A1611" t="s">
        <v>656</v>
      </c>
      <c r="B1611" t="s">
        <v>2</v>
      </c>
      <c r="C1611" t="s">
        <v>656</v>
      </c>
      <c r="D1611">
        <v>49700</v>
      </c>
      <c r="E1611" t="s">
        <v>669</v>
      </c>
      <c r="F1611" t="s">
        <v>118</v>
      </c>
      <c r="G1611" t="s">
        <v>670</v>
      </c>
      <c r="H1611" t="s">
        <v>670</v>
      </c>
      <c r="I1611">
        <v>1.3371787616234074</v>
      </c>
    </row>
    <row r="1612" spans="1:9" x14ac:dyDescent="0.25">
      <c r="A1612" t="s">
        <v>656</v>
      </c>
      <c r="B1612" t="s">
        <v>2</v>
      </c>
      <c r="C1612" t="s">
        <v>656</v>
      </c>
      <c r="D1612">
        <v>49700</v>
      </c>
      <c r="E1612" t="s">
        <v>672</v>
      </c>
      <c r="F1612" t="s">
        <v>3</v>
      </c>
      <c r="G1612" t="s">
        <v>670</v>
      </c>
      <c r="H1612" t="s">
        <v>670</v>
      </c>
      <c r="I1612">
        <v>1.7629999999999999</v>
      </c>
    </row>
    <row r="1613" spans="1:9" x14ac:dyDescent="0.25">
      <c r="A1613" t="s">
        <v>656</v>
      </c>
      <c r="B1613" t="s">
        <v>2</v>
      </c>
      <c r="C1613" t="s">
        <v>656</v>
      </c>
      <c r="D1613">
        <v>49700</v>
      </c>
      <c r="E1613" t="s">
        <v>672</v>
      </c>
      <c r="F1613" t="s">
        <v>113</v>
      </c>
      <c r="G1613" t="s">
        <v>670</v>
      </c>
      <c r="H1613" t="s">
        <v>670</v>
      </c>
      <c r="I1613">
        <v>1.7629999999999999</v>
      </c>
    </row>
    <row r="1614" spans="1:9" x14ac:dyDescent="0.25">
      <c r="A1614" t="s">
        <v>657</v>
      </c>
      <c r="B1614" t="s">
        <v>2</v>
      </c>
      <c r="C1614" t="s">
        <v>657</v>
      </c>
      <c r="D1614">
        <v>49740</v>
      </c>
      <c r="E1614" t="s">
        <v>672</v>
      </c>
      <c r="F1614" t="s">
        <v>3</v>
      </c>
      <c r="G1614" t="s">
        <v>670</v>
      </c>
      <c r="H1614" t="s">
        <v>670</v>
      </c>
      <c r="I1614">
        <v>1.4910000000000001</v>
      </c>
    </row>
    <row r="1615" spans="1:9" x14ac:dyDescent="0.25">
      <c r="A1615" t="s">
        <v>657</v>
      </c>
      <c r="B1615" t="s">
        <v>2</v>
      </c>
      <c r="C1615" t="s">
        <v>657</v>
      </c>
      <c r="D1615">
        <v>49740</v>
      </c>
      <c r="E1615" t="s">
        <v>672</v>
      </c>
      <c r="F1615" t="s">
        <v>113</v>
      </c>
      <c r="G1615" t="s">
        <v>670</v>
      </c>
      <c r="H1615" t="s">
        <v>670</v>
      </c>
      <c r="I1615">
        <v>1.4990000000000001</v>
      </c>
    </row>
    <row r="1616" spans="1:9" x14ac:dyDescent="0.25">
      <c r="A1616" t="s">
        <v>658</v>
      </c>
      <c r="B1616" t="s">
        <v>2</v>
      </c>
      <c r="C1616" t="s">
        <v>658</v>
      </c>
      <c r="D1616">
        <v>49780</v>
      </c>
      <c r="E1616" t="s">
        <v>672</v>
      </c>
      <c r="F1616" t="s">
        <v>3</v>
      </c>
      <c r="G1616" t="s">
        <v>670</v>
      </c>
      <c r="H1616" t="s">
        <v>670</v>
      </c>
      <c r="I1616" t="s">
        <v>673</v>
      </c>
    </row>
    <row r="1617" spans="1:9" x14ac:dyDescent="0.25">
      <c r="A1617" t="s">
        <v>658</v>
      </c>
      <c r="B1617" t="s">
        <v>2</v>
      </c>
      <c r="C1617" t="s">
        <v>658</v>
      </c>
      <c r="D1617">
        <v>49780</v>
      </c>
      <c r="E1617" t="s">
        <v>672</v>
      </c>
      <c r="F1617" t="s">
        <v>113</v>
      </c>
      <c r="G1617" t="s">
        <v>670</v>
      </c>
      <c r="H1617" t="s">
        <v>670</v>
      </c>
      <c r="I1617" t="s">
        <v>673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AAC9-33F8-47F6-89E6-303444CBD013}">
  <dimension ref="A1:L101"/>
  <sheetViews>
    <sheetView workbookViewId="0">
      <selection activeCell="I13" sqref="I13"/>
    </sheetView>
  </sheetViews>
  <sheetFormatPr defaultRowHeight="15" x14ac:dyDescent="0.25"/>
  <cols>
    <col min="1" max="1" width="50.85546875" bestFit="1" customWidth="1"/>
    <col min="2" max="2" width="15.5703125" bestFit="1" customWidth="1"/>
    <col min="3" max="3" width="49.85546875" bestFit="1" customWidth="1"/>
    <col min="4" max="4" width="9.85546875" bestFit="1" customWidth="1"/>
    <col min="5" max="5" width="16.5703125" bestFit="1" customWidth="1"/>
    <col min="6" max="6" width="12.7109375" bestFit="1" customWidth="1"/>
  </cols>
  <sheetData>
    <row r="1" spans="1:12" x14ac:dyDescent="0.25">
      <c r="A1" s="51" t="s">
        <v>660</v>
      </c>
      <c r="B1" s="51" t="s">
        <v>661</v>
      </c>
      <c r="C1" s="51" t="s">
        <v>662</v>
      </c>
      <c r="D1" s="51" t="s">
        <v>663</v>
      </c>
      <c r="E1" s="51" t="s">
        <v>664</v>
      </c>
      <c r="F1" s="51" t="s">
        <v>665</v>
      </c>
      <c r="G1" s="51" t="s">
        <v>666</v>
      </c>
      <c r="H1" s="51" t="s">
        <v>667</v>
      </c>
      <c r="I1" s="51" t="s">
        <v>712</v>
      </c>
      <c r="J1" s="51" t="s">
        <v>713</v>
      </c>
      <c r="K1" s="51" t="s">
        <v>668</v>
      </c>
      <c r="L1" s="51" t="s">
        <v>718</v>
      </c>
    </row>
    <row r="2" spans="1:12" x14ac:dyDescent="0.25">
      <c r="A2" t="s">
        <v>126</v>
      </c>
      <c r="B2" t="s">
        <v>2</v>
      </c>
      <c r="C2" t="s">
        <v>126</v>
      </c>
      <c r="D2">
        <v>10740</v>
      </c>
      <c r="E2" t="s">
        <v>672</v>
      </c>
      <c r="F2" t="s">
        <v>719</v>
      </c>
      <c r="G2" t="s">
        <v>670</v>
      </c>
      <c r="H2" t="s">
        <v>670</v>
      </c>
      <c r="I2">
        <v>58433</v>
      </c>
      <c r="J2">
        <v>58748</v>
      </c>
      <c r="K2">
        <v>58897</v>
      </c>
      <c r="L2">
        <v>59079</v>
      </c>
    </row>
    <row r="3" spans="1:12" x14ac:dyDescent="0.25">
      <c r="A3" t="s">
        <v>126</v>
      </c>
      <c r="B3" t="s">
        <v>2</v>
      </c>
      <c r="C3" t="s">
        <v>126</v>
      </c>
      <c r="D3">
        <v>10740</v>
      </c>
      <c r="E3" t="s">
        <v>720</v>
      </c>
      <c r="F3" t="s">
        <v>721</v>
      </c>
      <c r="G3" t="s">
        <v>670</v>
      </c>
      <c r="H3" t="s">
        <v>670</v>
      </c>
      <c r="I3">
        <v>37</v>
      </c>
      <c r="J3">
        <v>0</v>
      </c>
      <c r="K3">
        <v>110</v>
      </c>
      <c r="L3">
        <v>128</v>
      </c>
    </row>
    <row r="4" spans="1:12" x14ac:dyDescent="0.25">
      <c r="A4" t="s">
        <v>30</v>
      </c>
      <c r="B4" t="s">
        <v>2</v>
      </c>
      <c r="C4" t="s">
        <v>30</v>
      </c>
      <c r="D4">
        <v>12060</v>
      </c>
      <c r="E4" t="s">
        <v>672</v>
      </c>
      <c r="F4" t="s">
        <v>719</v>
      </c>
      <c r="G4" t="s">
        <v>670</v>
      </c>
      <c r="H4" t="s">
        <v>670</v>
      </c>
      <c r="I4">
        <v>591864</v>
      </c>
      <c r="J4">
        <v>595053</v>
      </c>
      <c r="K4">
        <v>597135</v>
      </c>
      <c r="L4">
        <v>599838</v>
      </c>
    </row>
    <row r="5" spans="1:12" x14ac:dyDescent="0.25">
      <c r="A5" t="s">
        <v>30</v>
      </c>
      <c r="B5" t="s">
        <v>2</v>
      </c>
      <c r="C5" t="s">
        <v>30</v>
      </c>
      <c r="D5">
        <v>12060</v>
      </c>
      <c r="E5" t="s">
        <v>720</v>
      </c>
      <c r="F5" t="s">
        <v>721</v>
      </c>
      <c r="G5" t="s">
        <v>670</v>
      </c>
      <c r="H5" t="s">
        <v>670</v>
      </c>
      <c r="I5">
        <v>2750</v>
      </c>
      <c r="J5">
        <v>3860</v>
      </c>
      <c r="K5">
        <v>1215</v>
      </c>
      <c r="L5">
        <v>809</v>
      </c>
    </row>
    <row r="6" spans="1:12" x14ac:dyDescent="0.25">
      <c r="A6" t="s">
        <v>39</v>
      </c>
      <c r="B6" t="s">
        <v>2</v>
      </c>
      <c r="C6" t="s">
        <v>39</v>
      </c>
      <c r="D6">
        <v>12420</v>
      </c>
      <c r="E6" t="s">
        <v>672</v>
      </c>
      <c r="F6" t="s">
        <v>719</v>
      </c>
      <c r="G6" t="s">
        <v>670</v>
      </c>
      <c r="H6" t="s">
        <v>670</v>
      </c>
      <c r="I6">
        <v>344832</v>
      </c>
      <c r="J6">
        <v>348323</v>
      </c>
      <c r="K6">
        <v>350661</v>
      </c>
      <c r="L6">
        <v>353454</v>
      </c>
    </row>
    <row r="7" spans="1:12" x14ac:dyDescent="0.25">
      <c r="A7" t="s">
        <v>39</v>
      </c>
      <c r="B7" t="s">
        <v>2</v>
      </c>
      <c r="C7" t="s">
        <v>39</v>
      </c>
      <c r="D7">
        <v>12420</v>
      </c>
      <c r="E7" t="s">
        <v>720</v>
      </c>
      <c r="F7" t="s">
        <v>721</v>
      </c>
      <c r="G7" t="s">
        <v>670</v>
      </c>
      <c r="H7" t="s">
        <v>670</v>
      </c>
      <c r="I7">
        <v>1680</v>
      </c>
      <c r="J7">
        <v>2154</v>
      </c>
      <c r="K7">
        <v>1118</v>
      </c>
      <c r="L7">
        <v>588</v>
      </c>
    </row>
    <row r="8" spans="1:12" x14ac:dyDescent="0.25">
      <c r="A8" t="s">
        <v>176</v>
      </c>
      <c r="B8" t="s">
        <v>2</v>
      </c>
      <c r="C8" t="s">
        <v>176</v>
      </c>
      <c r="D8">
        <v>13820</v>
      </c>
      <c r="E8" t="s">
        <v>672</v>
      </c>
      <c r="F8" t="s">
        <v>719</v>
      </c>
      <c r="G8" t="s">
        <v>670</v>
      </c>
      <c r="H8" t="s">
        <v>670</v>
      </c>
      <c r="I8">
        <v>81503</v>
      </c>
      <c r="J8">
        <v>82044</v>
      </c>
      <c r="K8">
        <v>82358</v>
      </c>
      <c r="L8">
        <v>82502</v>
      </c>
    </row>
    <row r="9" spans="1:12" x14ac:dyDescent="0.25">
      <c r="A9" t="s">
        <v>176</v>
      </c>
      <c r="B9" t="s">
        <v>2</v>
      </c>
      <c r="C9" t="s">
        <v>176</v>
      </c>
      <c r="D9">
        <v>13820</v>
      </c>
      <c r="E9" t="s">
        <v>720</v>
      </c>
      <c r="F9" t="s">
        <v>721</v>
      </c>
      <c r="G9" t="s">
        <v>670</v>
      </c>
      <c r="H9" t="s">
        <v>670</v>
      </c>
      <c r="I9">
        <v>0</v>
      </c>
      <c r="J9">
        <v>0</v>
      </c>
      <c r="K9">
        <v>135</v>
      </c>
      <c r="L9">
        <v>0</v>
      </c>
    </row>
    <row r="10" spans="1:12" x14ac:dyDescent="0.25">
      <c r="A10" t="s">
        <v>181</v>
      </c>
      <c r="B10" t="s">
        <v>2</v>
      </c>
      <c r="C10" t="s">
        <v>181</v>
      </c>
      <c r="D10">
        <v>14260</v>
      </c>
      <c r="E10" t="s">
        <v>672</v>
      </c>
      <c r="F10" t="s">
        <v>719</v>
      </c>
      <c r="G10" t="s">
        <v>670</v>
      </c>
      <c r="H10" t="s">
        <v>670</v>
      </c>
      <c r="I10">
        <v>39551</v>
      </c>
      <c r="J10">
        <v>39780</v>
      </c>
      <c r="K10">
        <v>40002</v>
      </c>
      <c r="L10">
        <v>40146</v>
      </c>
    </row>
    <row r="11" spans="1:12" x14ac:dyDescent="0.25">
      <c r="A11" t="s">
        <v>181</v>
      </c>
      <c r="B11" t="s">
        <v>2</v>
      </c>
      <c r="C11" t="s">
        <v>181</v>
      </c>
      <c r="D11">
        <v>14260</v>
      </c>
      <c r="E11" t="s">
        <v>720</v>
      </c>
      <c r="F11" t="s">
        <v>721</v>
      </c>
      <c r="G11" t="s">
        <v>670</v>
      </c>
      <c r="H11" t="s">
        <v>670</v>
      </c>
      <c r="I11">
        <v>481</v>
      </c>
      <c r="J11">
        <v>0</v>
      </c>
      <c r="K11">
        <v>0</v>
      </c>
      <c r="L11">
        <v>0</v>
      </c>
    </row>
    <row r="12" spans="1:12" x14ac:dyDescent="0.25">
      <c r="A12" t="s">
        <v>36</v>
      </c>
      <c r="B12" t="s">
        <v>2</v>
      </c>
      <c r="C12" t="s">
        <v>36</v>
      </c>
      <c r="D12">
        <v>15980</v>
      </c>
      <c r="E12" t="s">
        <v>672</v>
      </c>
      <c r="F12" t="s">
        <v>719</v>
      </c>
      <c r="G12" t="s">
        <v>670</v>
      </c>
      <c r="H12" t="s">
        <v>670</v>
      </c>
      <c r="I12">
        <v>60520</v>
      </c>
      <c r="J12">
        <v>61298</v>
      </c>
      <c r="K12">
        <v>62515</v>
      </c>
      <c r="L12">
        <v>63421</v>
      </c>
    </row>
    <row r="13" spans="1:12" x14ac:dyDescent="0.25">
      <c r="A13" t="s">
        <v>36</v>
      </c>
      <c r="B13" t="s">
        <v>2</v>
      </c>
      <c r="C13" t="s">
        <v>36</v>
      </c>
      <c r="D13">
        <v>15980</v>
      </c>
      <c r="E13" t="s">
        <v>720</v>
      </c>
      <c r="F13" t="s">
        <v>721</v>
      </c>
      <c r="G13" t="s">
        <v>670</v>
      </c>
      <c r="H13" t="s">
        <v>670</v>
      </c>
      <c r="I13">
        <v>296</v>
      </c>
      <c r="J13">
        <v>430</v>
      </c>
      <c r="K13">
        <v>0</v>
      </c>
      <c r="L13">
        <v>350</v>
      </c>
    </row>
    <row r="14" spans="1:12" x14ac:dyDescent="0.25">
      <c r="A14" t="s">
        <v>19</v>
      </c>
      <c r="B14" t="s">
        <v>2</v>
      </c>
      <c r="C14" t="s">
        <v>19</v>
      </c>
      <c r="D14">
        <v>16700</v>
      </c>
      <c r="E14" t="s">
        <v>672</v>
      </c>
      <c r="F14" t="s">
        <v>719</v>
      </c>
      <c r="G14" t="s">
        <v>670</v>
      </c>
      <c r="H14" t="s">
        <v>670</v>
      </c>
      <c r="I14">
        <v>81087</v>
      </c>
      <c r="J14">
        <v>81541</v>
      </c>
      <c r="K14">
        <v>81758</v>
      </c>
      <c r="L14">
        <v>82086</v>
      </c>
    </row>
    <row r="15" spans="1:12" x14ac:dyDescent="0.25">
      <c r="A15" t="s">
        <v>19</v>
      </c>
      <c r="B15" t="s">
        <v>2</v>
      </c>
      <c r="C15" t="s">
        <v>19</v>
      </c>
      <c r="D15">
        <v>16700</v>
      </c>
      <c r="E15" t="s">
        <v>720</v>
      </c>
      <c r="F15" t="s">
        <v>721</v>
      </c>
      <c r="G15" t="s">
        <v>670</v>
      </c>
      <c r="H15" t="s">
        <v>670</v>
      </c>
      <c r="I15">
        <v>0</v>
      </c>
      <c r="J15">
        <v>1114</v>
      </c>
      <c r="K15">
        <v>842</v>
      </c>
      <c r="L15">
        <v>450</v>
      </c>
    </row>
    <row r="16" spans="1:12" x14ac:dyDescent="0.25">
      <c r="A16" t="s">
        <v>37</v>
      </c>
      <c r="B16" t="s">
        <v>2</v>
      </c>
      <c r="C16" t="s">
        <v>37</v>
      </c>
      <c r="D16">
        <v>16740</v>
      </c>
      <c r="E16" t="s">
        <v>672</v>
      </c>
      <c r="F16" t="s">
        <v>719</v>
      </c>
      <c r="G16" t="s">
        <v>670</v>
      </c>
      <c r="H16" t="s">
        <v>670</v>
      </c>
      <c r="I16">
        <v>254484</v>
      </c>
      <c r="J16">
        <v>256826</v>
      </c>
      <c r="K16">
        <v>259276</v>
      </c>
      <c r="L16">
        <v>261346</v>
      </c>
    </row>
    <row r="17" spans="1:12" x14ac:dyDescent="0.25">
      <c r="A17" t="s">
        <v>37</v>
      </c>
      <c r="B17" t="s">
        <v>2</v>
      </c>
      <c r="C17" t="s">
        <v>37</v>
      </c>
      <c r="D17">
        <v>16740</v>
      </c>
      <c r="E17" t="s">
        <v>720</v>
      </c>
      <c r="F17" t="s">
        <v>721</v>
      </c>
      <c r="G17" t="s">
        <v>670</v>
      </c>
      <c r="H17" t="s">
        <v>670</v>
      </c>
      <c r="I17">
        <v>1661</v>
      </c>
      <c r="J17">
        <v>1053</v>
      </c>
      <c r="K17">
        <v>1903</v>
      </c>
      <c r="L17">
        <v>595</v>
      </c>
    </row>
    <row r="18" spans="1:12" x14ac:dyDescent="0.25">
      <c r="A18" t="s">
        <v>218</v>
      </c>
      <c r="B18" t="s">
        <v>2</v>
      </c>
      <c r="C18" t="s">
        <v>218</v>
      </c>
      <c r="D18">
        <v>17140</v>
      </c>
      <c r="E18" t="s">
        <v>672</v>
      </c>
      <c r="F18" t="s">
        <v>719</v>
      </c>
      <c r="G18" t="s">
        <v>670</v>
      </c>
      <c r="H18" t="s">
        <v>670</v>
      </c>
      <c r="I18">
        <v>172078</v>
      </c>
      <c r="J18">
        <v>172632</v>
      </c>
      <c r="K18">
        <v>173170</v>
      </c>
      <c r="L18">
        <v>173811</v>
      </c>
    </row>
    <row r="19" spans="1:12" x14ac:dyDescent="0.25">
      <c r="A19" t="s">
        <v>218</v>
      </c>
      <c r="B19" t="s">
        <v>2</v>
      </c>
      <c r="C19" t="s">
        <v>218</v>
      </c>
      <c r="D19">
        <v>17140</v>
      </c>
      <c r="E19" t="s">
        <v>720</v>
      </c>
      <c r="F19" t="s">
        <v>721</v>
      </c>
      <c r="G19" t="s">
        <v>670</v>
      </c>
      <c r="H19" t="s">
        <v>670</v>
      </c>
      <c r="I19">
        <v>405</v>
      </c>
      <c r="J19">
        <v>694</v>
      </c>
      <c r="K19">
        <v>634</v>
      </c>
      <c r="L19">
        <v>758</v>
      </c>
    </row>
    <row r="20" spans="1:12" x14ac:dyDescent="0.25">
      <c r="A20" t="s">
        <v>25</v>
      </c>
      <c r="B20" t="s">
        <v>2</v>
      </c>
      <c r="C20" t="s">
        <v>25</v>
      </c>
      <c r="D20">
        <v>17820</v>
      </c>
      <c r="E20" t="s">
        <v>672</v>
      </c>
      <c r="F20" t="s">
        <v>719</v>
      </c>
      <c r="G20" t="s">
        <v>670</v>
      </c>
      <c r="H20" t="s">
        <v>670</v>
      </c>
      <c r="I20">
        <v>62952</v>
      </c>
      <c r="J20">
        <v>63341</v>
      </c>
      <c r="K20">
        <v>63481</v>
      </c>
      <c r="L20">
        <v>63623</v>
      </c>
    </row>
    <row r="21" spans="1:12" x14ac:dyDescent="0.25">
      <c r="A21" t="s">
        <v>25</v>
      </c>
      <c r="B21" t="s">
        <v>2</v>
      </c>
      <c r="C21" t="s">
        <v>25</v>
      </c>
      <c r="D21">
        <v>17820</v>
      </c>
      <c r="E21" t="s">
        <v>720</v>
      </c>
      <c r="F21" t="s">
        <v>721</v>
      </c>
      <c r="G21" t="s">
        <v>670</v>
      </c>
      <c r="H21" t="s">
        <v>670</v>
      </c>
      <c r="I21">
        <v>0</v>
      </c>
      <c r="J21">
        <v>432</v>
      </c>
      <c r="K21">
        <v>0</v>
      </c>
      <c r="L21">
        <v>0</v>
      </c>
    </row>
    <row r="22" spans="1:12" x14ac:dyDescent="0.25">
      <c r="A22" t="s">
        <v>228</v>
      </c>
      <c r="B22" t="s">
        <v>2</v>
      </c>
      <c r="C22" t="s">
        <v>228</v>
      </c>
      <c r="D22">
        <v>17900</v>
      </c>
      <c r="E22" t="s">
        <v>672</v>
      </c>
      <c r="F22" t="s">
        <v>719</v>
      </c>
      <c r="G22" t="s">
        <v>670</v>
      </c>
      <c r="H22" t="s">
        <v>670</v>
      </c>
      <c r="I22">
        <v>49716</v>
      </c>
      <c r="J22">
        <v>49860</v>
      </c>
      <c r="K22">
        <v>49860</v>
      </c>
      <c r="L22">
        <v>50168</v>
      </c>
    </row>
    <row r="23" spans="1:12" x14ac:dyDescent="0.25">
      <c r="A23" t="s">
        <v>228</v>
      </c>
      <c r="B23" t="s">
        <v>2</v>
      </c>
      <c r="C23" t="s">
        <v>228</v>
      </c>
      <c r="D23">
        <v>17900</v>
      </c>
      <c r="E23" t="s">
        <v>720</v>
      </c>
      <c r="F23" t="s">
        <v>721</v>
      </c>
      <c r="G23" t="s">
        <v>670</v>
      </c>
      <c r="H23" t="s">
        <v>670</v>
      </c>
      <c r="I23">
        <v>0</v>
      </c>
      <c r="J23">
        <v>320</v>
      </c>
      <c r="K23">
        <v>494</v>
      </c>
      <c r="L23">
        <v>0</v>
      </c>
    </row>
    <row r="24" spans="1:12" x14ac:dyDescent="0.25">
      <c r="A24" t="s">
        <v>7</v>
      </c>
      <c r="B24" t="s">
        <v>2</v>
      </c>
      <c r="C24" t="s">
        <v>7</v>
      </c>
      <c r="D24">
        <v>18140</v>
      </c>
      <c r="E24" t="s">
        <v>672</v>
      </c>
      <c r="F24" t="s">
        <v>719</v>
      </c>
      <c r="G24" t="s">
        <v>670</v>
      </c>
      <c r="H24" t="s">
        <v>670</v>
      </c>
      <c r="I24">
        <v>215135</v>
      </c>
      <c r="J24">
        <v>216889</v>
      </c>
      <c r="K24">
        <v>218082</v>
      </c>
      <c r="L24">
        <v>219896</v>
      </c>
    </row>
    <row r="25" spans="1:12" x14ac:dyDescent="0.25">
      <c r="A25" t="s">
        <v>7</v>
      </c>
      <c r="B25" t="s">
        <v>2</v>
      </c>
      <c r="C25" t="s">
        <v>7</v>
      </c>
      <c r="D25">
        <v>18140</v>
      </c>
      <c r="E25" t="s">
        <v>720</v>
      </c>
      <c r="F25" t="s">
        <v>721</v>
      </c>
      <c r="G25" t="s">
        <v>670</v>
      </c>
      <c r="H25" t="s">
        <v>670</v>
      </c>
      <c r="I25">
        <v>1654</v>
      </c>
      <c r="J25">
        <v>845</v>
      </c>
      <c r="K25">
        <v>883</v>
      </c>
      <c r="L25">
        <v>606</v>
      </c>
    </row>
    <row r="26" spans="1:12" x14ac:dyDescent="0.25">
      <c r="A26" t="s">
        <v>35</v>
      </c>
      <c r="B26" t="s">
        <v>2</v>
      </c>
      <c r="C26" t="s">
        <v>35</v>
      </c>
      <c r="D26">
        <v>19124</v>
      </c>
      <c r="E26" t="s">
        <v>672</v>
      </c>
      <c r="F26" t="s">
        <v>719</v>
      </c>
      <c r="G26" t="s">
        <v>670</v>
      </c>
      <c r="H26" t="s">
        <v>670</v>
      </c>
      <c r="I26">
        <v>738304</v>
      </c>
      <c r="J26">
        <v>742223</v>
      </c>
      <c r="K26">
        <v>746683</v>
      </c>
      <c r="L26">
        <v>751845</v>
      </c>
    </row>
    <row r="27" spans="1:12" x14ac:dyDescent="0.25">
      <c r="A27" t="s">
        <v>35</v>
      </c>
      <c r="B27" t="s">
        <v>2</v>
      </c>
      <c r="C27" t="s">
        <v>35</v>
      </c>
      <c r="D27">
        <v>19124</v>
      </c>
      <c r="E27" t="s">
        <v>720</v>
      </c>
      <c r="F27" t="s">
        <v>721</v>
      </c>
      <c r="G27" t="s">
        <v>670</v>
      </c>
      <c r="H27" t="s">
        <v>670</v>
      </c>
      <c r="I27">
        <v>3778</v>
      </c>
      <c r="J27">
        <v>6752</v>
      </c>
      <c r="K27">
        <v>5193</v>
      </c>
      <c r="L27">
        <v>2693</v>
      </c>
    </row>
    <row r="28" spans="1:12" x14ac:dyDescent="0.25">
      <c r="A28" t="s">
        <v>38</v>
      </c>
      <c r="B28" t="s">
        <v>2</v>
      </c>
      <c r="C28" t="s">
        <v>38</v>
      </c>
      <c r="D28">
        <v>19740</v>
      </c>
      <c r="E28" t="s">
        <v>672</v>
      </c>
      <c r="F28" t="s">
        <v>719</v>
      </c>
      <c r="G28" t="s">
        <v>670</v>
      </c>
      <c r="H28" t="s">
        <v>670</v>
      </c>
      <c r="I28">
        <v>358085</v>
      </c>
      <c r="J28">
        <v>360242</v>
      </c>
      <c r="K28">
        <v>362303</v>
      </c>
      <c r="L28">
        <v>364323</v>
      </c>
    </row>
    <row r="29" spans="1:12" x14ac:dyDescent="0.25">
      <c r="A29" t="s">
        <v>38</v>
      </c>
      <c r="B29" t="s">
        <v>2</v>
      </c>
      <c r="C29" t="s">
        <v>38</v>
      </c>
      <c r="D29">
        <v>19740</v>
      </c>
      <c r="E29" t="s">
        <v>720</v>
      </c>
      <c r="F29" t="s">
        <v>721</v>
      </c>
      <c r="G29" t="s">
        <v>670</v>
      </c>
      <c r="H29" t="s">
        <v>670</v>
      </c>
      <c r="I29">
        <v>1895</v>
      </c>
      <c r="J29">
        <v>2128</v>
      </c>
      <c r="K29">
        <v>1785</v>
      </c>
      <c r="L29">
        <v>1286</v>
      </c>
    </row>
    <row r="30" spans="1:12" x14ac:dyDescent="0.25">
      <c r="A30" t="s">
        <v>250</v>
      </c>
      <c r="B30" t="s">
        <v>2</v>
      </c>
      <c r="C30" t="s">
        <v>250</v>
      </c>
      <c r="D30">
        <v>19780</v>
      </c>
      <c r="E30" t="s">
        <v>672</v>
      </c>
      <c r="F30" t="s">
        <v>719</v>
      </c>
      <c r="G30" t="s">
        <v>670</v>
      </c>
      <c r="H30" t="s">
        <v>670</v>
      </c>
      <c r="I30">
        <v>60353</v>
      </c>
      <c r="J30">
        <v>60457</v>
      </c>
      <c r="K30">
        <v>60490</v>
      </c>
      <c r="L30">
        <v>60685</v>
      </c>
    </row>
    <row r="31" spans="1:12" x14ac:dyDescent="0.25">
      <c r="A31" t="s">
        <v>250</v>
      </c>
      <c r="B31" t="s">
        <v>2</v>
      </c>
      <c r="C31" t="s">
        <v>250</v>
      </c>
      <c r="D31">
        <v>19780</v>
      </c>
      <c r="E31" t="s">
        <v>720</v>
      </c>
      <c r="F31" t="s">
        <v>721</v>
      </c>
      <c r="G31" t="s">
        <v>670</v>
      </c>
      <c r="H31" t="s">
        <v>670</v>
      </c>
      <c r="I31">
        <v>411</v>
      </c>
      <c r="J31">
        <v>221</v>
      </c>
      <c r="K31">
        <v>0</v>
      </c>
      <c r="L31">
        <v>82</v>
      </c>
    </row>
    <row r="32" spans="1:12" x14ac:dyDescent="0.25">
      <c r="A32" t="s">
        <v>18</v>
      </c>
      <c r="B32" t="s">
        <v>2</v>
      </c>
      <c r="C32" t="s">
        <v>18</v>
      </c>
      <c r="D32">
        <v>22744</v>
      </c>
      <c r="E32" t="s">
        <v>672</v>
      </c>
      <c r="F32" t="s">
        <v>719</v>
      </c>
      <c r="G32" t="s">
        <v>670</v>
      </c>
      <c r="H32" t="s">
        <v>670</v>
      </c>
      <c r="I32">
        <v>210873</v>
      </c>
      <c r="J32">
        <v>212241</v>
      </c>
      <c r="K32">
        <v>213123</v>
      </c>
      <c r="L32">
        <v>214441</v>
      </c>
    </row>
    <row r="33" spans="1:12" x14ac:dyDescent="0.25">
      <c r="A33" t="s">
        <v>18</v>
      </c>
      <c r="B33" t="s">
        <v>2</v>
      </c>
      <c r="C33" t="s">
        <v>18</v>
      </c>
      <c r="D33">
        <v>22744</v>
      </c>
      <c r="E33" t="s">
        <v>720</v>
      </c>
      <c r="F33" t="s">
        <v>721</v>
      </c>
      <c r="G33" t="s">
        <v>670</v>
      </c>
      <c r="H33" t="s">
        <v>670</v>
      </c>
      <c r="I33">
        <v>0</v>
      </c>
      <c r="J33">
        <v>338</v>
      </c>
      <c r="K33">
        <v>913</v>
      </c>
      <c r="L33">
        <v>838</v>
      </c>
    </row>
    <row r="34" spans="1:12" x14ac:dyDescent="0.25">
      <c r="A34" t="s">
        <v>300</v>
      </c>
      <c r="B34" t="s">
        <v>2</v>
      </c>
      <c r="C34" t="s">
        <v>300</v>
      </c>
      <c r="D34">
        <v>223104</v>
      </c>
      <c r="E34" t="s">
        <v>672</v>
      </c>
      <c r="F34" t="s">
        <v>719</v>
      </c>
      <c r="G34" t="s">
        <v>670</v>
      </c>
      <c r="H34" t="s">
        <v>670</v>
      </c>
      <c r="I34">
        <v>244771</v>
      </c>
      <c r="J34">
        <v>248055</v>
      </c>
      <c r="K34">
        <v>250306</v>
      </c>
      <c r="L34">
        <v>251382</v>
      </c>
    </row>
    <row r="35" spans="1:12" x14ac:dyDescent="0.25">
      <c r="A35" t="s">
        <v>300</v>
      </c>
      <c r="B35" t="s">
        <v>2</v>
      </c>
      <c r="C35" t="s">
        <v>300</v>
      </c>
      <c r="D35">
        <v>223104</v>
      </c>
      <c r="E35" t="s">
        <v>720</v>
      </c>
      <c r="F35" t="s">
        <v>721</v>
      </c>
      <c r="G35" t="s">
        <v>670</v>
      </c>
      <c r="H35" t="s">
        <v>670</v>
      </c>
      <c r="I35">
        <v>1548</v>
      </c>
      <c r="J35">
        <v>1839</v>
      </c>
      <c r="K35">
        <v>1763</v>
      </c>
      <c r="L35">
        <v>350</v>
      </c>
    </row>
    <row r="36" spans="1:12" x14ac:dyDescent="0.25">
      <c r="A36" t="s">
        <v>320</v>
      </c>
      <c r="B36" t="s">
        <v>2</v>
      </c>
      <c r="C36" t="s">
        <v>320</v>
      </c>
      <c r="D36">
        <v>324660</v>
      </c>
      <c r="E36" t="s">
        <v>672</v>
      </c>
      <c r="F36" t="s">
        <v>719</v>
      </c>
      <c r="G36" t="s">
        <v>670</v>
      </c>
      <c r="H36" t="s">
        <v>670</v>
      </c>
      <c r="I36">
        <v>114966</v>
      </c>
      <c r="J36">
        <v>115438</v>
      </c>
      <c r="K36">
        <v>115791</v>
      </c>
      <c r="L36">
        <v>116060</v>
      </c>
    </row>
    <row r="37" spans="1:12" x14ac:dyDescent="0.25">
      <c r="A37" t="s">
        <v>320</v>
      </c>
      <c r="B37" t="s">
        <v>2</v>
      </c>
      <c r="C37" t="s">
        <v>320</v>
      </c>
      <c r="D37">
        <v>324660</v>
      </c>
      <c r="E37" t="s">
        <v>720</v>
      </c>
      <c r="F37" t="s">
        <v>721</v>
      </c>
      <c r="G37" t="s">
        <v>670</v>
      </c>
      <c r="H37" t="s">
        <v>670</v>
      </c>
      <c r="I37">
        <v>698</v>
      </c>
      <c r="J37">
        <v>200</v>
      </c>
      <c r="K37">
        <v>370</v>
      </c>
      <c r="L37">
        <v>575</v>
      </c>
    </row>
    <row r="38" spans="1:12" x14ac:dyDescent="0.25">
      <c r="A38" t="s">
        <v>41</v>
      </c>
      <c r="B38" t="s">
        <v>2</v>
      </c>
      <c r="C38" t="s">
        <v>41</v>
      </c>
      <c r="D38">
        <v>224860</v>
      </c>
      <c r="E38" t="s">
        <v>672</v>
      </c>
      <c r="F38" t="s">
        <v>719</v>
      </c>
      <c r="G38" t="s">
        <v>670</v>
      </c>
      <c r="H38" t="s">
        <v>670</v>
      </c>
      <c r="I38">
        <v>80111</v>
      </c>
      <c r="J38">
        <v>79911</v>
      </c>
      <c r="K38">
        <v>80198</v>
      </c>
      <c r="L38">
        <v>80358</v>
      </c>
    </row>
    <row r="39" spans="1:12" x14ac:dyDescent="0.25">
      <c r="A39" t="s">
        <v>41</v>
      </c>
      <c r="B39" t="s">
        <v>2</v>
      </c>
      <c r="C39" t="s">
        <v>41</v>
      </c>
      <c r="D39">
        <v>224860</v>
      </c>
      <c r="E39" t="s">
        <v>720</v>
      </c>
      <c r="F39" t="s">
        <v>721</v>
      </c>
      <c r="G39" t="s">
        <v>670</v>
      </c>
      <c r="H39" t="s">
        <v>670</v>
      </c>
      <c r="I39">
        <v>0</v>
      </c>
      <c r="J39">
        <v>0</v>
      </c>
      <c r="K39">
        <v>152</v>
      </c>
      <c r="L39">
        <v>0</v>
      </c>
    </row>
    <row r="40" spans="1:12" x14ac:dyDescent="0.25">
      <c r="A40" t="s">
        <v>32</v>
      </c>
      <c r="B40" t="s">
        <v>2</v>
      </c>
      <c r="C40" t="s">
        <v>32</v>
      </c>
      <c r="D40">
        <v>26420</v>
      </c>
      <c r="E40" t="s">
        <v>672</v>
      </c>
      <c r="F40" t="s">
        <v>719</v>
      </c>
      <c r="G40" t="s">
        <v>670</v>
      </c>
      <c r="H40" t="s">
        <v>670</v>
      </c>
      <c r="I40">
        <v>793993</v>
      </c>
      <c r="J40">
        <v>796625</v>
      </c>
      <c r="K40">
        <v>799021</v>
      </c>
      <c r="L40">
        <v>802464</v>
      </c>
    </row>
    <row r="41" spans="1:12" x14ac:dyDescent="0.25">
      <c r="A41" t="s">
        <v>32</v>
      </c>
      <c r="B41" t="s">
        <v>2</v>
      </c>
      <c r="C41" t="s">
        <v>32</v>
      </c>
      <c r="D41">
        <v>26420</v>
      </c>
      <c r="E41" t="s">
        <v>720</v>
      </c>
      <c r="F41" t="s">
        <v>721</v>
      </c>
      <c r="G41" t="s">
        <v>670</v>
      </c>
      <c r="H41" t="s">
        <v>670</v>
      </c>
      <c r="I41">
        <v>3781</v>
      </c>
      <c r="J41">
        <v>4840</v>
      </c>
      <c r="K41">
        <v>4114</v>
      </c>
      <c r="L41">
        <v>685</v>
      </c>
    </row>
    <row r="42" spans="1:12" x14ac:dyDescent="0.25">
      <c r="A42" t="s">
        <v>349</v>
      </c>
      <c r="B42" t="s">
        <v>2</v>
      </c>
      <c r="C42" t="s">
        <v>349</v>
      </c>
      <c r="D42">
        <v>26620</v>
      </c>
      <c r="E42" t="s">
        <v>672</v>
      </c>
      <c r="F42" t="s">
        <v>719</v>
      </c>
      <c r="G42" t="s">
        <v>670</v>
      </c>
      <c r="H42" t="s">
        <v>670</v>
      </c>
      <c r="I42">
        <v>50905</v>
      </c>
      <c r="J42">
        <v>51569</v>
      </c>
      <c r="K42">
        <v>51876</v>
      </c>
      <c r="L42">
        <v>52005</v>
      </c>
    </row>
    <row r="43" spans="1:12" x14ac:dyDescent="0.25">
      <c r="A43" t="s">
        <v>349</v>
      </c>
      <c r="B43" t="s">
        <v>2</v>
      </c>
      <c r="C43" t="s">
        <v>349</v>
      </c>
      <c r="D43">
        <v>26620</v>
      </c>
      <c r="E43" t="s">
        <v>720</v>
      </c>
      <c r="F43" t="s">
        <v>721</v>
      </c>
      <c r="G43" t="s">
        <v>670</v>
      </c>
      <c r="H43" t="s">
        <v>670</v>
      </c>
      <c r="I43">
        <v>0</v>
      </c>
      <c r="J43">
        <v>1013</v>
      </c>
      <c r="K43">
        <v>464</v>
      </c>
      <c r="L43">
        <v>0</v>
      </c>
    </row>
    <row r="44" spans="1:12" x14ac:dyDescent="0.25">
      <c r="A44" t="s">
        <v>29</v>
      </c>
      <c r="B44" t="s">
        <v>2</v>
      </c>
      <c r="C44" t="s">
        <v>29</v>
      </c>
      <c r="D44">
        <v>226900</v>
      </c>
      <c r="E44" t="s">
        <v>672</v>
      </c>
      <c r="F44" t="s">
        <v>719</v>
      </c>
      <c r="G44" t="s">
        <v>670</v>
      </c>
      <c r="H44" t="s">
        <v>670</v>
      </c>
      <c r="I44">
        <v>186093</v>
      </c>
      <c r="J44">
        <v>186837</v>
      </c>
      <c r="K44">
        <v>187750</v>
      </c>
      <c r="L44">
        <v>188775</v>
      </c>
    </row>
    <row r="45" spans="1:12" x14ac:dyDescent="0.25">
      <c r="A45" t="s">
        <v>29</v>
      </c>
      <c r="B45" t="s">
        <v>2</v>
      </c>
      <c r="C45" t="s">
        <v>29</v>
      </c>
      <c r="D45">
        <v>226900</v>
      </c>
      <c r="E45" t="s">
        <v>720</v>
      </c>
      <c r="F45" t="s">
        <v>721</v>
      </c>
      <c r="G45" t="s">
        <v>670</v>
      </c>
      <c r="H45" t="s">
        <v>670</v>
      </c>
      <c r="I45">
        <v>641</v>
      </c>
      <c r="J45">
        <v>1433</v>
      </c>
      <c r="K45">
        <v>922</v>
      </c>
      <c r="L45">
        <v>150</v>
      </c>
    </row>
    <row r="46" spans="1:12" x14ac:dyDescent="0.25">
      <c r="A46" t="s">
        <v>23</v>
      </c>
      <c r="B46" t="s">
        <v>2</v>
      </c>
      <c r="C46" t="s">
        <v>23</v>
      </c>
      <c r="D46">
        <v>27260</v>
      </c>
      <c r="E46" t="s">
        <v>672</v>
      </c>
      <c r="F46" t="s">
        <v>719</v>
      </c>
      <c r="G46" t="s">
        <v>670</v>
      </c>
      <c r="H46" t="s">
        <v>670</v>
      </c>
      <c r="I46">
        <v>151369</v>
      </c>
      <c r="J46">
        <v>152046</v>
      </c>
      <c r="K46">
        <v>153122</v>
      </c>
      <c r="L46">
        <v>153874</v>
      </c>
    </row>
    <row r="47" spans="1:12" x14ac:dyDescent="0.25">
      <c r="A47" t="s">
        <v>23</v>
      </c>
      <c r="B47" t="s">
        <v>2</v>
      </c>
      <c r="C47" t="s">
        <v>23</v>
      </c>
      <c r="D47">
        <v>27260</v>
      </c>
      <c r="E47" t="s">
        <v>720</v>
      </c>
      <c r="F47" t="s">
        <v>721</v>
      </c>
      <c r="G47" t="s">
        <v>670</v>
      </c>
      <c r="H47" t="s">
        <v>670</v>
      </c>
      <c r="I47">
        <v>227</v>
      </c>
      <c r="J47">
        <v>106</v>
      </c>
      <c r="K47">
        <v>714</v>
      </c>
      <c r="L47">
        <v>644</v>
      </c>
    </row>
    <row r="48" spans="1:12" x14ac:dyDescent="0.25">
      <c r="A48" t="s">
        <v>13</v>
      </c>
      <c r="B48" t="s">
        <v>2</v>
      </c>
      <c r="C48" t="s">
        <v>13</v>
      </c>
      <c r="D48">
        <v>28140</v>
      </c>
      <c r="E48" t="s">
        <v>672</v>
      </c>
      <c r="F48" t="s">
        <v>719</v>
      </c>
      <c r="G48" t="s">
        <v>670</v>
      </c>
      <c r="H48" t="s">
        <v>670</v>
      </c>
      <c r="I48">
        <v>189390</v>
      </c>
      <c r="J48">
        <v>190329</v>
      </c>
      <c r="K48">
        <v>190834</v>
      </c>
      <c r="L48">
        <v>191880</v>
      </c>
    </row>
    <row r="49" spans="1:12" x14ac:dyDescent="0.25">
      <c r="A49" t="s">
        <v>13</v>
      </c>
      <c r="B49" t="s">
        <v>2</v>
      </c>
      <c r="C49" t="s">
        <v>13</v>
      </c>
      <c r="D49">
        <v>28140</v>
      </c>
      <c r="E49" t="s">
        <v>720</v>
      </c>
      <c r="F49" t="s">
        <v>721</v>
      </c>
      <c r="G49" t="s">
        <v>670</v>
      </c>
      <c r="H49" t="s">
        <v>670</v>
      </c>
      <c r="I49">
        <v>1316</v>
      </c>
      <c r="J49">
        <v>1934</v>
      </c>
      <c r="K49">
        <v>945</v>
      </c>
      <c r="L49">
        <v>694</v>
      </c>
    </row>
    <row r="50" spans="1:12" x14ac:dyDescent="0.25">
      <c r="A50" t="s">
        <v>386</v>
      </c>
      <c r="B50" t="s">
        <v>2</v>
      </c>
      <c r="C50" t="s">
        <v>386</v>
      </c>
      <c r="D50">
        <v>28940</v>
      </c>
      <c r="E50" t="s">
        <v>672</v>
      </c>
      <c r="F50" t="s">
        <v>719</v>
      </c>
      <c r="G50" t="s">
        <v>670</v>
      </c>
      <c r="H50" t="s">
        <v>670</v>
      </c>
      <c r="I50">
        <v>56380</v>
      </c>
      <c r="J50">
        <v>56596</v>
      </c>
      <c r="K50">
        <v>56889</v>
      </c>
      <c r="L50">
        <v>57421</v>
      </c>
    </row>
    <row r="51" spans="1:12" x14ac:dyDescent="0.25">
      <c r="A51" t="s">
        <v>386</v>
      </c>
      <c r="B51" t="s">
        <v>2</v>
      </c>
      <c r="C51" t="s">
        <v>386</v>
      </c>
      <c r="D51">
        <v>28940</v>
      </c>
      <c r="E51" t="s">
        <v>720</v>
      </c>
      <c r="F51" t="s">
        <v>721</v>
      </c>
      <c r="G51" t="s">
        <v>670</v>
      </c>
      <c r="H51" t="s">
        <v>670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28</v>
      </c>
      <c r="B52" t="s">
        <v>2</v>
      </c>
      <c r="C52" t="s">
        <v>28</v>
      </c>
      <c r="D52">
        <v>29820</v>
      </c>
      <c r="E52" t="s">
        <v>672</v>
      </c>
      <c r="F52" t="s">
        <v>719</v>
      </c>
      <c r="G52" t="s">
        <v>670</v>
      </c>
      <c r="H52" t="s">
        <v>670</v>
      </c>
      <c r="I52">
        <v>239944</v>
      </c>
      <c r="J52">
        <v>240617</v>
      </c>
      <c r="K52">
        <v>241626</v>
      </c>
      <c r="L52">
        <v>242995</v>
      </c>
    </row>
    <row r="53" spans="1:12" x14ac:dyDescent="0.25">
      <c r="A53" t="s">
        <v>28</v>
      </c>
      <c r="B53" t="s">
        <v>2</v>
      </c>
      <c r="C53" t="s">
        <v>28</v>
      </c>
      <c r="D53">
        <v>29820</v>
      </c>
      <c r="E53" t="s">
        <v>720</v>
      </c>
      <c r="F53" t="s">
        <v>721</v>
      </c>
      <c r="G53" t="s">
        <v>670</v>
      </c>
      <c r="H53" t="s">
        <v>670</v>
      </c>
      <c r="I53">
        <v>597</v>
      </c>
      <c r="J53">
        <v>393</v>
      </c>
      <c r="K53">
        <v>560</v>
      </c>
      <c r="L53">
        <v>0</v>
      </c>
    </row>
    <row r="54" spans="1:12" x14ac:dyDescent="0.25">
      <c r="A54" t="s">
        <v>418</v>
      </c>
      <c r="B54" t="s">
        <v>2</v>
      </c>
      <c r="C54" t="s">
        <v>418</v>
      </c>
      <c r="D54">
        <v>31140</v>
      </c>
      <c r="E54" t="s">
        <v>672</v>
      </c>
      <c r="F54" t="s">
        <v>719</v>
      </c>
      <c r="G54" t="s">
        <v>670</v>
      </c>
      <c r="H54" t="s">
        <v>670</v>
      </c>
      <c r="I54">
        <v>103709</v>
      </c>
      <c r="J54">
        <v>103828</v>
      </c>
      <c r="K54">
        <v>104052</v>
      </c>
      <c r="L54">
        <v>104420</v>
      </c>
    </row>
    <row r="55" spans="1:12" x14ac:dyDescent="0.25">
      <c r="A55" t="s">
        <v>418</v>
      </c>
      <c r="B55" t="s">
        <v>2</v>
      </c>
      <c r="C55" t="s">
        <v>418</v>
      </c>
      <c r="D55">
        <v>31140</v>
      </c>
      <c r="E55" t="s">
        <v>720</v>
      </c>
      <c r="F55" t="s">
        <v>721</v>
      </c>
      <c r="G55" t="s">
        <v>670</v>
      </c>
      <c r="H55" t="s">
        <v>670</v>
      </c>
      <c r="I55">
        <v>1316</v>
      </c>
      <c r="J55">
        <v>236</v>
      </c>
      <c r="K55">
        <v>555</v>
      </c>
      <c r="L55">
        <v>94</v>
      </c>
    </row>
    <row r="56" spans="1:12" x14ac:dyDescent="0.25">
      <c r="A56" t="s">
        <v>447</v>
      </c>
      <c r="B56" t="s">
        <v>2</v>
      </c>
      <c r="C56" t="s">
        <v>447</v>
      </c>
      <c r="D56">
        <v>33124</v>
      </c>
      <c r="E56" t="s">
        <v>672</v>
      </c>
      <c r="F56" t="s">
        <v>719</v>
      </c>
      <c r="G56" t="s">
        <v>670</v>
      </c>
      <c r="H56" t="s">
        <v>670</v>
      </c>
      <c r="I56">
        <v>342288</v>
      </c>
      <c r="J56">
        <v>344191</v>
      </c>
      <c r="K56">
        <v>346220</v>
      </c>
      <c r="L56">
        <v>347396</v>
      </c>
    </row>
    <row r="57" spans="1:12" x14ac:dyDescent="0.25">
      <c r="A57" t="s">
        <v>447</v>
      </c>
      <c r="B57" t="s">
        <v>2</v>
      </c>
      <c r="C57" t="s">
        <v>447</v>
      </c>
      <c r="D57">
        <v>33124</v>
      </c>
      <c r="E57" t="s">
        <v>720</v>
      </c>
      <c r="F57" t="s">
        <v>721</v>
      </c>
      <c r="G57" t="s">
        <v>670</v>
      </c>
      <c r="H57" t="s">
        <v>670</v>
      </c>
      <c r="I57">
        <v>3542</v>
      </c>
      <c r="J57">
        <v>2502</v>
      </c>
      <c r="K57">
        <v>1660</v>
      </c>
      <c r="L57">
        <v>634</v>
      </c>
    </row>
    <row r="58" spans="1:12" x14ac:dyDescent="0.25">
      <c r="A58" t="s">
        <v>14</v>
      </c>
      <c r="B58" t="s">
        <v>2</v>
      </c>
      <c r="C58" t="s">
        <v>14</v>
      </c>
      <c r="D58">
        <v>33460</v>
      </c>
      <c r="E58" t="s">
        <v>672</v>
      </c>
      <c r="F58" t="s">
        <v>719</v>
      </c>
      <c r="G58" t="s">
        <v>670</v>
      </c>
      <c r="H58" t="s">
        <v>670</v>
      </c>
      <c r="I58">
        <v>338800</v>
      </c>
      <c r="J58">
        <v>339071</v>
      </c>
      <c r="K58">
        <v>339568</v>
      </c>
      <c r="L58">
        <v>340335</v>
      </c>
    </row>
    <row r="59" spans="1:12" x14ac:dyDescent="0.25">
      <c r="A59" t="s">
        <v>14</v>
      </c>
      <c r="B59" t="s">
        <v>2</v>
      </c>
      <c r="C59" t="s">
        <v>14</v>
      </c>
      <c r="D59">
        <v>33460</v>
      </c>
      <c r="E59" t="s">
        <v>720</v>
      </c>
      <c r="F59" t="s">
        <v>721</v>
      </c>
      <c r="G59" t="s">
        <v>670</v>
      </c>
      <c r="H59" t="s">
        <v>670</v>
      </c>
      <c r="I59">
        <v>1473</v>
      </c>
      <c r="J59">
        <v>1056</v>
      </c>
      <c r="K59">
        <v>154</v>
      </c>
      <c r="L59">
        <v>515</v>
      </c>
    </row>
    <row r="60" spans="1:12" x14ac:dyDescent="0.25">
      <c r="A60" t="s">
        <v>15</v>
      </c>
      <c r="B60" t="s">
        <v>2</v>
      </c>
      <c r="C60" t="s">
        <v>15</v>
      </c>
      <c r="D60">
        <v>34980</v>
      </c>
      <c r="E60" t="s">
        <v>672</v>
      </c>
      <c r="F60" t="s">
        <v>719</v>
      </c>
      <c r="G60" t="s">
        <v>670</v>
      </c>
      <c r="H60" t="s">
        <v>670</v>
      </c>
      <c r="I60">
        <v>204360</v>
      </c>
      <c r="J60">
        <v>205854</v>
      </c>
      <c r="K60">
        <v>207247</v>
      </c>
      <c r="L60">
        <v>208436</v>
      </c>
    </row>
    <row r="61" spans="1:12" x14ac:dyDescent="0.25">
      <c r="A61" t="s">
        <v>15</v>
      </c>
      <c r="B61" t="s">
        <v>2</v>
      </c>
      <c r="C61" t="s">
        <v>15</v>
      </c>
      <c r="D61">
        <v>34980</v>
      </c>
      <c r="E61" t="s">
        <v>720</v>
      </c>
      <c r="F61" t="s">
        <v>721</v>
      </c>
      <c r="G61" t="s">
        <v>670</v>
      </c>
      <c r="H61" t="s">
        <v>670</v>
      </c>
      <c r="I61">
        <v>1680</v>
      </c>
      <c r="J61">
        <v>1926</v>
      </c>
      <c r="K61">
        <v>1242</v>
      </c>
      <c r="L61">
        <v>991</v>
      </c>
    </row>
    <row r="62" spans="1:12" x14ac:dyDescent="0.25">
      <c r="A62" t="s">
        <v>27</v>
      </c>
      <c r="B62" t="s">
        <v>2</v>
      </c>
      <c r="C62" t="s">
        <v>27</v>
      </c>
      <c r="D62">
        <v>36420</v>
      </c>
      <c r="E62" t="s">
        <v>672</v>
      </c>
      <c r="F62" t="s">
        <v>719</v>
      </c>
      <c r="G62" t="s">
        <v>670</v>
      </c>
      <c r="H62" t="s">
        <v>670</v>
      </c>
      <c r="I62">
        <v>104230</v>
      </c>
      <c r="J62">
        <v>104435</v>
      </c>
      <c r="K62">
        <v>104619</v>
      </c>
      <c r="L62">
        <v>104807</v>
      </c>
    </row>
    <row r="63" spans="1:12" x14ac:dyDescent="0.25">
      <c r="A63" t="s">
        <v>27</v>
      </c>
      <c r="B63" t="s">
        <v>2</v>
      </c>
      <c r="C63" t="s">
        <v>27</v>
      </c>
      <c r="D63">
        <v>36420</v>
      </c>
      <c r="E63" t="s">
        <v>720</v>
      </c>
      <c r="F63" t="s">
        <v>721</v>
      </c>
      <c r="G63" t="s">
        <v>670</v>
      </c>
      <c r="H63" t="s">
        <v>670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491</v>
      </c>
      <c r="B64" t="s">
        <v>2</v>
      </c>
      <c r="C64" t="s">
        <v>491</v>
      </c>
      <c r="D64">
        <v>36540</v>
      </c>
      <c r="E64" t="s">
        <v>672</v>
      </c>
      <c r="F64" t="s">
        <v>719</v>
      </c>
      <c r="G64" t="s">
        <v>670</v>
      </c>
      <c r="H64" t="s">
        <v>670</v>
      </c>
      <c r="I64">
        <v>92190</v>
      </c>
      <c r="J64">
        <v>93098</v>
      </c>
      <c r="K64">
        <v>93414</v>
      </c>
      <c r="L64">
        <v>94200</v>
      </c>
    </row>
    <row r="65" spans="1:12" x14ac:dyDescent="0.25">
      <c r="A65" t="s">
        <v>491</v>
      </c>
      <c r="B65" t="s">
        <v>2</v>
      </c>
      <c r="C65" t="s">
        <v>491</v>
      </c>
      <c r="D65">
        <v>36540</v>
      </c>
      <c r="E65" t="s">
        <v>720</v>
      </c>
      <c r="F65" t="s">
        <v>721</v>
      </c>
      <c r="G65" t="s">
        <v>670</v>
      </c>
      <c r="H65" t="s">
        <v>670</v>
      </c>
      <c r="I65">
        <v>2104</v>
      </c>
      <c r="J65">
        <v>485</v>
      </c>
      <c r="K65">
        <v>188</v>
      </c>
      <c r="L65">
        <v>154</v>
      </c>
    </row>
    <row r="66" spans="1:12" x14ac:dyDescent="0.25">
      <c r="A66" t="s">
        <v>26</v>
      </c>
      <c r="B66" t="s">
        <v>2</v>
      </c>
      <c r="C66" t="s">
        <v>26</v>
      </c>
      <c r="D66">
        <v>36740</v>
      </c>
      <c r="E66" t="s">
        <v>672</v>
      </c>
      <c r="F66" t="s">
        <v>719</v>
      </c>
      <c r="G66" t="s">
        <v>670</v>
      </c>
      <c r="H66" t="s">
        <v>670</v>
      </c>
      <c r="I66">
        <v>291110</v>
      </c>
      <c r="J66">
        <v>294137</v>
      </c>
      <c r="K66">
        <v>295478</v>
      </c>
      <c r="L66">
        <v>297139</v>
      </c>
    </row>
    <row r="67" spans="1:12" x14ac:dyDescent="0.25">
      <c r="A67" t="s">
        <v>26</v>
      </c>
      <c r="B67" t="s">
        <v>2</v>
      </c>
      <c r="C67" t="s">
        <v>26</v>
      </c>
      <c r="D67">
        <v>36740</v>
      </c>
      <c r="E67" t="s">
        <v>720</v>
      </c>
      <c r="F67" t="s">
        <v>721</v>
      </c>
      <c r="G67" t="s">
        <v>670</v>
      </c>
      <c r="H67" t="s">
        <v>670</v>
      </c>
      <c r="I67">
        <v>2044</v>
      </c>
      <c r="J67">
        <v>1976</v>
      </c>
      <c r="K67">
        <v>1460</v>
      </c>
      <c r="L67">
        <v>336</v>
      </c>
    </row>
    <row r="68" spans="1:12" x14ac:dyDescent="0.25">
      <c r="A68" t="s">
        <v>501</v>
      </c>
      <c r="B68" t="s">
        <v>2</v>
      </c>
      <c r="C68" t="s">
        <v>501</v>
      </c>
      <c r="D68">
        <v>37340</v>
      </c>
      <c r="E68" t="s">
        <v>672</v>
      </c>
      <c r="F68" t="s">
        <v>719</v>
      </c>
      <c r="G68" t="s">
        <v>670</v>
      </c>
      <c r="H68" t="s">
        <v>670</v>
      </c>
      <c r="I68">
        <v>43929</v>
      </c>
      <c r="J68">
        <v>44359</v>
      </c>
      <c r="K68">
        <v>44625</v>
      </c>
      <c r="L68">
        <v>45134</v>
      </c>
    </row>
    <row r="69" spans="1:12" x14ac:dyDescent="0.25">
      <c r="A69" t="s">
        <v>501</v>
      </c>
      <c r="B69" t="s">
        <v>2</v>
      </c>
      <c r="C69" t="s">
        <v>501</v>
      </c>
      <c r="D69">
        <v>37340</v>
      </c>
      <c r="E69" t="s">
        <v>720</v>
      </c>
      <c r="F69" t="s">
        <v>721</v>
      </c>
      <c r="G69" t="s">
        <v>670</v>
      </c>
      <c r="H69" t="s">
        <v>670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31</v>
      </c>
      <c r="B70" t="s">
        <v>2</v>
      </c>
      <c r="C70" t="s">
        <v>31</v>
      </c>
      <c r="D70">
        <v>38060</v>
      </c>
      <c r="E70" t="s">
        <v>672</v>
      </c>
      <c r="F70" t="s">
        <v>719</v>
      </c>
      <c r="G70" t="s">
        <v>670</v>
      </c>
      <c r="H70" t="s">
        <v>670</v>
      </c>
      <c r="I70">
        <v>451768</v>
      </c>
      <c r="J70">
        <v>456277</v>
      </c>
      <c r="K70">
        <v>461107</v>
      </c>
      <c r="L70">
        <v>465235</v>
      </c>
    </row>
    <row r="71" spans="1:12" x14ac:dyDescent="0.25">
      <c r="A71" t="s">
        <v>31</v>
      </c>
      <c r="B71" t="s">
        <v>2</v>
      </c>
      <c r="C71" t="s">
        <v>31</v>
      </c>
      <c r="D71">
        <v>38060</v>
      </c>
      <c r="E71" t="s">
        <v>720</v>
      </c>
      <c r="F71" t="s">
        <v>721</v>
      </c>
      <c r="G71" t="s">
        <v>670</v>
      </c>
      <c r="H71" t="s">
        <v>670</v>
      </c>
      <c r="I71">
        <v>2446</v>
      </c>
      <c r="J71">
        <v>4579</v>
      </c>
      <c r="K71">
        <v>4515</v>
      </c>
      <c r="L71">
        <v>2150</v>
      </c>
    </row>
    <row r="72" spans="1:12" x14ac:dyDescent="0.25">
      <c r="A72" t="s">
        <v>33</v>
      </c>
      <c r="B72" t="s">
        <v>2</v>
      </c>
      <c r="C72" t="s">
        <v>33</v>
      </c>
      <c r="D72">
        <v>239580</v>
      </c>
      <c r="E72" t="s">
        <v>672</v>
      </c>
      <c r="F72" t="s">
        <v>719</v>
      </c>
      <c r="G72" t="s">
        <v>670</v>
      </c>
      <c r="H72" t="s">
        <v>670</v>
      </c>
      <c r="I72">
        <v>212094</v>
      </c>
      <c r="J72">
        <v>213624</v>
      </c>
      <c r="K72">
        <v>215110</v>
      </c>
      <c r="L72">
        <v>216538</v>
      </c>
    </row>
    <row r="73" spans="1:12" x14ac:dyDescent="0.25">
      <c r="A73" t="s">
        <v>33</v>
      </c>
      <c r="B73" t="s">
        <v>2</v>
      </c>
      <c r="C73" t="s">
        <v>33</v>
      </c>
      <c r="D73">
        <v>239580</v>
      </c>
      <c r="E73" t="s">
        <v>720</v>
      </c>
      <c r="F73" t="s">
        <v>721</v>
      </c>
      <c r="G73" t="s">
        <v>670</v>
      </c>
      <c r="H73" t="s">
        <v>670</v>
      </c>
      <c r="I73">
        <v>2298</v>
      </c>
      <c r="J73">
        <v>5103</v>
      </c>
      <c r="K73">
        <v>1901</v>
      </c>
      <c r="L73">
        <v>873</v>
      </c>
    </row>
    <row r="74" spans="1:12" x14ac:dyDescent="0.25">
      <c r="A74" t="s">
        <v>8</v>
      </c>
      <c r="B74" t="s">
        <v>2</v>
      </c>
      <c r="C74" t="s">
        <v>8</v>
      </c>
      <c r="D74">
        <v>39900</v>
      </c>
      <c r="E74" t="s">
        <v>672</v>
      </c>
      <c r="F74" t="s">
        <v>719</v>
      </c>
      <c r="G74" t="s">
        <v>670</v>
      </c>
      <c r="H74" t="s">
        <v>670</v>
      </c>
      <c r="I74">
        <v>53861</v>
      </c>
      <c r="J74">
        <v>54126</v>
      </c>
      <c r="K74">
        <v>54291</v>
      </c>
      <c r="L74">
        <v>54345</v>
      </c>
    </row>
    <row r="75" spans="1:12" x14ac:dyDescent="0.25">
      <c r="A75" t="s">
        <v>8</v>
      </c>
      <c r="B75" t="s">
        <v>2</v>
      </c>
      <c r="C75" t="s">
        <v>8</v>
      </c>
      <c r="D75">
        <v>39900</v>
      </c>
      <c r="E75" t="s">
        <v>720</v>
      </c>
      <c r="F75" t="s">
        <v>721</v>
      </c>
      <c r="G75" t="s">
        <v>670</v>
      </c>
      <c r="H75" t="s">
        <v>670</v>
      </c>
      <c r="I75">
        <v>0</v>
      </c>
      <c r="J75">
        <v>842</v>
      </c>
      <c r="K75">
        <v>38</v>
      </c>
      <c r="L75">
        <v>420</v>
      </c>
    </row>
    <row r="76" spans="1:12" x14ac:dyDescent="0.25">
      <c r="A76" t="s">
        <v>9</v>
      </c>
      <c r="B76" t="s">
        <v>2</v>
      </c>
      <c r="C76" t="s">
        <v>9</v>
      </c>
      <c r="D76">
        <v>40060</v>
      </c>
      <c r="E76" t="s">
        <v>672</v>
      </c>
      <c r="F76" t="s">
        <v>719</v>
      </c>
      <c r="G76" t="s">
        <v>670</v>
      </c>
      <c r="H76" t="s">
        <v>670</v>
      </c>
      <c r="I76">
        <v>119224</v>
      </c>
      <c r="J76">
        <v>119946</v>
      </c>
      <c r="K76">
        <v>120219</v>
      </c>
      <c r="L76">
        <v>120508</v>
      </c>
    </row>
    <row r="77" spans="1:12" x14ac:dyDescent="0.25">
      <c r="A77" t="s">
        <v>9</v>
      </c>
      <c r="B77" t="s">
        <v>2</v>
      </c>
      <c r="C77" t="s">
        <v>9</v>
      </c>
      <c r="D77">
        <v>40060</v>
      </c>
      <c r="E77" t="s">
        <v>720</v>
      </c>
      <c r="F77" t="s">
        <v>721</v>
      </c>
      <c r="G77" t="s">
        <v>670</v>
      </c>
      <c r="H77" t="s">
        <v>670</v>
      </c>
      <c r="I77">
        <v>0</v>
      </c>
      <c r="J77">
        <v>288</v>
      </c>
      <c r="K77">
        <v>1071</v>
      </c>
      <c r="L77">
        <v>299</v>
      </c>
    </row>
    <row r="78" spans="1:12" x14ac:dyDescent="0.25">
      <c r="A78" t="s">
        <v>10</v>
      </c>
      <c r="B78" t="s">
        <v>2</v>
      </c>
      <c r="C78" t="s">
        <v>10</v>
      </c>
      <c r="D78">
        <v>341620</v>
      </c>
      <c r="E78" t="s">
        <v>672</v>
      </c>
      <c r="F78" t="s">
        <v>719</v>
      </c>
      <c r="G78" t="s">
        <v>670</v>
      </c>
      <c r="H78" t="s">
        <v>670</v>
      </c>
      <c r="I78">
        <v>139628</v>
      </c>
      <c r="J78">
        <v>140263</v>
      </c>
      <c r="K78">
        <v>141215</v>
      </c>
      <c r="L78">
        <v>141560</v>
      </c>
    </row>
    <row r="79" spans="1:12" x14ac:dyDescent="0.25">
      <c r="A79" t="s">
        <v>10</v>
      </c>
      <c r="B79" t="s">
        <v>2</v>
      </c>
      <c r="C79" t="s">
        <v>10</v>
      </c>
      <c r="D79">
        <v>341620</v>
      </c>
      <c r="E79" t="s">
        <v>720</v>
      </c>
      <c r="F79" t="s">
        <v>721</v>
      </c>
      <c r="G79" t="s">
        <v>670</v>
      </c>
      <c r="H79" t="s">
        <v>670</v>
      </c>
      <c r="I79">
        <v>601</v>
      </c>
      <c r="J79">
        <v>258</v>
      </c>
      <c r="K79">
        <v>767</v>
      </c>
      <c r="L79">
        <v>0</v>
      </c>
    </row>
    <row r="80" spans="1:12" x14ac:dyDescent="0.25">
      <c r="A80" t="s">
        <v>40</v>
      </c>
      <c r="B80" t="s">
        <v>2</v>
      </c>
      <c r="C80" t="s">
        <v>40</v>
      </c>
      <c r="D80">
        <v>41700</v>
      </c>
      <c r="E80" t="s">
        <v>672</v>
      </c>
      <c r="F80" t="s">
        <v>719</v>
      </c>
      <c r="G80" t="s">
        <v>670</v>
      </c>
      <c r="H80" t="s">
        <v>670</v>
      </c>
      <c r="I80">
        <v>242756</v>
      </c>
      <c r="J80">
        <v>244456</v>
      </c>
      <c r="K80">
        <v>246451</v>
      </c>
      <c r="L80">
        <v>248182</v>
      </c>
    </row>
    <row r="81" spans="1:12" x14ac:dyDescent="0.25">
      <c r="A81" t="s">
        <v>40</v>
      </c>
      <c r="B81" t="s">
        <v>2</v>
      </c>
      <c r="C81" t="s">
        <v>40</v>
      </c>
      <c r="D81">
        <v>41700</v>
      </c>
      <c r="E81" t="s">
        <v>720</v>
      </c>
      <c r="F81" t="s">
        <v>721</v>
      </c>
      <c r="G81" t="s">
        <v>670</v>
      </c>
      <c r="H81" t="s">
        <v>670</v>
      </c>
      <c r="I81">
        <v>27</v>
      </c>
      <c r="J81">
        <v>617</v>
      </c>
      <c r="K81">
        <v>0</v>
      </c>
      <c r="L81">
        <v>0</v>
      </c>
    </row>
    <row r="82" spans="1:12" x14ac:dyDescent="0.25">
      <c r="A82" t="s">
        <v>557</v>
      </c>
      <c r="B82" t="s">
        <v>2</v>
      </c>
      <c r="C82" t="s">
        <v>557</v>
      </c>
      <c r="D82">
        <v>42340</v>
      </c>
      <c r="E82" t="s">
        <v>672</v>
      </c>
      <c r="F82" t="s">
        <v>719</v>
      </c>
      <c r="G82" t="s">
        <v>670</v>
      </c>
      <c r="H82" t="s">
        <v>670</v>
      </c>
      <c r="I82">
        <v>38652</v>
      </c>
      <c r="J82">
        <v>39576</v>
      </c>
      <c r="K82">
        <v>40427</v>
      </c>
      <c r="L82">
        <v>40837</v>
      </c>
    </row>
    <row r="83" spans="1:12" x14ac:dyDescent="0.25">
      <c r="A83" t="s">
        <v>557</v>
      </c>
      <c r="B83" t="s">
        <v>2</v>
      </c>
      <c r="C83" t="s">
        <v>557</v>
      </c>
      <c r="D83">
        <v>42340</v>
      </c>
      <c r="E83" t="s">
        <v>720</v>
      </c>
      <c r="F83" t="s">
        <v>721</v>
      </c>
      <c r="G83" t="s">
        <v>670</v>
      </c>
      <c r="H83" t="s">
        <v>670</v>
      </c>
      <c r="I83">
        <v>504</v>
      </c>
      <c r="J83">
        <v>240</v>
      </c>
      <c r="K83">
        <v>0</v>
      </c>
      <c r="L83">
        <v>0</v>
      </c>
    </row>
    <row r="84" spans="1:12" x14ac:dyDescent="0.25">
      <c r="A84" t="s">
        <v>590</v>
      </c>
      <c r="B84" t="s">
        <v>2</v>
      </c>
      <c r="C84" t="s">
        <v>590</v>
      </c>
      <c r="D84">
        <v>41180</v>
      </c>
      <c r="E84" t="s">
        <v>672</v>
      </c>
      <c r="F84" t="s">
        <v>719</v>
      </c>
      <c r="G84" t="s">
        <v>670</v>
      </c>
      <c r="H84" t="s">
        <v>670</v>
      </c>
      <c r="I84">
        <v>174205</v>
      </c>
      <c r="J84">
        <v>174572</v>
      </c>
      <c r="K84">
        <v>174892</v>
      </c>
      <c r="L84">
        <v>175257</v>
      </c>
    </row>
    <row r="85" spans="1:12" x14ac:dyDescent="0.25">
      <c r="A85" t="s">
        <v>590</v>
      </c>
      <c r="B85" t="s">
        <v>2</v>
      </c>
      <c r="C85" t="s">
        <v>590</v>
      </c>
      <c r="D85">
        <v>41180</v>
      </c>
      <c r="E85" t="s">
        <v>720</v>
      </c>
      <c r="F85" t="s">
        <v>721</v>
      </c>
      <c r="G85" t="s">
        <v>670</v>
      </c>
      <c r="H85" t="s">
        <v>670</v>
      </c>
      <c r="I85">
        <v>963</v>
      </c>
      <c r="J85">
        <v>370</v>
      </c>
      <c r="K85">
        <v>387</v>
      </c>
      <c r="L85">
        <v>216</v>
      </c>
    </row>
    <row r="86" spans="1:12" x14ac:dyDescent="0.25">
      <c r="A86" t="s">
        <v>34</v>
      </c>
      <c r="B86" t="s">
        <v>2</v>
      </c>
      <c r="C86" t="s">
        <v>34</v>
      </c>
      <c r="D86">
        <v>45300</v>
      </c>
      <c r="E86" t="s">
        <v>672</v>
      </c>
      <c r="F86" t="s">
        <v>719</v>
      </c>
      <c r="G86" t="s">
        <v>670</v>
      </c>
      <c r="H86" t="s">
        <v>670</v>
      </c>
      <c r="I86">
        <v>299124</v>
      </c>
      <c r="J86">
        <v>301287</v>
      </c>
      <c r="K86">
        <v>302612</v>
      </c>
      <c r="L86">
        <v>304438</v>
      </c>
    </row>
    <row r="87" spans="1:12" x14ac:dyDescent="0.25">
      <c r="A87" t="s">
        <v>34</v>
      </c>
      <c r="B87" t="s">
        <v>2</v>
      </c>
      <c r="C87" t="s">
        <v>34</v>
      </c>
      <c r="D87">
        <v>45300</v>
      </c>
      <c r="E87" t="s">
        <v>720</v>
      </c>
      <c r="F87" t="s">
        <v>721</v>
      </c>
      <c r="G87" t="s">
        <v>670</v>
      </c>
      <c r="H87" t="s">
        <v>670</v>
      </c>
      <c r="I87">
        <v>1315</v>
      </c>
      <c r="J87">
        <v>1566</v>
      </c>
      <c r="K87">
        <v>1366</v>
      </c>
      <c r="L87">
        <v>1290</v>
      </c>
    </row>
    <row r="88" spans="1:12" x14ac:dyDescent="0.25">
      <c r="A88" t="s">
        <v>20</v>
      </c>
      <c r="B88" t="s">
        <v>2</v>
      </c>
      <c r="C88" t="s">
        <v>20</v>
      </c>
      <c r="D88">
        <v>46060</v>
      </c>
      <c r="E88" t="s">
        <v>672</v>
      </c>
      <c r="F88" t="s">
        <v>719</v>
      </c>
      <c r="G88" t="s">
        <v>670</v>
      </c>
      <c r="H88" t="s">
        <v>670</v>
      </c>
      <c r="I88">
        <v>87870</v>
      </c>
      <c r="J88">
        <v>88105</v>
      </c>
      <c r="K88">
        <v>88219</v>
      </c>
      <c r="L88">
        <v>88347</v>
      </c>
    </row>
    <row r="89" spans="1:12" x14ac:dyDescent="0.25">
      <c r="A89" t="s">
        <v>20</v>
      </c>
      <c r="B89" t="s">
        <v>2</v>
      </c>
      <c r="C89" t="s">
        <v>20</v>
      </c>
      <c r="D89">
        <v>46060</v>
      </c>
      <c r="E89" t="s">
        <v>720</v>
      </c>
      <c r="F89" t="s">
        <v>721</v>
      </c>
      <c r="G89" t="s">
        <v>670</v>
      </c>
      <c r="H89" t="s">
        <v>670</v>
      </c>
      <c r="I89">
        <v>0</v>
      </c>
      <c r="J89">
        <v>446</v>
      </c>
      <c r="K89">
        <v>0</v>
      </c>
      <c r="L89">
        <v>0</v>
      </c>
    </row>
    <row r="90" spans="1:12" x14ac:dyDescent="0.25">
      <c r="A90" t="s">
        <v>24</v>
      </c>
      <c r="B90" t="s">
        <v>2</v>
      </c>
      <c r="C90" t="s">
        <v>24</v>
      </c>
      <c r="D90">
        <v>46140</v>
      </c>
      <c r="E90" t="s">
        <v>672</v>
      </c>
      <c r="F90" t="s">
        <v>719</v>
      </c>
      <c r="G90" t="s">
        <v>670</v>
      </c>
      <c r="H90" t="s">
        <v>670</v>
      </c>
      <c r="I90">
        <v>73645</v>
      </c>
      <c r="J90">
        <v>73918</v>
      </c>
      <c r="K90">
        <v>74236</v>
      </c>
      <c r="L90">
        <v>74316</v>
      </c>
    </row>
    <row r="91" spans="1:12" x14ac:dyDescent="0.25">
      <c r="A91" t="s">
        <v>24</v>
      </c>
      <c r="B91" t="s">
        <v>2</v>
      </c>
      <c r="C91" t="s">
        <v>24</v>
      </c>
      <c r="D91">
        <v>46140</v>
      </c>
      <c r="E91" t="s">
        <v>720</v>
      </c>
      <c r="F91" t="s">
        <v>721</v>
      </c>
      <c r="G91" t="s">
        <v>670</v>
      </c>
      <c r="H91" t="s">
        <v>670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626</v>
      </c>
      <c r="B92" t="s">
        <v>2</v>
      </c>
      <c r="C92" t="s">
        <v>626</v>
      </c>
      <c r="D92">
        <v>47260</v>
      </c>
      <c r="E92" t="s">
        <v>672</v>
      </c>
      <c r="F92" t="s">
        <v>719</v>
      </c>
      <c r="G92" t="s">
        <v>670</v>
      </c>
      <c r="H92" t="s">
        <v>670</v>
      </c>
      <c r="I92">
        <v>146388</v>
      </c>
      <c r="J92">
        <v>146888</v>
      </c>
      <c r="K92">
        <v>147079</v>
      </c>
      <c r="L92">
        <v>147252</v>
      </c>
    </row>
    <row r="93" spans="1:12" x14ac:dyDescent="0.25">
      <c r="A93" t="s">
        <v>626</v>
      </c>
      <c r="B93" t="s">
        <v>2</v>
      </c>
      <c r="C93" t="s">
        <v>626</v>
      </c>
      <c r="D93">
        <v>47260</v>
      </c>
      <c r="E93" t="s">
        <v>720</v>
      </c>
      <c r="F93" t="s">
        <v>721</v>
      </c>
      <c r="G93" t="s">
        <v>670</v>
      </c>
      <c r="H93" t="s">
        <v>670</v>
      </c>
      <c r="I93">
        <v>0</v>
      </c>
      <c r="J93">
        <v>0</v>
      </c>
      <c r="K93">
        <v>215</v>
      </c>
      <c r="L93">
        <v>372</v>
      </c>
    </row>
    <row r="94" spans="1:12" x14ac:dyDescent="0.25">
      <c r="A94" t="s">
        <v>22</v>
      </c>
      <c r="B94" t="s">
        <v>2</v>
      </c>
      <c r="C94" t="s">
        <v>22</v>
      </c>
      <c r="D94">
        <v>47900</v>
      </c>
      <c r="E94" t="s">
        <v>672</v>
      </c>
      <c r="F94" t="s">
        <v>719</v>
      </c>
      <c r="G94" t="s">
        <v>670</v>
      </c>
      <c r="H94" t="s">
        <v>670</v>
      </c>
      <c r="I94">
        <v>702702</v>
      </c>
      <c r="J94">
        <v>704435</v>
      </c>
      <c r="K94">
        <v>706348</v>
      </c>
      <c r="L94">
        <v>707981</v>
      </c>
    </row>
    <row r="95" spans="1:12" x14ac:dyDescent="0.25">
      <c r="A95" t="s">
        <v>22</v>
      </c>
      <c r="B95" t="s">
        <v>2</v>
      </c>
      <c r="C95" t="s">
        <v>22</v>
      </c>
      <c r="D95">
        <v>47900</v>
      </c>
      <c r="E95" t="s">
        <v>720</v>
      </c>
      <c r="F95" t="s">
        <v>721</v>
      </c>
      <c r="G95" t="s">
        <v>670</v>
      </c>
      <c r="H95" t="s">
        <v>670</v>
      </c>
      <c r="I95">
        <v>1973</v>
      </c>
      <c r="J95">
        <v>1071</v>
      </c>
      <c r="K95">
        <v>2154</v>
      </c>
      <c r="L95">
        <v>2219</v>
      </c>
    </row>
    <row r="96" spans="1:12" x14ac:dyDescent="0.25">
      <c r="A96" t="s">
        <v>12</v>
      </c>
      <c r="B96" t="s">
        <v>2</v>
      </c>
      <c r="C96" t="s">
        <v>12</v>
      </c>
      <c r="D96">
        <v>48424</v>
      </c>
      <c r="E96" t="s">
        <v>672</v>
      </c>
      <c r="F96" t="s">
        <v>719</v>
      </c>
      <c r="G96" t="s">
        <v>670</v>
      </c>
      <c r="H96" t="s">
        <v>670</v>
      </c>
      <c r="I96">
        <v>131620</v>
      </c>
      <c r="J96">
        <v>131932</v>
      </c>
      <c r="K96">
        <v>132217</v>
      </c>
      <c r="L96">
        <v>132415</v>
      </c>
    </row>
    <row r="97" spans="1:12" x14ac:dyDescent="0.25">
      <c r="A97" t="s">
        <v>12</v>
      </c>
      <c r="B97" t="s">
        <v>2</v>
      </c>
      <c r="C97" t="s">
        <v>12</v>
      </c>
      <c r="D97">
        <v>48424</v>
      </c>
      <c r="E97" t="s">
        <v>720</v>
      </c>
      <c r="F97" t="s">
        <v>721</v>
      </c>
      <c r="G97" t="s">
        <v>670</v>
      </c>
      <c r="H97" t="s">
        <v>670</v>
      </c>
      <c r="I97">
        <v>510</v>
      </c>
      <c r="J97">
        <v>629</v>
      </c>
      <c r="K97">
        <v>646</v>
      </c>
      <c r="L97">
        <v>1157</v>
      </c>
    </row>
    <row r="98" spans="1:12" x14ac:dyDescent="0.25">
      <c r="A98" t="s">
        <v>642</v>
      </c>
      <c r="B98" t="s">
        <v>2</v>
      </c>
      <c r="C98" t="s">
        <v>642</v>
      </c>
      <c r="D98">
        <v>48620</v>
      </c>
      <c r="E98" t="s">
        <v>672</v>
      </c>
      <c r="F98" t="s">
        <v>719</v>
      </c>
      <c r="G98" t="s">
        <v>670</v>
      </c>
      <c r="H98" t="s">
        <v>670</v>
      </c>
      <c r="I98">
        <v>39204</v>
      </c>
      <c r="J98">
        <v>39462</v>
      </c>
      <c r="K98">
        <v>39591</v>
      </c>
      <c r="L98">
        <v>39615</v>
      </c>
    </row>
    <row r="99" spans="1:12" x14ac:dyDescent="0.25">
      <c r="A99" t="s">
        <v>642</v>
      </c>
      <c r="B99" t="s">
        <v>2</v>
      </c>
      <c r="C99" t="s">
        <v>642</v>
      </c>
      <c r="D99">
        <v>48620</v>
      </c>
      <c r="E99" t="s">
        <v>720</v>
      </c>
      <c r="F99" t="s">
        <v>721</v>
      </c>
      <c r="G99" t="s">
        <v>670</v>
      </c>
      <c r="H99" t="s">
        <v>670</v>
      </c>
      <c r="I99">
        <v>154</v>
      </c>
      <c r="J99">
        <v>0</v>
      </c>
      <c r="K99">
        <v>0</v>
      </c>
      <c r="L99">
        <v>0</v>
      </c>
    </row>
    <row r="100" spans="1:12" x14ac:dyDescent="0.25">
      <c r="A100" t="s">
        <v>647</v>
      </c>
      <c r="B100" t="s">
        <v>2</v>
      </c>
      <c r="C100" t="s">
        <v>647</v>
      </c>
      <c r="D100">
        <v>48900</v>
      </c>
      <c r="E100" t="s">
        <v>672</v>
      </c>
      <c r="F100" t="s">
        <v>719</v>
      </c>
      <c r="G100" t="s">
        <v>670</v>
      </c>
      <c r="H100" t="s">
        <v>670</v>
      </c>
      <c r="I100">
        <v>41238</v>
      </c>
      <c r="J100">
        <v>41388</v>
      </c>
      <c r="K100">
        <v>41620</v>
      </c>
      <c r="L100">
        <v>41949</v>
      </c>
    </row>
    <row r="101" spans="1:12" x14ac:dyDescent="0.25">
      <c r="A101" t="s">
        <v>647</v>
      </c>
      <c r="B101" t="s">
        <v>2</v>
      </c>
      <c r="C101" t="s">
        <v>647</v>
      </c>
      <c r="D101">
        <v>48900</v>
      </c>
      <c r="E101" t="s">
        <v>720</v>
      </c>
      <c r="F101" t="s">
        <v>721</v>
      </c>
      <c r="G101" t="s">
        <v>670</v>
      </c>
      <c r="H101" t="s">
        <v>670</v>
      </c>
      <c r="I101">
        <v>527</v>
      </c>
      <c r="J101">
        <v>0</v>
      </c>
      <c r="K101">
        <v>253</v>
      </c>
      <c r="L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3926-298C-4AB3-83DE-EE6EA86B9DB1}">
  <dimension ref="A1:AV577"/>
  <sheetViews>
    <sheetView workbookViewId="0">
      <selection activeCell="E18" sqref="E18:J18"/>
    </sheetView>
  </sheetViews>
  <sheetFormatPr defaultColWidth="16" defaultRowHeight="15" x14ac:dyDescent="0.25"/>
  <sheetData>
    <row r="1" spans="1:48" x14ac:dyDescent="0.25">
      <c r="A1" s="20" t="s">
        <v>660</v>
      </c>
      <c r="B1" s="20" t="s">
        <v>661</v>
      </c>
      <c r="C1" s="20" t="s">
        <v>662</v>
      </c>
      <c r="D1" s="20" t="s">
        <v>663</v>
      </c>
      <c r="E1" s="20" t="s">
        <v>664</v>
      </c>
      <c r="F1" s="20" t="s">
        <v>665</v>
      </c>
      <c r="G1" s="20" t="s">
        <v>666</v>
      </c>
      <c r="H1" s="20" t="s">
        <v>667</v>
      </c>
      <c r="I1" s="20" t="s">
        <v>674</v>
      </c>
      <c r="J1" s="20" t="s">
        <v>675</v>
      </c>
      <c r="K1" s="20" t="s">
        <v>676</v>
      </c>
      <c r="L1" s="20" t="s">
        <v>677</v>
      </c>
      <c r="M1" s="20" t="s">
        <v>678</v>
      </c>
      <c r="N1" s="20" t="s">
        <v>679</v>
      </c>
      <c r="O1" s="20" t="s">
        <v>680</v>
      </c>
      <c r="P1" s="20" t="s">
        <v>681</v>
      </c>
      <c r="Q1" s="20" t="s">
        <v>682</v>
      </c>
      <c r="R1" s="20" t="s">
        <v>683</v>
      </c>
      <c r="S1" s="20" t="s">
        <v>684</v>
      </c>
      <c r="T1" s="20" t="s">
        <v>685</v>
      </c>
      <c r="U1" s="20" t="s">
        <v>686</v>
      </c>
      <c r="V1" s="20" t="s">
        <v>687</v>
      </c>
      <c r="W1" s="20" t="s">
        <v>688</v>
      </c>
      <c r="X1" s="20" t="s">
        <v>689</v>
      </c>
      <c r="Y1" s="20" t="s">
        <v>690</v>
      </c>
      <c r="Z1" s="20" t="s">
        <v>691</v>
      </c>
      <c r="AA1" s="20" t="s">
        <v>692</v>
      </c>
      <c r="AB1" s="20" t="s">
        <v>693</v>
      </c>
      <c r="AC1" s="20" t="s">
        <v>694</v>
      </c>
      <c r="AD1" s="20" t="s">
        <v>695</v>
      </c>
      <c r="AE1" s="20" t="s">
        <v>696</v>
      </c>
      <c r="AF1" s="20" t="s">
        <v>697</v>
      </c>
      <c r="AG1" s="20" t="s">
        <v>698</v>
      </c>
      <c r="AH1" s="20" t="s">
        <v>699</v>
      </c>
      <c r="AI1" s="20" t="s">
        <v>700</v>
      </c>
      <c r="AJ1" s="20" t="s">
        <v>701</v>
      </c>
      <c r="AK1" s="20" t="s">
        <v>702</v>
      </c>
      <c r="AL1" s="20" t="s">
        <v>703</v>
      </c>
      <c r="AM1" s="20" t="s">
        <v>704</v>
      </c>
      <c r="AN1" s="20" t="s">
        <v>705</v>
      </c>
      <c r="AO1" s="20" t="s">
        <v>706</v>
      </c>
      <c r="AP1" s="20" t="s">
        <v>707</v>
      </c>
      <c r="AQ1" s="20" t="s">
        <v>708</v>
      </c>
      <c r="AR1" s="20" t="s">
        <v>709</v>
      </c>
      <c r="AS1" s="20" t="s">
        <v>710</v>
      </c>
      <c r="AT1" s="20" t="s">
        <v>711</v>
      </c>
      <c r="AU1" s="20" t="s">
        <v>712</v>
      </c>
      <c r="AV1" s="20" t="s">
        <v>713</v>
      </c>
    </row>
    <row r="2" spans="1:48" x14ac:dyDescent="0.25">
      <c r="A2" t="s">
        <v>119</v>
      </c>
      <c r="B2" t="s">
        <v>2</v>
      </c>
      <c r="C2" t="s">
        <v>119</v>
      </c>
      <c r="D2">
        <v>10180</v>
      </c>
      <c r="E2" t="s">
        <v>672</v>
      </c>
      <c r="F2" t="s">
        <v>117</v>
      </c>
      <c r="G2" t="s">
        <v>670</v>
      </c>
      <c r="H2" t="s">
        <v>670</v>
      </c>
      <c r="I2">
        <v>7.3000000000000001E-3</v>
      </c>
      <c r="J2">
        <v>6.1000000000000004E-3</v>
      </c>
      <c r="K2">
        <v>8.0100000000000005E-2</v>
      </c>
      <c r="L2">
        <v>6.5000000000000002E-2</v>
      </c>
      <c r="M2">
        <v>8.77E-2</v>
      </c>
      <c r="N2">
        <v>0.1047</v>
      </c>
      <c r="O2">
        <v>3.7699999999999997E-2</v>
      </c>
      <c r="P2">
        <v>4.5699999999999998E-2</v>
      </c>
      <c r="Q2">
        <v>4.0899999999999999E-2</v>
      </c>
      <c r="R2">
        <v>3.9600000000000003E-2</v>
      </c>
      <c r="S2">
        <v>3.7499999999999999E-2</v>
      </c>
      <c r="T2">
        <v>4.1300000000000003E-2</v>
      </c>
      <c r="U2">
        <v>5.0299999999999997E-2</v>
      </c>
      <c r="V2">
        <v>5.3800000000000001E-2</v>
      </c>
      <c r="W2">
        <v>4.1099999999999998E-2</v>
      </c>
      <c r="X2">
        <v>4.1000000000000002E-2</v>
      </c>
      <c r="Y2">
        <v>2.69E-2</v>
      </c>
      <c r="Z2">
        <v>2.7000000000000001E-3</v>
      </c>
      <c r="AA2">
        <v>4.4000000000000003E-3</v>
      </c>
      <c r="AB2">
        <v>2.1100000000000001E-2</v>
      </c>
      <c r="AC2">
        <v>1.6899999999999998E-2</v>
      </c>
      <c r="AD2">
        <v>3.2800000000000003E-2</v>
      </c>
      <c r="AE2">
        <v>6.2600000000000003E-2</v>
      </c>
      <c r="AF2">
        <v>6.88E-2</v>
      </c>
      <c r="AG2">
        <v>8.1100000000000005E-2</v>
      </c>
      <c r="AH2">
        <v>9.35E-2</v>
      </c>
      <c r="AI2">
        <v>6.6199999999999995E-2</v>
      </c>
      <c r="AJ2">
        <v>6.3799999999999996E-2</v>
      </c>
      <c r="AK2">
        <v>6.7699999999999996E-2</v>
      </c>
      <c r="AL2">
        <v>6.25E-2</v>
      </c>
      <c r="AM2">
        <v>5.1900000000000002E-2</v>
      </c>
      <c r="AN2">
        <v>5.3699999999999998E-2</v>
      </c>
      <c r="AO2">
        <v>3.7600000000000001E-2</v>
      </c>
      <c r="AP2">
        <v>4.2900000000000001E-2</v>
      </c>
      <c r="AQ2">
        <v>3.8300000000000001E-2</v>
      </c>
      <c r="AR2">
        <v>4.7399999999999998E-2</v>
      </c>
      <c r="AS2">
        <v>6.5699999999999995E-2</v>
      </c>
      <c r="AT2">
        <v>8.2699999999999996E-2</v>
      </c>
      <c r="AU2">
        <v>0.12970000000000001</v>
      </c>
      <c r="AV2">
        <v>0.18690000000000001</v>
      </c>
    </row>
    <row r="3" spans="1:48" x14ac:dyDescent="0.25">
      <c r="A3" t="s">
        <v>120</v>
      </c>
      <c r="B3" t="s">
        <v>2</v>
      </c>
      <c r="C3" t="s">
        <v>120</v>
      </c>
      <c r="D3">
        <v>10420</v>
      </c>
      <c r="E3" t="s">
        <v>672</v>
      </c>
      <c r="F3" t="s">
        <v>117</v>
      </c>
      <c r="G3" t="s">
        <v>670</v>
      </c>
      <c r="H3" t="s">
        <v>670</v>
      </c>
      <c r="I3">
        <v>2.7099999999999999E-2</v>
      </c>
      <c r="J3">
        <v>2.3199999999999998E-2</v>
      </c>
      <c r="K3">
        <v>2.7900000000000001E-2</v>
      </c>
      <c r="L3">
        <v>1.9199999999999998E-2</v>
      </c>
      <c r="M3">
        <v>1.4800000000000001E-2</v>
      </c>
      <c r="N3">
        <v>6.7999999999999996E-3</v>
      </c>
      <c r="O3">
        <v>1.72E-2</v>
      </c>
      <c r="P3">
        <v>2.0500000000000001E-2</v>
      </c>
      <c r="Q3">
        <v>1.5599999999999999E-2</v>
      </c>
      <c r="R3">
        <v>3.1800000000000002E-2</v>
      </c>
      <c r="S3">
        <v>2.7699999999999999E-2</v>
      </c>
      <c r="T3">
        <v>0.03</v>
      </c>
      <c r="U3">
        <v>3.39E-2</v>
      </c>
      <c r="V3">
        <v>1.4200000000000001E-2</v>
      </c>
      <c r="W3">
        <v>2.1499999999999998E-2</v>
      </c>
      <c r="X3">
        <v>2.53E-2</v>
      </c>
      <c r="Y3">
        <v>3.9199999999999999E-2</v>
      </c>
      <c r="Z3">
        <v>4.5199999999999997E-2</v>
      </c>
      <c r="AA3">
        <v>3.3799999999999997E-2</v>
      </c>
      <c r="AB3">
        <v>4.3799999999999999E-2</v>
      </c>
      <c r="AC3">
        <v>3.3099999999999997E-2</v>
      </c>
      <c r="AD3">
        <v>6.3200000000000006E-2</v>
      </c>
      <c r="AE3">
        <v>0.1079</v>
      </c>
      <c r="AF3">
        <v>8.9200000000000002E-2</v>
      </c>
      <c r="AG3">
        <v>0.1053</v>
      </c>
      <c r="AH3">
        <v>0.1152</v>
      </c>
      <c r="AI3">
        <v>0.10299999999999999</v>
      </c>
      <c r="AJ3">
        <v>0.1115</v>
      </c>
      <c r="AK3">
        <v>0.1004</v>
      </c>
      <c r="AL3">
        <v>7.2400000000000006E-2</v>
      </c>
      <c r="AM3">
        <v>4.9399999999999999E-2</v>
      </c>
      <c r="AN3">
        <v>4.6600000000000003E-2</v>
      </c>
      <c r="AO3">
        <v>4.8800000000000003E-2</v>
      </c>
      <c r="AP3">
        <v>4.9200000000000001E-2</v>
      </c>
      <c r="AQ3">
        <v>5.8299999999999998E-2</v>
      </c>
      <c r="AR3">
        <v>5.1900000000000002E-2</v>
      </c>
      <c r="AS3">
        <v>5.7099999999999998E-2</v>
      </c>
      <c r="AT3">
        <v>7.4099999999999999E-2</v>
      </c>
      <c r="AU3">
        <v>8.0600000000000005E-2</v>
      </c>
      <c r="AV3">
        <v>8.4099999999999994E-2</v>
      </c>
    </row>
    <row r="4" spans="1:48" x14ac:dyDescent="0.25">
      <c r="A4" t="s">
        <v>121</v>
      </c>
      <c r="B4" t="s">
        <v>2</v>
      </c>
      <c r="C4" t="s">
        <v>121</v>
      </c>
      <c r="D4">
        <v>10460</v>
      </c>
      <c r="E4" t="s">
        <v>672</v>
      </c>
      <c r="F4" t="s">
        <v>117</v>
      </c>
      <c r="G4" t="s">
        <v>670</v>
      </c>
      <c r="H4" t="s">
        <v>670</v>
      </c>
      <c r="I4" t="s">
        <v>673</v>
      </c>
      <c r="J4" t="s">
        <v>673</v>
      </c>
      <c r="K4" t="s">
        <v>673</v>
      </c>
      <c r="L4" t="s">
        <v>673</v>
      </c>
      <c r="M4" t="s">
        <v>673</v>
      </c>
      <c r="N4">
        <v>2.8000000000000001E-2</v>
      </c>
      <c r="O4" t="s">
        <v>673</v>
      </c>
      <c r="P4" t="s">
        <v>673</v>
      </c>
      <c r="Q4" t="s">
        <v>673</v>
      </c>
      <c r="R4" t="s">
        <v>673</v>
      </c>
      <c r="S4" t="s">
        <v>673</v>
      </c>
      <c r="T4" t="s">
        <v>673</v>
      </c>
      <c r="U4" t="s">
        <v>673</v>
      </c>
      <c r="V4" t="s">
        <v>673</v>
      </c>
      <c r="W4">
        <v>0.23139999999999999</v>
      </c>
      <c r="X4">
        <v>0.21329999999999999</v>
      </c>
      <c r="Y4">
        <v>0.1963</v>
      </c>
      <c r="Z4">
        <v>0.1757</v>
      </c>
      <c r="AA4">
        <v>-8.2000000000000007E-3</v>
      </c>
      <c r="AB4">
        <v>-1.1000000000000001E-3</v>
      </c>
      <c r="AC4">
        <v>1.9699999999999999E-2</v>
      </c>
      <c r="AD4">
        <v>3.9399999999999998E-2</v>
      </c>
      <c r="AE4">
        <v>5.4600000000000003E-2</v>
      </c>
      <c r="AF4">
        <v>0.1411</v>
      </c>
      <c r="AG4">
        <v>0.14119999999999999</v>
      </c>
      <c r="AH4">
        <v>0.1447</v>
      </c>
      <c r="AI4">
        <v>0.1358</v>
      </c>
      <c r="AJ4">
        <v>5.7200000000000001E-2</v>
      </c>
      <c r="AK4">
        <v>7.0099999999999996E-2</v>
      </c>
      <c r="AL4">
        <v>2.3599999999999999E-2</v>
      </c>
      <c r="AM4" t="s">
        <v>673</v>
      </c>
      <c r="AN4" t="s">
        <v>673</v>
      </c>
      <c r="AO4" t="s">
        <v>673</v>
      </c>
      <c r="AP4" t="s">
        <v>673</v>
      </c>
      <c r="AQ4" t="s">
        <v>673</v>
      </c>
      <c r="AR4" t="s">
        <v>673</v>
      </c>
      <c r="AS4" t="s">
        <v>673</v>
      </c>
      <c r="AT4" t="s">
        <v>673</v>
      </c>
      <c r="AU4" t="s">
        <v>673</v>
      </c>
      <c r="AV4" t="s">
        <v>673</v>
      </c>
    </row>
    <row r="5" spans="1:48" x14ac:dyDescent="0.25">
      <c r="A5" t="s">
        <v>122</v>
      </c>
      <c r="B5" t="s">
        <v>2</v>
      </c>
      <c r="C5" t="s">
        <v>122</v>
      </c>
      <c r="D5">
        <v>10500</v>
      </c>
      <c r="E5" t="s">
        <v>672</v>
      </c>
      <c r="F5" t="s">
        <v>117</v>
      </c>
      <c r="G5" t="s">
        <v>670</v>
      </c>
      <c r="H5" t="s">
        <v>670</v>
      </c>
      <c r="I5">
        <v>7.9600000000000004E-2</v>
      </c>
      <c r="J5">
        <v>0.1222</v>
      </c>
      <c r="K5">
        <v>4.4499999999999998E-2</v>
      </c>
      <c r="L5">
        <v>7.6399999999999996E-2</v>
      </c>
      <c r="M5">
        <v>7.2599999999999998E-2</v>
      </c>
      <c r="N5">
        <v>3.5299999999999998E-2</v>
      </c>
      <c r="O5">
        <v>7.0900000000000005E-2</v>
      </c>
      <c r="P5">
        <v>5.1900000000000002E-2</v>
      </c>
      <c r="Q5">
        <v>8.14E-2</v>
      </c>
      <c r="R5">
        <v>8.5599999999999996E-2</v>
      </c>
      <c r="S5">
        <v>4.8000000000000001E-2</v>
      </c>
      <c r="T5">
        <v>2.8400000000000002E-2</v>
      </c>
      <c r="U5">
        <v>8.8999999999999999E-3</v>
      </c>
      <c r="V5">
        <v>1.3100000000000001E-2</v>
      </c>
      <c r="W5">
        <v>3.3599999999999998E-2</v>
      </c>
      <c r="X5">
        <v>5.4300000000000001E-2</v>
      </c>
      <c r="Y5">
        <v>8.2299999999999998E-2</v>
      </c>
      <c r="Z5">
        <v>7.9699999999999993E-2</v>
      </c>
      <c r="AA5">
        <v>7.7799999999999994E-2</v>
      </c>
      <c r="AB5">
        <v>8.2100000000000006E-2</v>
      </c>
      <c r="AC5">
        <v>5.0200000000000002E-2</v>
      </c>
      <c r="AD5">
        <v>5.7599999999999998E-2</v>
      </c>
      <c r="AE5">
        <v>5.3800000000000001E-2</v>
      </c>
      <c r="AF5">
        <v>0.123</v>
      </c>
      <c r="AG5">
        <v>0.1603</v>
      </c>
      <c r="AH5">
        <v>0.2311</v>
      </c>
      <c r="AI5">
        <v>0.2432</v>
      </c>
      <c r="AJ5">
        <v>0.13270000000000001</v>
      </c>
      <c r="AK5">
        <v>9.9000000000000005E-2</v>
      </c>
      <c r="AL5">
        <v>0.02</v>
      </c>
      <c r="AM5">
        <v>5.74E-2</v>
      </c>
      <c r="AN5">
        <v>8.1000000000000003E-2</v>
      </c>
      <c r="AO5">
        <v>8.09E-2</v>
      </c>
      <c r="AP5">
        <v>8.2699999999999996E-2</v>
      </c>
      <c r="AQ5">
        <v>2.5600000000000001E-2</v>
      </c>
      <c r="AR5">
        <v>-9.5999999999999992E-3</v>
      </c>
      <c r="AS5">
        <v>-4.4299999999999999E-2</v>
      </c>
      <c r="AT5">
        <v>2.3999999999999998E-3</v>
      </c>
      <c r="AU5">
        <v>-0.1087</v>
      </c>
      <c r="AV5">
        <v>-5.7299999999999997E-2</v>
      </c>
    </row>
    <row r="6" spans="1:48" x14ac:dyDescent="0.25">
      <c r="A6" t="s">
        <v>123</v>
      </c>
      <c r="B6" t="s">
        <v>2</v>
      </c>
      <c r="C6" t="s">
        <v>123</v>
      </c>
      <c r="D6">
        <v>10540</v>
      </c>
      <c r="E6" t="s">
        <v>672</v>
      </c>
      <c r="F6" t="s">
        <v>117</v>
      </c>
      <c r="G6" t="s">
        <v>670</v>
      </c>
      <c r="H6" t="s">
        <v>670</v>
      </c>
      <c r="I6">
        <v>3.6200000000000003E-2</v>
      </c>
      <c r="J6">
        <v>2.1100000000000001E-2</v>
      </c>
      <c r="K6">
        <v>5.3999999999999999E-2</v>
      </c>
      <c r="L6">
        <v>0.104</v>
      </c>
      <c r="M6">
        <v>8.8999999999999996E-2</v>
      </c>
      <c r="N6">
        <v>0.13980000000000001</v>
      </c>
      <c r="O6">
        <v>0.15140000000000001</v>
      </c>
      <c r="P6">
        <v>0.1381</v>
      </c>
      <c r="Q6">
        <v>0.1202</v>
      </c>
      <c r="R6">
        <v>7.0999999999999994E-2</v>
      </c>
      <c r="S6">
        <v>3.2199999999999999E-2</v>
      </c>
      <c r="T6">
        <v>4.4299999999999999E-2</v>
      </c>
      <c r="U6">
        <v>5.21E-2</v>
      </c>
      <c r="V6">
        <v>5.8200000000000002E-2</v>
      </c>
      <c r="W6">
        <v>7.22E-2</v>
      </c>
      <c r="X6">
        <v>6.7999999999999996E-3</v>
      </c>
      <c r="Y6">
        <v>-1.5800000000000002E-2</v>
      </c>
      <c r="Z6">
        <v>-2.8899999999999999E-2</v>
      </c>
      <c r="AA6">
        <v>-1.7999999999999999E-2</v>
      </c>
      <c r="AB6">
        <v>2.7799999999999998E-2</v>
      </c>
      <c r="AC6">
        <v>5.67E-2</v>
      </c>
      <c r="AD6">
        <v>0.08</v>
      </c>
      <c r="AE6">
        <v>7.9799999999999996E-2</v>
      </c>
      <c r="AF6">
        <v>0.14219999999999999</v>
      </c>
      <c r="AG6">
        <v>0.1671</v>
      </c>
      <c r="AH6">
        <v>0.1676</v>
      </c>
      <c r="AI6">
        <v>0.1663</v>
      </c>
      <c r="AJ6">
        <v>0.1145</v>
      </c>
      <c r="AK6">
        <v>8.9200000000000002E-2</v>
      </c>
      <c r="AL6">
        <v>6.7199999999999996E-2</v>
      </c>
      <c r="AM6">
        <v>1.06E-2</v>
      </c>
      <c r="AN6">
        <v>5.4000000000000003E-3</v>
      </c>
      <c r="AO6">
        <v>-2.5999999999999999E-3</v>
      </c>
      <c r="AP6">
        <v>3.3E-3</v>
      </c>
      <c r="AQ6">
        <v>6.7699999999999996E-2</v>
      </c>
      <c r="AR6">
        <v>5.0799999999999998E-2</v>
      </c>
      <c r="AS6">
        <v>4.8300000000000003E-2</v>
      </c>
      <c r="AT6">
        <v>-3.3500000000000002E-2</v>
      </c>
      <c r="AU6">
        <v>-0.1011</v>
      </c>
      <c r="AV6">
        <v>-0.1371</v>
      </c>
    </row>
    <row r="7" spans="1:48" x14ac:dyDescent="0.25">
      <c r="A7" t="s">
        <v>124</v>
      </c>
      <c r="B7" t="s">
        <v>2</v>
      </c>
      <c r="C7" t="s">
        <v>124</v>
      </c>
      <c r="D7">
        <v>10580</v>
      </c>
      <c r="E7" t="s">
        <v>672</v>
      </c>
      <c r="F7" t="s">
        <v>117</v>
      </c>
      <c r="G7" t="s">
        <v>670</v>
      </c>
      <c r="H7" t="s">
        <v>670</v>
      </c>
      <c r="I7">
        <v>4.1000000000000002E-2</v>
      </c>
      <c r="J7">
        <v>3.3500000000000002E-2</v>
      </c>
      <c r="K7">
        <v>3.5499999999999997E-2</v>
      </c>
      <c r="L7">
        <v>3.8300000000000001E-2</v>
      </c>
      <c r="M7">
        <v>3.3599999999999998E-2</v>
      </c>
      <c r="N7">
        <v>4.3499999999999997E-2</v>
      </c>
      <c r="O7">
        <v>2.9700000000000001E-2</v>
      </c>
      <c r="P7">
        <v>2.6200000000000001E-2</v>
      </c>
      <c r="Q7">
        <v>3.27E-2</v>
      </c>
      <c r="R7">
        <v>2.3099999999999999E-2</v>
      </c>
      <c r="S7">
        <v>3.3799999999999997E-2</v>
      </c>
      <c r="T7">
        <v>3.95E-2</v>
      </c>
      <c r="U7">
        <v>2.9399999999999999E-2</v>
      </c>
      <c r="V7">
        <v>3.4099999999999998E-2</v>
      </c>
      <c r="W7">
        <v>2.0199999999999999E-2</v>
      </c>
      <c r="X7">
        <v>1.09E-2</v>
      </c>
      <c r="Y7">
        <v>2.1499999999999998E-2</v>
      </c>
      <c r="Z7">
        <v>1.4200000000000001E-2</v>
      </c>
      <c r="AA7">
        <v>1.84E-2</v>
      </c>
      <c r="AB7">
        <v>3.1300000000000001E-2</v>
      </c>
      <c r="AC7">
        <v>3.1800000000000002E-2</v>
      </c>
      <c r="AD7">
        <v>4.0599999999999997E-2</v>
      </c>
      <c r="AE7">
        <v>5.6300000000000003E-2</v>
      </c>
      <c r="AF7">
        <v>6.0299999999999999E-2</v>
      </c>
      <c r="AG7">
        <v>7.4099999999999999E-2</v>
      </c>
      <c r="AH7">
        <v>9.7799999999999998E-2</v>
      </c>
      <c r="AI7">
        <v>0.12970000000000001</v>
      </c>
      <c r="AJ7">
        <v>0.109</v>
      </c>
      <c r="AK7">
        <v>9.0999999999999998E-2</v>
      </c>
      <c r="AL7">
        <v>9.3899999999999997E-2</v>
      </c>
      <c r="AM7">
        <v>6.3600000000000004E-2</v>
      </c>
      <c r="AN7">
        <v>6.1800000000000001E-2</v>
      </c>
      <c r="AO7">
        <v>6.3700000000000007E-2</v>
      </c>
      <c r="AP7">
        <v>3.39E-2</v>
      </c>
      <c r="AQ7">
        <v>1.6400000000000001E-2</v>
      </c>
      <c r="AR7">
        <v>2.9899999999999999E-2</v>
      </c>
      <c r="AS7">
        <v>3.2300000000000002E-2</v>
      </c>
      <c r="AT7">
        <v>5.4800000000000001E-2</v>
      </c>
      <c r="AU7">
        <v>7.3300000000000004E-2</v>
      </c>
      <c r="AV7">
        <v>6.2E-2</v>
      </c>
    </row>
    <row r="8" spans="1:48" x14ac:dyDescent="0.25">
      <c r="A8" t="s">
        <v>125</v>
      </c>
      <c r="B8" t="s">
        <v>2</v>
      </c>
      <c r="C8" t="s">
        <v>125</v>
      </c>
      <c r="D8">
        <v>10660</v>
      </c>
      <c r="E8" t="s">
        <v>672</v>
      </c>
      <c r="F8" t="s">
        <v>117</v>
      </c>
      <c r="G8" t="s">
        <v>670</v>
      </c>
      <c r="H8" t="s">
        <v>670</v>
      </c>
      <c r="I8" t="s">
        <v>673</v>
      </c>
      <c r="J8" t="s">
        <v>673</v>
      </c>
      <c r="K8" t="s">
        <v>673</v>
      </c>
      <c r="L8" t="s">
        <v>673</v>
      </c>
      <c r="M8" t="s">
        <v>673</v>
      </c>
      <c r="N8" t="s">
        <v>673</v>
      </c>
      <c r="O8" t="s">
        <v>673</v>
      </c>
      <c r="P8" t="s">
        <v>673</v>
      </c>
      <c r="Q8" t="s">
        <v>673</v>
      </c>
      <c r="R8" t="s">
        <v>673</v>
      </c>
      <c r="S8" t="s">
        <v>673</v>
      </c>
      <c r="T8" t="s">
        <v>673</v>
      </c>
      <c r="U8" t="s">
        <v>673</v>
      </c>
      <c r="V8" t="s">
        <v>673</v>
      </c>
      <c r="W8" t="s">
        <v>673</v>
      </c>
      <c r="X8" t="s">
        <v>673</v>
      </c>
      <c r="Y8" t="s">
        <v>673</v>
      </c>
      <c r="Z8" t="s">
        <v>673</v>
      </c>
      <c r="AA8" t="s">
        <v>673</v>
      </c>
      <c r="AB8" t="s">
        <v>673</v>
      </c>
      <c r="AC8" t="s">
        <v>673</v>
      </c>
      <c r="AD8" t="s">
        <v>673</v>
      </c>
      <c r="AE8" t="s">
        <v>673</v>
      </c>
      <c r="AF8" t="s">
        <v>673</v>
      </c>
      <c r="AG8" t="s">
        <v>673</v>
      </c>
      <c r="AH8" t="s">
        <v>673</v>
      </c>
      <c r="AI8" t="s">
        <v>673</v>
      </c>
      <c r="AJ8" t="s">
        <v>673</v>
      </c>
      <c r="AK8" t="s">
        <v>673</v>
      </c>
      <c r="AL8" t="s">
        <v>673</v>
      </c>
      <c r="AM8" t="s">
        <v>673</v>
      </c>
      <c r="AN8" t="s">
        <v>673</v>
      </c>
      <c r="AO8" t="s">
        <v>673</v>
      </c>
      <c r="AP8" t="s">
        <v>673</v>
      </c>
      <c r="AQ8" t="s">
        <v>673</v>
      </c>
      <c r="AR8" t="s">
        <v>673</v>
      </c>
      <c r="AS8" t="s">
        <v>673</v>
      </c>
      <c r="AT8" t="s">
        <v>673</v>
      </c>
      <c r="AU8" t="s">
        <v>673</v>
      </c>
      <c r="AV8" t="s">
        <v>673</v>
      </c>
    </row>
    <row r="9" spans="1:48" x14ac:dyDescent="0.25">
      <c r="A9" t="s">
        <v>126</v>
      </c>
      <c r="B9" t="s">
        <v>2</v>
      </c>
      <c r="C9" t="s">
        <v>126</v>
      </c>
      <c r="D9">
        <v>10740</v>
      </c>
      <c r="E9" t="s">
        <v>672</v>
      </c>
      <c r="F9" t="s">
        <v>117</v>
      </c>
      <c r="G9" t="s">
        <v>670</v>
      </c>
      <c r="H9" t="s">
        <v>670</v>
      </c>
      <c r="I9">
        <v>2.3099999999999999E-2</v>
      </c>
      <c r="J9">
        <v>2.5399999999999999E-2</v>
      </c>
      <c r="K9">
        <v>2.4400000000000002E-2</v>
      </c>
      <c r="L9">
        <v>3.3399999999999999E-2</v>
      </c>
      <c r="M9">
        <v>3.15E-2</v>
      </c>
      <c r="N9">
        <v>3.9300000000000002E-2</v>
      </c>
      <c r="O9">
        <v>3.95E-2</v>
      </c>
      <c r="P9">
        <v>2.4199999999999999E-2</v>
      </c>
      <c r="Q9">
        <v>3.1199999999999999E-2</v>
      </c>
      <c r="R9">
        <v>2.4799999999999999E-2</v>
      </c>
      <c r="S9">
        <v>3.7999999999999999E-2</v>
      </c>
      <c r="T9">
        <v>5.0500000000000003E-2</v>
      </c>
      <c r="U9">
        <v>5.8400000000000001E-2</v>
      </c>
      <c r="V9">
        <v>6.0999999999999999E-2</v>
      </c>
      <c r="W9">
        <v>7.5700000000000003E-2</v>
      </c>
      <c r="X9">
        <v>6.7599999999999993E-2</v>
      </c>
      <c r="Y9">
        <v>5.3600000000000002E-2</v>
      </c>
      <c r="Z9">
        <v>4.5699999999999998E-2</v>
      </c>
      <c r="AA9">
        <v>4.9099999999999998E-2</v>
      </c>
      <c r="AB9">
        <v>7.9399999999999998E-2</v>
      </c>
      <c r="AC9">
        <v>9.0300000000000005E-2</v>
      </c>
      <c r="AD9">
        <v>0.14360000000000001</v>
      </c>
      <c r="AE9">
        <v>0.2059</v>
      </c>
      <c r="AF9">
        <v>0.2064</v>
      </c>
      <c r="AG9">
        <v>0.19550000000000001</v>
      </c>
      <c r="AH9">
        <v>0.16980000000000001</v>
      </c>
      <c r="AI9">
        <v>0.1318</v>
      </c>
      <c r="AJ9">
        <v>9.9900000000000003E-2</v>
      </c>
      <c r="AK9">
        <v>8.8200000000000001E-2</v>
      </c>
      <c r="AL9">
        <v>6.5799999999999997E-2</v>
      </c>
      <c r="AM9">
        <v>2.07E-2</v>
      </c>
      <c r="AN9">
        <v>1.49E-2</v>
      </c>
      <c r="AO9">
        <v>2.46E-2</v>
      </c>
      <c r="AP9">
        <v>1.24E-2</v>
      </c>
      <c r="AQ9">
        <v>9.9000000000000008E-3</v>
      </c>
      <c r="AR9">
        <v>1.4999999999999999E-2</v>
      </c>
      <c r="AS9">
        <v>1.32E-2</v>
      </c>
      <c r="AT9">
        <v>2.01E-2</v>
      </c>
      <c r="AU9">
        <v>2.46E-2</v>
      </c>
      <c r="AV9">
        <v>8.9999999999999993E-3</v>
      </c>
    </row>
    <row r="10" spans="1:48" x14ac:dyDescent="0.25">
      <c r="A10" t="s">
        <v>127</v>
      </c>
      <c r="B10" t="s">
        <v>2</v>
      </c>
      <c r="C10" t="s">
        <v>127</v>
      </c>
      <c r="D10">
        <v>10780</v>
      </c>
      <c r="E10" t="s">
        <v>672</v>
      </c>
      <c r="F10" t="s">
        <v>117</v>
      </c>
      <c r="G10" t="s">
        <v>670</v>
      </c>
      <c r="H10" t="s">
        <v>670</v>
      </c>
      <c r="I10">
        <v>6.3600000000000004E-2</v>
      </c>
      <c r="J10">
        <v>-4.7899999999999998E-2</v>
      </c>
      <c r="K10">
        <v>-6.9099999999999995E-2</v>
      </c>
      <c r="L10">
        <v>4.8599999999999997E-2</v>
      </c>
      <c r="M10">
        <v>2.0999999999999999E-3</v>
      </c>
      <c r="N10">
        <v>2.7099999999999999E-2</v>
      </c>
      <c r="O10">
        <v>4.24E-2</v>
      </c>
      <c r="P10">
        <v>-3.7199999999999997E-2</v>
      </c>
      <c r="Q10">
        <v>4.48E-2</v>
      </c>
      <c r="R10">
        <v>3.4299999999999997E-2</v>
      </c>
      <c r="S10">
        <v>-1.0500000000000001E-2</v>
      </c>
      <c r="T10">
        <v>8.2000000000000007E-3</v>
      </c>
      <c r="U10">
        <v>-4.3E-3</v>
      </c>
      <c r="V10">
        <v>3.0999999999999999E-3</v>
      </c>
      <c r="W10">
        <v>4.48E-2</v>
      </c>
      <c r="X10">
        <v>3.3599999999999998E-2</v>
      </c>
      <c r="Y10">
        <v>6.3899999999999998E-2</v>
      </c>
      <c r="Z10">
        <v>4.0099999999999997E-2</v>
      </c>
      <c r="AA10">
        <v>1.3299999999999999E-2</v>
      </c>
      <c r="AB10">
        <v>4.7699999999999999E-2</v>
      </c>
      <c r="AC10">
        <v>2.2499999999999999E-2</v>
      </c>
      <c r="AD10">
        <v>2.4E-2</v>
      </c>
      <c r="AE10">
        <v>6.4600000000000005E-2</v>
      </c>
      <c r="AF10">
        <v>4.8800000000000003E-2</v>
      </c>
      <c r="AG10">
        <v>5.8599999999999999E-2</v>
      </c>
      <c r="AH10">
        <v>0.1108</v>
      </c>
      <c r="AI10">
        <v>7.4700000000000003E-2</v>
      </c>
      <c r="AJ10">
        <v>7.8E-2</v>
      </c>
      <c r="AK10">
        <v>3.2800000000000003E-2</v>
      </c>
      <c r="AL10">
        <v>-1.43E-2</v>
      </c>
      <c r="AM10">
        <v>6.7000000000000002E-3</v>
      </c>
      <c r="AN10">
        <v>3.5999999999999999E-3</v>
      </c>
      <c r="AO10">
        <v>1.8499999999999999E-2</v>
      </c>
      <c r="AP10">
        <v>2.1499999999999998E-2</v>
      </c>
      <c r="AQ10">
        <v>2.29E-2</v>
      </c>
      <c r="AR10">
        <v>3.1699999999999999E-2</v>
      </c>
      <c r="AS10">
        <v>5.0999999999999997E-2</v>
      </c>
      <c r="AT10">
        <v>0.1444</v>
      </c>
      <c r="AU10">
        <v>0.1573</v>
      </c>
      <c r="AV10">
        <v>9.7299999999999998E-2</v>
      </c>
    </row>
    <row r="11" spans="1:48" x14ac:dyDescent="0.25">
      <c r="A11" t="s">
        <v>128</v>
      </c>
      <c r="B11" t="s">
        <v>2</v>
      </c>
      <c r="C11" t="s">
        <v>128</v>
      </c>
      <c r="D11">
        <v>10820</v>
      </c>
      <c r="E11" t="s">
        <v>672</v>
      </c>
      <c r="F11" t="s">
        <v>117</v>
      </c>
      <c r="G11" t="s">
        <v>670</v>
      </c>
      <c r="H11" t="s">
        <v>670</v>
      </c>
      <c r="I11" t="s">
        <v>673</v>
      </c>
      <c r="J11" t="s">
        <v>673</v>
      </c>
      <c r="K11" t="s">
        <v>673</v>
      </c>
      <c r="L11" t="s">
        <v>673</v>
      </c>
      <c r="M11" t="s">
        <v>673</v>
      </c>
      <c r="N11" t="s">
        <v>673</v>
      </c>
      <c r="O11" t="s">
        <v>673</v>
      </c>
      <c r="P11" t="s">
        <v>673</v>
      </c>
      <c r="Q11" t="s">
        <v>673</v>
      </c>
      <c r="R11" t="s">
        <v>673</v>
      </c>
      <c r="S11" t="s">
        <v>673</v>
      </c>
      <c r="T11" t="s">
        <v>673</v>
      </c>
      <c r="U11" t="s">
        <v>673</v>
      </c>
      <c r="V11" t="s">
        <v>673</v>
      </c>
      <c r="W11" t="s">
        <v>673</v>
      </c>
      <c r="X11" t="s">
        <v>673</v>
      </c>
      <c r="Y11" t="s">
        <v>673</v>
      </c>
      <c r="Z11" t="s">
        <v>673</v>
      </c>
      <c r="AA11" t="s">
        <v>673</v>
      </c>
      <c r="AB11" t="s">
        <v>673</v>
      </c>
      <c r="AC11" t="s">
        <v>673</v>
      </c>
      <c r="AD11" t="s">
        <v>673</v>
      </c>
      <c r="AE11" t="s">
        <v>673</v>
      </c>
      <c r="AF11">
        <v>-2.8999999999999998E-3</v>
      </c>
      <c r="AG11">
        <v>-1.23E-2</v>
      </c>
      <c r="AH11">
        <v>-1.5599999999999999E-2</v>
      </c>
      <c r="AI11">
        <v>7.4000000000000003E-3</v>
      </c>
      <c r="AJ11" t="s">
        <v>673</v>
      </c>
      <c r="AK11" t="s">
        <v>673</v>
      </c>
      <c r="AL11" t="s">
        <v>673</v>
      </c>
      <c r="AM11" t="s">
        <v>673</v>
      </c>
      <c r="AN11" t="s">
        <v>673</v>
      </c>
      <c r="AO11" t="s">
        <v>673</v>
      </c>
      <c r="AP11" t="s">
        <v>673</v>
      </c>
      <c r="AQ11" t="s">
        <v>673</v>
      </c>
      <c r="AR11" t="s">
        <v>673</v>
      </c>
      <c r="AS11">
        <v>0.12180000000000001</v>
      </c>
      <c r="AT11">
        <v>0.1341</v>
      </c>
      <c r="AU11">
        <v>0.11119999999999999</v>
      </c>
      <c r="AV11">
        <v>6.8599999999999994E-2</v>
      </c>
    </row>
    <row r="12" spans="1:48" x14ac:dyDescent="0.25">
      <c r="A12" t="s">
        <v>129</v>
      </c>
      <c r="B12" t="s">
        <v>2</v>
      </c>
      <c r="C12" t="s">
        <v>129</v>
      </c>
      <c r="D12">
        <v>10900</v>
      </c>
      <c r="E12" t="s">
        <v>672</v>
      </c>
      <c r="F12" t="s">
        <v>117</v>
      </c>
      <c r="G12" t="s">
        <v>670</v>
      </c>
      <c r="H12" t="s">
        <v>670</v>
      </c>
      <c r="I12">
        <v>5.5899999999999998E-2</v>
      </c>
      <c r="J12">
        <v>4.3900000000000002E-2</v>
      </c>
      <c r="K12">
        <v>2.86E-2</v>
      </c>
      <c r="L12">
        <v>1.9300000000000001E-2</v>
      </c>
      <c r="M12">
        <v>1.6E-2</v>
      </c>
      <c r="N12">
        <v>2.92E-2</v>
      </c>
      <c r="O12">
        <v>3.9800000000000002E-2</v>
      </c>
      <c r="P12">
        <v>4.8300000000000003E-2</v>
      </c>
      <c r="Q12">
        <v>5.0099999999999999E-2</v>
      </c>
      <c r="R12">
        <v>3.6400000000000002E-2</v>
      </c>
      <c r="S12">
        <v>6.0499999999999998E-2</v>
      </c>
      <c r="T12">
        <v>6.0400000000000002E-2</v>
      </c>
      <c r="U12">
        <v>6.0299999999999999E-2</v>
      </c>
      <c r="V12">
        <v>5.3999999999999999E-2</v>
      </c>
      <c r="W12">
        <v>2.4500000000000001E-2</v>
      </c>
      <c r="X12">
        <v>2.58E-2</v>
      </c>
      <c r="Y12">
        <v>2.93E-2</v>
      </c>
      <c r="Z12">
        <v>1.49E-2</v>
      </c>
      <c r="AA12">
        <v>3.49E-2</v>
      </c>
      <c r="AB12">
        <v>5.1200000000000002E-2</v>
      </c>
      <c r="AC12">
        <v>5.3499999999999999E-2</v>
      </c>
      <c r="AD12">
        <v>7.4399999999999994E-2</v>
      </c>
      <c r="AE12">
        <v>0.1123</v>
      </c>
      <c r="AF12">
        <v>0.14599999999999999</v>
      </c>
      <c r="AG12">
        <v>0.15260000000000001</v>
      </c>
      <c r="AH12">
        <v>0.15870000000000001</v>
      </c>
      <c r="AI12">
        <v>0.12820000000000001</v>
      </c>
      <c r="AJ12">
        <v>8.7499999999999994E-2</v>
      </c>
      <c r="AK12">
        <v>6.0699999999999997E-2</v>
      </c>
      <c r="AL12">
        <v>4.7899999999999998E-2</v>
      </c>
      <c r="AM12">
        <v>3.5200000000000002E-2</v>
      </c>
      <c r="AN12">
        <v>3.5799999999999998E-2</v>
      </c>
      <c r="AO12">
        <v>3.2500000000000001E-2</v>
      </c>
      <c r="AP12">
        <v>2.4199999999999999E-2</v>
      </c>
      <c r="AQ12">
        <v>3.1099999999999999E-2</v>
      </c>
      <c r="AR12">
        <v>3.3099999999999997E-2</v>
      </c>
      <c r="AS12">
        <v>4.3700000000000003E-2</v>
      </c>
      <c r="AT12">
        <v>6.4100000000000004E-2</v>
      </c>
      <c r="AU12">
        <v>4.5600000000000002E-2</v>
      </c>
      <c r="AV12">
        <v>3.5499999999999997E-2</v>
      </c>
    </row>
    <row r="13" spans="1:48" x14ac:dyDescent="0.25">
      <c r="A13" t="s">
        <v>130</v>
      </c>
      <c r="B13" t="s">
        <v>2</v>
      </c>
      <c r="C13" t="s">
        <v>130</v>
      </c>
      <c r="D13">
        <v>10940</v>
      </c>
      <c r="E13" t="s">
        <v>672</v>
      </c>
      <c r="F13" t="s">
        <v>117</v>
      </c>
      <c r="G13" t="s">
        <v>670</v>
      </c>
      <c r="H13" t="s">
        <v>670</v>
      </c>
      <c r="I13" t="s">
        <v>673</v>
      </c>
      <c r="J13" t="s">
        <v>673</v>
      </c>
      <c r="K13" t="s">
        <v>673</v>
      </c>
      <c r="L13" t="s">
        <v>673</v>
      </c>
      <c r="M13" t="s">
        <v>673</v>
      </c>
      <c r="N13" t="s">
        <v>673</v>
      </c>
      <c r="O13" t="s">
        <v>673</v>
      </c>
      <c r="P13" t="s">
        <v>673</v>
      </c>
      <c r="Q13" t="s">
        <v>673</v>
      </c>
      <c r="R13" t="s">
        <v>673</v>
      </c>
      <c r="S13" t="s">
        <v>673</v>
      </c>
      <c r="T13" t="s">
        <v>673</v>
      </c>
      <c r="U13" t="s">
        <v>673</v>
      </c>
      <c r="V13" t="s">
        <v>673</v>
      </c>
      <c r="W13" t="s">
        <v>673</v>
      </c>
      <c r="X13" t="s">
        <v>673</v>
      </c>
      <c r="Y13" t="s">
        <v>673</v>
      </c>
      <c r="Z13" t="s">
        <v>673</v>
      </c>
      <c r="AA13" t="s">
        <v>673</v>
      </c>
      <c r="AB13" t="s">
        <v>673</v>
      </c>
      <c r="AC13" t="s">
        <v>673</v>
      </c>
      <c r="AD13" t="s">
        <v>673</v>
      </c>
      <c r="AE13" t="s">
        <v>673</v>
      </c>
      <c r="AF13" t="s">
        <v>673</v>
      </c>
      <c r="AG13" t="s">
        <v>673</v>
      </c>
      <c r="AH13" t="s">
        <v>673</v>
      </c>
      <c r="AI13" t="s">
        <v>673</v>
      </c>
      <c r="AJ13" t="s">
        <v>673</v>
      </c>
      <c r="AK13" t="s">
        <v>673</v>
      </c>
      <c r="AL13" t="s">
        <v>673</v>
      </c>
      <c r="AM13" t="s">
        <v>673</v>
      </c>
      <c r="AN13" t="s">
        <v>673</v>
      </c>
      <c r="AO13" t="s">
        <v>673</v>
      </c>
      <c r="AP13" t="s">
        <v>673</v>
      </c>
      <c r="AQ13" t="s">
        <v>673</v>
      </c>
      <c r="AR13" t="s">
        <v>673</v>
      </c>
      <c r="AS13" t="s">
        <v>673</v>
      </c>
      <c r="AT13" t="s">
        <v>673</v>
      </c>
      <c r="AU13" t="s">
        <v>673</v>
      </c>
      <c r="AV13" t="s">
        <v>673</v>
      </c>
    </row>
    <row r="14" spans="1:48" x14ac:dyDescent="0.25">
      <c r="A14" t="s">
        <v>131</v>
      </c>
      <c r="B14" t="s">
        <v>2</v>
      </c>
      <c r="C14" t="s">
        <v>131</v>
      </c>
      <c r="D14">
        <v>11020</v>
      </c>
      <c r="E14" t="s">
        <v>672</v>
      </c>
      <c r="F14" t="s">
        <v>117</v>
      </c>
      <c r="G14" t="s">
        <v>670</v>
      </c>
      <c r="H14" t="s">
        <v>670</v>
      </c>
      <c r="I14" t="s">
        <v>673</v>
      </c>
      <c r="J14" t="s">
        <v>673</v>
      </c>
      <c r="K14" t="s">
        <v>673</v>
      </c>
      <c r="L14" t="s">
        <v>673</v>
      </c>
      <c r="M14" t="s">
        <v>673</v>
      </c>
      <c r="N14" t="s">
        <v>673</v>
      </c>
      <c r="O14" t="s">
        <v>673</v>
      </c>
      <c r="P14" t="s">
        <v>673</v>
      </c>
      <c r="Q14" t="s">
        <v>673</v>
      </c>
      <c r="R14" t="s">
        <v>673</v>
      </c>
      <c r="S14" t="s">
        <v>673</v>
      </c>
      <c r="T14" t="s">
        <v>673</v>
      </c>
      <c r="U14" t="s">
        <v>673</v>
      </c>
      <c r="V14" t="s">
        <v>673</v>
      </c>
      <c r="W14" t="s">
        <v>673</v>
      </c>
      <c r="X14" t="s">
        <v>673</v>
      </c>
      <c r="Y14" t="s">
        <v>673</v>
      </c>
      <c r="Z14" t="s">
        <v>673</v>
      </c>
      <c r="AA14" t="s">
        <v>673</v>
      </c>
      <c r="AB14" t="s">
        <v>673</v>
      </c>
      <c r="AC14" t="s">
        <v>673</v>
      </c>
      <c r="AD14" t="s">
        <v>673</v>
      </c>
      <c r="AE14" t="s">
        <v>673</v>
      </c>
      <c r="AF14" t="s">
        <v>673</v>
      </c>
      <c r="AG14" t="s">
        <v>673</v>
      </c>
      <c r="AH14" t="s">
        <v>673</v>
      </c>
      <c r="AI14" t="s">
        <v>673</v>
      </c>
      <c r="AJ14" t="s">
        <v>673</v>
      </c>
      <c r="AK14" t="s">
        <v>673</v>
      </c>
      <c r="AL14" t="s">
        <v>673</v>
      </c>
      <c r="AM14" t="s">
        <v>673</v>
      </c>
      <c r="AN14" t="s">
        <v>673</v>
      </c>
      <c r="AO14" t="s">
        <v>673</v>
      </c>
      <c r="AP14" t="s">
        <v>673</v>
      </c>
      <c r="AQ14" t="s">
        <v>673</v>
      </c>
      <c r="AR14" t="s">
        <v>673</v>
      </c>
      <c r="AS14" t="s">
        <v>673</v>
      </c>
      <c r="AT14" t="s">
        <v>673</v>
      </c>
      <c r="AU14" t="s">
        <v>673</v>
      </c>
      <c r="AV14" t="s">
        <v>673</v>
      </c>
    </row>
    <row r="15" spans="1:48" x14ac:dyDescent="0.25">
      <c r="A15" t="s">
        <v>132</v>
      </c>
      <c r="B15" t="s">
        <v>2</v>
      </c>
      <c r="C15" t="s">
        <v>132</v>
      </c>
      <c r="D15">
        <v>11060</v>
      </c>
      <c r="E15" t="s">
        <v>672</v>
      </c>
      <c r="F15" t="s">
        <v>117</v>
      </c>
      <c r="G15" t="s">
        <v>670</v>
      </c>
      <c r="H15" t="s">
        <v>670</v>
      </c>
      <c r="I15" t="s">
        <v>673</v>
      </c>
      <c r="J15" t="s">
        <v>673</v>
      </c>
      <c r="K15" t="s">
        <v>673</v>
      </c>
      <c r="L15" t="s">
        <v>673</v>
      </c>
      <c r="M15" t="s">
        <v>673</v>
      </c>
      <c r="N15" t="s">
        <v>673</v>
      </c>
      <c r="O15" t="s">
        <v>673</v>
      </c>
      <c r="P15" t="s">
        <v>673</v>
      </c>
      <c r="Q15" t="s">
        <v>673</v>
      </c>
      <c r="R15" t="s">
        <v>673</v>
      </c>
      <c r="S15" t="s">
        <v>673</v>
      </c>
      <c r="T15" t="s">
        <v>673</v>
      </c>
      <c r="U15" t="s">
        <v>673</v>
      </c>
      <c r="V15" t="s">
        <v>673</v>
      </c>
      <c r="W15" t="s">
        <v>673</v>
      </c>
      <c r="X15" t="s">
        <v>673</v>
      </c>
      <c r="Y15" t="s">
        <v>673</v>
      </c>
      <c r="Z15" t="s">
        <v>673</v>
      </c>
      <c r="AA15" t="s">
        <v>673</v>
      </c>
      <c r="AB15" t="s">
        <v>673</v>
      </c>
      <c r="AC15" t="s">
        <v>673</v>
      </c>
      <c r="AD15" t="s">
        <v>673</v>
      </c>
      <c r="AE15" t="s">
        <v>673</v>
      </c>
      <c r="AF15" t="s">
        <v>673</v>
      </c>
      <c r="AG15" t="s">
        <v>673</v>
      </c>
      <c r="AH15" t="s">
        <v>673</v>
      </c>
      <c r="AI15" t="s">
        <v>673</v>
      </c>
      <c r="AJ15" t="s">
        <v>673</v>
      </c>
      <c r="AK15" t="s">
        <v>673</v>
      </c>
      <c r="AL15" t="s">
        <v>673</v>
      </c>
      <c r="AM15" t="s">
        <v>673</v>
      </c>
      <c r="AN15" t="s">
        <v>673</v>
      </c>
      <c r="AO15" t="s">
        <v>673</v>
      </c>
      <c r="AP15" t="s">
        <v>673</v>
      </c>
      <c r="AQ15" t="s">
        <v>673</v>
      </c>
      <c r="AR15" t="s">
        <v>673</v>
      </c>
      <c r="AS15" t="s">
        <v>673</v>
      </c>
      <c r="AT15" t="s">
        <v>673</v>
      </c>
      <c r="AU15" t="s">
        <v>673</v>
      </c>
      <c r="AV15" t="s">
        <v>673</v>
      </c>
    </row>
    <row r="16" spans="1:48" x14ac:dyDescent="0.25">
      <c r="A16" t="s">
        <v>133</v>
      </c>
      <c r="B16" t="s">
        <v>2</v>
      </c>
      <c r="C16" t="s">
        <v>133</v>
      </c>
      <c r="D16">
        <v>11100</v>
      </c>
      <c r="E16" t="s">
        <v>672</v>
      </c>
      <c r="F16" t="s">
        <v>117</v>
      </c>
      <c r="G16" t="s">
        <v>670</v>
      </c>
      <c r="H16" t="s">
        <v>670</v>
      </c>
      <c r="I16">
        <v>3.0099999999999998E-2</v>
      </c>
      <c r="J16">
        <v>1.77E-2</v>
      </c>
      <c r="K16">
        <v>2.3199999999999998E-2</v>
      </c>
      <c r="L16">
        <v>3.0999999999999999E-3</v>
      </c>
      <c r="M16">
        <v>1.03E-2</v>
      </c>
      <c r="N16">
        <v>2.64E-2</v>
      </c>
      <c r="O16">
        <v>7.1000000000000004E-3</v>
      </c>
      <c r="P16">
        <v>-4.0000000000000002E-4</v>
      </c>
      <c r="Q16">
        <v>-2.9999999999999997E-4</v>
      </c>
      <c r="R16">
        <v>4.8999999999999998E-3</v>
      </c>
      <c r="S16">
        <v>1.7500000000000002E-2</v>
      </c>
      <c r="T16">
        <v>3.1E-2</v>
      </c>
      <c r="U16">
        <v>-2.0000000000000001E-4</v>
      </c>
      <c r="V16">
        <v>2.2000000000000001E-3</v>
      </c>
      <c r="W16">
        <v>-4.1999999999999997E-3</v>
      </c>
      <c r="X16">
        <v>1.04E-2</v>
      </c>
      <c r="Y16">
        <v>3.1600000000000003E-2</v>
      </c>
      <c r="Z16">
        <v>2.8000000000000001E-2</v>
      </c>
      <c r="AA16">
        <v>0.03</v>
      </c>
      <c r="AB16">
        <v>2.9499999999999998E-2</v>
      </c>
      <c r="AC16">
        <v>4.07E-2</v>
      </c>
      <c r="AD16">
        <v>7.1199999999999999E-2</v>
      </c>
      <c r="AE16">
        <v>9.4299999999999995E-2</v>
      </c>
      <c r="AF16">
        <v>0.10730000000000001</v>
      </c>
      <c r="AG16">
        <v>0.12909999999999999</v>
      </c>
      <c r="AH16">
        <v>0.13100000000000001</v>
      </c>
      <c r="AI16">
        <v>0.1454</v>
      </c>
      <c r="AJ16">
        <v>0.1226</v>
      </c>
      <c r="AK16">
        <v>9.8000000000000004E-2</v>
      </c>
      <c r="AL16">
        <v>5.5199999999999999E-2</v>
      </c>
      <c r="AM16">
        <v>1.7299999999999999E-2</v>
      </c>
      <c r="AN16">
        <v>1.2800000000000001E-2</v>
      </c>
      <c r="AO16">
        <v>6.1999999999999998E-3</v>
      </c>
      <c r="AP16">
        <v>1.3599999999999999E-2</v>
      </c>
      <c r="AQ16">
        <v>1.6299999999999999E-2</v>
      </c>
      <c r="AR16">
        <v>1.6000000000000001E-3</v>
      </c>
      <c r="AS16">
        <v>1.3100000000000001E-2</v>
      </c>
      <c r="AT16">
        <v>1.26E-2</v>
      </c>
      <c r="AU16">
        <v>3.6799999999999999E-2</v>
      </c>
      <c r="AV16">
        <v>6.8199999999999997E-2</v>
      </c>
    </row>
    <row r="17" spans="1:48" x14ac:dyDescent="0.25">
      <c r="A17" t="s">
        <v>134</v>
      </c>
      <c r="B17" t="s">
        <v>2</v>
      </c>
      <c r="C17" t="s">
        <v>134</v>
      </c>
      <c r="D17">
        <v>11180</v>
      </c>
      <c r="E17" t="s">
        <v>672</v>
      </c>
      <c r="F17" t="s">
        <v>117</v>
      </c>
      <c r="G17" t="s">
        <v>670</v>
      </c>
      <c r="H17" t="s">
        <v>670</v>
      </c>
      <c r="I17">
        <v>-1.21E-2</v>
      </c>
      <c r="J17">
        <v>-1.77E-2</v>
      </c>
      <c r="K17">
        <v>2.9399999999999999E-2</v>
      </c>
      <c r="L17">
        <v>2.18E-2</v>
      </c>
      <c r="M17">
        <v>0.112</v>
      </c>
      <c r="N17">
        <v>9.1600000000000001E-2</v>
      </c>
      <c r="O17">
        <v>7.3099999999999998E-2</v>
      </c>
      <c r="P17">
        <v>9.4500000000000001E-2</v>
      </c>
      <c r="Q17">
        <v>-2.2599999999999999E-2</v>
      </c>
      <c r="R17">
        <v>4.7000000000000002E-3</v>
      </c>
      <c r="S17">
        <v>-8.9399999999999993E-2</v>
      </c>
      <c r="T17">
        <v>-9.5699999999999993E-2</v>
      </c>
      <c r="U17">
        <v>-7.6799999999999993E-2</v>
      </c>
      <c r="V17">
        <v>-8.4699999999999998E-2</v>
      </c>
      <c r="W17">
        <v>-4.1399999999999999E-2</v>
      </c>
      <c r="X17">
        <v>-7.0199999999999999E-2</v>
      </c>
      <c r="Y17">
        <v>-7.9600000000000004E-2</v>
      </c>
      <c r="Z17">
        <v>-4.82E-2</v>
      </c>
      <c r="AA17">
        <v>2.9000000000000001E-2</v>
      </c>
      <c r="AB17">
        <v>4.7800000000000002E-2</v>
      </c>
      <c r="AC17">
        <v>0.1147</v>
      </c>
      <c r="AD17">
        <v>6.1100000000000002E-2</v>
      </c>
      <c r="AE17">
        <v>-1.5900000000000001E-2</v>
      </c>
      <c r="AF17">
        <v>3.8E-3</v>
      </c>
      <c r="AG17">
        <v>-5.1299999999999998E-2</v>
      </c>
      <c r="AH17">
        <v>8.6599999999999996E-2</v>
      </c>
      <c r="AI17">
        <v>0.18190000000000001</v>
      </c>
      <c r="AJ17">
        <v>0.20119999999999999</v>
      </c>
      <c r="AK17">
        <v>0.2223</v>
      </c>
      <c r="AL17">
        <v>9.35E-2</v>
      </c>
      <c r="AM17">
        <v>5.7299999999999997E-2</v>
      </c>
      <c r="AN17">
        <v>2.1999999999999999E-2</v>
      </c>
      <c r="AO17">
        <v>-5.8999999999999999E-3</v>
      </c>
      <c r="AP17">
        <v>-1.54E-2</v>
      </c>
      <c r="AQ17">
        <v>9.1000000000000004E-3</v>
      </c>
      <c r="AR17">
        <v>4.0899999999999999E-2</v>
      </c>
      <c r="AS17">
        <v>5.62E-2</v>
      </c>
      <c r="AT17">
        <v>8.0600000000000005E-2</v>
      </c>
      <c r="AU17">
        <v>7.2400000000000006E-2</v>
      </c>
      <c r="AV17">
        <v>0.02</v>
      </c>
    </row>
    <row r="18" spans="1:48" x14ac:dyDescent="0.25">
      <c r="A18" t="s">
        <v>135</v>
      </c>
      <c r="B18" t="s">
        <v>2</v>
      </c>
      <c r="C18" t="s">
        <v>135</v>
      </c>
      <c r="D18">
        <v>11244</v>
      </c>
      <c r="E18" t="s">
        <v>672</v>
      </c>
      <c r="F18" t="s">
        <v>117</v>
      </c>
      <c r="G18" t="s">
        <v>670</v>
      </c>
      <c r="H18" t="s">
        <v>670</v>
      </c>
      <c r="I18">
        <v>5.7200000000000001E-2</v>
      </c>
      <c r="J18">
        <v>5.9700000000000003E-2</v>
      </c>
      <c r="K18">
        <v>5.4399999999999997E-2</v>
      </c>
      <c r="L18">
        <v>5.2699999999999997E-2</v>
      </c>
      <c r="M18">
        <v>3.9699999999999999E-2</v>
      </c>
      <c r="N18">
        <v>3.9100000000000003E-2</v>
      </c>
      <c r="O18">
        <v>3.78E-2</v>
      </c>
      <c r="P18">
        <v>3.0800000000000001E-2</v>
      </c>
      <c r="Q18">
        <v>3.6700000000000003E-2</v>
      </c>
      <c r="R18">
        <v>2.7300000000000001E-2</v>
      </c>
      <c r="S18">
        <v>3.1899999999999998E-2</v>
      </c>
      <c r="T18">
        <v>3.1899999999999998E-2</v>
      </c>
      <c r="U18">
        <v>2.5600000000000001E-2</v>
      </c>
      <c r="V18">
        <v>3.7600000000000001E-2</v>
      </c>
      <c r="W18">
        <v>3.4700000000000002E-2</v>
      </c>
      <c r="X18">
        <v>3.2500000000000001E-2</v>
      </c>
      <c r="Y18">
        <v>3.7699999999999997E-2</v>
      </c>
      <c r="Z18">
        <v>-4.1000000000000003E-3</v>
      </c>
      <c r="AA18">
        <v>-1.5699999999999999E-2</v>
      </c>
      <c r="AB18">
        <v>-2.5999999999999999E-3</v>
      </c>
      <c r="AC18">
        <v>1.14E-2</v>
      </c>
      <c r="AD18">
        <v>6.3399999999999998E-2</v>
      </c>
      <c r="AE18">
        <v>0.13489999999999999</v>
      </c>
      <c r="AF18">
        <v>0.17399999999999999</v>
      </c>
      <c r="AG18">
        <v>0.18940000000000001</v>
      </c>
      <c r="AH18">
        <v>0.1918</v>
      </c>
      <c r="AI18">
        <v>0.1474</v>
      </c>
      <c r="AJ18">
        <v>8.6499999999999994E-2</v>
      </c>
      <c r="AK18">
        <v>4.9200000000000001E-2</v>
      </c>
      <c r="AL18">
        <v>2.5000000000000001E-2</v>
      </c>
      <c r="AM18">
        <v>2.1000000000000001E-2</v>
      </c>
      <c r="AN18">
        <v>3.1699999999999999E-2</v>
      </c>
      <c r="AO18">
        <v>2.9700000000000001E-2</v>
      </c>
      <c r="AP18">
        <v>2.3400000000000001E-2</v>
      </c>
      <c r="AQ18">
        <v>1.55E-2</v>
      </c>
      <c r="AR18">
        <v>8.3000000000000001E-3</v>
      </c>
      <c r="AS18">
        <v>1.54E-2</v>
      </c>
      <c r="AT18">
        <v>0.03</v>
      </c>
      <c r="AU18">
        <v>2.9600000000000001E-2</v>
      </c>
      <c r="AV18">
        <v>2.3599999999999999E-2</v>
      </c>
    </row>
    <row r="19" spans="1:48" x14ac:dyDescent="0.25">
      <c r="A19" t="s">
        <v>136</v>
      </c>
      <c r="B19" t="s">
        <v>2</v>
      </c>
      <c r="C19" t="s">
        <v>136</v>
      </c>
      <c r="D19">
        <v>11260</v>
      </c>
      <c r="E19" t="s">
        <v>672</v>
      </c>
      <c r="F19" t="s">
        <v>117</v>
      </c>
      <c r="G19" t="s">
        <v>670</v>
      </c>
      <c r="H19" t="s">
        <v>670</v>
      </c>
      <c r="I19" t="s">
        <v>673</v>
      </c>
      <c r="J19" t="s">
        <v>673</v>
      </c>
      <c r="K19" t="s">
        <v>673</v>
      </c>
      <c r="L19" t="s">
        <v>673</v>
      </c>
      <c r="M19" t="s">
        <v>673</v>
      </c>
      <c r="N19" t="s">
        <v>673</v>
      </c>
      <c r="O19" t="s">
        <v>673</v>
      </c>
      <c r="P19">
        <v>-1.8E-3</v>
      </c>
      <c r="Q19">
        <v>1.54E-2</v>
      </c>
      <c r="R19">
        <v>4.53E-2</v>
      </c>
      <c r="S19">
        <v>1.8100000000000002E-2</v>
      </c>
      <c r="T19">
        <v>5.7000000000000002E-3</v>
      </c>
      <c r="U19">
        <v>-4.4000000000000003E-3</v>
      </c>
      <c r="V19">
        <v>-2.29E-2</v>
      </c>
      <c r="W19">
        <v>1.1999999999999999E-3</v>
      </c>
      <c r="X19">
        <v>-0.01</v>
      </c>
      <c r="Y19">
        <v>3.8300000000000001E-2</v>
      </c>
      <c r="Z19">
        <v>4.1500000000000002E-2</v>
      </c>
      <c r="AA19">
        <v>7.2999999999999995E-2</v>
      </c>
      <c r="AB19">
        <v>0.1047</v>
      </c>
      <c r="AC19">
        <v>6.9000000000000006E-2</v>
      </c>
      <c r="AD19">
        <v>9.7199999999999995E-2</v>
      </c>
      <c r="AE19">
        <v>9.2100000000000001E-2</v>
      </c>
      <c r="AF19">
        <v>9.5600000000000004E-2</v>
      </c>
      <c r="AG19">
        <v>0.13289999999999999</v>
      </c>
      <c r="AH19">
        <v>0.13059999999999999</v>
      </c>
      <c r="AI19">
        <v>0.13589999999999999</v>
      </c>
      <c r="AJ19">
        <v>0.13669999999999999</v>
      </c>
      <c r="AK19">
        <v>0.10730000000000001</v>
      </c>
      <c r="AL19">
        <v>0.11409999999999999</v>
      </c>
      <c r="AM19">
        <v>0.15989999999999999</v>
      </c>
      <c r="AN19">
        <v>9.4399999999999998E-2</v>
      </c>
      <c r="AO19">
        <v>7.0900000000000005E-2</v>
      </c>
      <c r="AP19">
        <v>6.13E-2</v>
      </c>
      <c r="AQ19">
        <v>-6.0000000000000001E-3</v>
      </c>
      <c r="AR19">
        <v>2.41E-2</v>
      </c>
      <c r="AS19">
        <v>3.95E-2</v>
      </c>
      <c r="AT19">
        <v>4.2000000000000003E-2</v>
      </c>
      <c r="AU19">
        <v>2.7099999999999999E-2</v>
      </c>
      <c r="AV19">
        <v>2.3099999999999999E-2</v>
      </c>
    </row>
    <row r="20" spans="1:48" x14ac:dyDescent="0.25">
      <c r="A20" t="s">
        <v>137</v>
      </c>
      <c r="B20" t="s">
        <v>2</v>
      </c>
      <c r="C20" t="s">
        <v>137</v>
      </c>
      <c r="D20">
        <v>11380</v>
      </c>
      <c r="E20" t="s">
        <v>672</v>
      </c>
      <c r="F20" t="s">
        <v>117</v>
      </c>
      <c r="G20" t="s">
        <v>670</v>
      </c>
      <c r="H20" t="s">
        <v>670</v>
      </c>
      <c r="I20" t="s">
        <v>673</v>
      </c>
      <c r="J20" t="s">
        <v>673</v>
      </c>
      <c r="K20" t="s">
        <v>673</v>
      </c>
      <c r="L20" t="s">
        <v>673</v>
      </c>
      <c r="M20" t="s">
        <v>673</v>
      </c>
      <c r="N20" t="s">
        <v>673</v>
      </c>
      <c r="O20" t="s">
        <v>673</v>
      </c>
      <c r="P20" t="s">
        <v>673</v>
      </c>
      <c r="Q20" t="s">
        <v>673</v>
      </c>
      <c r="R20" t="s">
        <v>673</v>
      </c>
      <c r="S20" t="s">
        <v>673</v>
      </c>
      <c r="T20" t="s">
        <v>673</v>
      </c>
      <c r="U20" t="s">
        <v>673</v>
      </c>
      <c r="V20" t="s">
        <v>673</v>
      </c>
      <c r="W20" t="s">
        <v>673</v>
      </c>
      <c r="X20" t="s">
        <v>673</v>
      </c>
      <c r="Y20" t="s">
        <v>673</v>
      </c>
      <c r="Z20" t="s">
        <v>673</v>
      </c>
      <c r="AA20" t="s">
        <v>673</v>
      </c>
      <c r="AB20" t="s">
        <v>673</v>
      </c>
      <c r="AC20" t="s">
        <v>673</v>
      </c>
      <c r="AD20" t="s">
        <v>673</v>
      </c>
      <c r="AE20" t="s">
        <v>673</v>
      </c>
      <c r="AF20" t="s">
        <v>673</v>
      </c>
      <c r="AG20" t="s">
        <v>673</v>
      </c>
      <c r="AH20" t="s">
        <v>673</v>
      </c>
      <c r="AI20" t="s">
        <v>673</v>
      </c>
      <c r="AJ20" t="s">
        <v>673</v>
      </c>
      <c r="AK20" t="s">
        <v>673</v>
      </c>
      <c r="AL20" t="s">
        <v>673</v>
      </c>
      <c r="AM20" t="s">
        <v>673</v>
      </c>
      <c r="AN20" t="s">
        <v>673</v>
      </c>
      <c r="AO20" t="s">
        <v>673</v>
      </c>
      <c r="AP20" t="s">
        <v>673</v>
      </c>
      <c r="AQ20" t="s">
        <v>673</v>
      </c>
      <c r="AR20" t="s">
        <v>673</v>
      </c>
      <c r="AS20" t="s">
        <v>673</v>
      </c>
      <c r="AT20" t="s">
        <v>673</v>
      </c>
      <c r="AU20" t="s">
        <v>673</v>
      </c>
      <c r="AV20" t="s">
        <v>673</v>
      </c>
    </row>
    <row r="21" spans="1:48" x14ac:dyDescent="0.25">
      <c r="A21" t="s">
        <v>138</v>
      </c>
      <c r="B21" t="s">
        <v>2</v>
      </c>
      <c r="C21" t="s">
        <v>138</v>
      </c>
      <c r="D21">
        <v>11420</v>
      </c>
      <c r="E21" t="s">
        <v>672</v>
      </c>
      <c r="F21" t="s">
        <v>117</v>
      </c>
      <c r="G21" t="s">
        <v>670</v>
      </c>
      <c r="H21" t="s">
        <v>670</v>
      </c>
      <c r="I21" t="s">
        <v>673</v>
      </c>
      <c r="J21" t="s">
        <v>673</v>
      </c>
      <c r="K21" t="s">
        <v>673</v>
      </c>
      <c r="L21" t="s">
        <v>673</v>
      </c>
      <c r="M21" t="s">
        <v>673</v>
      </c>
      <c r="N21" t="s">
        <v>673</v>
      </c>
      <c r="O21" t="s">
        <v>673</v>
      </c>
      <c r="P21" t="s">
        <v>673</v>
      </c>
      <c r="Q21" t="s">
        <v>673</v>
      </c>
      <c r="R21" t="s">
        <v>673</v>
      </c>
      <c r="S21" t="s">
        <v>673</v>
      </c>
      <c r="T21" t="s">
        <v>673</v>
      </c>
      <c r="U21" t="s">
        <v>673</v>
      </c>
      <c r="V21" t="s">
        <v>673</v>
      </c>
      <c r="W21" t="s">
        <v>673</v>
      </c>
      <c r="X21" t="s">
        <v>673</v>
      </c>
      <c r="Y21" t="s">
        <v>673</v>
      </c>
      <c r="Z21" t="s">
        <v>673</v>
      </c>
      <c r="AA21" t="s">
        <v>673</v>
      </c>
      <c r="AB21" t="s">
        <v>673</v>
      </c>
      <c r="AC21" t="s">
        <v>673</v>
      </c>
      <c r="AD21" t="s">
        <v>673</v>
      </c>
      <c r="AE21" t="s">
        <v>673</v>
      </c>
      <c r="AF21" t="s">
        <v>673</v>
      </c>
      <c r="AG21" t="s">
        <v>673</v>
      </c>
      <c r="AH21" t="s">
        <v>673</v>
      </c>
      <c r="AI21" t="s">
        <v>673</v>
      </c>
      <c r="AJ21" t="s">
        <v>673</v>
      </c>
      <c r="AK21" t="s">
        <v>673</v>
      </c>
      <c r="AL21" t="s">
        <v>673</v>
      </c>
      <c r="AM21" t="s">
        <v>673</v>
      </c>
      <c r="AN21" t="s">
        <v>673</v>
      </c>
      <c r="AO21" t="s">
        <v>673</v>
      </c>
      <c r="AP21" t="s">
        <v>673</v>
      </c>
      <c r="AQ21" t="s">
        <v>673</v>
      </c>
      <c r="AR21" t="s">
        <v>673</v>
      </c>
      <c r="AS21" t="s">
        <v>673</v>
      </c>
      <c r="AT21" t="s">
        <v>673</v>
      </c>
      <c r="AU21" t="s">
        <v>673</v>
      </c>
      <c r="AV21" t="s">
        <v>673</v>
      </c>
    </row>
    <row r="22" spans="1:48" x14ac:dyDescent="0.25">
      <c r="A22" t="s">
        <v>139</v>
      </c>
      <c r="B22" t="s">
        <v>2</v>
      </c>
      <c r="C22" t="s">
        <v>139</v>
      </c>
      <c r="D22">
        <v>11460</v>
      </c>
      <c r="E22" t="s">
        <v>672</v>
      </c>
      <c r="F22" t="s">
        <v>117</v>
      </c>
      <c r="G22" t="s">
        <v>670</v>
      </c>
      <c r="H22" t="s">
        <v>670</v>
      </c>
      <c r="I22">
        <v>4.9700000000000001E-2</v>
      </c>
      <c r="J22">
        <v>5.7299999999999997E-2</v>
      </c>
      <c r="K22">
        <v>3.3300000000000003E-2</v>
      </c>
      <c r="L22">
        <v>4.2700000000000002E-2</v>
      </c>
      <c r="M22">
        <v>3.4000000000000002E-2</v>
      </c>
      <c r="N22">
        <v>2.3300000000000001E-2</v>
      </c>
      <c r="O22">
        <v>6.25E-2</v>
      </c>
      <c r="P22">
        <v>3.2000000000000001E-2</v>
      </c>
      <c r="Q22">
        <v>2.92E-2</v>
      </c>
      <c r="R22">
        <v>4.2700000000000002E-2</v>
      </c>
      <c r="S22">
        <v>3.6299999999999999E-2</v>
      </c>
      <c r="T22">
        <v>5.04E-2</v>
      </c>
      <c r="U22">
        <v>5.5199999999999999E-2</v>
      </c>
      <c r="V22">
        <v>4.1799999999999997E-2</v>
      </c>
      <c r="W22">
        <v>4.4200000000000003E-2</v>
      </c>
      <c r="X22">
        <v>4.58E-2</v>
      </c>
      <c r="Y22">
        <v>3.9300000000000002E-2</v>
      </c>
      <c r="Z22">
        <v>3.61E-2</v>
      </c>
      <c r="AA22">
        <v>7.7999999999999996E-3</v>
      </c>
      <c r="AB22">
        <v>1.03E-2</v>
      </c>
      <c r="AC22">
        <v>4.0000000000000001E-3</v>
      </c>
      <c r="AD22">
        <v>4.2200000000000001E-2</v>
      </c>
      <c r="AE22">
        <v>0.10730000000000001</v>
      </c>
      <c r="AF22">
        <v>0.1452</v>
      </c>
      <c r="AG22">
        <v>0.16009999999999999</v>
      </c>
      <c r="AH22">
        <v>0.1636</v>
      </c>
      <c r="AI22">
        <v>0.13389999999999999</v>
      </c>
      <c r="AJ22">
        <v>8.8400000000000006E-2</v>
      </c>
      <c r="AK22">
        <v>7.2599999999999998E-2</v>
      </c>
      <c r="AL22">
        <v>4.02E-2</v>
      </c>
      <c r="AM22">
        <v>2.23E-2</v>
      </c>
      <c r="AN22">
        <v>2.3300000000000001E-2</v>
      </c>
      <c r="AO22">
        <v>3.7499999999999999E-2</v>
      </c>
      <c r="AP22">
        <v>4.2099999999999999E-2</v>
      </c>
      <c r="AQ22">
        <v>3.95E-2</v>
      </c>
      <c r="AR22">
        <v>3.8199999999999998E-2</v>
      </c>
      <c r="AS22">
        <v>2.1000000000000001E-2</v>
      </c>
      <c r="AT22">
        <v>5.45E-2</v>
      </c>
      <c r="AU22">
        <v>1.5800000000000002E-2</v>
      </c>
      <c r="AV22">
        <v>-3.8800000000000001E-2</v>
      </c>
    </row>
    <row r="23" spans="1:48" x14ac:dyDescent="0.25">
      <c r="A23" t="s">
        <v>140</v>
      </c>
      <c r="B23" t="s">
        <v>2</v>
      </c>
      <c r="C23" t="s">
        <v>140</v>
      </c>
      <c r="D23">
        <v>11500</v>
      </c>
      <c r="E23" t="s">
        <v>672</v>
      </c>
      <c r="F23" t="s">
        <v>117</v>
      </c>
      <c r="G23" t="s">
        <v>670</v>
      </c>
      <c r="H23" t="s">
        <v>670</v>
      </c>
      <c r="I23" t="s">
        <v>673</v>
      </c>
      <c r="J23" t="s">
        <v>673</v>
      </c>
      <c r="K23">
        <v>-6.7400000000000002E-2</v>
      </c>
      <c r="L23">
        <v>-4.82E-2</v>
      </c>
      <c r="M23">
        <v>-5.7700000000000001E-2</v>
      </c>
      <c r="N23">
        <v>-6.4399999999999999E-2</v>
      </c>
      <c r="O23">
        <v>3.27E-2</v>
      </c>
      <c r="P23">
        <v>3.7900000000000003E-2</v>
      </c>
      <c r="Q23">
        <v>1.8599999999999998E-2</v>
      </c>
      <c r="R23">
        <v>3.1E-2</v>
      </c>
      <c r="S23">
        <v>4.8599999999999997E-2</v>
      </c>
      <c r="T23">
        <v>1.46E-2</v>
      </c>
      <c r="U23">
        <v>6.0999999999999999E-2</v>
      </c>
      <c r="V23">
        <v>5.74E-2</v>
      </c>
      <c r="W23">
        <v>5.6899999999999999E-2</v>
      </c>
      <c r="X23">
        <v>8.2199999999999995E-2</v>
      </c>
      <c r="Y23">
        <v>6.2600000000000003E-2</v>
      </c>
      <c r="Z23">
        <v>4.1500000000000002E-2</v>
      </c>
      <c r="AA23">
        <v>3.7900000000000003E-2</v>
      </c>
      <c r="AB23">
        <v>3.6299999999999999E-2</v>
      </c>
      <c r="AC23">
        <v>3.4299999999999997E-2</v>
      </c>
      <c r="AD23">
        <v>3.39E-2</v>
      </c>
      <c r="AE23">
        <v>5.7200000000000001E-2</v>
      </c>
      <c r="AF23">
        <v>8.1199999999999994E-2</v>
      </c>
      <c r="AG23">
        <v>0.10100000000000001</v>
      </c>
      <c r="AH23">
        <v>0.1241</v>
      </c>
      <c r="AI23">
        <v>0.1157</v>
      </c>
      <c r="AJ23">
        <v>0.14510000000000001</v>
      </c>
      <c r="AK23">
        <v>0.16539999999999999</v>
      </c>
      <c r="AL23">
        <v>0.14610000000000001</v>
      </c>
      <c r="AM23">
        <v>0.10730000000000001</v>
      </c>
      <c r="AN23">
        <v>2.9000000000000001E-2</v>
      </c>
      <c r="AO23">
        <v>-2.4299999999999999E-2</v>
      </c>
      <c r="AP23">
        <v>-4.0099999999999997E-2</v>
      </c>
      <c r="AQ23">
        <v>-9.7000000000000003E-3</v>
      </c>
      <c r="AR23">
        <v>1.5599999999999999E-2</v>
      </c>
      <c r="AS23">
        <v>2.98E-2</v>
      </c>
      <c r="AT23">
        <v>0.1139</v>
      </c>
      <c r="AU23" t="s">
        <v>673</v>
      </c>
      <c r="AV23" t="s">
        <v>673</v>
      </c>
    </row>
    <row r="24" spans="1:48" x14ac:dyDescent="0.25">
      <c r="A24" t="s">
        <v>141</v>
      </c>
      <c r="B24" t="s">
        <v>2</v>
      </c>
      <c r="C24" t="s">
        <v>141</v>
      </c>
      <c r="D24">
        <v>11540</v>
      </c>
      <c r="E24" t="s">
        <v>672</v>
      </c>
      <c r="F24" t="s">
        <v>117</v>
      </c>
      <c r="G24" t="s">
        <v>670</v>
      </c>
      <c r="H24" t="s">
        <v>670</v>
      </c>
      <c r="I24">
        <v>0.1246</v>
      </c>
      <c r="J24">
        <v>0.1363</v>
      </c>
      <c r="K24">
        <v>0.1147</v>
      </c>
      <c r="L24">
        <v>7.3899999999999993E-2</v>
      </c>
      <c r="M24">
        <v>6.8199999999999997E-2</v>
      </c>
      <c r="N24">
        <v>7.0199999999999999E-2</v>
      </c>
      <c r="O24">
        <v>6.1199999999999997E-2</v>
      </c>
      <c r="P24">
        <v>2.9999999999999997E-4</v>
      </c>
      <c r="Q24">
        <v>8.8999999999999999E-3</v>
      </c>
      <c r="R24">
        <v>1.2E-2</v>
      </c>
      <c r="S24">
        <v>2.35E-2</v>
      </c>
      <c r="T24">
        <v>2.75E-2</v>
      </c>
      <c r="U24">
        <v>3.3599999999999998E-2</v>
      </c>
      <c r="V24">
        <v>4.0300000000000002E-2</v>
      </c>
      <c r="W24">
        <v>4.19E-2</v>
      </c>
      <c r="X24">
        <v>4.4999999999999998E-2</v>
      </c>
      <c r="Y24">
        <v>5.6000000000000001E-2</v>
      </c>
      <c r="Z24">
        <v>8.1600000000000006E-2</v>
      </c>
      <c r="AA24">
        <v>8.8499999999999995E-2</v>
      </c>
      <c r="AB24">
        <v>5.9200000000000003E-2</v>
      </c>
      <c r="AC24">
        <v>4.3099999999999999E-2</v>
      </c>
      <c r="AD24">
        <v>2.8000000000000001E-2</v>
      </c>
      <c r="AE24">
        <v>5.7200000000000001E-2</v>
      </c>
      <c r="AF24">
        <v>0.13109999999999999</v>
      </c>
      <c r="AG24">
        <v>0.1421</v>
      </c>
      <c r="AH24">
        <v>0.18129999999999999</v>
      </c>
      <c r="AI24">
        <v>0.20130000000000001</v>
      </c>
      <c r="AJ24">
        <v>0.11459999999999999</v>
      </c>
      <c r="AK24">
        <v>0.11940000000000001</v>
      </c>
      <c r="AL24">
        <v>7.4899999999999994E-2</v>
      </c>
      <c r="AM24">
        <v>0.12709999999999999</v>
      </c>
      <c r="AN24">
        <v>0.15720000000000001</v>
      </c>
      <c r="AO24">
        <v>0.15210000000000001</v>
      </c>
      <c r="AP24">
        <v>0.1696</v>
      </c>
      <c r="AQ24">
        <v>5.4600000000000003E-2</v>
      </c>
      <c r="AR24">
        <v>0.1071</v>
      </c>
      <c r="AS24">
        <v>0.1017</v>
      </c>
      <c r="AT24">
        <v>0.1018</v>
      </c>
      <c r="AU24">
        <v>0.1366</v>
      </c>
      <c r="AV24">
        <v>7.6200000000000004E-2</v>
      </c>
    </row>
    <row r="25" spans="1:48" x14ac:dyDescent="0.25">
      <c r="A25" t="s">
        <v>142</v>
      </c>
      <c r="B25" t="s">
        <v>2</v>
      </c>
      <c r="C25" t="s">
        <v>142</v>
      </c>
      <c r="D25">
        <v>11620</v>
      </c>
      <c r="E25" t="s">
        <v>672</v>
      </c>
      <c r="F25" t="s">
        <v>117</v>
      </c>
      <c r="G25" t="s">
        <v>670</v>
      </c>
      <c r="H25" t="s">
        <v>670</v>
      </c>
      <c r="I25" t="s">
        <v>673</v>
      </c>
      <c r="J25" t="s">
        <v>673</v>
      </c>
      <c r="K25" t="s">
        <v>673</v>
      </c>
      <c r="L25" t="s">
        <v>673</v>
      </c>
      <c r="M25" t="s">
        <v>673</v>
      </c>
      <c r="N25" t="s">
        <v>673</v>
      </c>
      <c r="O25" t="s">
        <v>673</v>
      </c>
      <c r="P25" t="s">
        <v>673</v>
      </c>
      <c r="Q25" t="s">
        <v>673</v>
      </c>
      <c r="R25" t="s">
        <v>673</v>
      </c>
      <c r="S25" t="s">
        <v>673</v>
      </c>
      <c r="T25" t="s">
        <v>673</v>
      </c>
      <c r="U25" t="s">
        <v>673</v>
      </c>
      <c r="V25" t="s">
        <v>673</v>
      </c>
      <c r="W25" t="s">
        <v>673</v>
      </c>
      <c r="X25" t="s">
        <v>673</v>
      </c>
      <c r="Y25" t="s">
        <v>673</v>
      </c>
      <c r="Z25" t="s">
        <v>673</v>
      </c>
      <c r="AA25" t="s">
        <v>673</v>
      </c>
      <c r="AB25" t="s">
        <v>673</v>
      </c>
      <c r="AC25" t="s">
        <v>673</v>
      </c>
      <c r="AD25" t="s">
        <v>673</v>
      </c>
      <c r="AE25" t="s">
        <v>673</v>
      </c>
      <c r="AF25" t="s">
        <v>673</v>
      </c>
      <c r="AG25" t="s">
        <v>673</v>
      </c>
      <c r="AH25" t="s">
        <v>673</v>
      </c>
      <c r="AI25" t="s">
        <v>673</v>
      </c>
      <c r="AJ25" t="s">
        <v>673</v>
      </c>
      <c r="AK25" t="s">
        <v>673</v>
      </c>
      <c r="AL25" t="s">
        <v>673</v>
      </c>
      <c r="AM25" t="s">
        <v>673</v>
      </c>
      <c r="AN25" t="s">
        <v>673</v>
      </c>
      <c r="AO25" t="s">
        <v>673</v>
      </c>
      <c r="AP25" t="s">
        <v>673</v>
      </c>
      <c r="AQ25" t="s">
        <v>673</v>
      </c>
      <c r="AR25" t="s">
        <v>673</v>
      </c>
      <c r="AS25" t="s">
        <v>673</v>
      </c>
      <c r="AT25" t="s">
        <v>673</v>
      </c>
      <c r="AU25" t="s">
        <v>673</v>
      </c>
      <c r="AV25" t="s">
        <v>673</v>
      </c>
    </row>
    <row r="26" spans="1:48" x14ac:dyDescent="0.25">
      <c r="A26" t="s">
        <v>143</v>
      </c>
      <c r="B26" t="s">
        <v>2</v>
      </c>
      <c r="C26" t="s">
        <v>143</v>
      </c>
      <c r="D26">
        <v>11680</v>
      </c>
      <c r="E26" t="s">
        <v>672</v>
      </c>
      <c r="F26" t="s">
        <v>117</v>
      </c>
      <c r="G26" t="s">
        <v>670</v>
      </c>
      <c r="H26" t="s">
        <v>670</v>
      </c>
      <c r="I26" t="s">
        <v>673</v>
      </c>
      <c r="J26" t="s">
        <v>673</v>
      </c>
      <c r="K26" t="s">
        <v>673</v>
      </c>
      <c r="L26" t="s">
        <v>673</v>
      </c>
      <c r="M26" t="s">
        <v>673</v>
      </c>
      <c r="N26" t="s">
        <v>673</v>
      </c>
      <c r="O26" t="s">
        <v>673</v>
      </c>
      <c r="P26" t="s">
        <v>673</v>
      </c>
      <c r="Q26" t="s">
        <v>673</v>
      </c>
      <c r="R26" t="s">
        <v>673</v>
      </c>
      <c r="S26" t="s">
        <v>673</v>
      </c>
      <c r="T26" t="s">
        <v>673</v>
      </c>
      <c r="U26" t="s">
        <v>673</v>
      </c>
      <c r="V26" t="s">
        <v>673</v>
      </c>
      <c r="W26" t="s">
        <v>673</v>
      </c>
      <c r="X26" t="s">
        <v>673</v>
      </c>
      <c r="Y26" t="s">
        <v>673</v>
      </c>
      <c r="Z26" t="s">
        <v>673</v>
      </c>
      <c r="AA26" t="s">
        <v>673</v>
      </c>
      <c r="AB26" t="s">
        <v>673</v>
      </c>
      <c r="AC26" t="s">
        <v>673</v>
      </c>
      <c r="AD26" t="s">
        <v>673</v>
      </c>
      <c r="AE26" t="s">
        <v>673</v>
      </c>
      <c r="AF26" t="s">
        <v>673</v>
      </c>
      <c r="AG26" t="s">
        <v>673</v>
      </c>
      <c r="AH26" t="s">
        <v>673</v>
      </c>
      <c r="AI26" t="s">
        <v>673</v>
      </c>
      <c r="AJ26" t="s">
        <v>673</v>
      </c>
      <c r="AK26" t="s">
        <v>673</v>
      </c>
      <c r="AL26" t="s">
        <v>673</v>
      </c>
      <c r="AM26" t="s">
        <v>673</v>
      </c>
      <c r="AN26" t="s">
        <v>673</v>
      </c>
      <c r="AO26" t="s">
        <v>673</v>
      </c>
      <c r="AP26" t="s">
        <v>673</v>
      </c>
      <c r="AQ26" t="s">
        <v>673</v>
      </c>
      <c r="AR26" t="s">
        <v>673</v>
      </c>
      <c r="AS26" t="s">
        <v>673</v>
      </c>
      <c r="AT26" t="s">
        <v>673</v>
      </c>
      <c r="AU26" t="s">
        <v>673</v>
      </c>
      <c r="AV26" t="s">
        <v>673</v>
      </c>
    </row>
    <row r="27" spans="1:48" x14ac:dyDescent="0.25">
      <c r="A27" t="s">
        <v>144</v>
      </c>
      <c r="B27" t="s">
        <v>2</v>
      </c>
      <c r="C27" t="s">
        <v>144</v>
      </c>
      <c r="D27">
        <v>211700</v>
      </c>
      <c r="E27" t="s">
        <v>672</v>
      </c>
      <c r="F27" t="s">
        <v>117</v>
      </c>
      <c r="G27" t="s">
        <v>670</v>
      </c>
      <c r="H27" t="s">
        <v>670</v>
      </c>
      <c r="I27">
        <v>6.59E-2</v>
      </c>
      <c r="J27">
        <v>3.0700000000000002E-2</v>
      </c>
      <c r="K27">
        <v>4.0800000000000003E-2</v>
      </c>
      <c r="L27">
        <v>5.8999999999999997E-2</v>
      </c>
      <c r="M27">
        <v>4.1099999999999998E-2</v>
      </c>
      <c r="N27">
        <v>3.4599999999999999E-2</v>
      </c>
      <c r="O27">
        <v>2.69E-2</v>
      </c>
      <c r="P27">
        <v>2.46E-2</v>
      </c>
      <c r="Q27">
        <v>4.4999999999999998E-2</v>
      </c>
      <c r="R27">
        <v>4.82E-2</v>
      </c>
      <c r="S27">
        <v>5.8200000000000002E-2</v>
      </c>
      <c r="T27">
        <v>5.0900000000000001E-2</v>
      </c>
      <c r="U27">
        <v>5.5399999999999998E-2</v>
      </c>
      <c r="V27">
        <v>5.1200000000000002E-2</v>
      </c>
      <c r="W27">
        <v>2.4400000000000002E-2</v>
      </c>
      <c r="X27">
        <v>1.4200000000000001E-2</v>
      </c>
      <c r="Y27">
        <v>1.15E-2</v>
      </c>
      <c r="Z27">
        <v>-1.41E-2</v>
      </c>
      <c r="AA27">
        <v>-1.6999999999999999E-3</v>
      </c>
      <c r="AB27">
        <v>3.9300000000000002E-2</v>
      </c>
      <c r="AC27">
        <v>4.6300000000000001E-2</v>
      </c>
      <c r="AD27">
        <v>0.10589999999999999</v>
      </c>
      <c r="AE27">
        <v>0.1835</v>
      </c>
      <c r="AF27">
        <v>0.221</v>
      </c>
      <c r="AG27">
        <v>0.20730000000000001</v>
      </c>
      <c r="AH27">
        <v>0.19700000000000001</v>
      </c>
      <c r="AI27">
        <v>0.15479999999999999</v>
      </c>
      <c r="AJ27">
        <v>9.3899999999999997E-2</v>
      </c>
      <c r="AK27">
        <v>0.1012</v>
      </c>
      <c r="AL27">
        <v>0.06</v>
      </c>
      <c r="AM27">
        <v>1.4999999999999999E-2</v>
      </c>
      <c r="AN27">
        <v>1.6999999999999999E-3</v>
      </c>
      <c r="AO27">
        <v>-1.43E-2</v>
      </c>
      <c r="AP27">
        <v>3.7000000000000002E-3</v>
      </c>
      <c r="AQ27">
        <v>6.4000000000000003E-3</v>
      </c>
      <c r="AR27">
        <v>3.8999999999999998E-3</v>
      </c>
      <c r="AS27">
        <v>-2.4199999999999999E-2</v>
      </c>
      <c r="AT27">
        <v>-4.4400000000000002E-2</v>
      </c>
      <c r="AU27">
        <v>-6.8500000000000005E-2</v>
      </c>
      <c r="AV27">
        <v>-6.2300000000000001E-2</v>
      </c>
    </row>
    <row r="28" spans="1:48" x14ac:dyDescent="0.25">
      <c r="A28" t="s">
        <v>145</v>
      </c>
      <c r="B28" t="s">
        <v>2</v>
      </c>
      <c r="C28" t="s">
        <v>145</v>
      </c>
      <c r="D28">
        <v>11740</v>
      </c>
      <c r="E28" t="s">
        <v>672</v>
      </c>
      <c r="F28" t="s">
        <v>117</v>
      </c>
      <c r="G28" t="s">
        <v>670</v>
      </c>
      <c r="H28" t="s">
        <v>670</v>
      </c>
      <c r="I28" t="s">
        <v>673</v>
      </c>
      <c r="J28" t="s">
        <v>673</v>
      </c>
      <c r="K28" t="s">
        <v>673</v>
      </c>
      <c r="L28" t="s">
        <v>673</v>
      </c>
      <c r="M28">
        <v>0.23089999999999999</v>
      </c>
      <c r="N28">
        <v>0.20569999999999999</v>
      </c>
      <c r="O28">
        <v>0.1721</v>
      </c>
      <c r="P28">
        <v>0.1918</v>
      </c>
      <c r="Q28">
        <v>3.2399999999999998E-2</v>
      </c>
      <c r="R28">
        <v>7.0000000000000007E-2</v>
      </c>
      <c r="S28">
        <v>4.7800000000000002E-2</v>
      </c>
      <c r="T28">
        <v>6.1899999999999997E-2</v>
      </c>
      <c r="U28">
        <v>4.7300000000000002E-2</v>
      </c>
      <c r="V28">
        <v>1.4999999999999999E-2</v>
      </c>
      <c r="W28">
        <v>3.9800000000000002E-2</v>
      </c>
      <c r="X28">
        <v>2.07E-2</v>
      </c>
      <c r="Y28">
        <v>3.2399999999999998E-2</v>
      </c>
      <c r="Z28">
        <v>3.4200000000000001E-2</v>
      </c>
      <c r="AA28">
        <v>3.5400000000000001E-2</v>
      </c>
      <c r="AB28">
        <v>7.5800000000000006E-2</v>
      </c>
      <c r="AC28">
        <v>6.0699999999999997E-2</v>
      </c>
      <c r="AD28">
        <v>5.6800000000000003E-2</v>
      </c>
      <c r="AE28">
        <v>4.7699999999999999E-2</v>
      </c>
      <c r="AF28">
        <v>1.8700000000000001E-2</v>
      </c>
      <c r="AG28">
        <v>9.6199999999999994E-2</v>
      </c>
      <c r="AH28">
        <v>7.5800000000000006E-2</v>
      </c>
      <c r="AI28">
        <v>0.35320000000000001</v>
      </c>
      <c r="AJ28">
        <v>0.41120000000000001</v>
      </c>
      <c r="AK28">
        <v>0.38540000000000002</v>
      </c>
      <c r="AL28">
        <v>0.4224</v>
      </c>
      <c r="AM28">
        <v>0.1845</v>
      </c>
      <c r="AN28">
        <v>0.13039999999999999</v>
      </c>
      <c r="AO28">
        <v>6.5699999999999995E-2</v>
      </c>
      <c r="AP28">
        <v>7.4999999999999997E-2</v>
      </c>
      <c r="AQ28">
        <v>3.8600000000000002E-2</v>
      </c>
      <c r="AR28">
        <v>5.1200000000000002E-2</v>
      </c>
      <c r="AS28">
        <v>5.5899999999999998E-2</v>
      </c>
      <c r="AT28">
        <v>2.6700000000000002E-2</v>
      </c>
      <c r="AU28">
        <v>4.02E-2</v>
      </c>
      <c r="AV28">
        <v>1.5299999999999999E-2</v>
      </c>
    </row>
    <row r="29" spans="1:48" x14ac:dyDescent="0.25">
      <c r="A29" t="s">
        <v>146</v>
      </c>
      <c r="B29" t="s">
        <v>2</v>
      </c>
      <c r="C29" t="s">
        <v>146</v>
      </c>
      <c r="D29">
        <v>11820</v>
      </c>
      <c r="E29" t="s">
        <v>672</v>
      </c>
      <c r="F29" t="s">
        <v>117</v>
      </c>
      <c r="G29" t="s">
        <v>670</v>
      </c>
      <c r="H29" t="s">
        <v>670</v>
      </c>
      <c r="I29" t="s">
        <v>673</v>
      </c>
      <c r="J29" t="s">
        <v>673</v>
      </c>
      <c r="K29" t="s">
        <v>673</v>
      </c>
      <c r="L29" t="s">
        <v>673</v>
      </c>
      <c r="M29" t="s">
        <v>673</v>
      </c>
      <c r="N29" t="s">
        <v>673</v>
      </c>
      <c r="O29" t="s">
        <v>673</v>
      </c>
      <c r="P29" t="s">
        <v>673</v>
      </c>
      <c r="Q29" t="s">
        <v>673</v>
      </c>
      <c r="R29" t="s">
        <v>673</v>
      </c>
      <c r="S29" t="s">
        <v>673</v>
      </c>
      <c r="T29" t="s">
        <v>673</v>
      </c>
      <c r="U29" t="s">
        <v>673</v>
      </c>
      <c r="V29" t="s">
        <v>673</v>
      </c>
      <c r="W29" t="s">
        <v>673</v>
      </c>
      <c r="X29" t="s">
        <v>673</v>
      </c>
      <c r="Y29" t="s">
        <v>673</v>
      </c>
      <c r="Z29" t="s">
        <v>673</v>
      </c>
      <c r="AA29" t="s">
        <v>673</v>
      </c>
      <c r="AB29" t="s">
        <v>673</v>
      </c>
      <c r="AC29" t="s">
        <v>673</v>
      </c>
      <c r="AD29" t="s">
        <v>673</v>
      </c>
      <c r="AE29" t="s">
        <v>673</v>
      </c>
      <c r="AF29" t="s">
        <v>673</v>
      </c>
      <c r="AG29" t="s">
        <v>673</v>
      </c>
      <c r="AH29" t="s">
        <v>673</v>
      </c>
      <c r="AI29" t="s">
        <v>673</v>
      </c>
      <c r="AJ29" t="s">
        <v>673</v>
      </c>
      <c r="AK29" t="s">
        <v>673</v>
      </c>
      <c r="AL29" t="s">
        <v>673</v>
      </c>
      <c r="AM29" t="s">
        <v>673</v>
      </c>
      <c r="AN29" t="s">
        <v>673</v>
      </c>
      <c r="AO29" t="s">
        <v>673</v>
      </c>
      <c r="AP29" t="s">
        <v>673</v>
      </c>
      <c r="AQ29" t="s">
        <v>673</v>
      </c>
      <c r="AR29" t="s">
        <v>673</v>
      </c>
      <c r="AS29" t="s">
        <v>673</v>
      </c>
      <c r="AT29" t="s">
        <v>673</v>
      </c>
      <c r="AU29" t="s">
        <v>673</v>
      </c>
      <c r="AV29" t="s">
        <v>673</v>
      </c>
    </row>
    <row r="30" spans="1:48" x14ac:dyDescent="0.25">
      <c r="A30" t="s">
        <v>147</v>
      </c>
      <c r="B30" t="s">
        <v>2</v>
      </c>
      <c r="C30" t="s">
        <v>147</v>
      </c>
      <c r="D30">
        <v>12020</v>
      </c>
      <c r="E30" t="s">
        <v>672</v>
      </c>
      <c r="F30" t="s">
        <v>117</v>
      </c>
      <c r="G30" t="s">
        <v>670</v>
      </c>
      <c r="H30" t="s">
        <v>670</v>
      </c>
      <c r="I30">
        <v>5.4800000000000001E-2</v>
      </c>
      <c r="J30">
        <v>4.3499999999999997E-2</v>
      </c>
      <c r="K30">
        <v>8.3500000000000005E-2</v>
      </c>
      <c r="L30">
        <v>0.1128</v>
      </c>
      <c r="M30">
        <v>0.10630000000000001</v>
      </c>
      <c r="N30">
        <v>0.1336</v>
      </c>
      <c r="O30">
        <v>0.123</v>
      </c>
      <c r="P30">
        <v>0.10829999999999999</v>
      </c>
      <c r="Q30">
        <v>6.9599999999999995E-2</v>
      </c>
      <c r="R30">
        <v>4.1700000000000001E-2</v>
      </c>
      <c r="S30">
        <v>3.4000000000000002E-2</v>
      </c>
      <c r="T30">
        <v>3.9899999999999998E-2</v>
      </c>
      <c r="U30">
        <v>7.0699999999999999E-2</v>
      </c>
      <c r="V30">
        <v>5.6599999999999998E-2</v>
      </c>
      <c r="W30">
        <v>5.2400000000000002E-2</v>
      </c>
      <c r="X30">
        <v>5.8999999999999997E-2</v>
      </c>
      <c r="Y30">
        <v>6.7100000000000007E-2</v>
      </c>
      <c r="Z30">
        <v>5.1900000000000002E-2</v>
      </c>
      <c r="AA30">
        <v>5.5199999999999999E-2</v>
      </c>
      <c r="AB30">
        <v>5.45E-2</v>
      </c>
      <c r="AC30">
        <v>6.0999999999999999E-2</v>
      </c>
      <c r="AD30">
        <v>0.1096</v>
      </c>
      <c r="AE30">
        <v>0.17599999999999999</v>
      </c>
      <c r="AF30">
        <v>0.1578</v>
      </c>
      <c r="AG30">
        <v>0.12790000000000001</v>
      </c>
      <c r="AH30">
        <v>0.12770000000000001</v>
      </c>
      <c r="AI30">
        <v>9.11E-2</v>
      </c>
      <c r="AJ30">
        <v>5.1200000000000002E-2</v>
      </c>
      <c r="AK30">
        <v>5.3900000000000003E-2</v>
      </c>
      <c r="AL30">
        <v>9.0999999999999998E-2</v>
      </c>
      <c r="AM30">
        <v>6.0999999999999999E-2</v>
      </c>
      <c r="AN30">
        <v>8.8400000000000006E-2</v>
      </c>
      <c r="AO30">
        <v>8.6800000000000002E-2</v>
      </c>
      <c r="AP30">
        <v>2.5999999999999999E-2</v>
      </c>
      <c r="AQ30">
        <v>-2.0400000000000001E-2</v>
      </c>
      <c r="AR30">
        <v>-4.5600000000000002E-2</v>
      </c>
      <c r="AS30">
        <v>-3.8100000000000002E-2</v>
      </c>
      <c r="AT30">
        <v>-3.6499999999999998E-2</v>
      </c>
      <c r="AU30">
        <v>-3.7900000000000003E-2</v>
      </c>
      <c r="AV30">
        <v>-3.7499999999999999E-2</v>
      </c>
    </row>
    <row r="31" spans="1:48" x14ac:dyDescent="0.25">
      <c r="A31" t="s">
        <v>148</v>
      </c>
      <c r="B31" t="s">
        <v>2</v>
      </c>
      <c r="C31" t="s">
        <v>148</v>
      </c>
      <c r="D31">
        <v>11900</v>
      </c>
      <c r="E31" t="s">
        <v>672</v>
      </c>
      <c r="F31" t="s">
        <v>117</v>
      </c>
      <c r="G31" t="s">
        <v>670</v>
      </c>
      <c r="H31" t="s">
        <v>670</v>
      </c>
      <c r="I31">
        <v>9.1000000000000004E-3</v>
      </c>
      <c r="J31">
        <v>-1.5599999999999999E-2</v>
      </c>
      <c r="K31">
        <v>-5.21E-2</v>
      </c>
      <c r="L31">
        <v>-0.13650000000000001</v>
      </c>
      <c r="M31">
        <v>-6.7400000000000002E-2</v>
      </c>
      <c r="N31">
        <v>-3.32E-2</v>
      </c>
      <c r="O31">
        <v>-7.3000000000000001E-3</v>
      </c>
      <c r="P31">
        <v>0.1152</v>
      </c>
      <c r="Q31">
        <v>3.2000000000000001E-2</v>
      </c>
      <c r="R31">
        <v>3.27E-2</v>
      </c>
      <c r="S31">
        <v>3.6700000000000003E-2</v>
      </c>
      <c r="T31">
        <v>1.7999999999999999E-2</v>
      </c>
      <c r="U31">
        <v>4.2900000000000001E-2</v>
      </c>
      <c r="V31">
        <v>2.4400000000000002E-2</v>
      </c>
      <c r="W31">
        <v>3.2599999999999997E-2</v>
      </c>
      <c r="X31">
        <v>5.8400000000000001E-2</v>
      </c>
      <c r="Y31">
        <v>2.35E-2</v>
      </c>
      <c r="Z31">
        <v>-5.1999999999999998E-3</v>
      </c>
      <c r="AA31">
        <v>-2.8199999999999999E-2</v>
      </c>
      <c r="AB31">
        <v>-1.9900000000000001E-2</v>
      </c>
      <c r="AC31">
        <v>4.7000000000000002E-3</v>
      </c>
      <c r="AD31">
        <v>1.3100000000000001E-2</v>
      </c>
      <c r="AE31">
        <v>9.1499999999999998E-2</v>
      </c>
      <c r="AF31">
        <v>6.4199999999999993E-2</v>
      </c>
      <c r="AG31">
        <v>5.2999999999999999E-2</v>
      </c>
      <c r="AH31" t="s">
        <v>673</v>
      </c>
      <c r="AI31" t="s">
        <v>673</v>
      </c>
      <c r="AJ31" t="s">
        <v>673</v>
      </c>
      <c r="AK31" t="s">
        <v>673</v>
      </c>
      <c r="AL31" t="s">
        <v>673</v>
      </c>
      <c r="AM31" t="s">
        <v>673</v>
      </c>
      <c r="AN31" t="s">
        <v>673</v>
      </c>
      <c r="AO31">
        <v>0.1351</v>
      </c>
      <c r="AP31">
        <v>0.18609999999999999</v>
      </c>
      <c r="AQ31">
        <v>0.12620000000000001</v>
      </c>
      <c r="AR31">
        <v>0.18729999999999999</v>
      </c>
      <c r="AS31">
        <v>4.3499999999999997E-2</v>
      </c>
      <c r="AT31" t="s">
        <v>673</v>
      </c>
      <c r="AU31" t="s">
        <v>673</v>
      </c>
      <c r="AV31" t="s">
        <v>673</v>
      </c>
    </row>
    <row r="32" spans="1:48" x14ac:dyDescent="0.25">
      <c r="A32" t="s">
        <v>149</v>
      </c>
      <c r="B32" t="s">
        <v>2</v>
      </c>
      <c r="C32" t="s">
        <v>149</v>
      </c>
      <c r="D32">
        <v>11940</v>
      </c>
      <c r="E32" t="s">
        <v>672</v>
      </c>
      <c r="F32" t="s">
        <v>117</v>
      </c>
      <c r="G32" t="s">
        <v>670</v>
      </c>
      <c r="H32" t="s">
        <v>670</v>
      </c>
      <c r="I32" t="s">
        <v>673</v>
      </c>
      <c r="J32" t="s">
        <v>673</v>
      </c>
      <c r="K32" t="s">
        <v>673</v>
      </c>
      <c r="L32" t="s">
        <v>673</v>
      </c>
      <c r="M32" t="s">
        <v>673</v>
      </c>
      <c r="N32" t="s">
        <v>673</v>
      </c>
      <c r="O32" t="s">
        <v>673</v>
      </c>
      <c r="P32" t="s">
        <v>673</v>
      </c>
      <c r="Q32" t="s">
        <v>673</v>
      </c>
      <c r="R32" t="s">
        <v>673</v>
      </c>
      <c r="S32" t="s">
        <v>673</v>
      </c>
      <c r="T32" t="s">
        <v>673</v>
      </c>
      <c r="U32" t="s">
        <v>673</v>
      </c>
      <c r="V32" t="s">
        <v>673</v>
      </c>
      <c r="W32" t="s">
        <v>673</v>
      </c>
      <c r="X32" t="s">
        <v>673</v>
      </c>
      <c r="Y32" t="s">
        <v>673</v>
      </c>
      <c r="Z32" t="s">
        <v>673</v>
      </c>
      <c r="AA32" t="s">
        <v>673</v>
      </c>
      <c r="AB32" t="s">
        <v>673</v>
      </c>
      <c r="AC32" t="s">
        <v>673</v>
      </c>
      <c r="AD32" t="s">
        <v>673</v>
      </c>
      <c r="AE32" t="s">
        <v>673</v>
      </c>
      <c r="AF32" t="s">
        <v>673</v>
      </c>
      <c r="AG32" t="s">
        <v>673</v>
      </c>
      <c r="AH32" t="s">
        <v>673</v>
      </c>
      <c r="AI32" t="s">
        <v>673</v>
      </c>
      <c r="AJ32" t="s">
        <v>673</v>
      </c>
      <c r="AK32" t="s">
        <v>673</v>
      </c>
      <c r="AL32" t="s">
        <v>673</v>
      </c>
      <c r="AM32" t="s">
        <v>673</v>
      </c>
      <c r="AN32">
        <v>0.38290000000000002</v>
      </c>
      <c r="AO32">
        <v>0.25600000000000001</v>
      </c>
      <c r="AP32">
        <v>-8.8499999999999995E-2</v>
      </c>
      <c r="AQ32">
        <v>6.6100000000000006E-2</v>
      </c>
      <c r="AR32">
        <v>3.1899999999999998E-2</v>
      </c>
      <c r="AS32">
        <v>-1.04E-2</v>
      </c>
      <c r="AT32" t="s">
        <v>673</v>
      </c>
      <c r="AU32" t="s">
        <v>673</v>
      </c>
      <c r="AV32" t="s">
        <v>673</v>
      </c>
    </row>
    <row r="33" spans="1:48" x14ac:dyDescent="0.25">
      <c r="A33" t="s">
        <v>150</v>
      </c>
      <c r="B33" t="s">
        <v>2</v>
      </c>
      <c r="C33" t="s">
        <v>150</v>
      </c>
      <c r="D33">
        <v>11980</v>
      </c>
      <c r="E33" t="s">
        <v>672</v>
      </c>
      <c r="F33" t="s">
        <v>117</v>
      </c>
      <c r="G33" t="s">
        <v>670</v>
      </c>
      <c r="H33" t="s">
        <v>670</v>
      </c>
      <c r="I33" t="s">
        <v>673</v>
      </c>
      <c r="J33" t="s">
        <v>673</v>
      </c>
      <c r="K33" t="s">
        <v>673</v>
      </c>
      <c r="L33" t="s">
        <v>673</v>
      </c>
      <c r="M33" t="s">
        <v>673</v>
      </c>
      <c r="N33" t="s">
        <v>673</v>
      </c>
      <c r="O33" t="s">
        <v>673</v>
      </c>
      <c r="P33" t="s">
        <v>673</v>
      </c>
      <c r="Q33" t="s">
        <v>673</v>
      </c>
      <c r="R33" t="s">
        <v>673</v>
      </c>
      <c r="S33" t="s">
        <v>673</v>
      </c>
      <c r="T33" t="s">
        <v>673</v>
      </c>
      <c r="U33" t="s">
        <v>673</v>
      </c>
      <c r="V33" t="s">
        <v>673</v>
      </c>
      <c r="W33" t="s">
        <v>673</v>
      </c>
      <c r="X33" t="s">
        <v>673</v>
      </c>
      <c r="Y33" t="s">
        <v>673</v>
      </c>
      <c r="Z33" t="s">
        <v>673</v>
      </c>
      <c r="AA33" t="s">
        <v>673</v>
      </c>
      <c r="AB33" t="s">
        <v>673</v>
      </c>
      <c r="AC33" t="s">
        <v>673</v>
      </c>
      <c r="AD33" t="s">
        <v>673</v>
      </c>
      <c r="AE33" t="s">
        <v>673</v>
      </c>
      <c r="AF33" t="s">
        <v>673</v>
      </c>
      <c r="AG33" t="s">
        <v>673</v>
      </c>
      <c r="AH33" t="s">
        <v>673</v>
      </c>
      <c r="AI33">
        <v>0.1193</v>
      </c>
      <c r="AJ33">
        <v>9.7500000000000003E-2</v>
      </c>
      <c r="AK33">
        <v>0.1356</v>
      </c>
      <c r="AL33">
        <v>9.7699999999999995E-2</v>
      </c>
      <c r="AM33">
        <v>7.1599999999999997E-2</v>
      </c>
      <c r="AN33">
        <v>7.2400000000000006E-2</v>
      </c>
      <c r="AO33">
        <v>6.6100000000000006E-2</v>
      </c>
      <c r="AP33">
        <v>7.9000000000000001E-2</v>
      </c>
      <c r="AQ33">
        <v>7.4800000000000005E-2</v>
      </c>
      <c r="AR33">
        <v>4.99E-2</v>
      </c>
      <c r="AS33">
        <v>-1.18E-2</v>
      </c>
      <c r="AT33">
        <v>-1.5699999999999999E-2</v>
      </c>
      <c r="AU33">
        <v>-2.3300000000000001E-2</v>
      </c>
      <c r="AV33">
        <v>-7.6E-3</v>
      </c>
    </row>
    <row r="34" spans="1:48" x14ac:dyDescent="0.25">
      <c r="A34" t="s">
        <v>30</v>
      </c>
      <c r="B34" t="s">
        <v>2</v>
      </c>
      <c r="C34" t="s">
        <v>30</v>
      </c>
      <c r="D34">
        <v>12060</v>
      </c>
      <c r="E34" t="s">
        <v>672</v>
      </c>
      <c r="F34" t="s">
        <v>117</v>
      </c>
      <c r="G34" t="s">
        <v>670</v>
      </c>
      <c r="H34" t="s">
        <v>670</v>
      </c>
      <c r="I34">
        <v>7.2099999999999997E-2</v>
      </c>
      <c r="J34">
        <v>6.6600000000000006E-2</v>
      </c>
      <c r="K34">
        <v>6.4500000000000002E-2</v>
      </c>
      <c r="L34">
        <v>6.2700000000000006E-2</v>
      </c>
      <c r="M34">
        <v>6.1499999999999999E-2</v>
      </c>
      <c r="N34">
        <v>6.1499999999999999E-2</v>
      </c>
      <c r="O34">
        <v>5.2400000000000002E-2</v>
      </c>
      <c r="P34">
        <v>5.0599999999999999E-2</v>
      </c>
      <c r="Q34">
        <v>6.0900000000000003E-2</v>
      </c>
      <c r="R34">
        <v>5.3699999999999998E-2</v>
      </c>
      <c r="S34">
        <v>6.2799999999999995E-2</v>
      </c>
      <c r="T34">
        <v>6.9800000000000001E-2</v>
      </c>
      <c r="U34">
        <v>6.9000000000000006E-2</v>
      </c>
      <c r="V34">
        <v>6.7799999999999999E-2</v>
      </c>
      <c r="W34">
        <v>5.9499999999999997E-2</v>
      </c>
      <c r="X34">
        <v>4.8800000000000003E-2</v>
      </c>
      <c r="Y34">
        <v>3.4799999999999998E-2</v>
      </c>
      <c r="Z34">
        <v>5.0000000000000001E-4</v>
      </c>
      <c r="AA34">
        <v>3.8999999999999998E-3</v>
      </c>
      <c r="AB34">
        <v>2.47E-2</v>
      </c>
      <c r="AC34">
        <v>4.5999999999999999E-2</v>
      </c>
      <c r="AD34">
        <v>0.1202</v>
      </c>
      <c r="AE34">
        <v>0.19040000000000001</v>
      </c>
      <c r="AF34">
        <v>0.22670000000000001</v>
      </c>
      <c r="AG34">
        <v>0.22459999999999999</v>
      </c>
      <c r="AH34">
        <v>0.19159999999999999</v>
      </c>
      <c r="AI34">
        <v>0.1232</v>
      </c>
      <c r="AJ34">
        <v>5.7500000000000002E-2</v>
      </c>
      <c r="AK34">
        <v>3.1800000000000002E-2</v>
      </c>
      <c r="AL34">
        <v>8.3999999999999995E-3</v>
      </c>
      <c r="AM34">
        <v>-2.7199999999999998E-2</v>
      </c>
      <c r="AN34">
        <v>-3.9E-2</v>
      </c>
      <c r="AO34">
        <v>-3.8899999999999997E-2</v>
      </c>
      <c r="AP34">
        <v>-4.1700000000000001E-2</v>
      </c>
      <c r="AQ34">
        <v>-3.7699999999999997E-2</v>
      </c>
      <c r="AR34">
        <v>-3.3599999999999998E-2</v>
      </c>
      <c r="AS34">
        <v>-2.52E-2</v>
      </c>
      <c r="AT34">
        <v>-1.5800000000000002E-2</v>
      </c>
      <c r="AU34">
        <v>-1.9E-3</v>
      </c>
      <c r="AV34">
        <v>5.1000000000000004E-3</v>
      </c>
    </row>
    <row r="35" spans="1:48" x14ac:dyDescent="0.25">
      <c r="A35" t="s">
        <v>151</v>
      </c>
      <c r="B35" t="s">
        <v>2</v>
      </c>
      <c r="C35" t="s">
        <v>151</v>
      </c>
      <c r="D35">
        <v>12100</v>
      </c>
      <c r="E35" t="s">
        <v>672</v>
      </c>
      <c r="F35" t="s">
        <v>117</v>
      </c>
      <c r="G35" t="s">
        <v>670</v>
      </c>
      <c r="H35" t="s">
        <v>670</v>
      </c>
      <c r="I35">
        <v>6.88E-2</v>
      </c>
      <c r="J35">
        <v>-4.1799999999999997E-2</v>
      </c>
      <c r="K35">
        <v>8.0100000000000005E-2</v>
      </c>
      <c r="L35">
        <v>0.12790000000000001</v>
      </c>
      <c r="M35">
        <v>6.6100000000000006E-2</v>
      </c>
      <c r="N35">
        <v>7.4999999999999997E-2</v>
      </c>
      <c r="O35">
        <v>3.5200000000000002E-2</v>
      </c>
      <c r="P35">
        <v>-1.15E-2</v>
      </c>
      <c r="Q35">
        <v>1.2500000000000001E-2</v>
      </c>
      <c r="R35">
        <v>7.8399999999999997E-2</v>
      </c>
      <c r="S35">
        <v>9.5500000000000002E-2</v>
      </c>
      <c r="T35">
        <v>6.9900000000000004E-2</v>
      </c>
      <c r="U35">
        <v>6.1100000000000002E-2</v>
      </c>
      <c r="V35">
        <v>2.8500000000000001E-2</v>
      </c>
      <c r="W35">
        <v>4.2000000000000003E-2</v>
      </c>
      <c r="X35">
        <v>6.1199999999999997E-2</v>
      </c>
      <c r="Y35">
        <v>5.2299999999999999E-2</v>
      </c>
      <c r="Z35">
        <v>2.12E-2</v>
      </c>
      <c r="AA35">
        <v>7.3000000000000001E-3</v>
      </c>
      <c r="AB35">
        <v>3.0700000000000002E-2</v>
      </c>
      <c r="AC35">
        <v>7.8899999999999998E-2</v>
      </c>
      <c r="AD35">
        <v>0.1007</v>
      </c>
      <c r="AE35">
        <v>0.151</v>
      </c>
      <c r="AF35">
        <v>0.14000000000000001</v>
      </c>
      <c r="AG35">
        <v>0.1123</v>
      </c>
      <c r="AH35">
        <v>0.14460000000000001</v>
      </c>
      <c r="AI35">
        <v>0.16420000000000001</v>
      </c>
      <c r="AJ35">
        <v>0.1641</v>
      </c>
      <c r="AK35">
        <v>0.1618</v>
      </c>
      <c r="AL35">
        <v>0.15840000000000001</v>
      </c>
      <c r="AM35">
        <v>7.9100000000000004E-2</v>
      </c>
      <c r="AN35">
        <v>7.9100000000000004E-2</v>
      </c>
      <c r="AO35">
        <v>7.6899999999999996E-2</v>
      </c>
      <c r="AP35">
        <v>3.2000000000000001E-2</v>
      </c>
      <c r="AQ35">
        <v>5.33E-2</v>
      </c>
      <c r="AR35">
        <v>3.6400000000000002E-2</v>
      </c>
      <c r="AS35">
        <v>3.3099999999999997E-2</v>
      </c>
      <c r="AT35">
        <v>4.9799999999999997E-2</v>
      </c>
      <c r="AU35">
        <v>1.9599999999999999E-2</v>
      </c>
      <c r="AV35">
        <v>2.3E-3</v>
      </c>
    </row>
    <row r="36" spans="1:48" x14ac:dyDescent="0.25">
      <c r="A36" t="s">
        <v>152</v>
      </c>
      <c r="B36" t="s">
        <v>2</v>
      </c>
      <c r="C36" t="s">
        <v>152</v>
      </c>
      <c r="D36">
        <v>12180</v>
      </c>
      <c r="E36" t="s">
        <v>672</v>
      </c>
      <c r="F36" t="s">
        <v>117</v>
      </c>
      <c r="G36" t="s">
        <v>670</v>
      </c>
      <c r="H36" t="s">
        <v>670</v>
      </c>
      <c r="I36">
        <v>1.6899999999999998E-2</v>
      </c>
      <c r="J36">
        <v>1.6899999999999998E-2</v>
      </c>
      <c r="K36">
        <v>3.9300000000000002E-2</v>
      </c>
      <c r="L36">
        <v>1.7899999999999999E-2</v>
      </c>
      <c r="M36">
        <v>2.8999999999999998E-3</v>
      </c>
      <c r="N36">
        <v>2.8999999999999998E-3</v>
      </c>
      <c r="O36">
        <v>1.5E-3</v>
      </c>
      <c r="P36">
        <v>-2.0999999999999999E-3</v>
      </c>
      <c r="Q36">
        <v>5.9999999999999995E-4</v>
      </c>
      <c r="R36">
        <v>5.9999999999999995E-4</v>
      </c>
      <c r="S36">
        <v>5.0000000000000001E-4</v>
      </c>
      <c r="T36">
        <v>1.2999999999999999E-3</v>
      </c>
      <c r="U36">
        <v>2.2000000000000001E-3</v>
      </c>
      <c r="V36">
        <v>2.2000000000000001E-3</v>
      </c>
      <c r="W36" t="s">
        <v>673</v>
      </c>
      <c r="X36" t="s">
        <v>673</v>
      </c>
      <c r="Y36" t="s">
        <v>673</v>
      </c>
      <c r="Z36" t="s">
        <v>673</v>
      </c>
      <c r="AA36" t="s">
        <v>673</v>
      </c>
      <c r="AB36" t="s">
        <v>673</v>
      </c>
      <c r="AC36" t="s">
        <v>673</v>
      </c>
      <c r="AD36" t="s">
        <v>673</v>
      </c>
      <c r="AE36" t="s">
        <v>673</v>
      </c>
      <c r="AF36" t="s">
        <v>673</v>
      </c>
      <c r="AG36" t="s">
        <v>673</v>
      </c>
      <c r="AH36" t="s">
        <v>673</v>
      </c>
      <c r="AI36" t="s">
        <v>673</v>
      </c>
      <c r="AJ36" t="s">
        <v>673</v>
      </c>
      <c r="AK36" t="s">
        <v>673</v>
      </c>
      <c r="AL36" t="s">
        <v>673</v>
      </c>
      <c r="AM36" t="s">
        <v>673</v>
      </c>
      <c r="AN36" t="s">
        <v>673</v>
      </c>
      <c r="AO36" t="s">
        <v>673</v>
      </c>
      <c r="AP36" t="s">
        <v>673</v>
      </c>
      <c r="AQ36" t="s">
        <v>673</v>
      </c>
      <c r="AR36" t="s">
        <v>673</v>
      </c>
      <c r="AS36" t="s">
        <v>673</v>
      </c>
      <c r="AT36" t="s">
        <v>673</v>
      </c>
      <c r="AU36" t="s">
        <v>673</v>
      </c>
      <c r="AV36" t="s">
        <v>673</v>
      </c>
    </row>
    <row r="37" spans="1:48" x14ac:dyDescent="0.25">
      <c r="A37" t="s">
        <v>153</v>
      </c>
      <c r="B37" t="s">
        <v>2</v>
      </c>
      <c r="C37" t="s">
        <v>153</v>
      </c>
      <c r="D37">
        <v>12220</v>
      </c>
      <c r="E37" t="s">
        <v>672</v>
      </c>
      <c r="F37" t="s">
        <v>117</v>
      </c>
      <c r="G37" t="s">
        <v>670</v>
      </c>
      <c r="H37" t="s">
        <v>670</v>
      </c>
      <c r="I37">
        <v>4.1999999999999997E-3</v>
      </c>
      <c r="J37">
        <v>1.6199999999999999E-2</v>
      </c>
      <c r="K37">
        <v>6.0000000000000001E-3</v>
      </c>
      <c r="L37">
        <v>1.5E-3</v>
      </c>
      <c r="M37">
        <v>3.1300000000000001E-2</v>
      </c>
      <c r="N37">
        <v>2.98E-2</v>
      </c>
      <c r="O37">
        <v>5.9200000000000003E-2</v>
      </c>
      <c r="P37">
        <v>5.57E-2</v>
      </c>
      <c r="Q37">
        <v>4.0599999999999997E-2</v>
      </c>
      <c r="R37">
        <v>2.53E-2</v>
      </c>
      <c r="S37">
        <v>2.46E-2</v>
      </c>
      <c r="T37">
        <v>1.6999999999999999E-3</v>
      </c>
      <c r="U37">
        <v>9.7000000000000003E-3</v>
      </c>
      <c r="V37">
        <v>-4.0399999999999998E-2</v>
      </c>
      <c r="W37">
        <v>-3.5999999999999999E-3</v>
      </c>
      <c r="X37">
        <v>-1.18E-2</v>
      </c>
      <c r="Y37">
        <v>-6.7000000000000002E-3</v>
      </c>
      <c r="Z37">
        <v>7.0900000000000005E-2</v>
      </c>
      <c r="AA37">
        <v>2.64E-2</v>
      </c>
      <c r="AB37">
        <v>5.1799999999999999E-2</v>
      </c>
      <c r="AC37">
        <v>4.5499999999999999E-2</v>
      </c>
      <c r="AD37">
        <v>5.9200000000000003E-2</v>
      </c>
      <c r="AE37">
        <v>6.9599999999999995E-2</v>
      </c>
      <c r="AF37">
        <v>0.1091</v>
      </c>
      <c r="AG37">
        <v>0.1069</v>
      </c>
      <c r="AH37">
        <v>0.14360000000000001</v>
      </c>
      <c r="AI37">
        <v>0.1726</v>
      </c>
      <c r="AJ37">
        <v>0.13089999999999999</v>
      </c>
      <c r="AK37">
        <v>0.18029999999999999</v>
      </c>
      <c r="AL37">
        <v>0.13389999999999999</v>
      </c>
      <c r="AM37">
        <v>0.1144</v>
      </c>
      <c r="AN37">
        <v>0.1135</v>
      </c>
      <c r="AO37">
        <v>6.2700000000000006E-2</v>
      </c>
      <c r="AP37">
        <v>5.8999999999999997E-2</v>
      </c>
      <c r="AQ37">
        <v>5.7000000000000002E-2</v>
      </c>
      <c r="AR37">
        <v>9.0899999999999995E-2</v>
      </c>
      <c r="AS37">
        <v>8.0500000000000002E-2</v>
      </c>
      <c r="AT37">
        <v>8.4199999999999997E-2</v>
      </c>
      <c r="AU37">
        <v>7.1999999999999995E-2</v>
      </c>
      <c r="AV37">
        <v>2.9700000000000001E-2</v>
      </c>
    </row>
    <row r="38" spans="1:48" x14ac:dyDescent="0.25">
      <c r="A38" t="s">
        <v>154</v>
      </c>
      <c r="B38" t="s">
        <v>2</v>
      </c>
      <c r="C38" t="s">
        <v>154</v>
      </c>
      <c r="D38">
        <v>12260</v>
      </c>
      <c r="E38" t="s">
        <v>672</v>
      </c>
      <c r="F38" t="s">
        <v>117</v>
      </c>
      <c r="G38" t="s">
        <v>670</v>
      </c>
      <c r="H38" t="s">
        <v>670</v>
      </c>
      <c r="I38">
        <v>3.5200000000000002E-2</v>
      </c>
      <c r="J38">
        <v>4.65E-2</v>
      </c>
      <c r="K38">
        <v>4.0599999999999997E-2</v>
      </c>
      <c r="L38">
        <v>3.15E-2</v>
      </c>
      <c r="M38">
        <v>3.5099999999999999E-2</v>
      </c>
      <c r="N38">
        <v>4.5999999999999999E-2</v>
      </c>
      <c r="O38">
        <v>0.05</v>
      </c>
      <c r="P38">
        <v>5.8099999999999999E-2</v>
      </c>
      <c r="Q38">
        <v>2.46E-2</v>
      </c>
      <c r="R38">
        <v>1.6299999999999999E-2</v>
      </c>
      <c r="S38">
        <v>2.4500000000000001E-2</v>
      </c>
      <c r="T38">
        <v>2.2700000000000001E-2</v>
      </c>
      <c r="U38">
        <v>4.41E-2</v>
      </c>
      <c r="V38">
        <v>6.2399999999999997E-2</v>
      </c>
      <c r="W38">
        <v>5.4899999999999997E-2</v>
      </c>
      <c r="X38">
        <v>6.6000000000000003E-2</v>
      </c>
      <c r="Y38">
        <v>8.0600000000000005E-2</v>
      </c>
      <c r="Z38">
        <v>5.3100000000000001E-2</v>
      </c>
      <c r="AA38">
        <v>7.4700000000000003E-2</v>
      </c>
      <c r="AB38">
        <v>8.7599999999999997E-2</v>
      </c>
      <c r="AC38">
        <v>7.2400000000000006E-2</v>
      </c>
      <c r="AD38">
        <v>0.1149</v>
      </c>
      <c r="AE38">
        <v>0.1303</v>
      </c>
      <c r="AF38">
        <v>0.14410000000000001</v>
      </c>
      <c r="AG38">
        <v>0.1565</v>
      </c>
      <c r="AH38">
        <v>0.14879999999999999</v>
      </c>
      <c r="AI38">
        <v>0.1162</v>
      </c>
      <c r="AJ38">
        <v>7.4999999999999997E-2</v>
      </c>
      <c r="AK38">
        <v>3.6600000000000001E-2</v>
      </c>
      <c r="AL38">
        <v>4.4000000000000003E-3</v>
      </c>
      <c r="AM38">
        <v>1.5E-3</v>
      </c>
      <c r="AN38">
        <v>2.0999999999999999E-3</v>
      </c>
      <c r="AO38">
        <v>6.7000000000000002E-3</v>
      </c>
      <c r="AP38">
        <v>1.8200000000000001E-2</v>
      </c>
      <c r="AQ38">
        <v>1.3299999999999999E-2</v>
      </c>
      <c r="AR38">
        <v>2.5899999999999999E-2</v>
      </c>
      <c r="AS38">
        <v>4.7199999999999999E-2</v>
      </c>
      <c r="AT38">
        <v>3.8300000000000001E-2</v>
      </c>
      <c r="AU38">
        <v>0.03</v>
      </c>
      <c r="AV38">
        <v>5.7999999999999996E-3</v>
      </c>
    </row>
    <row r="39" spans="1:48" x14ac:dyDescent="0.25">
      <c r="A39" t="s">
        <v>155</v>
      </c>
      <c r="B39" t="s">
        <v>2</v>
      </c>
      <c r="C39" t="s">
        <v>155</v>
      </c>
      <c r="D39">
        <v>12380</v>
      </c>
      <c r="E39" t="s">
        <v>672</v>
      </c>
      <c r="F39" t="s">
        <v>117</v>
      </c>
      <c r="G39" t="s">
        <v>670</v>
      </c>
      <c r="H39" t="s">
        <v>670</v>
      </c>
      <c r="I39" t="s">
        <v>673</v>
      </c>
      <c r="J39" t="s">
        <v>673</v>
      </c>
      <c r="K39" t="s">
        <v>673</v>
      </c>
      <c r="L39" t="s">
        <v>673</v>
      </c>
      <c r="M39" t="s">
        <v>673</v>
      </c>
      <c r="N39" t="s">
        <v>673</v>
      </c>
      <c r="O39" t="s">
        <v>673</v>
      </c>
      <c r="P39" t="s">
        <v>673</v>
      </c>
      <c r="Q39" t="s">
        <v>673</v>
      </c>
      <c r="R39" t="s">
        <v>673</v>
      </c>
      <c r="S39" t="s">
        <v>673</v>
      </c>
      <c r="T39" t="s">
        <v>673</v>
      </c>
      <c r="U39" t="s">
        <v>673</v>
      </c>
      <c r="V39" t="s">
        <v>673</v>
      </c>
      <c r="W39" t="s">
        <v>673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673</v>
      </c>
      <c r="AG39" t="s">
        <v>673</v>
      </c>
      <c r="AH39" t="s">
        <v>673</v>
      </c>
      <c r="AI39" t="s">
        <v>673</v>
      </c>
      <c r="AJ39" t="s">
        <v>673</v>
      </c>
      <c r="AK39" t="s">
        <v>673</v>
      </c>
      <c r="AL39" t="s">
        <v>673</v>
      </c>
      <c r="AM39" t="s">
        <v>673</v>
      </c>
      <c r="AN39" t="s">
        <v>673</v>
      </c>
      <c r="AO39" t="s">
        <v>673</v>
      </c>
      <c r="AP39" t="s">
        <v>673</v>
      </c>
      <c r="AQ39" t="s">
        <v>673</v>
      </c>
      <c r="AR39" t="s">
        <v>673</v>
      </c>
      <c r="AS39" t="s">
        <v>673</v>
      </c>
      <c r="AT39" t="s">
        <v>673</v>
      </c>
      <c r="AU39" t="s">
        <v>673</v>
      </c>
      <c r="AV39" t="s">
        <v>673</v>
      </c>
    </row>
    <row r="40" spans="1:48" x14ac:dyDescent="0.25">
      <c r="A40" t="s">
        <v>39</v>
      </c>
      <c r="B40" t="s">
        <v>2</v>
      </c>
      <c r="C40" t="s">
        <v>39</v>
      </c>
      <c r="D40">
        <v>12420</v>
      </c>
      <c r="E40" t="s">
        <v>672</v>
      </c>
      <c r="F40" t="s">
        <v>117</v>
      </c>
      <c r="G40" t="s">
        <v>670</v>
      </c>
      <c r="H40" t="s">
        <v>670</v>
      </c>
      <c r="I40">
        <v>7.6700000000000004E-2</v>
      </c>
      <c r="J40">
        <v>6.5100000000000005E-2</v>
      </c>
      <c r="K40">
        <v>4.4400000000000002E-2</v>
      </c>
      <c r="L40">
        <v>3.8100000000000002E-2</v>
      </c>
      <c r="M40">
        <v>2.7199999999999998E-2</v>
      </c>
      <c r="N40">
        <v>2.1899999999999999E-2</v>
      </c>
      <c r="O40">
        <v>2.6800000000000001E-2</v>
      </c>
      <c r="P40">
        <v>1.8800000000000001E-2</v>
      </c>
      <c r="Q40">
        <v>1.14E-2</v>
      </c>
      <c r="R40">
        <v>2.07E-2</v>
      </c>
      <c r="S40">
        <v>3.7999999999999999E-2</v>
      </c>
      <c r="T40">
        <v>5.2299999999999999E-2</v>
      </c>
      <c r="U40">
        <v>5.8299999999999998E-2</v>
      </c>
      <c r="V40">
        <v>5.6800000000000003E-2</v>
      </c>
      <c r="W40">
        <v>4.87E-2</v>
      </c>
      <c r="X40">
        <v>4.19E-2</v>
      </c>
      <c r="Y40">
        <v>3.7400000000000003E-2</v>
      </c>
      <c r="Z40">
        <v>-6.6E-3</v>
      </c>
      <c r="AA40">
        <v>-4.2000000000000003E-2</v>
      </c>
      <c r="AB40">
        <v>-4.19E-2</v>
      </c>
      <c r="AC40">
        <v>-2.1000000000000001E-2</v>
      </c>
      <c r="AD40">
        <v>7.1300000000000002E-2</v>
      </c>
      <c r="AE40">
        <v>0.189</v>
      </c>
      <c r="AF40">
        <v>0.25040000000000001</v>
      </c>
      <c r="AG40">
        <v>0.2487</v>
      </c>
      <c r="AH40">
        <v>0.21179999999999999</v>
      </c>
      <c r="AI40">
        <v>0.13009999999999999</v>
      </c>
      <c r="AJ40">
        <v>5.5E-2</v>
      </c>
      <c r="AK40">
        <v>2.9499999999999998E-2</v>
      </c>
      <c r="AL40">
        <v>-7.3000000000000001E-3</v>
      </c>
      <c r="AM40">
        <v>-3.8399999999999997E-2</v>
      </c>
      <c r="AN40">
        <v>-4.8099999999999997E-2</v>
      </c>
      <c r="AO40">
        <v>-5.9700000000000003E-2</v>
      </c>
      <c r="AP40">
        <v>-6.9400000000000003E-2</v>
      </c>
      <c r="AQ40">
        <v>-7.7299999999999994E-2</v>
      </c>
      <c r="AR40">
        <v>-7.0099999999999996E-2</v>
      </c>
      <c r="AS40">
        <v>-6.3799999999999996E-2</v>
      </c>
      <c r="AT40">
        <v>-6.4699999999999994E-2</v>
      </c>
      <c r="AU40">
        <v>-5.5E-2</v>
      </c>
      <c r="AV40">
        <v>-5.5199999999999999E-2</v>
      </c>
    </row>
    <row r="41" spans="1:48" x14ac:dyDescent="0.25">
      <c r="A41" t="s">
        <v>156</v>
      </c>
      <c r="B41" t="s">
        <v>2</v>
      </c>
      <c r="C41" t="s">
        <v>156</v>
      </c>
      <c r="D41">
        <v>12540</v>
      </c>
      <c r="E41" t="s">
        <v>672</v>
      </c>
      <c r="F41" t="s">
        <v>117</v>
      </c>
      <c r="G41" t="s">
        <v>670</v>
      </c>
      <c r="H41" t="s">
        <v>670</v>
      </c>
      <c r="I41">
        <v>1.95E-2</v>
      </c>
      <c r="J41">
        <v>4.4200000000000003E-2</v>
      </c>
      <c r="K41">
        <v>3.5200000000000002E-2</v>
      </c>
      <c r="L41">
        <v>5.4399999999999997E-2</v>
      </c>
      <c r="M41">
        <v>5.3900000000000003E-2</v>
      </c>
      <c r="N41">
        <v>3.9199999999999999E-2</v>
      </c>
      <c r="O41">
        <v>4.5400000000000003E-2</v>
      </c>
      <c r="P41">
        <v>2.07E-2</v>
      </c>
      <c r="Q41">
        <v>3.4099999999999998E-2</v>
      </c>
      <c r="R41">
        <v>4.9200000000000001E-2</v>
      </c>
      <c r="S41">
        <v>3.9199999999999999E-2</v>
      </c>
      <c r="T41">
        <v>4.6199999999999998E-2</v>
      </c>
      <c r="U41">
        <v>4.7899999999999998E-2</v>
      </c>
      <c r="V41">
        <v>5.0999999999999997E-2</v>
      </c>
      <c r="W41">
        <v>6.9199999999999998E-2</v>
      </c>
      <c r="X41">
        <v>7.5399999999999995E-2</v>
      </c>
      <c r="Y41">
        <v>7.2800000000000004E-2</v>
      </c>
      <c r="Z41">
        <v>5.9299999999999999E-2</v>
      </c>
      <c r="AA41">
        <v>5.62E-2</v>
      </c>
      <c r="AB41">
        <v>6.0900000000000003E-2</v>
      </c>
      <c r="AC41">
        <v>6.7599999999999993E-2</v>
      </c>
      <c r="AD41">
        <v>9.8299999999999998E-2</v>
      </c>
      <c r="AE41">
        <v>0.1416</v>
      </c>
      <c r="AF41">
        <v>0.17630000000000001</v>
      </c>
      <c r="AG41">
        <v>0.20180000000000001</v>
      </c>
      <c r="AH41">
        <v>0.1918</v>
      </c>
      <c r="AI41">
        <v>0.13289999999999999</v>
      </c>
      <c r="AJ41">
        <v>8.2299999999999998E-2</v>
      </c>
      <c r="AK41">
        <v>4.7E-2</v>
      </c>
      <c r="AL41">
        <v>2.3099999999999999E-2</v>
      </c>
      <c r="AM41">
        <v>1.7500000000000002E-2</v>
      </c>
      <c r="AN41">
        <v>1.5599999999999999E-2</v>
      </c>
      <c r="AO41">
        <v>6.4999999999999997E-3</v>
      </c>
      <c r="AP41">
        <v>8.9999999999999993E-3</v>
      </c>
      <c r="AQ41">
        <v>5.1000000000000004E-3</v>
      </c>
      <c r="AR41">
        <v>1.7399999999999999E-2</v>
      </c>
      <c r="AS41">
        <v>2.23E-2</v>
      </c>
      <c r="AT41">
        <v>6.4699999999999994E-2</v>
      </c>
      <c r="AU41">
        <v>7.8200000000000006E-2</v>
      </c>
      <c r="AV41">
        <v>6.0499999999999998E-2</v>
      </c>
    </row>
    <row r="42" spans="1:48" x14ac:dyDescent="0.25">
      <c r="A42" t="s">
        <v>157</v>
      </c>
      <c r="B42" t="s">
        <v>2</v>
      </c>
      <c r="C42" t="s">
        <v>157</v>
      </c>
      <c r="D42">
        <v>12580</v>
      </c>
      <c r="E42" t="s">
        <v>672</v>
      </c>
      <c r="F42" t="s">
        <v>117</v>
      </c>
      <c r="G42" t="s">
        <v>670</v>
      </c>
      <c r="H42" t="s">
        <v>670</v>
      </c>
      <c r="I42">
        <v>1.1599999999999999E-2</v>
      </c>
      <c r="J42">
        <v>1.18E-2</v>
      </c>
      <c r="K42">
        <v>-2.5000000000000001E-3</v>
      </c>
      <c r="L42">
        <v>-4.4000000000000003E-3</v>
      </c>
      <c r="M42">
        <v>8.3000000000000001E-3</v>
      </c>
      <c r="N42">
        <v>5.1999999999999998E-3</v>
      </c>
      <c r="O42">
        <v>2.24E-2</v>
      </c>
      <c r="P42">
        <v>2.7799999999999998E-2</v>
      </c>
      <c r="Q42">
        <v>2.1000000000000001E-2</v>
      </c>
      <c r="R42">
        <v>2.0799999999999999E-2</v>
      </c>
      <c r="S42">
        <v>2.3400000000000001E-2</v>
      </c>
      <c r="T42">
        <v>3.09E-2</v>
      </c>
      <c r="U42">
        <v>3.9100000000000003E-2</v>
      </c>
      <c r="V42">
        <v>4.0300000000000002E-2</v>
      </c>
      <c r="W42">
        <v>3.9300000000000002E-2</v>
      </c>
      <c r="X42">
        <v>2.6700000000000002E-2</v>
      </c>
      <c r="Y42">
        <v>1.8499999999999999E-2</v>
      </c>
      <c r="Z42">
        <v>-2.3E-3</v>
      </c>
      <c r="AA42">
        <v>2E-3</v>
      </c>
      <c r="AB42">
        <v>2.63E-2</v>
      </c>
      <c r="AC42">
        <v>4.3200000000000002E-2</v>
      </c>
      <c r="AD42">
        <v>8.3699999999999997E-2</v>
      </c>
      <c r="AE42">
        <v>0.1211</v>
      </c>
      <c r="AF42">
        <v>0.13009999999999999</v>
      </c>
      <c r="AG42">
        <v>0.1273</v>
      </c>
      <c r="AH42">
        <v>0.1115</v>
      </c>
      <c r="AI42">
        <v>7.5300000000000006E-2</v>
      </c>
      <c r="AJ42">
        <v>5.4899999999999997E-2</v>
      </c>
      <c r="AK42">
        <v>4.4200000000000003E-2</v>
      </c>
      <c r="AL42">
        <v>3.1399999999999997E-2</v>
      </c>
      <c r="AM42">
        <v>2.06E-2</v>
      </c>
      <c r="AN42">
        <v>1.47E-2</v>
      </c>
      <c r="AO42">
        <v>1.2699999999999999E-2</v>
      </c>
      <c r="AP42">
        <v>1.49E-2</v>
      </c>
      <c r="AQ42">
        <v>2.24E-2</v>
      </c>
      <c r="AR42">
        <v>2.23E-2</v>
      </c>
      <c r="AS42">
        <v>3.0599999999999999E-2</v>
      </c>
      <c r="AT42">
        <v>3.27E-2</v>
      </c>
      <c r="AU42">
        <v>2.1499999999999998E-2</v>
      </c>
      <c r="AV42">
        <v>1.6500000000000001E-2</v>
      </c>
    </row>
    <row r="43" spans="1:48" x14ac:dyDescent="0.25">
      <c r="A43" t="s">
        <v>158</v>
      </c>
      <c r="B43" t="s">
        <v>2</v>
      </c>
      <c r="C43" t="s">
        <v>158</v>
      </c>
      <c r="D43">
        <v>12620</v>
      </c>
      <c r="E43" t="s">
        <v>672</v>
      </c>
      <c r="F43" t="s">
        <v>117</v>
      </c>
      <c r="G43" t="s">
        <v>670</v>
      </c>
      <c r="H43" t="s">
        <v>670</v>
      </c>
      <c r="I43" t="s">
        <v>673</v>
      </c>
      <c r="J43" t="s">
        <v>673</v>
      </c>
      <c r="K43" t="s">
        <v>673</v>
      </c>
      <c r="L43" t="s">
        <v>673</v>
      </c>
      <c r="M43" t="s">
        <v>673</v>
      </c>
      <c r="N43" t="s">
        <v>673</v>
      </c>
      <c r="O43" t="s">
        <v>673</v>
      </c>
      <c r="P43" t="s">
        <v>673</v>
      </c>
      <c r="Q43" t="s">
        <v>673</v>
      </c>
      <c r="R43" t="s">
        <v>673</v>
      </c>
      <c r="S43" t="s">
        <v>673</v>
      </c>
      <c r="T43" t="s">
        <v>673</v>
      </c>
      <c r="U43" t="s">
        <v>673</v>
      </c>
      <c r="V43" t="s">
        <v>673</v>
      </c>
      <c r="W43" t="s">
        <v>673</v>
      </c>
      <c r="X43" t="s">
        <v>673</v>
      </c>
      <c r="Y43" t="s">
        <v>673</v>
      </c>
      <c r="Z43" t="s">
        <v>673</v>
      </c>
      <c r="AA43" t="s">
        <v>673</v>
      </c>
      <c r="AB43" t="s">
        <v>673</v>
      </c>
      <c r="AC43" t="s">
        <v>673</v>
      </c>
      <c r="AD43" t="s">
        <v>673</v>
      </c>
      <c r="AE43" t="s">
        <v>673</v>
      </c>
      <c r="AF43" t="s">
        <v>673</v>
      </c>
      <c r="AG43" t="s">
        <v>673</v>
      </c>
      <c r="AH43" t="s">
        <v>673</v>
      </c>
      <c r="AI43" t="s">
        <v>673</v>
      </c>
      <c r="AJ43" t="s">
        <v>673</v>
      </c>
      <c r="AK43" t="s">
        <v>673</v>
      </c>
      <c r="AL43" t="s">
        <v>673</v>
      </c>
      <c r="AM43" t="s">
        <v>673</v>
      </c>
      <c r="AN43" t="s">
        <v>673</v>
      </c>
      <c r="AO43" t="s">
        <v>673</v>
      </c>
      <c r="AP43" t="s">
        <v>673</v>
      </c>
      <c r="AQ43" t="s">
        <v>673</v>
      </c>
      <c r="AR43" t="s">
        <v>673</v>
      </c>
      <c r="AS43" t="s">
        <v>673</v>
      </c>
      <c r="AT43" t="s">
        <v>673</v>
      </c>
      <c r="AU43" t="s">
        <v>673</v>
      </c>
      <c r="AV43" t="s">
        <v>673</v>
      </c>
    </row>
    <row r="44" spans="1:48" x14ac:dyDescent="0.25">
      <c r="A44" t="s">
        <v>159</v>
      </c>
      <c r="B44" t="s">
        <v>2</v>
      </c>
      <c r="C44" t="s">
        <v>159</v>
      </c>
      <c r="D44">
        <v>12660</v>
      </c>
      <c r="E44" t="s">
        <v>672</v>
      </c>
      <c r="F44" t="s">
        <v>117</v>
      </c>
      <c r="G44" t="s">
        <v>670</v>
      </c>
      <c r="H44" t="s">
        <v>670</v>
      </c>
      <c r="I44" t="s">
        <v>673</v>
      </c>
      <c r="J44" t="s">
        <v>673</v>
      </c>
      <c r="K44" t="s">
        <v>673</v>
      </c>
      <c r="L44" t="s">
        <v>673</v>
      </c>
      <c r="M44" t="s">
        <v>673</v>
      </c>
      <c r="N44" t="s">
        <v>673</v>
      </c>
      <c r="O44" t="s">
        <v>673</v>
      </c>
      <c r="P44" t="s">
        <v>673</v>
      </c>
      <c r="Q44" t="s">
        <v>673</v>
      </c>
      <c r="R44" t="s">
        <v>673</v>
      </c>
      <c r="S44" t="s">
        <v>673</v>
      </c>
      <c r="T44" t="s">
        <v>673</v>
      </c>
      <c r="U44" t="s">
        <v>673</v>
      </c>
      <c r="V44" t="s">
        <v>673</v>
      </c>
      <c r="W44" t="s">
        <v>673</v>
      </c>
      <c r="X44" t="s">
        <v>673</v>
      </c>
      <c r="Y44" t="s">
        <v>673</v>
      </c>
      <c r="Z44" t="s">
        <v>673</v>
      </c>
      <c r="AA44" t="s">
        <v>673</v>
      </c>
      <c r="AB44" t="s">
        <v>673</v>
      </c>
      <c r="AC44" t="s">
        <v>673</v>
      </c>
      <c r="AD44" t="s">
        <v>673</v>
      </c>
      <c r="AE44" t="s">
        <v>673</v>
      </c>
      <c r="AF44" t="s">
        <v>673</v>
      </c>
      <c r="AG44" t="s">
        <v>673</v>
      </c>
      <c r="AH44" t="s">
        <v>673</v>
      </c>
      <c r="AI44" t="s">
        <v>673</v>
      </c>
      <c r="AJ44" t="s">
        <v>673</v>
      </c>
      <c r="AK44" t="s">
        <v>673</v>
      </c>
      <c r="AL44" t="s">
        <v>673</v>
      </c>
      <c r="AM44" t="s">
        <v>673</v>
      </c>
      <c r="AN44" t="s">
        <v>673</v>
      </c>
      <c r="AO44" t="s">
        <v>673</v>
      </c>
      <c r="AP44">
        <v>4.2900000000000001E-2</v>
      </c>
      <c r="AQ44">
        <v>3.6900000000000002E-2</v>
      </c>
      <c r="AR44">
        <v>3.9800000000000002E-2</v>
      </c>
      <c r="AS44">
        <v>3.5499999999999997E-2</v>
      </c>
      <c r="AT44">
        <v>3.78E-2</v>
      </c>
      <c r="AU44">
        <v>-2.4799999999999999E-2</v>
      </c>
      <c r="AV44">
        <v>-1.1900000000000001E-2</v>
      </c>
    </row>
    <row r="45" spans="1:48" x14ac:dyDescent="0.25">
      <c r="A45" t="s">
        <v>160</v>
      </c>
      <c r="B45" t="s">
        <v>2</v>
      </c>
      <c r="C45" t="s">
        <v>160</v>
      </c>
      <c r="D45">
        <v>12700</v>
      </c>
      <c r="E45" t="s">
        <v>672</v>
      </c>
      <c r="F45" t="s">
        <v>117</v>
      </c>
      <c r="G45" t="s">
        <v>670</v>
      </c>
      <c r="H45" t="s">
        <v>670</v>
      </c>
      <c r="I45" t="s">
        <v>673</v>
      </c>
      <c r="J45" t="s">
        <v>673</v>
      </c>
      <c r="K45" t="s">
        <v>673</v>
      </c>
      <c r="L45" t="s">
        <v>673</v>
      </c>
      <c r="M45" t="s">
        <v>673</v>
      </c>
      <c r="N45" t="s">
        <v>673</v>
      </c>
      <c r="O45" t="s">
        <v>673</v>
      </c>
      <c r="P45" t="s">
        <v>673</v>
      </c>
      <c r="Q45" t="s">
        <v>673</v>
      </c>
      <c r="R45" t="s">
        <v>673</v>
      </c>
      <c r="S45" t="s">
        <v>673</v>
      </c>
      <c r="T45" t="s">
        <v>673</v>
      </c>
      <c r="U45" t="s">
        <v>673</v>
      </c>
      <c r="V45" t="s">
        <v>673</v>
      </c>
      <c r="W45" t="s">
        <v>673</v>
      </c>
      <c r="X45" t="s">
        <v>673</v>
      </c>
      <c r="Y45" t="s">
        <v>673</v>
      </c>
      <c r="Z45" t="s">
        <v>673</v>
      </c>
      <c r="AA45" t="s">
        <v>673</v>
      </c>
      <c r="AB45" t="s">
        <v>673</v>
      </c>
      <c r="AC45" t="s">
        <v>673</v>
      </c>
      <c r="AD45" t="s">
        <v>673</v>
      </c>
      <c r="AE45" t="s">
        <v>673</v>
      </c>
      <c r="AF45" t="s">
        <v>673</v>
      </c>
      <c r="AG45" t="s">
        <v>673</v>
      </c>
      <c r="AH45" t="s">
        <v>673</v>
      </c>
      <c r="AI45" t="s">
        <v>673</v>
      </c>
      <c r="AJ45" t="s">
        <v>673</v>
      </c>
      <c r="AK45" t="s">
        <v>673</v>
      </c>
      <c r="AL45" t="s">
        <v>673</v>
      </c>
      <c r="AM45" t="s">
        <v>673</v>
      </c>
      <c r="AN45" t="s">
        <v>673</v>
      </c>
      <c r="AO45" t="s">
        <v>673</v>
      </c>
      <c r="AP45" t="s">
        <v>673</v>
      </c>
      <c r="AQ45" t="s">
        <v>673</v>
      </c>
      <c r="AR45" t="s">
        <v>673</v>
      </c>
      <c r="AS45" t="s">
        <v>673</v>
      </c>
      <c r="AT45" t="s">
        <v>673</v>
      </c>
      <c r="AU45" t="s">
        <v>673</v>
      </c>
      <c r="AV45" t="s">
        <v>673</v>
      </c>
    </row>
    <row r="46" spans="1:48" x14ac:dyDescent="0.25">
      <c r="A46" t="s">
        <v>161</v>
      </c>
      <c r="B46" t="s">
        <v>2</v>
      </c>
      <c r="C46" t="s">
        <v>161</v>
      </c>
      <c r="D46">
        <v>12780</v>
      </c>
      <c r="E46" t="s">
        <v>672</v>
      </c>
      <c r="F46" t="s">
        <v>117</v>
      </c>
      <c r="G46" t="s">
        <v>670</v>
      </c>
      <c r="H46" t="s">
        <v>670</v>
      </c>
      <c r="I46">
        <v>-0.1736</v>
      </c>
      <c r="J46">
        <v>-0.15110000000000001</v>
      </c>
      <c r="K46">
        <v>-3.7199999999999997E-2</v>
      </c>
      <c r="L46">
        <v>-1.2999999999999999E-3</v>
      </c>
      <c r="M46">
        <v>7.4999999999999997E-3</v>
      </c>
      <c r="N46">
        <v>-1.7000000000000001E-2</v>
      </c>
      <c r="O46">
        <v>-4.6899999999999997E-2</v>
      </c>
      <c r="P46">
        <v>-5.1200000000000002E-2</v>
      </c>
      <c r="Q46" t="s">
        <v>673</v>
      </c>
      <c r="R46" t="s">
        <v>673</v>
      </c>
      <c r="S46" t="s">
        <v>673</v>
      </c>
      <c r="T46" t="s">
        <v>673</v>
      </c>
      <c r="U46" t="s">
        <v>673</v>
      </c>
      <c r="V46" t="s">
        <v>673</v>
      </c>
      <c r="W46" t="s">
        <v>673</v>
      </c>
      <c r="X46" t="s">
        <v>673</v>
      </c>
      <c r="Y46" t="s">
        <v>673</v>
      </c>
      <c r="Z46" t="s">
        <v>673</v>
      </c>
      <c r="AA46" t="s">
        <v>673</v>
      </c>
      <c r="AB46" t="s">
        <v>673</v>
      </c>
      <c r="AC46">
        <v>0.21540000000000001</v>
      </c>
      <c r="AD46">
        <v>0.2263</v>
      </c>
      <c r="AE46">
        <v>0.21790000000000001</v>
      </c>
      <c r="AF46">
        <v>0.22739999999999999</v>
      </c>
      <c r="AG46">
        <v>7.5499999999999998E-2</v>
      </c>
      <c r="AH46">
        <v>9.8199999999999996E-2</v>
      </c>
      <c r="AI46">
        <v>0.1211</v>
      </c>
      <c r="AJ46">
        <v>0.1211</v>
      </c>
      <c r="AK46">
        <v>3.1800000000000002E-2</v>
      </c>
      <c r="AL46">
        <v>2.5000000000000001E-2</v>
      </c>
      <c r="AM46">
        <v>4.8999999999999998E-3</v>
      </c>
      <c r="AN46">
        <v>-1.6899999999999998E-2</v>
      </c>
      <c r="AO46">
        <v>3.44E-2</v>
      </c>
      <c r="AP46">
        <v>3.9300000000000002E-2</v>
      </c>
      <c r="AQ46">
        <v>3.6499999999999998E-2</v>
      </c>
      <c r="AR46">
        <v>0.05</v>
      </c>
      <c r="AS46">
        <v>4.3200000000000002E-2</v>
      </c>
      <c r="AT46">
        <v>6.0600000000000001E-2</v>
      </c>
      <c r="AU46">
        <v>0.1109</v>
      </c>
      <c r="AV46">
        <v>4.9399999999999999E-2</v>
      </c>
    </row>
    <row r="47" spans="1:48" x14ac:dyDescent="0.25">
      <c r="A47" t="s">
        <v>162</v>
      </c>
      <c r="B47" t="s">
        <v>2</v>
      </c>
      <c r="C47" t="s">
        <v>162</v>
      </c>
      <c r="D47">
        <v>12860</v>
      </c>
      <c r="E47" t="s">
        <v>672</v>
      </c>
      <c r="F47" t="s">
        <v>117</v>
      </c>
      <c r="G47" t="s">
        <v>670</v>
      </c>
      <c r="H47" t="s">
        <v>670</v>
      </c>
      <c r="I47" t="s">
        <v>673</v>
      </c>
      <c r="J47" t="s">
        <v>673</v>
      </c>
      <c r="K47" t="s">
        <v>673</v>
      </c>
      <c r="L47" t="s">
        <v>673</v>
      </c>
      <c r="M47" t="s">
        <v>673</v>
      </c>
      <c r="N47" t="s">
        <v>673</v>
      </c>
      <c r="O47" t="s">
        <v>673</v>
      </c>
      <c r="P47" t="s">
        <v>673</v>
      </c>
      <c r="Q47" t="s">
        <v>673</v>
      </c>
      <c r="R47" t="s">
        <v>673</v>
      </c>
      <c r="S47" t="s">
        <v>673</v>
      </c>
      <c r="T47" t="s">
        <v>673</v>
      </c>
      <c r="U47" t="s">
        <v>673</v>
      </c>
      <c r="V47" t="s">
        <v>673</v>
      </c>
      <c r="W47" t="s">
        <v>673</v>
      </c>
      <c r="X47" t="s">
        <v>673</v>
      </c>
      <c r="Y47" t="s">
        <v>673</v>
      </c>
      <c r="Z47" t="s">
        <v>673</v>
      </c>
      <c r="AA47" t="s">
        <v>673</v>
      </c>
      <c r="AB47" t="s">
        <v>673</v>
      </c>
      <c r="AC47" t="s">
        <v>673</v>
      </c>
      <c r="AD47" t="s">
        <v>673</v>
      </c>
      <c r="AE47" t="s">
        <v>673</v>
      </c>
      <c r="AF47" t="s">
        <v>673</v>
      </c>
      <c r="AG47" t="s">
        <v>673</v>
      </c>
      <c r="AH47" t="s">
        <v>673</v>
      </c>
      <c r="AI47" t="s">
        <v>673</v>
      </c>
      <c r="AJ47" t="s">
        <v>673</v>
      </c>
      <c r="AK47" t="s">
        <v>673</v>
      </c>
      <c r="AL47" t="s">
        <v>673</v>
      </c>
      <c r="AM47" t="s">
        <v>673</v>
      </c>
      <c r="AN47" t="s">
        <v>673</v>
      </c>
      <c r="AO47" t="s">
        <v>673</v>
      </c>
      <c r="AP47" t="s">
        <v>673</v>
      </c>
      <c r="AQ47" t="s">
        <v>673</v>
      </c>
      <c r="AR47" t="s">
        <v>673</v>
      </c>
      <c r="AS47" t="s">
        <v>673</v>
      </c>
      <c r="AT47" t="s">
        <v>673</v>
      </c>
      <c r="AU47" t="s">
        <v>673</v>
      </c>
      <c r="AV47" t="s">
        <v>673</v>
      </c>
    </row>
    <row r="48" spans="1:48" x14ac:dyDescent="0.25">
      <c r="A48" t="s">
        <v>163</v>
      </c>
      <c r="B48" t="s">
        <v>2</v>
      </c>
      <c r="C48" t="s">
        <v>163</v>
      </c>
      <c r="D48">
        <v>12940</v>
      </c>
      <c r="E48" t="s">
        <v>672</v>
      </c>
      <c r="F48" t="s">
        <v>117</v>
      </c>
      <c r="G48" t="s">
        <v>670</v>
      </c>
      <c r="H48" t="s">
        <v>670</v>
      </c>
      <c r="I48">
        <v>4.5999999999999999E-3</v>
      </c>
      <c r="J48">
        <v>1.5100000000000001E-2</v>
      </c>
      <c r="K48">
        <v>4.0899999999999999E-2</v>
      </c>
      <c r="L48">
        <v>0.1201</v>
      </c>
      <c r="M48">
        <v>0.1371</v>
      </c>
      <c r="N48">
        <v>0.10489999999999999</v>
      </c>
      <c r="O48">
        <v>5.9499999999999997E-2</v>
      </c>
      <c r="P48">
        <v>-4.1399999999999999E-2</v>
      </c>
      <c r="Q48">
        <v>-6.4899999999999999E-2</v>
      </c>
      <c r="R48">
        <v>-4.4699999999999997E-2</v>
      </c>
      <c r="S48">
        <v>-2.3900000000000001E-2</v>
      </c>
      <c r="T48">
        <v>-7.9000000000000008E-3</v>
      </c>
      <c r="U48">
        <v>7.7999999999999996E-3</v>
      </c>
      <c r="V48">
        <v>-3.5999999999999999E-3</v>
      </c>
      <c r="W48">
        <v>-1.77E-2</v>
      </c>
      <c r="X48">
        <v>1.7899999999999999E-2</v>
      </c>
      <c r="Y48">
        <v>1.23E-2</v>
      </c>
      <c r="Z48">
        <v>1.15E-2</v>
      </c>
      <c r="AA48">
        <v>4.0599999999999997E-2</v>
      </c>
      <c r="AB48">
        <v>4.0300000000000002E-2</v>
      </c>
      <c r="AC48">
        <v>3.2000000000000001E-2</v>
      </c>
      <c r="AD48">
        <v>5.3499999999999999E-2</v>
      </c>
      <c r="AE48">
        <v>8.09E-2</v>
      </c>
      <c r="AF48">
        <v>0.1142</v>
      </c>
      <c r="AG48">
        <v>0.1149</v>
      </c>
      <c r="AH48">
        <v>0.1171</v>
      </c>
      <c r="AI48">
        <v>0.115</v>
      </c>
      <c r="AJ48">
        <v>6.3200000000000006E-2</v>
      </c>
      <c r="AK48">
        <v>5.2299999999999999E-2</v>
      </c>
      <c r="AL48">
        <v>5.9900000000000002E-2</v>
      </c>
      <c r="AM48">
        <v>1.9599999999999999E-2</v>
      </c>
      <c r="AN48">
        <v>1.2800000000000001E-2</v>
      </c>
      <c r="AO48">
        <v>1.2E-2</v>
      </c>
      <c r="AP48">
        <v>-6.6E-3</v>
      </c>
      <c r="AQ48">
        <v>-8.2000000000000007E-3</v>
      </c>
      <c r="AR48">
        <v>-5.1000000000000004E-3</v>
      </c>
      <c r="AS48">
        <v>4.7999999999999996E-3</v>
      </c>
      <c r="AT48">
        <v>2.4500000000000001E-2</v>
      </c>
      <c r="AU48">
        <v>2.6499999999999999E-2</v>
      </c>
      <c r="AV48">
        <v>1.3599999999999999E-2</v>
      </c>
    </row>
    <row r="49" spans="1:48" x14ac:dyDescent="0.25">
      <c r="A49" t="s">
        <v>164</v>
      </c>
      <c r="B49" t="s">
        <v>2</v>
      </c>
      <c r="C49" t="s">
        <v>164</v>
      </c>
      <c r="D49">
        <v>13060</v>
      </c>
      <c r="E49" t="s">
        <v>672</v>
      </c>
      <c r="F49" t="s">
        <v>117</v>
      </c>
      <c r="G49" t="s">
        <v>670</v>
      </c>
      <c r="H49" t="s">
        <v>670</v>
      </c>
      <c r="I49">
        <v>0.1636</v>
      </c>
      <c r="J49">
        <v>0.24390000000000001</v>
      </c>
      <c r="K49" t="s">
        <v>673</v>
      </c>
      <c r="L49">
        <v>-4.3299999999999998E-2</v>
      </c>
      <c r="M49">
        <v>4.1000000000000002E-2</v>
      </c>
      <c r="N49">
        <v>1.8700000000000001E-2</v>
      </c>
      <c r="O49">
        <v>0.14030000000000001</v>
      </c>
      <c r="P49">
        <v>0.12790000000000001</v>
      </c>
      <c r="Q49">
        <v>-2.3999999999999998E-3</v>
      </c>
      <c r="R49">
        <v>-9.4000000000000004E-3</v>
      </c>
      <c r="S49">
        <v>-4.6300000000000001E-2</v>
      </c>
      <c r="T49">
        <v>-2.8400000000000002E-2</v>
      </c>
      <c r="U49">
        <v>8.6999999999999994E-3</v>
      </c>
      <c r="V49">
        <v>2.9999999999999997E-4</v>
      </c>
      <c r="W49">
        <v>-1E-3</v>
      </c>
      <c r="X49">
        <v>-4.5600000000000002E-2</v>
      </c>
      <c r="Y49">
        <v>-7.8600000000000003E-2</v>
      </c>
      <c r="Z49">
        <v>-6.0900000000000003E-2</v>
      </c>
      <c r="AA49">
        <v>-6.08E-2</v>
      </c>
      <c r="AB49">
        <v>-8.6E-3</v>
      </c>
      <c r="AC49">
        <v>-3.5299999999999998E-2</v>
      </c>
      <c r="AD49">
        <v>-6.1899999999999997E-2</v>
      </c>
      <c r="AE49">
        <v>7.1499999999999994E-2</v>
      </c>
      <c r="AF49">
        <v>6.4799999999999996E-2</v>
      </c>
      <c r="AG49">
        <v>0.125</v>
      </c>
      <c r="AH49">
        <v>0.1862</v>
      </c>
      <c r="AI49">
        <v>0.16889999999999999</v>
      </c>
      <c r="AJ49">
        <v>6.8900000000000003E-2</v>
      </c>
      <c r="AK49">
        <v>4.0800000000000003E-2</v>
      </c>
      <c r="AL49">
        <v>-0.10199999999999999</v>
      </c>
      <c r="AM49">
        <v>-0.1671</v>
      </c>
      <c r="AN49">
        <v>-2.58E-2</v>
      </c>
      <c r="AO49">
        <v>-6.4299999999999996E-2</v>
      </c>
      <c r="AP49">
        <v>-4.2900000000000001E-2</v>
      </c>
      <c r="AQ49">
        <v>1.83E-2</v>
      </c>
      <c r="AR49">
        <v>-6.8599999999999994E-2</v>
      </c>
      <c r="AS49">
        <v>-0.05</v>
      </c>
      <c r="AT49">
        <v>4.36E-2</v>
      </c>
      <c r="AU49">
        <v>-8.4000000000000005E-2</v>
      </c>
      <c r="AV49">
        <v>-5.9499999999999997E-2</v>
      </c>
    </row>
    <row r="50" spans="1:48" x14ac:dyDescent="0.25">
      <c r="A50" t="s">
        <v>165</v>
      </c>
      <c r="B50" t="s">
        <v>2</v>
      </c>
      <c r="C50" t="s">
        <v>165</v>
      </c>
      <c r="D50">
        <v>13140</v>
      </c>
      <c r="E50" t="s">
        <v>672</v>
      </c>
      <c r="F50" t="s">
        <v>117</v>
      </c>
      <c r="G50" t="s">
        <v>670</v>
      </c>
      <c r="H50" t="s">
        <v>670</v>
      </c>
      <c r="I50">
        <v>-1.8599999999999998E-2</v>
      </c>
      <c r="J50">
        <v>1.11E-2</v>
      </c>
      <c r="K50">
        <v>1.43E-2</v>
      </c>
      <c r="L50">
        <v>7.0000000000000001E-3</v>
      </c>
      <c r="M50">
        <v>7.1999999999999998E-3</v>
      </c>
      <c r="N50">
        <v>2.3400000000000001E-2</v>
      </c>
      <c r="O50">
        <v>2.47E-2</v>
      </c>
      <c r="P50">
        <v>5.4899999999999997E-2</v>
      </c>
      <c r="Q50">
        <v>7.8600000000000003E-2</v>
      </c>
      <c r="R50">
        <v>7.9399999999999998E-2</v>
      </c>
      <c r="S50">
        <v>8.0699999999999994E-2</v>
      </c>
      <c r="T50">
        <v>4.3200000000000002E-2</v>
      </c>
      <c r="U50">
        <v>1.9099999999999999E-2</v>
      </c>
      <c r="V50">
        <v>4.1000000000000003E-3</v>
      </c>
      <c r="W50">
        <v>1.1900000000000001E-2</v>
      </c>
      <c r="X50">
        <v>6.0299999999999999E-2</v>
      </c>
      <c r="Y50">
        <v>5.1200000000000002E-2</v>
      </c>
      <c r="Z50">
        <v>3.4500000000000003E-2</v>
      </c>
      <c r="AA50">
        <v>1.6799999999999999E-2</v>
      </c>
      <c r="AB50">
        <v>2.3999999999999998E-3</v>
      </c>
      <c r="AC50">
        <v>1.1299999999999999E-2</v>
      </c>
      <c r="AD50">
        <v>3.1300000000000001E-2</v>
      </c>
      <c r="AE50">
        <v>6.1199999999999997E-2</v>
      </c>
      <c r="AF50">
        <v>7.5300000000000006E-2</v>
      </c>
      <c r="AG50">
        <v>8.6599999999999996E-2</v>
      </c>
      <c r="AH50">
        <v>0.1031</v>
      </c>
      <c r="AI50">
        <v>7.0900000000000005E-2</v>
      </c>
      <c r="AJ50">
        <v>2.4E-2</v>
      </c>
      <c r="AK50">
        <v>2.0899999999999998E-2</v>
      </c>
      <c r="AL50">
        <v>1.8800000000000001E-2</v>
      </c>
      <c r="AM50">
        <v>4.4600000000000001E-2</v>
      </c>
      <c r="AN50">
        <v>5.9799999999999999E-2</v>
      </c>
      <c r="AO50">
        <v>7.3800000000000004E-2</v>
      </c>
      <c r="AP50">
        <v>5.2699999999999997E-2</v>
      </c>
      <c r="AQ50">
        <v>2.5899999999999999E-2</v>
      </c>
      <c r="AR50">
        <v>2.8199999999999999E-2</v>
      </c>
      <c r="AS50">
        <v>5.5999999999999999E-3</v>
      </c>
      <c r="AT50">
        <v>2.7099999999999999E-2</v>
      </c>
      <c r="AU50">
        <v>6.1699999999999998E-2</v>
      </c>
      <c r="AV50">
        <v>5.4600000000000003E-2</v>
      </c>
    </row>
    <row r="51" spans="1:48" x14ac:dyDescent="0.25">
      <c r="A51" t="s">
        <v>166</v>
      </c>
      <c r="B51" t="s">
        <v>2</v>
      </c>
      <c r="C51" t="s">
        <v>166</v>
      </c>
      <c r="D51">
        <v>13180</v>
      </c>
      <c r="E51" t="s">
        <v>672</v>
      </c>
      <c r="F51" t="s">
        <v>117</v>
      </c>
      <c r="G51" t="s">
        <v>670</v>
      </c>
      <c r="H51" t="s">
        <v>670</v>
      </c>
      <c r="I51" t="s">
        <v>673</v>
      </c>
      <c r="J51" t="s">
        <v>673</v>
      </c>
      <c r="K51" t="s">
        <v>673</v>
      </c>
      <c r="L51" t="s">
        <v>673</v>
      </c>
      <c r="M51" t="s">
        <v>673</v>
      </c>
      <c r="N51" t="s">
        <v>673</v>
      </c>
      <c r="O51" t="s">
        <v>673</v>
      </c>
      <c r="P51" t="s">
        <v>673</v>
      </c>
      <c r="Q51" t="s">
        <v>673</v>
      </c>
      <c r="R51" t="s">
        <v>673</v>
      </c>
      <c r="S51" t="s">
        <v>673</v>
      </c>
      <c r="T51" t="s">
        <v>673</v>
      </c>
      <c r="U51" t="s">
        <v>673</v>
      </c>
      <c r="V51" t="s">
        <v>673</v>
      </c>
      <c r="W51" t="s">
        <v>673</v>
      </c>
      <c r="X51" t="s">
        <v>673</v>
      </c>
      <c r="Y51" t="s">
        <v>673</v>
      </c>
      <c r="Z51" t="s">
        <v>673</v>
      </c>
      <c r="AA51" t="s">
        <v>673</v>
      </c>
      <c r="AB51" t="s">
        <v>673</v>
      </c>
      <c r="AC51" t="s">
        <v>673</v>
      </c>
      <c r="AD51" t="s">
        <v>673</v>
      </c>
      <c r="AE51" t="s">
        <v>673</v>
      </c>
      <c r="AF51" t="s">
        <v>673</v>
      </c>
      <c r="AG51" t="s">
        <v>673</v>
      </c>
      <c r="AH51" t="s">
        <v>673</v>
      </c>
      <c r="AI51" t="s">
        <v>673</v>
      </c>
      <c r="AJ51" t="s">
        <v>673</v>
      </c>
      <c r="AK51" t="s">
        <v>673</v>
      </c>
      <c r="AL51" t="s">
        <v>673</v>
      </c>
      <c r="AM51" t="s">
        <v>673</v>
      </c>
      <c r="AN51" t="s">
        <v>673</v>
      </c>
      <c r="AO51" t="s">
        <v>673</v>
      </c>
      <c r="AP51" t="s">
        <v>673</v>
      </c>
      <c r="AQ51" t="s">
        <v>673</v>
      </c>
      <c r="AR51" t="s">
        <v>673</v>
      </c>
      <c r="AS51" t="s">
        <v>673</v>
      </c>
      <c r="AT51" t="s">
        <v>673</v>
      </c>
      <c r="AU51" t="s">
        <v>673</v>
      </c>
      <c r="AV51" t="s">
        <v>673</v>
      </c>
    </row>
    <row r="52" spans="1:48" x14ac:dyDescent="0.25">
      <c r="A52" t="s">
        <v>167</v>
      </c>
      <c r="B52" t="s">
        <v>2</v>
      </c>
      <c r="C52" t="s">
        <v>167</v>
      </c>
      <c r="D52">
        <v>13220</v>
      </c>
      <c r="E52" t="s">
        <v>672</v>
      </c>
      <c r="F52" t="s">
        <v>117</v>
      </c>
      <c r="G52" t="s">
        <v>670</v>
      </c>
      <c r="H52" t="s">
        <v>670</v>
      </c>
      <c r="I52" t="s">
        <v>673</v>
      </c>
      <c r="J52" t="s">
        <v>673</v>
      </c>
      <c r="K52" t="s">
        <v>673</v>
      </c>
      <c r="L52" t="s">
        <v>673</v>
      </c>
      <c r="M52" t="s">
        <v>673</v>
      </c>
      <c r="N52" t="s">
        <v>673</v>
      </c>
      <c r="O52" t="s">
        <v>673</v>
      </c>
      <c r="P52" t="s">
        <v>673</v>
      </c>
      <c r="Q52" t="s">
        <v>673</v>
      </c>
      <c r="R52" t="s">
        <v>673</v>
      </c>
      <c r="S52" t="s">
        <v>673</v>
      </c>
      <c r="T52" t="s">
        <v>673</v>
      </c>
      <c r="U52" t="s">
        <v>673</v>
      </c>
      <c r="V52" t="s">
        <v>673</v>
      </c>
      <c r="W52" t="s">
        <v>673</v>
      </c>
      <c r="X52" t="s">
        <v>673</v>
      </c>
      <c r="Y52" t="s">
        <v>673</v>
      </c>
      <c r="Z52" t="s">
        <v>673</v>
      </c>
      <c r="AA52" t="s">
        <v>673</v>
      </c>
      <c r="AB52" t="s">
        <v>673</v>
      </c>
      <c r="AC52" t="s">
        <v>673</v>
      </c>
      <c r="AD52" t="s">
        <v>673</v>
      </c>
      <c r="AE52" t="s">
        <v>673</v>
      </c>
      <c r="AF52" t="s">
        <v>673</v>
      </c>
      <c r="AG52" t="s">
        <v>673</v>
      </c>
      <c r="AH52" t="s">
        <v>673</v>
      </c>
      <c r="AI52" t="s">
        <v>673</v>
      </c>
      <c r="AJ52" t="s">
        <v>673</v>
      </c>
      <c r="AK52" t="s">
        <v>673</v>
      </c>
      <c r="AL52" t="s">
        <v>673</v>
      </c>
      <c r="AM52" t="s">
        <v>673</v>
      </c>
      <c r="AN52" t="s">
        <v>673</v>
      </c>
      <c r="AO52" t="s">
        <v>673</v>
      </c>
      <c r="AP52" t="s">
        <v>673</v>
      </c>
      <c r="AQ52" t="s">
        <v>673</v>
      </c>
      <c r="AR52" t="s">
        <v>673</v>
      </c>
      <c r="AS52" t="s">
        <v>673</v>
      </c>
      <c r="AT52" t="s">
        <v>673</v>
      </c>
      <c r="AU52" t="s">
        <v>673</v>
      </c>
      <c r="AV52" t="s">
        <v>673</v>
      </c>
    </row>
    <row r="53" spans="1:48" x14ac:dyDescent="0.25">
      <c r="A53" t="s">
        <v>168</v>
      </c>
      <c r="B53" t="s">
        <v>2</v>
      </c>
      <c r="C53" t="s">
        <v>168</v>
      </c>
      <c r="D53">
        <v>13300</v>
      </c>
      <c r="E53" t="s">
        <v>672</v>
      </c>
      <c r="F53" t="s">
        <v>117</v>
      </c>
      <c r="G53" t="s">
        <v>670</v>
      </c>
      <c r="H53" t="s">
        <v>670</v>
      </c>
      <c r="I53" t="s">
        <v>673</v>
      </c>
      <c r="J53">
        <v>-8.72E-2</v>
      </c>
      <c r="K53">
        <v>-5.2600000000000001E-2</v>
      </c>
      <c r="L53">
        <v>-9.4299999999999995E-2</v>
      </c>
      <c r="M53">
        <v>-8.9099999999999999E-2</v>
      </c>
      <c r="N53">
        <v>-4.6199999999999998E-2</v>
      </c>
      <c r="O53">
        <v>-9.5399999999999999E-2</v>
      </c>
      <c r="P53">
        <v>-8.7400000000000005E-2</v>
      </c>
      <c r="Q53">
        <v>2.2800000000000001E-2</v>
      </c>
      <c r="R53">
        <v>8.4500000000000006E-2</v>
      </c>
      <c r="S53">
        <v>3.27E-2</v>
      </c>
      <c r="T53">
        <v>5.3900000000000003E-2</v>
      </c>
      <c r="U53">
        <v>9.1999999999999998E-3</v>
      </c>
      <c r="V53">
        <v>-3.2300000000000002E-2</v>
      </c>
      <c r="W53">
        <v>3.3999999999999998E-3</v>
      </c>
      <c r="X53">
        <v>2.4799999999999999E-2</v>
      </c>
      <c r="Y53">
        <v>1.2200000000000001E-2</v>
      </c>
      <c r="Z53">
        <v>2.1899999999999999E-2</v>
      </c>
      <c r="AA53">
        <v>-4.0000000000000001E-3</v>
      </c>
      <c r="AB53">
        <v>7.4000000000000003E-3</v>
      </c>
      <c r="AC53">
        <v>-1.8599999999999998E-2</v>
      </c>
      <c r="AD53">
        <v>-1.24E-2</v>
      </c>
      <c r="AE53">
        <v>5.28E-2</v>
      </c>
      <c r="AF53">
        <v>4.7600000000000003E-2</v>
      </c>
      <c r="AG53">
        <v>7.4399999999999994E-2</v>
      </c>
      <c r="AH53">
        <v>6.3700000000000007E-2</v>
      </c>
      <c r="AI53">
        <v>1.3599999999999999E-2</v>
      </c>
      <c r="AJ53">
        <v>8.8000000000000005E-3</v>
      </c>
      <c r="AK53">
        <v>1.24E-2</v>
      </c>
      <c r="AL53">
        <v>3.1699999999999999E-2</v>
      </c>
      <c r="AM53">
        <v>7.8700000000000006E-2</v>
      </c>
      <c r="AN53">
        <v>8.7300000000000003E-2</v>
      </c>
      <c r="AO53">
        <v>9.35E-2</v>
      </c>
      <c r="AP53">
        <v>6.6699999999999995E-2</v>
      </c>
      <c r="AQ53">
        <v>9.74E-2</v>
      </c>
      <c r="AR53">
        <v>5.8700000000000002E-2</v>
      </c>
      <c r="AS53">
        <v>-2.8E-3</v>
      </c>
      <c r="AT53">
        <v>3.49E-2</v>
      </c>
      <c r="AU53">
        <v>-0.1232</v>
      </c>
      <c r="AV53">
        <v>-0.14729999999999999</v>
      </c>
    </row>
    <row r="54" spans="1:48" x14ac:dyDescent="0.25">
      <c r="A54" t="s">
        <v>169</v>
      </c>
      <c r="B54" t="s">
        <v>2</v>
      </c>
      <c r="C54" t="s">
        <v>169</v>
      </c>
      <c r="D54">
        <v>13340</v>
      </c>
      <c r="E54" t="s">
        <v>672</v>
      </c>
      <c r="F54" t="s">
        <v>117</v>
      </c>
      <c r="G54" t="s">
        <v>670</v>
      </c>
      <c r="H54" t="s">
        <v>670</v>
      </c>
      <c r="I54">
        <v>4.0800000000000003E-2</v>
      </c>
      <c r="J54">
        <v>3.3700000000000001E-2</v>
      </c>
      <c r="K54">
        <v>3.2399999999999998E-2</v>
      </c>
      <c r="L54">
        <v>2.2700000000000001E-2</v>
      </c>
      <c r="M54">
        <v>1.54E-2</v>
      </c>
      <c r="N54">
        <v>3.09E-2</v>
      </c>
      <c r="O54">
        <v>4.7800000000000002E-2</v>
      </c>
      <c r="P54">
        <v>4.7100000000000003E-2</v>
      </c>
      <c r="Q54">
        <v>2.7799999999999998E-2</v>
      </c>
      <c r="R54">
        <v>-7.4499999999999997E-2</v>
      </c>
      <c r="S54">
        <v>-7.2900000000000006E-2</v>
      </c>
      <c r="T54">
        <v>-7.8100000000000003E-2</v>
      </c>
      <c r="U54">
        <v>-6.9500000000000006E-2</v>
      </c>
      <c r="V54">
        <v>4.1099999999999998E-2</v>
      </c>
      <c r="W54">
        <v>2.1000000000000001E-2</v>
      </c>
      <c r="X54">
        <v>2.0400000000000001E-2</v>
      </c>
      <c r="Y54">
        <v>1.9E-3</v>
      </c>
      <c r="Z54">
        <v>-8.8999999999999999E-3</v>
      </c>
      <c r="AA54">
        <v>4.8999999999999998E-3</v>
      </c>
      <c r="AB54">
        <v>2.1000000000000001E-2</v>
      </c>
      <c r="AC54">
        <v>4.41E-2</v>
      </c>
      <c r="AD54">
        <v>3.9899999999999998E-2</v>
      </c>
      <c r="AE54">
        <v>3.6400000000000002E-2</v>
      </c>
      <c r="AF54">
        <v>3.5499999999999997E-2</v>
      </c>
      <c r="AG54">
        <v>0.128</v>
      </c>
      <c r="AH54">
        <v>0.15670000000000001</v>
      </c>
      <c r="AI54">
        <v>0.15740000000000001</v>
      </c>
      <c r="AJ54">
        <v>0.1434</v>
      </c>
      <c r="AK54">
        <v>4.6899999999999997E-2</v>
      </c>
      <c r="AL54">
        <v>6.2100000000000002E-2</v>
      </c>
      <c r="AM54">
        <v>0.1002</v>
      </c>
      <c r="AN54">
        <v>0.10009999999999999</v>
      </c>
      <c r="AO54">
        <v>0.1004</v>
      </c>
      <c r="AP54">
        <v>6.0499999999999998E-2</v>
      </c>
      <c r="AQ54">
        <v>4.3900000000000002E-2</v>
      </c>
      <c r="AR54">
        <v>5.5800000000000002E-2</v>
      </c>
      <c r="AS54">
        <v>7.6300000000000007E-2</v>
      </c>
      <c r="AT54">
        <v>9.5899999999999999E-2</v>
      </c>
      <c r="AU54">
        <v>9.0300000000000005E-2</v>
      </c>
      <c r="AV54">
        <v>8.2299999999999998E-2</v>
      </c>
    </row>
    <row r="55" spans="1:48" x14ac:dyDescent="0.25">
      <c r="A55" t="s">
        <v>170</v>
      </c>
      <c r="B55" t="s">
        <v>2</v>
      </c>
      <c r="C55" t="s">
        <v>170</v>
      </c>
      <c r="D55">
        <v>13380</v>
      </c>
      <c r="E55" t="s">
        <v>672</v>
      </c>
      <c r="F55" t="s">
        <v>117</v>
      </c>
      <c r="G55" t="s">
        <v>670</v>
      </c>
      <c r="H55" t="s">
        <v>670</v>
      </c>
      <c r="I55">
        <v>6.5299999999999997E-2</v>
      </c>
      <c r="J55">
        <v>7.9299999999999995E-2</v>
      </c>
      <c r="K55">
        <v>3.8399999999999997E-2</v>
      </c>
      <c r="L55">
        <v>8.7300000000000003E-2</v>
      </c>
      <c r="M55">
        <v>0.12479999999999999</v>
      </c>
      <c r="N55">
        <v>0.10009999999999999</v>
      </c>
      <c r="O55">
        <v>0.1147</v>
      </c>
      <c r="P55">
        <v>8.8099999999999998E-2</v>
      </c>
      <c r="Q55">
        <v>4.3700000000000003E-2</v>
      </c>
      <c r="R55">
        <v>2.69E-2</v>
      </c>
      <c r="S55">
        <v>3.7999999999999999E-2</v>
      </c>
      <c r="T55">
        <v>5.0299999999999997E-2</v>
      </c>
      <c r="U55">
        <v>6.7000000000000004E-2</v>
      </c>
      <c r="V55">
        <v>8.7999999999999995E-2</v>
      </c>
      <c r="W55">
        <v>6.5199999999999994E-2</v>
      </c>
      <c r="X55">
        <v>5.9299999999999999E-2</v>
      </c>
      <c r="Y55">
        <v>5.9499999999999997E-2</v>
      </c>
      <c r="Z55">
        <v>2.8500000000000001E-2</v>
      </c>
      <c r="AA55">
        <v>3.2899999999999999E-2</v>
      </c>
      <c r="AB55">
        <v>6.0199999999999997E-2</v>
      </c>
      <c r="AC55">
        <v>6.1899999999999997E-2</v>
      </c>
      <c r="AD55">
        <v>6.7199999999999996E-2</v>
      </c>
      <c r="AE55">
        <v>0.1084</v>
      </c>
      <c r="AF55">
        <v>0.1135</v>
      </c>
      <c r="AG55">
        <v>0.14810000000000001</v>
      </c>
      <c r="AH55">
        <v>0.16089999999999999</v>
      </c>
      <c r="AI55">
        <v>0.14779999999999999</v>
      </c>
      <c r="AJ55">
        <v>0.1459</v>
      </c>
      <c r="AK55">
        <v>9.5600000000000004E-2</v>
      </c>
      <c r="AL55">
        <v>9.3399999999999997E-2</v>
      </c>
      <c r="AM55">
        <v>5.8200000000000002E-2</v>
      </c>
      <c r="AN55">
        <v>1.8700000000000001E-2</v>
      </c>
      <c r="AO55">
        <v>5.3100000000000001E-2</v>
      </c>
      <c r="AP55">
        <v>4.3900000000000002E-2</v>
      </c>
      <c r="AQ55">
        <v>3.9100000000000003E-2</v>
      </c>
      <c r="AR55">
        <v>5.04E-2</v>
      </c>
      <c r="AS55">
        <v>2.4799999999999999E-2</v>
      </c>
      <c r="AT55">
        <v>4.6600000000000003E-2</v>
      </c>
      <c r="AU55">
        <v>5.3499999999999999E-2</v>
      </c>
      <c r="AV55">
        <v>3.5299999999999998E-2</v>
      </c>
    </row>
    <row r="56" spans="1:48" x14ac:dyDescent="0.25">
      <c r="A56" t="s">
        <v>171</v>
      </c>
      <c r="B56" t="s">
        <v>2</v>
      </c>
      <c r="C56" t="s">
        <v>171</v>
      </c>
      <c r="D56">
        <v>13460</v>
      </c>
      <c r="E56" t="s">
        <v>672</v>
      </c>
      <c r="F56" t="s">
        <v>117</v>
      </c>
      <c r="G56" t="s">
        <v>670</v>
      </c>
      <c r="H56" t="s">
        <v>670</v>
      </c>
      <c r="I56" t="s">
        <v>673</v>
      </c>
      <c r="J56" t="s">
        <v>673</v>
      </c>
      <c r="K56" t="s">
        <v>673</v>
      </c>
      <c r="L56" t="s">
        <v>673</v>
      </c>
      <c r="M56" t="s">
        <v>673</v>
      </c>
      <c r="N56" t="s">
        <v>673</v>
      </c>
      <c r="O56">
        <v>1.6299999999999999E-2</v>
      </c>
      <c r="P56">
        <v>2.7300000000000001E-2</v>
      </c>
      <c r="Q56">
        <v>5.4699999999999999E-2</v>
      </c>
      <c r="R56">
        <v>1.7999999999999999E-2</v>
      </c>
      <c r="S56">
        <v>5.3199999999999997E-2</v>
      </c>
      <c r="T56">
        <v>7.8700000000000006E-2</v>
      </c>
      <c r="U56">
        <v>9.7299999999999998E-2</v>
      </c>
      <c r="V56">
        <v>0.10979999999999999</v>
      </c>
      <c r="W56">
        <v>0.10349999999999999</v>
      </c>
      <c r="X56">
        <v>8.5699999999999998E-2</v>
      </c>
      <c r="Y56">
        <v>6.0100000000000001E-2</v>
      </c>
      <c r="Z56">
        <v>4.4200000000000003E-2</v>
      </c>
      <c r="AA56">
        <v>6.2700000000000006E-2</v>
      </c>
      <c r="AB56">
        <v>8.7099999999999997E-2</v>
      </c>
      <c r="AC56">
        <v>0.11070000000000001</v>
      </c>
      <c r="AD56">
        <v>0.2303</v>
      </c>
      <c r="AE56">
        <v>0.2349</v>
      </c>
      <c r="AF56">
        <v>0.1236</v>
      </c>
      <c r="AG56">
        <v>0.12189999999999999</v>
      </c>
      <c r="AH56">
        <v>9.1000000000000004E-3</v>
      </c>
      <c r="AI56">
        <v>-2.2700000000000001E-2</v>
      </c>
      <c r="AJ56">
        <v>4.8599999999999997E-2</v>
      </c>
      <c r="AK56">
        <v>-3.3999999999999998E-3</v>
      </c>
      <c r="AL56">
        <v>1.0699999999999999E-2</v>
      </c>
      <c r="AM56">
        <v>2.3E-2</v>
      </c>
      <c r="AN56">
        <v>4.4999999999999997E-3</v>
      </c>
      <c r="AO56">
        <v>2.8400000000000002E-2</v>
      </c>
      <c r="AP56">
        <v>5.1000000000000004E-3</v>
      </c>
      <c r="AQ56">
        <v>-2.24E-2</v>
      </c>
      <c r="AR56">
        <v>-2.06E-2</v>
      </c>
      <c r="AS56">
        <v>-9.7000000000000003E-3</v>
      </c>
      <c r="AT56">
        <v>4.4999999999999998E-2</v>
      </c>
      <c r="AU56">
        <v>3.1699999999999999E-2</v>
      </c>
      <c r="AV56">
        <v>2.81E-2</v>
      </c>
    </row>
    <row r="57" spans="1:48" x14ac:dyDescent="0.25">
      <c r="A57" t="s">
        <v>172</v>
      </c>
      <c r="B57" t="s">
        <v>2</v>
      </c>
      <c r="C57" t="s">
        <v>172</v>
      </c>
      <c r="D57">
        <v>13660</v>
      </c>
      <c r="E57" t="s">
        <v>672</v>
      </c>
      <c r="F57" t="s">
        <v>117</v>
      </c>
      <c r="G57" t="s">
        <v>670</v>
      </c>
      <c r="H57" t="s">
        <v>670</v>
      </c>
      <c r="I57" t="s">
        <v>673</v>
      </c>
      <c r="J57" t="s">
        <v>673</v>
      </c>
      <c r="K57" t="s">
        <v>673</v>
      </c>
      <c r="L57" t="s">
        <v>673</v>
      </c>
      <c r="M57" t="s">
        <v>673</v>
      </c>
      <c r="N57" t="s">
        <v>673</v>
      </c>
      <c r="O57" t="s">
        <v>673</v>
      </c>
      <c r="P57" t="s">
        <v>673</v>
      </c>
      <c r="Q57" t="s">
        <v>673</v>
      </c>
      <c r="R57" t="s">
        <v>673</v>
      </c>
      <c r="S57" t="s">
        <v>673</v>
      </c>
      <c r="T57" t="s">
        <v>673</v>
      </c>
      <c r="U57" t="s">
        <v>673</v>
      </c>
      <c r="V57" t="s">
        <v>673</v>
      </c>
      <c r="W57" t="s">
        <v>673</v>
      </c>
      <c r="X57" t="s">
        <v>673</v>
      </c>
      <c r="Y57" t="s">
        <v>673</v>
      </c>
      <c r="Z57" t="s">
        <v>673</v>
      </c>
      <c r="AA57" t="s">
        <v>673</v>
      </c>
      <c r="AB57" t="s">
        <v>673</v>
      </c>
      <c r="AC57" t="s">
        <v>673</v>
      </c>
      <c r="AD57" t="s">
        <v>673</v>
      </c>
      <c r="AE57" t="s">
        <v>673</v>
      </c>
      <c r="AF57" t="s">
        <v>673</v>
      </c>
      <c r="AG57" t="s">
        <v>673</v>
      </c>
      <c r="AH57" t="s">
        <v>673</v>
      </c>
      <c r="AI57" t="s">
        <v>673</v>
      </c>
      <c r="AJ57" t="s">
        <v>673</v>
      </c>
      <c r="AK57" t="s">
        <v>673</v>
      </c>
      <c r="AL57" t="s">
        <v>673</v>
      </c>
      <c r="AM57" t="s">
        <v>673</v>
      </c>
      <c r="AN57" t="s">
        <v>673</v>
      </c>
      <c r="AO57" t="s">
        <v>673</v>
      </c>
      <c r="AP57" t="s">
        <v>673</v>
      </c>
      <c r="AQ57" t="s">
        <v>673</v>
      </c>
      <c r="AR57" t="s">
        <v>673</v>
      </c>
      <c r="AS57" t="s">
        <v>673</v>
      </c>
      <c r="AT57" t="s">
        <v>673</v>
      </c>
      <c r="AU57" t="s">
        <v>673</v>
      </c>
      <c r="AV57" t="s">
        <v>673</v>
      </c>
    </row>
    <row r="58" spans="1:48" x14ac:dyDescent="0.25">
      <c r="A58" t="s">
        <v>173</v>
      </c>
      <c r="B58" t="s">
        <v>2</v>
      </c>
      <c r="C58" t="s">
        <v>173</v>
      </c>
      <c r="D58">
        <v>13700</v>
      </c>
      <c r="E58" t="s">
        <v>672</v>
      </c>
      <c r="F58" t="s">
        <v>117</v>
      </c>
      <c r="G58" t="s">
        <v>670</v>
      </c>
      <c r="H58" t="s">
        <v>670</v>
      </c>
      <c r="I58" t="s">
        <v>673</v>
      </c>
      <c r="J58">
        <v>-9.7199999999999995E-2</v>
      </c>
      <c r="K58" t="s">
        <v>673</v>
      </c>
      <c r="L58">
        <v>-9.2399999999999996E-2</v>
      </c>
      <c r="M58">
        <v>1.26E-2</v>
      </c>
      <c r="N58">
        <v>3.5799999999999998E-2</v>
      </c>
      <c r="O58" t="s">
        <v>673</v>
      </c>
      <c r="P58">
        <v>0.15210000000000001</v>
      </c>
      <c r="Q58">
        <v>0.1527</v>
      </c>
      <c r="R58">
        <v>0.2341</v>
      </c>
      <c r="S58">
        <v>0.30120000000000002</v>
      </c>
      <c r="T58">
        <v>0.20469999999999999</v>
      </c>
      <c r="U58">
        <v>0.16270000000000001</v>
      </c>
      <c r="V58">
        <v>0.1104</v>
      </c>
      <c r="W58">
        <v>4.5199999999999997E-2</v>
      </c>
      <c r="X58">
        <v>2.3599999999999999E-2</v>
      </c>
      <c r="Y58">
        <v>8.0000000000000004E-4</v>
      </c>
      <c r="Z58">
        <v>-2.1499999999999998E-2</v>
      </c>
      <c r="AA58">
        <v>-0.12659999999999999</v>
      </c>
      <c r="AB58">
        <v>-0.22739999999999999</v>
      </c>
      <c r="AC58">
        <v>-8.5500000000000007E-2</v>
      </c>
      <c r="AD58">
        <v>-0.1072</v>
      </c>
      <c r="AE58">
        <v>1.1000000000000001E-3</v>
      </c>
      <c r="AF58">
        <v>0.13850000000000001</v>
      </c>
      <c r="AG58">
        <v>-3.4000000000000002E-2</v>
      </c>
      <c r="AH58">
        <v>8.0799999999999997E-2</v>
      </c>
      <c r="AI58">
        <v>9.2799999999999994E-2</v>
      </c>
      <c r="AJ58">
        <v>8.5900000000000004E-2</v>
      </c>
      <c r="AK58">
        <v>-1.26E-2</v>
      </c>
      <c r="AL58">
        <v>-2.8999999999999998E-3</v>
      </c>
      <c r="AM58">
        <v>1.9400000000000001E-2</v>
      </c>
      <c r="AN58">
        <v>2.5600000000000001E-2</v>
      </c>
      <c r="AO58">
        <v>9.8299999999999998E-2</v>
      </c>
      <c r="AP58">
        <v>0.2712</v>
      </c>
      <c r="AQ58">
        <v>0.27079999999999999</v>
      </c>
      <c r="AR58">
        <v>0.3196</v>
      </c>
      <c r="AS58">
        <v>0.22170000000000001</v>
      </c>
      <c r="AT58">
        <v>-4.3700000000000003E-2</v>
      </c>
      <c r="AU58">
        <v>-9.2299999999999993E-2</v>
      </c>
      <c r="AV58">
        <v>-0.17760000000000001</v>
      </c>
    </row>
    <row r="59" spans="1:48" x14ac:dyDescent="0.25">
      <c r="A59" t="s">
        <v>174</v>
      </c>
      <c r="B59" t="s">
        <v>2</v>
      </c>
      <c r="C59" t="s">
        <v>174</v>
      </c>
      <c r="D59">
        <v>13740</v>
      </c>
      <c r="E59" t="s">
        <v>672</v>
      </c>
      <c r="F59" t="s">
        <v>117</v>
      </c>
      <c r="G59" t="s">
        <v>670</v>
      </c>
      <c r="H59" t="s">
        <v>670</v>
      </c>
      <c r="I59">
        <v>0.18509999999999999</v>
      </c>
      <c r="J59">
        <v>0.20319999999999999</v>
      </c>
      <c r="K59">
        <v>0.20880000000000001</v>
      </c>
      <c r="L59">
        <v>-2.0799999999999999E-2</v>
      </c>
      <c r="M59">
        <v>6.83E-2</v>
      </c>
      <c r="N59">
        <v>4.5999999999999999E-2</v>
      </c>
      <c r="O59">
        <v>-2.5999999999999999E-2</v>
      </c>
      <c r="P59">
        <v>-1.66E-2</v>
      </c>
      <c r="Q59">
        <v>-6.6600000000000006E-2</v>
      </c>
      <c r="R59">
        <v>-7.7799999999999994E-2</v>
      </c>
      <c r="S59">
        <v>3.2800000000000003E-2</v>
      </c>
      <c r="T59">
        <v>7.5200000000000003E-2</v>
      </c>
      <c r="U59">
        <v>5.8500000000000003E-2</v>
      </c>
      <c r="V59">
        <v>7.9899999999999999E-2</v>
      </c>
      <c r="W59">
        <v>3.8300000000000001E-2</v>
      </c>
      <c r="X59">
        <v>5.5E-2</v>
      </c>
      <c r="Y59">
        <v>8.7400000000000005E-2</v>
      </c>
      <c r="Z59">
        <v>8.5900000000000004E-2</v>
      </c>
      <c r="AA59">
        <v>0.1343</v>
      </c>
      <c r="AB59">
        <v>0.12670000000000001</v>
      </c>
      <c r="AC59">
        <v>0.1268</v>
      </c>
      <c r="AD59">
        <v>0.1537</v>
      </c>
      <c r="AE59">
        <v>0.1555</v>
      </c>
      <c r="AF59">
        <v>0.1237</v>
      </c>
      <c r="AG59">
        <v>0.1467</v>
      </c>
      <c r="AH59">
        <v>0.16789999999999999</v>
      </c>
      <c r="AI59">
        <v>0.13519999999999999</v>
      </c>
      <c r="AJ59">
        <v>0.104</v>
      </c>
      <c r="AK59">
        <v>5.1999999999999998E-2</v>
      </c>
      <c r="AL59">
        <v>1.89E-2</v>
      </c>
      <c r="AM59">
        <v>-9.1000000000000004E-3</v>
      </c>
      <c r="AN59">
        <v>8.0000000000000002E-3</v>
      </c>
      <c r="AO59">
        <v>-7.1999999999999998E-3</v>
      </c>
      <c r="AP59">
        <v>-3.0000000000000001E-3</v>
      </c>
      <c r="AQ59">
        <v>3.0999999999999999E-3</v>
      </c>
      <c r="AR59">
        <v>-6.1000000000000004E-3</v>
      </c>
      <c r="AS59">
        <v>2.4899999999999999E-2</v>
      </c>
      <c r="AT59">
        <v>6.3799999999999996E-2</v>
      </c>
      <c r="AU59">
        <v>6.4199999999999993E-2</v>
      </c>
      <c r="AV59">
        <v>4.8000000000000001E-2</v>
      </c>
    </row>
    <row r="60" spans="1:48" x14ac:dyDescent="0.25">
      <c r="A60" t="s">
        <v>175</v>
      </c>
      <c r="B60" t="s">
        <v>2</v>
      </c>
      <c r="C60" t="s">
        <v>175</v>
      </c>
      <c r="D60">
        <v>13780</v>
      </c>
      <c r="E60" t="s">
        <v>672</v>
      </c>
      <c r="F60" t="s">
        <v>117</v>
      </c>
      <c r="G60" t="s">
        <v>670</v>
      </c>
      <c r="H60" t="s">
        <v>670</v>
      </c>
      <c r="I60" t="s">
        <v>673</v>
      </c>
      <c r="J60" t="s">
        <v>673</v>
      </c>
      <c r="K60" t="s">
        <v>673</v>
      </c>
      <c r="L60">
        <v>5.6500000000000002E-2</v>
      </c>
      <c r="M60">
        <v>3.8899999999999997E-2</v>
      </c>
      <c r="N60">
        <v>4.3099999999999999E-2</v>
      </c>
      <c r="O60">
        <v>4.6600000000000003E-2</v>
      </c>
      <c r="P60">
        <v>5.0700000000000002E-2</v>
      </c>
      <c r="Q60">
        <v>1.3599999999999999E-2</v>
      </c>
      <c r="R60">
        <v>9.5999999999999992E-3</v>
      </c>
      <c r="S60">
        <v>3.3E-3</v>
      </c>
      <c r="T60">
        <v>1.23E-2</v>
      </c>
      <c r="U60">
        <v>-5.9999999999999995E-4</v>
      </c>
      <c r="V60">
        <v>7.1999999999999998E-3</v>
      </c>
      <c r="W60">
        <v>1.6199999999999999E-2</v>
      </c>
      <c r="X60">
        <v>1.14E-2</v>
      </c>
      <c r="Y60">
        <v>0.1817</v>
      </c>
      <c r="Z60">
        <v>0.13719999999999999</v>
      </c>
      <c r="AA60">
        <v>0.2122</v>
      </c>
      <c r="AB60">
        <v>0.23050000000000001</v>
      </c>
      <c r="AC60">
        <v>5.7099999999999998E-2</v>
      </c>
      <c r="AD60">
        <v>9.3799999999999994E-2</v>
      </c>
      <c r="AE60">
        <v>2.86E-2</v>
      </c>
      <c r="AF60">
        <v>1.6000000000000001E-3</v>
      </c>
      <c r="AG60">
        <v>1.52E-2</v>
      </c>
      <c r="AH60">
        <v>0.21340000000000001</v>
      </c>
      <c r="AI60">
        <v>0.29699999999999999</v>
      </c>
      <c r="AJ60">
        <v>0.2641</v>
      </c>
      <c r="AK60">
        <v>0.28939999999999999</v>
      </c>
      <c r="AL60">
        <v>0.14929999999999999</v>
      </c>
      <c r="AM60">
        <v>7.3599999999999999E-2</v>
      </c>
      <c r="AN60">
        <v>7.4800000000000005E-2</v>
      </c>
      <c r="AO60">
        <v>4.87E-2</v>
      </c>
      <c r="AP60">
        <v>-2.8299999999999999E-2</v>
      </c>
      <c r="AQ60">
        <v>-3.5400000000000001E-2</v>
      </c>
      <c r="AR60">
        <v>3.8999999999999998E-3</v>
      </c>
      <c r="AS60">
        <v>9.4999999999999998E-3</v>
      </c>
      <c r="AT60">
        <v>2.23E-2</v>
      </c>
      <c r="AU60" t="s">
        <v>673</v>
      </c>
      <c r="AV60" t="s">
        <v>673</v>
      </c>
    </row>
    <row r="61" spans="1:48" x14ac:dyDescent="0.25">
      <c r="A61" t="s">
        <v>176</v>
      </c>
      <c r="B61" t="s">
        <v>2</v>
      </c>
      <c r="C61" t="s">
        <v>176</v>
      </c>
      <c r="D61">
        <v>13820</v>
      </c>
      <c r="E61" t="s">
        <v>672</v>
      </c>
      <c r="F61" t="s">
        <v>117</v>
      </c>
      <c r="G61" t="s">
        <v>670</v>
      </c>
      <c r="H61" t="s">
        <v>670</v>
      </c>
      <c r="I61">
        <v>4.19E-2</v>
      </c>
      <c r="J61">
        <v>5.2499999999999998E-2</v>
      </c>
      <c r="K61">
        <v>1.6799999999999999E-2</v>
      </c>
      <c r="L61">
        <v>3.2000000000000002E-3</v>
      </c>
      <c r="M61">
        <v>2.24E-2</v>
      </c>
      <c r="N61">
        <v>2.7400000000000001E-2</v>
      </c>
      <c r="O61">
        <v>3.9899999999999998E-2</v>
      </c>
      <c r="P61">
        <v>3.2000000000000001E-2</v>
      </c>
      <c r="Q61">
        <v>2.93E-2</v>
      </c>
      <c r="R61">
        <v>4.7399999999999998E-2</v>
      </c>
      <c r="S61">
        <v>6.3500000000000001E-2</v>
      </c>
      <c r="T61">
        <v>8.0600000000000005E-2</v>
      </c>
      <c r="U61">
        <v>7.7700000000000005E-2</v>
      </c>
      <c r="V61">
        <v>6.54E-2</v>
      </c>
      <c r="W61">
        <v>6.5799999999999997E-2</v>
      </c>
      <c r="X61">
        <v>7.1800000000000003E-2</v>
      </c>
      <c r="Y61">
        <v>6.8000000000000005E-2</v>
      </c>
      <c r="Z61">
        <v>2.3400000000000001E-2</v>
      </c>
      <c r="AA61">
        <v>3.1899999999999998E-2</v>
      </c>
      <c r="AB61">
        <v>2.7799999999999998E-2</v>
      </c>
      <c r="AC61">
        <v>2.5499999999999998E-2</v>
      </c>
      <c r="AD61">
        <v>6.3600000000000004E-2</v>
      </c>
      <c r="AE61">
        <v>9.01E-2</v>
      </c>
      <c r="AF61">
        <v>0.107</v>
      </c>
      <c r="AG61">
        <v>0.14630000000000001</v>
      </c>
      <c r="AH61">
        <v>0.1522</v>
      </c>
      <c r="AI61">
        <v>0.13350000000000001</v>
      </c>
      <c r="AJ61">
        <v>9.6199999999999994E-2</v>
      </c>
      <c r="AK61">
        <v>5.4600000000000003E-2</v>
      </c>
      <c r="AL61">
        <v>2.92E-2</v>
      </c>
      <c r="AM61">
        <v>5.8999999999999999E-3</v>
      </c>
      <c r="AN61">
        <v>7.6E-3</v>
      </c>
      <c r="AO61">
        <v>9.4999999999999998E-3</v>
      </c>
      <c r="AP61">
        <v>1.4800000000000001E-2</v>
      </c>
      <c r="AQ61">
        <v>-8.0000000000000004E-4</v>
      </c>
      <c r="AR61">
        <v>3.3E-3</v>
      </c>
      <c r="AS61">
        <v>6.1000000000000004E-3</v>
      </c>
      <c r="AT61">
        <v>2.2000000000000001E-3</v>
      </c>
      <c r="AU61">
        <v>6.7999999999999996E-3</v>
      </c>
      <c r="AV61">
        <v>4.8999999999999998E-3</v>
      </c>
    </row>
    <row r="62" spans="1:48" x14ac:dyDescent="0.25">
      <c r="A62" t="s">
        <v>177</v>
      </c>
      <c r="B62" t="s">
        <v>2</v>
      </c>
      <c r="C62" t="s">
        <v>177</v>
      </c>
      <c r="D62">
        <v>13900</v>
      </c>
      <c r="E62" t="s">
        <v>672</v>
      </c>
      <c r="F62" t="s">
        <v>117</v>
      </c>
      <c r="G62" t="s">
        <v>670</v>
      </c>
      <c r="H62" t="s">
        <v>670</v>
      </c>
      <c r="I62" t="s">
        <v>673</v>
      </c>
      <c r="J62" t="s">
        <v>673</v>
      </c>
      <c r="K62" t="s">
        <v>673</v>
      </c>
      <c r="L62" t="s">
        <v>673</v>
      </c>
      <c r="M62" t="s">
        <v>673</v>
      </c>
      <c r="N62" t="s">
        <v>673</v>
      </c>
      <c r="O62">
        <v>-2.8000000000000001E-2</v>
      </c>
      <c r="P62">
        <v>1.9099999999999999E-2</v>
      </c>
      <c r="Q62">
        <v>-5.1299999999999998E-2</v>
      </c>
      <c r="R62">
        <v>-0.02</v>
      </c>
      <c r="S62">
        <v>2.7699999999999999E-2</v>
      </c>
      <c r="T62">
        <v>3.3599999999999998E-2</v>
      </c>
      <c r="U62">
        <v>4.7600000000000003E-2</v>
      </c>
      <c r="V62">
        <v>1.54E-2</v>
      </c>
      <c r="W62">
        <v>-3.5000000000000001E-3</v>
      </c>
      <c r="X62">
        <v>8.9999999999999998E-4</v>
      </c>
      <c r="Y62">
        <v>-4.0099999999999997E-2</v>
      </c>
      <c r="Z62">
        <v>-2.4799999999999999E-2</v>
      </c>
      <c r="AA62">
        <v>-1.9699999999999999E-2</v>
      </c>
      <c r="AB62">
        <v>-2.0400000000000001E-2</v>
      </c>
      <c r="AC62">
        <v>3.0200000000000001E-2</v>
      </c>
      <c r="AD62">
        <v>2.1999999999999999E-2</v>
      </c>
      <c r="AE62">
        <v>2.8299999999999999E-2</v>
      </c>
      <c r="AF62">
        <v>3.8199999999999998E-2</v>
      </c>
      <c r="AG62">
        <v>5.4300000000000001E-2</v>
      </c>
      <c r="AH62">
        <v>6.4299999999999996E-2</v>
      </c>
      <c r="AI62">
        <v>0.1011</v>
      </c>
      <c r="AJ62">
        <v>0.1053</v>
      </c>
      <c r="AK62">
        <v>7.9299999999999995E-2</v>
      </c>
      <c r="AL62">
        <v>7.9200000000000007E-2</v>
      </c>
      <c r="AM62">
        <v>5.3699999999999998E-2</v>
      </c>
      <c r="AN62">
        <v>6.1600000000000002E-2</v>
      </c>
      <c r="AO62">
        <v>7.5499999999999998E-2</v>
      </c>
      <c r="AP62">
        <v>7.5300000000000006E-2</v>
      </c>
      <c r="AQ62">
        <v>8.2000000000000003E-2</v>
      </c>
      <c r="AR62">
        <v>7.0699999999999999E-2</v>
      </c>
      <c r="AS62">
        <v>7.6100000000000001E-2</v>
      </c>
      <c r="AT62">
        <v>8.3400000000000002E-2</v>
      </c>
      <c r="AU62">
        <v>7.3999999999999996E-2</v>
      </c>
      <c r="AV62">
        <v>6.7599999999999993E-2</v>
      </c>
    </row>
    <row r="63" spans="1:48" x14ac:dyDescent="0.25">
      <c r="A63" t="s">
        <v>178</v>
      </c>
      <c r="B63" t="s">
        <v>2</v>
      </c>
      <c r="C63" t="s">
        <v>178</v>
      </c>
      <c r="D63">
        <v>13980</v>
      </c>
      <c r="E63" t="s">
        <v>672</v>
      </c>
      <c r="F63" t="s">
        <v>117</v>
      </c>
      <c r="G63" t="s">
        <v>670</v>
      </c>
      <c r="H63" t="s">
        <v>670</v>
      </c>
      <c r="I63">
        <v>1.26E-2</v>
      </c>
      <c r="J63">
        <v>2.0000000000000001E-4</v>
      </c>
      <c r="K63">
        <v>-1E-4</v>
      </c>
      <c r="L63">
        <v>4.2599999999999999E-2</v>
      </c>
      <c r="M63">
        <v>2.9600000000000001E-2</v>
      </c>
      <c r="N63">
        <v>3.7699999999999997E-2</v>
      </c>
      <c r="O63">
        <v>4.53E-2</v>
      </c>
      <c r="P63">
        <v>4.4699999999999997E-2</v>
      </c>
      <c r="Q63">
        <v>5.0099999999999999E-2</v>
      </c>
      <c r="R63">
        <v>3.6600000000000001E-2</v>
      </c>
      <c r="S63">
        <v>3.04E-2</v>
      </c>
      <c r="T63">
        <v>2.4400000000000002E-2</v>
      </c>
      <c r="U63">
        <v>3.0700000000000002E-2</v>
      </c>
      <c r="V63">
        <v>5.45E-2</v>
      </c>
      <c r="W63">
        <v>6.8099999999999994E-2</v>
      </c>
      <c r="X63">
        <v>0.1004</v>
      </c>
      <c r="Y63">
        <v>0.1203</v>
      </c>
      <c r="Z63">
        <v>0.1024</v>
      </c>
      <c r="AA63">
        <v>0.1</v>
      </c>
      <c r="AB63">
        <v>6.2799999999999995E-2</v>
      </c>
      <c r="AC63">
        <v>3.78E-2</v>
      </c>
      <c r="AD63">
        <v>4.19E-2</v>
      </c>
      <c r="AE63">
        <v>4.3099999999999999E-2</v>
      </c>
      <c r="AF63">
        <v>4.4499999999999998E-2</v>
      </c>
      <c r="AG63">
        <v>-3.5200000000000002E-2</v>
      </c>
      <c r="AH63">
        <v>-4.8800000000000003E-2</v>
      </c>
      <c r="AI63">
        <v>-5.8299999999999998E-2</v>
      </c>
      <c r="AJ63">
        <v>-5.7299999999999997E-2</v>
      </c>
      <c r="AK63">
        <v>2.0400000000000001E-2</v>
      </c>
      <c r="AL63">
        <v>6.2700000000000006E-2</v>
      </c>
      <c r="AM63">
        <v>9.7299999999999998E-2</v>
      </c>
      <c r="AN63">
        <v>8.7599999999999997E-2</v>
      </c>
      <c r="AO63">
        <v>8.1100000000000005E-2</v>
      </c>
      <c r="AP63">
        <v>5.1299999999999998E-2</v>
      </c>
      <c r="AQ63">
        <v>2.1299999999999999E-2</v>
      </c>
      <c r="AR63">
        <v>3.15E-2</v>
      </c>
      <c r="AS63">
        <v>4.4699999999999997E-2</v>
      </c>
      <c r="AT63">
        <v>4.5999999999999999E-2</v>
      </c>
      <c r="AU63">
        <v>4.9799999999999997E-2</v>
      </c>
      <c r="AV63">
        <v>6.5199999999999994E-2</v>
      </c>
    </row>
    <row r="64" spans="1:48" x14ac:dyDescent="0.25">
      <c r="A64" t="s">
        <v>179</v>
      </c>
      <c r="B64" t="s">
        <v>2</v>
      </c>
      <c r="C64" t="s">
        <v>179</v>
      </c>
      <c r="D64">
        <v>14010</v>
      </c>
      <c r="E64" t="s">
        <v>672</v>
      </c>
      <c r="F64" t="s">
        <v>117</v>
      </c>
      <c r="G64" t="s">
        <v>670</v>
      </c>
      <c r="H64" t="s">
        <v>670</v>
      </c>
      <c r="I64">
        <v>2.2599999999999999E-2</v>
      </c>
      <c r="J64">
        <v>-9.4700000000000006E-2</v>
      </c>
      <c r="K64">
        <v>2.1899999999999999E-2</v>
      </c>
      <c r="L64">
        <v>-3.4000000000000002E-2</v>
      </c>
      <c r="M64">
        <v>-1.9300000000000001E-2</v>
      </c>
      <c r="N64">
        <v>8.8099999999999998E-2</v>
      </c>
      <c r="O64">
        <v>2.7400000000000001E-2</v>
      </c>
      <c r="P64">
        <v>2.98E-2</v>
      </c>
      <c r="Q64">
        <v>-6.1999999999999998E-3</v>
      </c>
      <c r="R64">
        <v>-4.3E-3</v>
      </c>
      <c r="S64">
        <v>-2.63E-2</v>
      </c>
      <c r="T64">
        <v>-1.38E-2</v>
      </c>
      <c r="U64">
        <v>-1.41E-2</v>
      </c>
      <c r="V64">
        <v>4.0399999999999998E-2</v>
      </c>
      <c r="W64">
        <v>1.7000000000000001E-2</v>
      </c>
      <c r="X64">
        <v>6.2199999999999998E-2</v>
      </c>
      <c r="Y64">
        <v>5.7000000000000002E-3</v>
      </c>
      <c r="Z64">
        <v>-1.72E-2</v>
      </c>
      <c r="AA64">
        <v>4.7800000000000002E-2</v>
      </c>
      <c r="AB64">
        <v>3.0000000000000001E-3</v>
      </c>
      <c r="AC64">
        <v>7.9799999999999996E-2</v>
      </c>
      <c r="AD64">
        <v>0.1177</v>
      </c>
      <c r="AE64">
        <v>0.1797</v>
      </c>
      <c r="AF64">
        <v>0.29360000000000003</v>
      </c>
      <c r="AG64">
        <v>0.23619999999999999</v>
      </c>
      <c r="AH64">
        <v>0.25990000000000002</v>
      </c>
      <c r="AI64">
        <v>0.18379999999999999</v>
      </c>
      <c r="AJ64">
        <v>1.6400000000000001E-2</v>
      </c>
      <c r="AK64">
        <v>5.0200000000000002E-2</v>
      </c>
      <c r="AL64">
        <v>1.89E-2</v>
      </c>
      <c r="AM64">
        <v>3.2399999999999998E-2</v>
      </c>
      <c r="AN64">
        <v>0.10580000000000001</v>
      </c>
      <c r="AO64">
        <v>0.1037</v>
      </c>
      <c r="AP64">
        <v>0.123</v>
      </c>
      <c r="AQ64">
        <v>8.3400000000000002E-2</v>
      </c>
      <c r="AR64">
        <v>6.1499999999999999E-2</v>
      </c>
      <c r="AS64">
        <v>4.7399999999999998E-2</v>
      </c>
      <c r="AT64">
        <v>-1.7000000000000001E-2</v>
      </c>
      <c r="AU64">
        <v>-4.8099999999999997E-2</v>
      </c>
      <c r="AV64">
        <v>-2.3900000000000001E-2</v>
      </c>
    </row>
    <row r="65" spans="1:48" x14ac:dyDescent="0.25">
      <c r="A65" t="s">
        <v>180</v>
      </c>
      <c r="B65" t="s">
        <v>2</v>
      </c>
      <c r="C65" t="s">
        <v>180</v>
      </c>
      <c r="D65">
        <v>14020</v>
      </c>
      <c r="E65" t="s">
        <v>672</v>
      </c>
      <c r="F65" t="s">
        <v>117</v>
      </c>
      <c r="G65" t="s">
        <v>670</v>
      </c>
      <c r="H65" t="s">
        <v>670</v>
      </c>
      <c r="I65">
        <v>2.35E-2</v>
      </c>
      <c r="J65">
        <v>1.8100000000000002E-2</v>
      </c>
      <c r="K65">
        <v>5.2499999999999998E-2</v>
      </c>
      <c r="L65">
        <v>6.5500000000000003E-2</v>
      </c>
      <c r="M65">
        <v>3.2599999999999997E-2</v>
      </c>
      <c r="N65">
        <v>4.6399999999999997E-2</v>
      </c>
      <c r="O65">
        <v>2.6599999999999999E-2</v>
      </c>
      <c r="P65">
        <v>3.2399999999999998E-2</v>
      </c>
      <c r="Q65">
        <v>4.3700000000000003E-2</v>
      </c>
      <c r="R65">
        <v>6.3799999999999996E-2</v>
      </c>
      <c r="S65">
        <v>5.3100000000000001E-2</v>
      </c>
      <c r="T65">
        <v>-1.89E-2</v>
      </c>
      <c r="U65">
        <v>-1.7899999999999999E-2</v>
      </c>
      <c r="V65">
        <v>-3.44E-2</v>
      </c>
      <c r="W65">
        <v>-1.1299999999999999E-2</v>
      </c>
      <c r="X65">
        <v>3.5900000000000001E-2</v>
      </c>
      <c r="Y65">
        <v>3.6900000000000002E-2</v>
      </c>
      <c r="Z65">
        <v>2.4E-2</v>
      </c>
      <c r="AA65">
        <v>1.7999999999999999E-2</v>
      </c>
      <c r="AB65">
        <v>3.2099999999999997E-2</v>
      </c>
      <c r="AC65">
        <v>4.2700000000000002E-2</v>
      </c>
      <c r="AD65">
        <v>6.08E-2</v>
      </c>
      <c r="AE65">
        <v>8.3699999999999997E-2</v>
      </c>
      <c r="AF65">
        <v>8.4199999999999997E-2</v>
      </c>
      <c r="AG65">
        <v>0.10829999999999999</v>
      </c>
      <c r="AH65">
        <v>0.1062</v>
      </c>
      <c r="AI65">
        <v>8.2299999999999998E-2</v>
      </c>
      <c r="AJ65">
        <v>7.4800000000000005E-2</v>
      </c>
      <c r="AK65">
        <v>4.6800000000000001E-2</v>
      </c>
      <c r="AL65">
        <v>4.1500000000000002E-2</v>
      </c>
      <c r="AM65">
        <v>4.1500000000000002E-2</v>
      </c>
      <c r="AN65">
        <v>5.3900000000000003E-2</v>
      </c>
      <c r="AO65">
        <v>5.1900000000000002E-2</v>
      </c>
      <c r="AP65">
        <v>4.5999999999999999E-2</v>
      </c>
      <c r="AQ65">
        <v>7.7999999999999996E-3</v>
      </c>
      <c r="AR65">
        <v>1.14E-2</v>
      </c>
      <c r="AS65">
        <v>2.4899999999999999E-2</v>
      </c>
      <c r="AT65">
        <v>6.6E-3</v>
      </c>
      <c r="AU65">
        <v>4.5100000000000001E-2</v>
      </c>
      <c r="AV65">
        <v>2.4199999999999999E-2</v>
      </c>
    </row>
    <row r="66" spans="1:48" x14ac:dyDescent="0.25">
      <c r="A66" t="s">
        <v>181</v>
      </c>
      <c r="B66" t="s">
        <v>2</v>
      </c>
      <c r="C66" t="s">
        <v>181</v>
      </c>
      <c r="D66">
        <v>14260</v>
      </c>
      <c r="E66" t="s">
        <v>672</v>
      </c>
      <c r="F66" t="s">
        <v>117</v>
      </c>
      <c r="G66" t="s">
        <v>670</v>
      </c>
      <c r="H66" t="s">
        <v>670</v>
      </c>
      <c r="I66">
        <v>6.6299999999999998E-2</v>
      </c>
      <c r="J66">
        <v>8.5999999999999993E-2</v>
      </c>
      <c r="K66">
        <v>7.2300000000000003E-2</v>
      </c>
      <c r="L66">
        <v>8.7800000000000003E-2</v>
      </c>
      <c r="M66">
        <v>5.5300000000000002E-2</v>
      </c>
      <c r="N66">
        <v>4.1799999999999997E-2</v>
      </c>
      <c r="O66">
        <v>4.3900000000000002E-2</v>
      </c>
      <c r="P66">
        <v>2.0500000000000001E-2</v>
      </c>
      <c r="Q66">
        <v>0.05</v>
      </c>
      <c r="R66">
        <v>5.3199999999999997E-2</v>
      </c>
      <c r="S66">
        <v>6.7699999999999996E-2</v>
      </c>
      <c r="T66">
        <v>9.9500000000000005E-2</v>
      </c>
      <c r="U66">
        <v>9.2600000000000002E-2</v>
      </c>
      <c r="V66">
        <v>9.6000000000000002E-2</v>
      </c>
      <c r="W66">
        <v>0.10489999999999999</v>
      </c>
      <c r="X66">
        <v>7.8700000000000006E-2</v>
      </c>
      <c r="Y66">
        <v>8.6300000000000002E-2</v>
      </c>
      <c r="Z66">
        <v>7.7700000000000005E-2</v>
      </c>
      <c r="AA66">
        <v>6.7199999999999996E-2</v>
      </c>
      <c r="AB66">
        <v>9.8299999999999998E-2</v>
      </c>
      <c r="AC66">
        <v>0.12609999999999999</v>
      </c>
      <c r="AD66">
        <v>0.19639999999999999</v>
      </c>
      <c r="AE66">
        <v>0.26779999999999998</v>
      </c>
      <c r="AF66">
        <v>0.2442</v>
      </c>
      <c r="AG66">
        <v>0.20710000000000001</v>
      </c>
      <c r="AH66">
        <v>0.1762</v>
      </c>
      <c r="AI66">
        <v>9.8199999999999996E-2</v>
      </c>
      <c r="AJ66">
        <v>3.44E-2</v>
      </c>
      <c r="AK66">
        <v>2.23E-2</v>
      </c>
      <c r="AL66">
        <v>-3.0200000000000001E-2</v>
      </c>
      <c r="AM66">
        <v>-6.2100000000000002E-2</v>
      </c>
      <c r="AN66">
        <v>-4.7E-2</v>
      </c>
      <c r="AO66">
        <v>-4.6800000000000001E-2</v>
      </c>
      <c r="AP66">
        <v>-1.7000000000000001E-2</v>
      </c>
      <c r="AQ66">
        <v>2.8E-3</v>
      </c>
      <c r="AR66">
        <v>1.6299999999999999E-2</v>
      </c>
      <c r="AS66">
        <v>3.1800000000000002E-2</v>
      </c>
      <c r="AT66">
        <v>2.7699999999999999E-2</v>
      </c>
      <c r="AU66">
        <v>3.27E-2</v>
      </c>
      <c r="AV66">
        <v>3.1800000000000002E-2</v>
      </c>
    </row>
    <row r="67" spans="1:48" x14ac:dyDescent="0.25">
      <c r="A67" t="s">
        <v>182</v>
      </c>
      <c r="B67" t="s">
        <v>2</v>
      </c>
      <c r="C67" t="s">
        <v>182</v>
      </c>
      <c r="D67">
        <v>14300</v>
      </c>
      <c r="E67" t="s">
        <v>672</v>
      </c>
      <c r="F67" t="s">
        <v>117</v>
      </c>
      <c r="G67" t="s">
        <v>670</v>
      </c>
      <c r="H67" t="s">
        <v>670</v>
      </c>
      <c r="I67" t="s">
        <v>673</v>
      </c>
      <c r="J67" t="s">
        <v>673</v>
      </c>
      <c r="K67" t="s">
        <v>673</v>
      </c>
      <c r="L67" t="s">
        <v>673</v>
      </c>
      <c r="M67" t="s">
        <v>673</v>
      </c>
      <c r="N67" t="s">
        <v>673</v>
      </c>
      <c r="O67" t="s">
        <v>673</v>
      </c>
      <c r="P67" t="s">
        <v>673</v>
      </c>
      <c r="Q67" t="s">
        <v>673</v>
      </c>
      <c r="R67" t="s">
        <v>673</v>
      </c>
      <c r="S67" t="s">
        <v>673</v>
      </c>
      <c r="T67" t="s">
        <v>673</v>
      </c>
      <c r="U67" t="s">
        <v>673</v>
      </c>
      <c r="V67" t="s">
        <v>673</v>
      </c>
      <c r="W67" t="s">
        <v>673</v>
      </c>
      <c r="X67" t="s">
        <v>673</v>
      </c>
      <c r="Y67" t="s">
        <v>673</v>
      </c>
      <c r="Z67" t="s">
        <v>673</v>
      </c>
      <c r="AA67" t="s">
        <v>673</v>
      </c>
      <c r="AB67" t="s">
        <v>673</v>
      </c>
      <c r="AC67" t="s">
        <v>673</v>
      </c>
      <c r="AD67" t="s">
        <v>673</v>
      </c>
      <c r="AE67" t="s">
        <v>673</v>
      </c>
      <c r="AF67" t="s">
        <v>673</v>
      </c>
      <c r="AG67" t="s">
        <v>673</v>
      </c>
      <c r="AH67" t="s">
        <v>673</v>
      </c>
      <c r="AI67" t="s">
        <v>673</v>
      </c>
      <c r="AJ67" t="s">
        <v>673</v>
      </c>
      <c r="AK67" t="s">
        <v>673</v>
      </c>
      <c r="AL67" t="s">
        <v>673</v>
      </c>
      <c r="AM67" t="s">
        <v>673</v>
      </c>
      <c r="AN67" t="s">
        <v>673</v>
      </c>
      <c r="AO67" t="s">
        <v>673</v>
      </c>
      <c r="AP67" t="s">
        <v>673</v>
      </c>
      <c r="AQ67" t="s">
        <v>673</v>
      </c>
      <c r="AR67" t="s">
        <v>673</v>
      </c>
      <c r="AS67" t="s">
        <v>673</v>
      </c>
      <c r="AT67" t="s">
        <v>673</v>
      </c>
      <c r="AU67" t="s">
        <v>673</v>
      </c>
      <c r="AV67" t="s">
        <v>673</v>
      </c>
    </row>
    <row r="68" spans="1:48" x14ac:dyDescent="0.25">
      <c r="A68" t="s">
        <v>183</v>
      </c>
      <c r="B68" t="s">
        <v>2</v>
      </c>
      <c r="C68" t="s">
        <v>183</v>
      </c>
      <c r="D68">
        <v>14380</v>
      </c>
      <c r="E68" t="s">
        <v>672</v>
      </c>
      <c r="F68" t="s">
        <v>117</v>
      </c>
      <c r="G68" t="s">
        <v>670</v>
      </c>
      <c r="H68" t="s">
        <v>670</v>
      </c>
      <c r="I68" t="s">
        <v>673</v>
      </c>
      <c r="J68" t="s">
        <v>673</v>
      </c>
      <c r="K68" t="s">
        <v>673</v>
      </c>
      <c r="L68" t="s">
        <v>673</v>
      </c>
      <c r="M68" t="s">
        <v>673</v>
      </c>
      <c r="N68" t="s">
        <v>673</v>
      </c>
      <c r="O68" t="s">
        <v>673</v>
      </c>
      <c r="P68" t="s">
        <v>673</v>
      </c>
      <c r="Q68" t="s">
        <v>673</v>
      </c>
      <c r="R68" t="s">
        <v>673</v>
      </c>
      <c r="S68" t="s">
        <v>673</v>
      </c>
      <c r="T68">
        <v>0.1012</v>
      </c>
      <c r="U68">
        <v>0.1057</v>
      </c>
      <c r="V68">
        <v>0.22220000000000001</v>
      </c>
      <c r="W68">
        <v>0.27989999999999998</v>
      </c>
      <c r="X68">
        <v>0.15079999999999999</v>
      </c>
      <c r="Y68">
        <v>0.1426</v>
      </c>
      <c r="Z68">
        <v>3.5000000000000003E-2</v>
      </c>
      <c r="AA68">
        <v>-8.3999999999999995E-3</v>
      </c>
      <c r="AB68">
        <v>4.2599999999999999E-2</v>
      </c>
      <c r="AC68">
        <v>4.5900000000000003E-2</v>
      </c>
      <c r="AD68">
        <v>3.7900000000000003E-2</v>
      </c>
      <c r="AE68">
        <v>3.4500000000000003E-2</v>
      </c>
      <c r="AF68">
        <v>2.8999999999999998E-3</v>
      </c>
      <c r="AG68">
        <v>3.8300000000000001E-2</v>
      </c>
      <c r="AH68" t="s">
        <v>673</v>
      </c>
      <c r="AI68" t="s">
        <v>673</v>
      </c>
      <c r="AJ68" t="s">
        <v>673</v>
      </c>
      <c r="AK68" t="s">
        <v>673</v>
      </c>
      <c r="AL68">
        <v>0.25769999999999998</v>
      </c>
      <c r="AM68">
        <v>0.26469999999999999</v>
      </c>
      <c r="AN68">
        <v>0.22289999999999999</v>
      </c>
      <c r="AO68">
        <v>0.16259999999999999</v>
      </c>
      <c r="AP68">
        <v>9.1999999999999998E-2</v>
      </c>
      <c r="AQ68">
        <v>0.10440000000000001</v>
      </c>
      <c r="AR68">
        <v>0.11550000000000001</v>
      </c>
      <c r="AS68">
        <v>8.8700000000000001E-2</v>
      </c>
      <c r="AT68" t="s">
        <v>673</v>
      </c>
      <c r="AU68" t="s">
        <v>673</v>
      </c>
      <c r="AV68">
        <v>2.81E-2</v>
      </c>
    </row>
    <row r="69" spans="1:48" x14ac:dyDescent="0.25">
      <c r="A69" t="s">
        <v>184</v>
      </c>
      <c r="B69" t="s">
        <v>2</v>
      </c>
      <c r="C69" t="s">
        <v>184</v>
      </c>
      <c r="D69">
        <v>14460</v>
      </c>
      <c r="E69" t="s">
        <v>672</v>
      </c>
      <c r="F69" t="s">
        <v>117</v>
      </c>
      <c r="G69" t="s">
        <v>670</v>
      </c>
      <c r="H69" t="s">
        <v>670</v>
      </c>
      <c r="I69">
        <v>6.6400000000000001E-2</v>
      </c>
      <c r="J69">
        <v>5.67E-2</v>
      </c>
      <c r="K69">
        <v>4.02E-2</v>
      </c>
      <c r="L69">
        <v>2.7E-2</v>
      </c>
      <c r="M69">
        <v>2.6800000000000001E-2</v>
      </c>
      <c r="N69">
        <v>2.47E-2</v>
      </c>
      <c r="O69">
        <v>3.5499999999999997E-2</v>
      </c>
      <c r="P69">
        <v>2.87E-2</v>
      </c>
      <c r="Q69">
        <v>3.9600000000000003E-2</v>
      </c>
      <c r="R69">
        <v>3.7900000000000003E-2</v>
      </c>
      <c r="S69">
        <v>4.0500000000000001E-2</v>
      </c>
      <c r="T69">
        <v>6.0299999999999999E-2</v>
      </c>
      <c r="U69">
        <v>5.0700000000000002E-2</v>
      </c>
      <c r="V69">
        <v>4.9000000000000002E-2</v>
      </c>
      <c r="W69">
        <v>6.0699999999999997E-2</v>
      </c>
      <c r="X69">
        <v>4.4900000000000002E-2</v>
      </c>
      <c r="Y69">
        <v>4.5499999999999999E-2</v>
      </c>
      <c r="Z69">
        <v>-5.0000000000000001E-3</v>
      </c>
      <c r="AA69">
        <v>-5.9200000000000003E-2</v>
      </c>
      <c r="AB69">
        <v>-8.0100000000000005E-2</v>
      </c>
      <c r="AC69">
        <v>-8.4900000000000003E-2</v>
      </c>
      <c r="AD69">
        <v>-2.2800000000000001E-2</v>
      </c>
      <c r="AE69">
        <v>7.4399999999999994E-2</v>
      </c>
      <c r="AF69">
        <v>0.14030000000000001</v>
      </c>
      <c r="AG69">
        <v>0.17150000000000001</v>
      </c>
      <c r="AH69">
        <v>0.16750000000000001</v>
      </c>
      <c r="AI69">
        <v>0.1193</v>
      </c>
      <c r="AJ69">
        <v>9.5899999999999999E-2</v>
      </c>
      <c r="AK69">
        <v>7.5499999999999998E-2</v>
      </c>
      <c r="AL69">
        <v>5.5800000000000002E-2</v>
      </c>
      <c r="AM69">
        <v>4.9299999999999997E-2</v>
      </c>
      <c r="AN69">
        <v>4.6300000000000001E-2</v>
      </c>
      <c r="AO69">
        <v>4.5600000000000002E-2</v>
      </c>
      <c r="AP69">
        <v>3.3599999999999998E-2</v>
      </c>
      <c r="AQ69">
        <v>3.2199999999999999E-2</v>
      </c>
      <c r="AR69">
        <v>2.3800000000000002E-2</v>
      </c>
      <c r="AS69">
        <v>2.4400000000000002E-2</v>
      </c>
      <c r="AT69">
        <v>3.6200000000000003E-2</v>
      </c>
      <c r="AU69">
        <v>2.1600000000000001E-2</v>
      </c>
      <c r="AV69">
        <v>7.7999999999999996E-3</v>
      </c>
    </row>
    <row r="70" spans="1:48" x14ac:dyDescent="0.25">
      <c r="A70" t="s">
        <v>185</v>
      </c>
      <c r="B70" t="s">
        <v>2</v>
      </c>
      <c r="C70" t="s">
        <v>185</v>
      </c>
      <c r="D70">
        <v>14500</v>
      </c>
      <c r="E70" t="s">
        <v>672</v>
      </c>
      <c r="F70" t="s">
        <v>117</v>
      </c>
      <c r="G70" t="s">
        <v>670</v>
      </c>
      <c r="H70" t="s">
        <v>670</v>
      </c>
      <c r="I70">
        <v>6.8400000000000002E-2</v>
      </c>
      <c r="J70">
        <v>2.1100000000000001E-2</v>
      </c>
      <c r="K70">
        <v>8.9999999999999993E-3</v>
      </c>
      <c r="L70">
        <v>2.7400000000000001E-2</v>
      </c>
      <c r="M70">
        <v>3.3000000000000002E-2</v>
      </c>
      <c r="N70">
        <v>6.2600000000000003E-2</v>
      </c>
      <c r="O70">
        <v>6.5000000000000002E-2</v>
      </c>
      <c r="P70">
        <v>6.4000000000000001E-2</v>
      </c>
      <c r="Q70">
        <v>4.6800000000000001E-2</v>
      </c>
      <c r="R70">
        <v>2.3800000000000002E-2</v>
      </c>
      <c r="S70">
        <v>2.7699999999999999E-2</v>
      </c>
      <c r="T70">
        <v>2.1999999999999999E-2</v>
      </c>
      <c r="U70">
        <v>2.5700000000000001E-2</v>
      </c>
      <c r="V70">
        <v>3.9300000000000002E-2</v>
      </c>
      <c r="W70">
        <v>3.3300000000000003E-2</v>
      </c>
      <c r="X70">
        <v>3.09E-2</v>
      </c>
      <c r="Y70">
        <v>2.8500000000000001E-2</v>
      </c>
      <c r="Z70">
        <v>-2.8799999999999999E-2</v>
      </c>
      <c r="AA70">
        <v>-3.2800000000000003E-2</v>
      </c>
      <c r="AB70">
        <v>-3.5299999999999998E-2</v>
      </c>
      <c r="AC70">
        <v>-2.7900000000000001E-2</v>
      </c>
      <c r="AD70">
        <v>4.4499999999999998E-2</v>
      </c>
      <c r="AE70">
        <v>0.1008</v>
      </c>
      <c r="AF70">
        <v>0.14649999999999999</v>
      </c>
      <c r="AG70">
        <v>0.17349999999999999</v>
      </c>
      <c r="AH70">
        <v>0.14630000000000001</v>
      </c>
      <c r="AI70">
        <v>0.11650000000000001</v>
      </c>
      <c r="AJ70">
        <v>8.2199999999999995E-2</v>
      </c>
      <c r="AK70">
        <v>5.0200000000000002E-2</v>
      </c>
      <c r="AL70">
        <v>3.95E-2</v>
      </c>
      <c r="AM70">
        <v>2.5399999999999999E-2</v>
      </c>
      <c r="AN70">
        <v>8.8999999999999999E-3</v>
      </c>
      <c r="AO70">
        <v>3.5999999999999999E-3</v>
      </c>
      <c r="AP70">
        <v>2.0000000000000001E-4</v>
      </c>
      <c r="AQ70">
        <v>-2.3E-3</v>
      </c>
      <c r="AR70">
        <v>-1.49E-2</v>
      </c>
      <c r="AS70">
        <v>-7.1999999999999998E-3</v>
      </c>
      <c r="AT70">
        <v>1.5900000000000001E-2</v>
      </c>
      <c r="AU70">
        <v>-8.9999999999999993E-3</v>
      </c>
      <c r="AV70">
        <v>-3.73E-2</v>
      </c>
    </row>
    <row r="71" spans="1:48" x14ac:dyDescent="0.25">
      <c r="A71" t="s">
        <v>186</v>
      </c>
      <c r="B71" t="s">
        <v>2</v>
      </c>
      <c r="C71" t="s">
        <v>186</v>
      </c>
      <c r="D71">
        <v>14540</v>
      </c>
      <c r="E71" t="s">
        <v>672</v>
      </c>
      <c r="F71" t="s">
        <v>117</v>
      </c>
      <c r="G71" t="s">
        <v>670</v>
      </c>
      <c r="H71" t="s">
        <v>670</v>
      </c>
      <c r="I71">
        <v>5.8900000000000001E-2</v>
      </c>
      <c r="J71">
        <v>2.3E-2</v>
      </c>
      <c r="K71">
        <v>0.13109999999999999</v>
      </c>
      <c r="L71">
        <v>9.9199999999999997E-2</v>
      </c>
      <c r="M71">
        <v>9.0899999999999995E-2</v>
      </c>
      <c r="N71">
        <v>1.8599999999999998E-2</v>
      </c>
      <c r="O71">
        <v>-4.9000000000000002E-2</v>
      </c>
      <c r="P71">
        <v>-5.45E-2</v>
      </c>
      <c r="Q71">
        <v>-6.4299999999999996E-2</v>
      </c>
      <c r="R71">
        <v>7.0000000000000001E-3</v>
      </c>
      <c r="S71">
        <v>-1.49E-2</v>
      </c>
      <c r="T71">
        <v>3.0300000000000001E-2</v>
      </c>
      <c r="U71">
        <v>2.6700000000000002E-2</v>
      </c>
      <c r="V71">
        <v>6.0000000000000001E-3</v>
      </c>
      <c r="W71">
        <v>-5.0000000000000001E-4</v>
      </c>
      <c r="X71">
        <v>-4.0899999999999999E-2</v>
      </c>
      <c r="Y71">
        <v>4.4999999999999998E-2</v>
      </c>
      <c r="Z71">
        <v>7.7499999999999999E-2</v>
      </c>
      <c r="AA71">
        <v>8.6599999999999996E-2</v>
      </c>
      <c r="AB71">
        <v>9.8400000000000001E-2</v>
      </c>
      <c r="AC71">
        <v>5.7099999999999998E-2</v>
      </c>
      <c r="AD71">
        <v>7.1199999999999999E-2</v>
      </c>
      <c r="AE71">
        <v>0.14610000000000001</v>
      </c>
      <c r="AF71">
        <v>0.1888</v>
      </c>
      <c r="AG71">
        <v>0.25</v>
      </c>
      <c r="AH71">
        <v>0.25650000000000001</v>
      </c>
      <c r="AI71">
        <v>0.16839999999999999</v>
      </c>
      <c r="AJ71">
        <v>9.2600000000000002E-2</v>
      </c>
      <c r="AK71">
        <v>2.9499999999999998E-2</v>
      </c>
      <c r="AL71">
        <v>4.2599999999999999E-2</v>
      </c>
      <c r="AM71">
        <v>3.9800000000000002E-2</v>
      </c>
      <c r="AN71">
        <v>7.4899999999999994E-2</v>
      </c>
      <c r="AO71">
        <v>4.2700000000000002E-2</v>
      </c>
      <c r="AP71">
        <v>1.9E-2</v>
      </c>
      <c r="AQ71">
        <v>-8.8000000000000005E-3</v>
      </c>
      <c r="AR71">
        <v>-2.5999999999999999E-2</v>
      </c>
      <c r="AS71">
        <v>-1.43E-2</v>
      </c>
      <c r="AT71">
        <v>-1.9099999999999999E-2</v>
      </c>
      <c r="AU71">
        <v>-3.8199999999999998E-2</v>
      </c>
      <c r="AV71">
        <v>-4.5100000000000001E-2</v>
      </c>
    </row>
    <row r="72" spans="1:48" x14ac:dyDescent="0.25">
      <c r="A72" t="s">
        <v>187</v>
      </c>
      <c r="B72" t="s">
        <v>2</v>
      </c>
      <c r="C72" t="s">
        <v>187</v>
      </c>
      <c r="D72">
        <v>14580</v>
      </c>
      <c r="E72" t="s">
        <v>672</v>
      </c>
      <c r="F72" t="s">
        <v>117</v>
      </c>
      <c r="G72" t="s">
        <v>670</v>
      </c>
      <c r="H72" t="s">
        <v>670</v>
      </c>
      <c r="I72">
        <v>2.3800000000000002E-2</v>
      </c>
      <c r="J72">
        <v>9.3899999999999997E-2</v>
      </c>
      <c r="K72">
        <v>9.6699999999999994E-2</v>
      </c>
      <c r="L72">
        <v>9.2899999999999996E-2</v>
      </c>
      <c r="M72">
        <v>9.0399999999999994E-2</v>
      </c>
      <c r="N72">
        <v>3.8800000000000001E-2</v>
      </c>
      <c r="O72">
        <v>3.85E-2</v>
      </c>
      <c r="P72">
        <v>4.8800000000000003E-2</v>
      </c>
      <c r="Q72">
        <v>7.0800000000000002E-2</v>
      </c>
      <c r="R72">
        <v>7.4099999999999999E-2</v>
      </c>
      <c r="S72">
        <v>6.3600000000000004E-2</v>
      </c>
      <c r="T72">
        <v>4.53E-2</v>
      </c>
      <c r="U72">
        <v>4.2799999999999998E-2</v>
      </c>
      <c r="V72">
        <v>3.85E-2</v>
      </c>
      <c r="W72">
        <v>1.7600000000000001E-2</v>
      </c>
      <c r="X72">
        <v>3.2800000000000003E-2</v>
      </c>
      <c r="Y72">
        <v>1.9199999999999998E-2</v>
      </c>
      <c r="Z72" t="s">
        <v>673</v>
      </c>
      <c r="AA72">
        <v>0.1242</v>
      </c>
      <c r="AB72">
        <v>0.1358</v>
      </c>
      <c r="AC72">
        <v>0.184</v>
      </c>
      <c r="AD72">
        <v>0.13350000000000001</v>
      </c>
      <c r="AE72">
        <v>0.4521</v>
      </c>
      <c r="AF72">
        <v>0.56379999999999997</v>
      </c>
      <c r="AG72">
        <v>0.39760000000000001</v>
      </c>
      <c r="AH72">
        <v>0.49209999999999998</v>
      </c>
      <c r="AI72">
        <v>0.22720000000000001</v>
      </c>
      <c r="AJ72">
        <v>3.7000000000000002E-3</v>
      </c>
      <c r="AK72">
        <v>6.5000000000000002E-2</v>
      </c>
      <c r="AL72">
        <v>-4.0000000000000002E-4</v>
      </c>
      <c r="AM72">
        <v>-6.1199999999999997E-2</v>
      </c>
      <c r="AN72">
        <v>-1.37E-2</v>
      </c>
      <c r="AO72">
        <v>-4.0399999999999998E-2</v>
      </c>
      <c r="AP72">
        <v>-5.6000000000000001E-2</v>
      </c>
      <c r="AQ72">
        <v>-3.61E-2</v>
      </c>
      <c r="AR72">
        <v>-7.9000000000000008E-3</v>
      </c>
      <c r="AS72">
        <v>-2.0799999999999999E-2</v>
      </c>
      <c r="AT72">
        <v>-2.1700000000000001E-2</v>
      </c>
      <c r="AU72">
        <v>-0.1072</v>
      </c>
      <c r="AV72">
        <v>-0.1087</v>
      </c>
    </row>
    <row r="73" spans="1:48" x14ac:dyDescent="0.25">
      <c r="A73" t="s">
        <v>188</v>
      </c>
      <c r="B73" t="s">
        <v>2</v>
      </c>
      <c r="C73" t="s">
        <v>188</v>
      </c>
      <c r="D73">
        <v>14660</v>
      </c>
      <c r="E73" t="s">
        <v>672</v>
      </c>
      <c r="F73" t="s">
        <v>117</v>
      </c>
      <c r="G73" t="s">
        <v>670</v>
      </c>
      <c r="H73" t="s">
        <v>670</v>
      </c>
      <c r="I73" t="s">
        <v>673</v>
      </c>
      <c r="J73" t="s">
        <v>673</v>
      </c>
      <c r="K73" t="s">
        <v>673</v>
      </c>
      <c r="L73" t="s">
        <v>673</v>
      </c>
      <c r="M73" t="s">
        <v>673</v>
      </c>
      <c r="N73" t="s">
        <v>673</v>
      </c>
      <c r="O73" t="s">
        <v>673</v>
      </c>
      <c r="P73" t="s">
        <v>673</v>
      </c>
      <c r="Q73" t="s">
        <v>673</v>
      </c>
      <c r="R73" t="s">
        <v>673</v>
      </c>
      <c r="S73" t="s">
        <v>673</v>
      </c>
      <c r="T73" t="s">
        <v>673</v>
      </c>
      <c r="U73" t="s">
        <v>673</v>
      </c>
      <c r="V73" t="s">
        <v>673</v>
      </c>
      <c r="W73" t="s">
        <v>673</v>
      </c>
      <c r="X73" t="s">
        <v>673</v>
      </c>
      <c r="Y73" t="s">
        <v>673</v>
      </c>
      <c r="Z73" t="s">
        <v>673</v>
      </c>
      <c r="AA73" t="s">
        <v>673</v>
      </c>
      <c r="AB73" t="s">
        <v>673</v>
      </c>
      <c r="AC73" t="s">
        <v>673</v>
      </c>
      <c r="AD73" t="s">
        <v>673</v>
      </c>
      <c r="AE73" t="s">
        <v>673</v>
      </c>
      <c r="AF73" t="s">
        <v>673</v>
      </c>
      <c r="AG73" t="s">
        <v>673</v>
      </c>
      <c r="AH73" t="s">
        <v>673</v>
      </c>
      <c r="AI73" t="s">
        <v>673</v>
      </c>
      <c r="AJ73" t="s">
        <v>673</v>
      </c>
      <c r="AK73" t="s">
        <v>673</v>
      </c>
      <c r="AL73" t="s">
        <v>673</v>
      </c>
      <c r="AM73" t="s">
        <v>673</v>
      </c>
      <c r="AN73" t="s">
        <v>673</v>
      </c>
      <c r="AO73" t="s">
        <v>673</v>
      </c>
      <c r="AP73" t="s">
        <v>673</v>
      </c>
      <c r="AQ73" t="s">
        <v>673</v>
      </c>
      <c r="AR73">
        <v>0.20649999999999999</v>
      </c>
      <c r="AS73">
        <v>0.16900000000000001</v>
      </c>
      <c r="AT73">
        <v>0.1285</v>
      </c>
      <c r="AU73">
        <v>7.6999999999999999E-2</v>
      </c>
      <c r="AV73">
        <v>2.1000000000000001E-2</v>
      </c>
    </row>
    <row r="74" spans="1:48" x14ac:dyDescent="0.25">
      <c r="A74" t="s">
        <v>189</v>
      </c>
      <c r="B74" t="s">
        <v>2</v>
      </c>
      <c r="C74" t="s">
        <v>189</v>
      </c>
      <c r="D74">
        <v>14700</v>
      </c>
      <c r="E74" t="s">
        <v>672</v>
      </c>
      <c r="F74" t="s">
        <v>117</v>
      </c>
      <c r="G74" t="s">
        <v>670</v>
      </c>
      <c r="H74" t="s">
        <v>670</v>
      </c>
      <c r="I74" t="s">
        <v>673</v>
      </c>
      <c r="J74" t="s">
        <v>673</v>
      </c>
      <c r="K74" t="s">
        <v>673</v>
      </c>
      <c r="L74" t="s">
        <v>673</v>
      </c>
      <c r="M74" t="s">
        <v>673</v>
      </c>
      <c r="N74" t="s">
        <v>673</v>
      </c>
      <c r="O74" t="s">
        <v>673</v>
      </c>
      <c r="P74">
        <v>-4.3400000000000001E-2</v>
      </c>
      <c r="Q74">
        <v>-3.2000000000000002E-3</v>
      </c>
      <c r="R74">
        <v>9.7999999999999997E-3</v>
      </c>
      <c r="S74">
        <v>1.44E-2</v>
      </c>
      <c r="T74">
        <v>2.8299999999999999E-2</v>
      </c>
      <c r="U74">
        <v>2.81E-2</v>
      </c>
      <c r="V74">
        <v>1.7999999999999999E-2</v>
      </c>
      <c r="W74">
        <v>2.2100000000000002E-2</v>
      </c>
      <c r="X74">
        <v>2.1100000000000001E-2</v>
      </c>
      <c r="Y74">
        <v>2.1100000000000001E-2</v>
      </c>
      <c r="Z74">
        <v>1.41E-2</v>
      </c>
      <c r="AA74">
        <v>1.4500000000000001E-2</v>
      </c>
      <c r="AB74">
        <v>2.1100000000000001E-2</v>
      </c>
      <c r="AC74">
        <v>2.1399999999999999E-2</v>
      </c>
      <c r="AD74">
        <v>3.5999999999999997E-2</v>
      </c>
      <c r="AE74">
        <v>5.11E-2</v>
      </c>
      <c r="AF74">
        <v>-5.7999999999999996E-3</v>
      </c>
      <c r="AG74">
        <v>-1.5299999999999999E-2</v>
      </c>
      <c r="AH74">
        <v>-1.3899999999999999E-2</v>
      </c>
      <c r="AI74">
        <v>1.9400000000000001E-2</v>
      </c>
      <c r="AJ74">
        <v>8.6999999999999994E-2</v>
      </c>
      <c r="AK74">
        <v>0.1104</v>
      </c>
      <c r="AL74">
        <v>0.1008</v>
      </c>
      <c r="AM74">
        <v>5.1799999999999999E-2</v>
      </c>
      <c r="AN74">
        <v>4.5199999999999997E-2</v>
      </c>
      <c r="AO74">
        <v>3.9300000000000002E-2</v>
      </c>
      <c r="AP74">
        <v>6.4199999999999993E-2</v>
      </c>
      <c r="AQ74">
        <v>6.9900000000000004E-2</v>
      </c>
      <c r="AR74">
        <v>4.3900000000000002E-2</v>
      </c>
      <c r="AS74">
        <v>4.5499999999999999E-2</v>
      </c>
      <c r="AT74">
        <v>2.1399999999999999E-2</v>
      </c>
      <c r="AU74" t="s">
        <v>673</v>
      </c>
      <c r="AV74" t="s">
        <v>673</v>
      </c>
    </row>
    <row r="75" spans="1:48" x14ac:dyDescent="0.25">
      <c r="A75" t="s">
        <v>190</v>
      </c>
      <c r="B75" t="s">
        <v>2</v>
      </c>
      <c r="C75" t="s">
        <v>190</v>
      </c>
      <c r="D75">
        <v>14720</v>
      </c>
      <c r="E75" t="s">
        <v>672</v>
      </c>
      <c r="F75" t="s">
        <v>117</v>
      </c>
      <c r="G75" t="s">
        <v>670</v>
      </c>
      <c r="H75" t="s">
        <v>670</v>
      </c>
      <c r="I75" t="s">
        <v>673</v>
      </c>
      <c r="J75" t="s">
        <v>673</v>
      </c>
      <c r="K75" t="s">
        <v>673</v>
      </c>
      <c r="L75" t="s">
        <v>673</v>
      </c>
      <c r="M75" t="s">
        <v>673</v>
      </c>
      <c r="N75" t="s">
        <v>673</v>
      </c>
      <c r="O75" t="s">
        <v>673</v>
      </c>
      <c r="P75" t="s">
        <v>673</v>
      </c>
      <c r="Q75" t="s">
        <v>673</v>
      </c>
      <c r="R75" t="s">
        <v>673</v>
      </c>
      <c r="S75" t="s">
        <v>673</v>
      </c>
      <c r="T75" t="s">
        <v>673</v>
      </c>
      <c r="U75" t="s">
        <v>673</v>
      </c>
      <c r="V75" t="s">
        <v>673</v>
      </c>
      <c r="W75" t="s">
        <v>673</v>
      </c>
      <c r="X75" t="s">
        <v>673</v>
      </c>
      <c r="Y75" t="s">
        <v>673</v>
      </c>
      <c r="Z75" t="s">
        <v>673</v>
      </c>
      <c r="AA75" t="s">
        <v>673</v>
      </c>
      <c r="AB75" t="s">
        <v>673</v>
      </c>
      <c r="AC75" t="s">
        <v>673</v>
      </c>
      <c r="AD75" t="s">
        <v>673</v>
      </c>
      <c r="AE75" t="s">
        <v>673</v>
      </c>
      <c r="AF75" t="s">
        <v>673</v>
      </c>
      <c r="AG75" t="s">
        <v>673</v>
      </c>
      <c r="AH75" t="s">
        <v>673</v>
      </c>
      <c r="AI75" t="s">
        <v>673</v>
      </c>
      <c r="AJ75" t="s">
        <v>673</v>
      </c>
      <c r="AK75" t="s">
        <v>673</v>
      </c>
      <c r="AL75" t="s">
        <v>673</v>
      </c>
      <c r="AM75" t="s">
        <v>673</v>
      </c>
      <c r="AN75" t="s">
        <v>673</v>
      </c>
      <c r="AO75" t="s">
        <v>673</v>
      </c>
      <c r="AP75" t="s">
        <v>673</v>
      </c>
      <c r="AQ75" t="s">
        <v>673</v>
      </c>
      <c r="AR75" t="s">
        <v>673</v>
      </c>
      <c r="AS75" t="s">
        <v>673</v>
      </c>
      <c r="AT75" t="s">
        <v>673</v>
      </c>
      <c r="AU75" t="s">
        <v>673</v>
      </c>
      <c r="AV75" t="s">
        <v>673</v>
      </c>
    </row>
    <row r="76" spans="1:48" x14ac:dyDescent="0.25">
      <c r="A76" t="s">
        <v>191</v>
      </c>
      <c r="B76" t="s">
        <v>2</v>
      </c>
      <c r="C76" t="s">
        <v>191</v>
      </c>
      <c r="D76">
        <v>14740</v>
      </c>
      <c r="E76" t="s">
        <v>672</v>
      </c>
      <c r="F76" t="s">
        <v>117</v>
      </c>
      <c r="G76" t="s">
        <v>670</v>
      </c>
      <c r="H76" t="s">
        <v>670</v>
      </c>
      <c r="I76">
        <v>0.1125</v>
      </c>
      <c r="J76">
        <v>0.14979999999999999</v>
      </c>
      <c r="K76">
        <v>0.1246</v>
      </c>
      <c r="L76">
        <v>9.1600000000000001E-2</v>
      </c>
      <c r="M76">
        <v>9.4100000000000003E-2</v>
      </c>
      <c r="N76">
        <v>4.9000000000000002E-2</v>
      </c>
      <c r="O76">
        <v>2.6499999999999999E-2</v>
      </c>
      <c r="P76">
        <v>3.1699999999999999E-2</v>
      </c>
      <c r="Q76">
        <v>5.3199999999999997E-2</v>
      </c>
      <c r="R76">
        <v>4.65E-2</v>
      </c>
      <c r="S76">
        <v>4.8300000000000003E-2</v>
      </c>
      <c r="T76">
        <v>6.8099999999999994E-2</v>
      </c>
      <c r="U76">
        <v>8.9399999999999993E-2</v>
      </c>
      <c r="V76">
        <v>9.5299999999999996E-2</v>
      </c>
      <c r="W76">
        <v>9.2100000000000001E-2</v>
      </c>
      <c r="X76">
        <v>6.7599999999999993E-2</v>
      </c>
      <c r="Y76">
        <v>4.0399999999999998E-2</v>
      </c>
      <c r="Z76">
        <v>-2.3699999999999999E-2</v>
      </c>
      <c r="AA76">
        <v>-5.7999999999999996E-3</v>
      </c>
      <c r="AB76">
        <v>1.61E-2</v>
      </c>
      <c r="AC76">
        <v>3.27E-2</v>
      </c>
      <c r="AD76">
        <v>0.14660000000000001</v>
      </c>
      <c r="AE76">
        <v>0.2208</v>
      </c>
      <c r="AF76">
        <v>0.27439999999999998</v>
      </c>
      <c r="AG76">
        <v>0.21790000000000001</v>
      </c>
      <c r="AH76">
        <v>0.1363</v>
      </c>
      <c r="AI76">
        <v>5.33E-2</v>
      </c>
      <c r="AJ76">
        <v>-4.1700000000000001E-2</v>
      </c>
      <c r="AK76">
        <v>-7.2700000000000001E-2</v>
      </c>
      <c r="AL76">
        <v>-8.4699999999999998E-2</v>
      </c>
      <c r="AM76">
        <v>-8.3599999999999994E-2</v>
      </c>
      <c r="AN76">
        <v>-2.76E-2</v>
      </c>
      <c r="AO76">
        <v>1.37E-2</v>
      </c>
      <c r="AP76">
        <v>6.0400000000000002E-2</v>
      </c>
      <c r="AQ76">
        <v>6.0199999999999997E-2</v>
      </c>
      <c r="AR76">
        <v>6.4199999999999993E-2</v>
      </c>
      <c r="AS76">
        <v>5.9400000000000001E-2</v>
      </c>
      <c r="AT76">
        <v>3.3000000000000002E-2</v>
      </c>
      <c r="AU76">
        <v>1.9E-2</v>
      </c>
      <c r="AV76">
        <v>-1.1299999999999999E-2</v>
      </c>
    </row>
    <row r="77" spans="1:48" x14ac:dyDescent="0.25">
      <c r="A77" t="s">
        <v>192</v>
      </c>
      <c r="B77" t="s">
        <v>2</v>
      </c>
      <c r="C77" t="s">
        <v>192</v>
      </c>
      <c r="D77">
        <v>14780</v>
      </c>
      <c r="E77" t="s">
        <v>672</v>
      </c>
      <c r="F77" t="s">
        <v>117</v>
      </c>
      <c r="G77" t="s">
        <v>670</v>
      </c>
      <c r="H77" t="s">
        <v>670</v>
      </c>
      <c r="I77" t="s">
        <v>673</v>
      </c>
      <c r="J77">
        <v>-2.3199999999999998E-2</v>
      </c>
      <c r="K77" t="s">
        <v>673</v>
      </c>
      <c r="L77" t="s">
        <v>673</v>
      </c>
      <c r="M77" t="s">
        <v>673</v>
      </c>
      <c r="N77">
        <v>-8.0999999999999996E-3</v>
      </c>
      <c r="O77">
        <v>-7.17E-2</v>
      </c>
      <c r="P77">
        <v>-4.0500000000000001E-2</v>
      </c>
      <c r="Q77">
        <v>2E-3</v>
      </c>
      <c r="R77">
        <v>9.0300000000000005E-2</v>
      </c>
      <c r="S77">
        <v>5.6000000000000001E-2</v>
      </c>
      <c r="T77">
        <v>0.1037</v>
      </c>
      <c r="U77">
        <v>6.5299999999999997E-2</v>
      </c>
      <c r="V77">
        <v>3.5900000000000001E-2</v>
      </c>
      <c r="W77">
        <v>6.3E-2</v>
      </c>
      <c r="X77">
        <v>-5.1000000000000004E-3</v>
      </c>
      <c r="Y77">
        <v>-1.4800000000000001E-2</v>
      </c>
      <c r="Z77">
        <v>-7.9000000000000008E-3</v>
      </c>
      <c r="AA77">
        <v>3.3E-3</v>
      </c>
      <c r="AB77">
        <v>1.7299999999999999E-2</v>
      </c>
      <c r="AC77" t="s">
        <v>673</v>
      </c>
      <c r="AD77" t="s">
        <v>673</v>
      </c>
      <c r="AE77" t="s">
        <v>673</v>
      </c>
      <c r="AF77" t="s">
        <v>673</v>
      </c>
      <c r="AG77" t="s">
        <v>673</v>
      </c>
      <c r="AH77" t="s">
        <v>673</v>
      </c>
      <c r="AI77" t="s">
        <v>673</v>
      </c>
      <c r="AJ77" t="s">
        <v>673</v>
      </c>
      <c r="AK77" t="s">
        <v>673</v>
      </c>
      <c r="AL77" t="s">
        <v>673</v>
      </c>
      <c r="AM77" t="s">
        <v>673</v>
      </c>
      <c r="AN77" t="s">
        <v>673</v>
      </c>
      <c r="AO77" t="s">
        <v>673</v>
      </c>
      <c r="AP77" t="s">
        <v>673</v>
      </c>
      <c r="AQ77" t="s">
        <v>673</v>
      </c>
      <c r="AR77" t="s">
        <v>673</v>
      </c>
      <c r="AS77" t="s">
        <v>673</v>
      </c>
      <c r="AT77" t="s">
        <v>673</v>
      </c>
      <c r="AU77" t="s">
        <v>673</v>
      </c>
      <c r="AV77" t="s">
        <v>673</v>
      </c>
    </row>
    <row r="78" spans="1:48" x14ac:dyDescent="0.25">
      <c r="A78" t="s">
        <v>193</v>
      </c>
      <c r="B78" t="s">
        <v>2</v>
      </c>
      <c r="C78" t="s">
        <v>193</v>
      </c>
      <c r="D78">
        <v>14860</v>
      </c>
      <c r="E78" t="s">
        <v>672</v>
      </c>
      <c r="F78" t="s">
        <v>117</v>
      </c>
      <c r="G78" t="s">
        <v>670</v>
      </c>
      <c r="H78" t="s">
        <v>670</v>
      </c>
      <c r="I78">
        <v>4.2000000000000003E-2</v>
      </c>
      <c r="J78">
        <v>6.6E-3</v>
      </c>
      <c r="K78">
        <v>2.9999999999999997E-4</v>
      </c>
      <c r="L78">
        <v>2E-3</v>
      </c>
      <c r="M78">
        <v>1.18E-2</v>
      </c>
      <c r="N78">
        <v>2.9100000000000001E-2</v>
      </c>
      <c r="O78">
        <v>1.9599999999999999E-2</v>
      </c>
      <c r="P78">
        <v>1.2699999999999999E-2</v>
      </c>
      <c r="Q78">
        <v>1.2699999999999999E-2</v>
      </c>
      <c r="R78">
        <v>7.6E-3</v>
      </c>
      <c r="S78">
        <v>1.5599999999999999E-2</v>
      </c>
      <c r="T78">
        <v>3.1E-2</v>
      </c>
      <c r="U78">
        <v>1.2800000000000001E-2</v>
      </c>
      <c r="V78">
        <v>1.49E-2</v>
      </c>
      <c r="W78">
        <v>2.9000000000000001E-2</v>
      </c>
      <c r="X78">
        <v>1.7100000000000001E-2</v>
      </c>
      <c r="Y78">
        <v>6.7999999999999996E-3</v>
      </c>
      <c r="Z78">
        <v>-2.5000000000000001E-2</v>
      </c>
      <c r="AA78">
        <v>-3.2300000000000002E-2</v>
      </c>
      <c r="AB78">
        <v>-1.7100000000000001E-2</v>
      </c>
      <c r="AC78">
        <v>-1.5E-3</v>
      </c>
      <c r="AD78">
        <v>4.3799999999999999E-2</v>
      </c>
      <c r="AE78">
        <v>8.4400000000000003E-2</v>
      </c>
      <c r="AF78">
        <v>9.9000000000000005E-2</v>
      </c>
      <c r="AG78">
        <v>0.10780000000000001</v>
      </c>
      <c r="AH78">
        <v>0.1045</v>
      </c>
      <c r="AI78">
        <v>8.8300000000000003E-2</v>
      </c>
      <c r="AJ78">
        <v>9.0700000000000003E-2</v>
      </c>
      <c r="AK78">
        <v>7.3700000000000002E-2</v>
      </c>
      <c r="AL78">
        <v>7.1400000000000005E-2</v>
      </c>
      <c r="AM78">
        <v>5.1900000000000002E-2</v>
      </c>
      <c r="AN78">
        <v>2.4299999999999999E-2</v>
      </c>
      <c r="AO78">
        <v>2.7E-2</v>
      </c>
      <c r="AP78">
        <v>1.9E-2</v>
      </c>
      <c r="AQ78">
        <v>3.7199999999999997E-2</v>
      </c>
      <c r="AR78">
        <v>4.1200000000000001E-2</v>
      </c>
      <c r="AS78">
        <v>5.1700000000000003E-2</v>
      </c>
      <c r="AT78">
        <v>4.8500000000000001E-2</v>
      </c>
      <c r="AU78">
        <v>3.0599999999999999E-2</v>
      </c>
      <c r="AV78">
        <v>2.69E-2</v>
      </c>
    </row>
    <row r="79" spans="1:48" x14ac:dyDescent="0.25">
      <c r="A79" t="s">
        <v>194</v>
      </c>
      <c r="B79" t="s">
        <v>2</v>
      </c>
      <c r="C79" t="s">
        <v>194</v>
      </c>
      <c r="D79">
        <v>15020</v>
      </c>
      <c r="E79" t="s">
        <v>672</v>
      </c>
      <c r="F79" t="s">
        <v>117</v>
      </c>
      <c r="G79" t="s">
        <v>670</v>
      </c>
      <c r="H79" t="s">
        <v>670</v>
      </c>
      <c r="I79" t="s">
        <v>673</v>
      </c>
      <c r="J79" t="s">
        <v>673</v>
      </c>
      <c r="K79" t="s">
        <v>673</v>
      </c>
      <c r="L79" t="s">
        <v>673</v>
      </c>
      <c r="M79" t="s">
        <v>673</v>
      </c>
      <c r="N79" t="s">
        <v>673</v>
      </c>
      <c r="O79" t="s">
        <v>673</v>
      </c>
      <c r="P79" t="s">
        <v>673</v>
      </c>
      <c r="Q79" t="s">
        <v>673</v>
      </c>
      <c r="R79" t="s">
        <v>673</v>
      </c>
      <c r="S79" t="s">
        <v>673</v>
      </c>
      <c r="T79" t="s">
        <v>673</v>
      </c>
      <c r="U79" t="s">
        <v>673</v>
      </c>
      <c r="V79" t="s">
        <v>673</v>
      </c>
      <c r="W79" t="s">
        <v>673</v>
      </c>
      <c r="X79" t="s">
        <v>673</v>
      </c>
      <c r="Y79" t="s">
        <v>673</v>
      </c>
      <c r="Z79" t="s">
        <v>673</v>
      </c>
      <c r="AA79" t="s">
        <v>673</v>
      </c>
      <c r="AB79" t="s">
        <v>673</v>
      </c>
      <c r="AC79" t="s">
        <v>673</v>
      </c>
      <c r="AD79" t="s">
        <v>673</v>
      </c>
      <c r="AE79" t="s">
        <v>673</v>
      </c>
      <c r="AF79" t="s">
        <v>673</v>
      </c>
      <c r="AG79" t="s">
        <v>673</v>
      </c>
      <c r="AH79" t="s">
        <v>673</v>
      </c>
      <c r="AI79" t="s">
        <v>673</v>
      </c>
      <c r="AJ79" t="s">
        <v>673</v>
      </c>
      <c r="AK79" t="s">
        <v>673</v>
      </c>
      <c r="AL79" t="s">
        <v>673</v>
      </c>
      <c r="AM79" t="s">
        <v>673</v>
      </c>
      <c r="AN79" t="s">
        <v>673</v>
      </c>
      <c r="AO79" t="s">
        <v>673</v>
      </c>
      <c r="AP79" t="s">
        <v>673</v>
      </c>
      <c r="AQ79" t="s">
        <v>673</v>
      </c>
      <c r="AR79" t="s">
        <v>673</v>
      </c>
      <c r="AS79" t="s">
        <v>673</v>
      </c>
      <c r="AT79" t="s">
        <v>673</v>
      </c>
      <c r="AU79" t="s">
        <v>673</v>
      </c>
      <c r="AV79" t="s">
        <v>673</v>
      </c>
    </row>
    <row r="80" spans="1:48" x14ac:dyDescent="0.25">
      <c r="A80" t="s">
        <v>195</v>
      </c>
      <c r="B80" t="s">
        <v>2</v>
      </c>
      <c r="C80" t="s">
        <v>195</v>
      </c>
      <c r="D80">
        <v>15100</v>
      </c>
      <c r="E80" t="s">
        <v>672</v>
      </c>
      <c r="F80" t="s">
        <v>117</v>
      </c>
      <c r="G80" t="s">
        <v>670</v>
      </c>
      <c r="H80" t="s">
        <v>670</v>
      </c>
      <c r="I80" t="s">
        <v>673</v>
      </c>
      <c r="J80" t="s">
        <v>673</v>
      </c>
      <c r="K80" t="s">
        <v>673</v>
      </c>
      <c r="L80" t="s">
        <v>673</v>
      </c>
      <c r="M80" t="s">
        <v>673</v>
      </c>
      <c r="N80" t="s">
        <v>673</v>
      </c>
      <c r="O80" t="s">
        <v>673</v>
      </c>
      <c r="P80" t="s">
        <v>673</v>
      </c>
      <c r="Q80" t="s">
        <v>673</v>
      </c>
      <c r="R80" t="s">
        <v>673</v>
      </c>
      <c r="S80" t="s">
        <v>673</v>
      </c>
      <c r="T80" t="s">
        <v>673</v>
      </c>
      <c r="U80" t="s">
        <v>673</v>
      </c>
      <c r="V80" t="s">
        <v>673</v>
      </c>
      <c r="W80" t="s">
        <v>673</v>
      </c>
      <c r="X80" t="s">
        <v>673</v>
      </c>
      <c r="Y80" t="s">
        <v>673</v>
      </c>
      <c r="Z80" t="s">
        <v>673</v>
      </c>
      <c r="AA80" t="s">
        <v>673</v>
      </c>
      <c r="AB80" t="s">
        <v>673</v>
      </c>
      <c r="AC80" t="s">
        <v>673</v>
      </c>
      <c r="AD80" t="s">
        <v>673</v>
      </c>
      <c r="AE80" t="s">
        <v>673</v>
      </c>
      <c r="AF80" t="s">
        <v>673</v>
      </c>
      <c r="AG80" t="s">
        <v>673</v>
      </c>
      <c r="AH80" t="s">
        <v>673</v>
      </c>
      <c r="AI80" t="s">
        <v>673</v>
      </c>
      <c r="AJ80" t="s">
        <v>673</v>
      </c>
      <c r="AK80" t="s">
        <v>673</v>
      </c>
      <c r="AL80" t="s">
        <v>673</v>
      </c>
      <c r="AM80" t="s">
        <v>673</v>
      </c>
      <c r="AN80" t="s">
        <v>673</v>
      </c>
      <c r="AO80" t="s">
        <v>673</v>
      </c>
      <c r="AP80" t="s">
        <v>673</v>
      </c>
      <c r="AQ80" t="s">
        <v>673</v>
      </c>
      <c r="AR80" t="s">
        <v>673</v>
      </c>
      <c r="AS80" t="s">
        <v>673</v>
      </c>
      <c r="AT80" t="s">
        <v>673</v>
      </c>
      <c r="AU80" t="s">
        <v>673</v>
      </c>
      <c r="AV80" t="s">
        <v>673</v>
      </c>
    </row>
    <row r="81" spans="1:48" x14ac:dyDescent="0.25">
      <c r="A81" t="s">
        <v>196</v>
      </c>
      <c r="B81" t="s">
        <v>2</v>
      </c>
      <c r="C81" t="s">
        <v>196</v>
      </c>
      <c r="D81">
        <v>15220</v>
      </c>
      <c r="E81" t="s">
        <v>672</v>
      </c>
      <c r="F81" t="s">
        <v>117</v>
      </c>
      <c r="G81" t="s">
        <v>670</v>
      </c>
      <c r="H81" t="s">
        <v>670</v>
      </c>
      <c r="I81">
        <v>4.19E-2</v>
      </c>
      <c r="J81" t="s">
        <v>673</v>
      </c>
      <c r="K81" t="s">
        <v>673</v>
      </c>
      <c r="L81" t="s">
        <v>673</v>
      </c>
      <c r="M81" t="s">
        <v>673</v>
      </c>
      <c r="N81">
        <v>3.5099999999999999E-2</v>
      </c>
      <c r="O81" t="s">
        <v>673</v>
      </c>
      <c r="P81" t="s">
        <v>673</v>
      </c>
      <c r="Q81" t="s">
        <v>673</v>
      </c>
      <c r="R81" t="s">
        <v>673</v>
      </c>
      <c r="S81" t="s">
        <v>673</v>
      </c>
      <c r="T81" t="s">
        <v>673</v>
      </c>
      <c r="U81" t="s">
        <v>673</v>
      </c>
      <c r="V81" t="s">
        <v>673</v>
      </c>
      <c r="W81" t="s">
        <v>673</v>
      </c>
      <c r="X81" t="s">
        <v>673</v>
      </c>
      <c r="Y81" t="s">
        <v>673</v>
      </c>
      <c r="Z81">
        <v>-6.8500000000000005E-2</v>
      </c>
      <c r="AA81">
        <v>-6.0499999999999998E-2</v>
      </c>
      <c r="AB81">
        <v>-5.6599999999999998E-2</v>
      </c>
      <c r="AC81">
        <v>-2.24E-2</v>
      </c>
      <c r="AD81" t="s">
        <v>673</v>
      </c>
      <c r="AE81" t="s">
        <v>673</v>
      </c>
      <c r="AF81" t="s">
        <v>673</v>
      </c>
      <c r="AG81" t="s">
        <v>673</v>
      </c>
      <c r="AH81" t="s">
        <v>673</v>
      </c>
      <c r="AI81" t="s">
        <v>673</v>
      </c>
      <c r="AJ81" t="s">
        <v>673</v>
      </c>
      <c r="AK81" t="s">
        <v>673</v>
      </c>
      <c r="AL81" t="s">
        <v>673</v>
      </c>
      <c r="AM81" t="s">
        <v>673</v>
      </c>
      <c r="AN81" t="s">
        <v>673</v>
      </c>
      <c r="AO81" t="s">
        <v>673</v>
      </c>
      <c r="AP81" t="s">
        <v>673</v>
      </c>
      <c r="AQ81" t="s">
        <v>673</v>
      </c>
      <c r="AR81" t="s">
        <v>673</v>
      </c>
      <c r="AS81" t="s">
        <v>673</v>
      </c>
      <c r="AT81" t="s">
        <v>673</v>
      </c>
      <c r="AU81" t="s">
        <v>673</v>
      </c>
      <c r="AV81" t="s">
        <v>673</v>
      </c>
    </row>
    <row r="82" spans="1:48" x14ac:dyDescent="0.25">
      <c r="A82" t="s">
        <v>197</v>
      </c>
      <c r="B82" t="s">
        <v>2</v>
      </c>
      <c r="C82" t="s">
        <v>197</v>
      </c>
      <c r="D82">
        <v>15260</v>
      </c>
      <c r="E82" t="s">
        <v>672</v>
      </c>
      <c r="F82" t="s">
        <v>117</v>
      </c>
      <c r="G82" t="s">
        <v>670</v>
      </c>
      <c r="H82" t="s">
        <v>670</v>
      </c>
      <c r="I82">
        <v>8.4400000000000003E-2</v>
      </c>
      <c r="J82">
        <v>7.7799999999999994E-2</v>
      </c>
      <c r="K82">
        <v>6.6699999999999995E-2</v>
      </c>
      <c r="L82">
        <v>4.2299999999999997E-2</v>
      </c>
      <c r="M82">
        <v>7.1499999999999994E-2</v>
      </c>
      <c r="N82">
        <v>0.1033</v>
      </c>
      <c r="O82">
        <v>0.1207</v>
      </c>
      <c r="P82">
        <v>0.11550000000000001</v>
      </c>
      <c r="Q82">
        <v>8.5699999999999998E-2</v>
      </c>
      <c r="R82">
        <v>0.1215</v>
      </c>
      <c r="S82">
        <v>0.125</v>
      </c>
      <c r="T82">
        <v>9.9900000000000003E-2</v>
      </c>
      <c r="U82">
        <v>6.3200000000000006E-2</v>
      </c>
      <c r="V82">
        <v>5.1999999999999998E-3</v>
      </c>
      <c r="W82">
        <v>4.7999999999999996E-3</v>
      </c>
      <c r="X82">
        <v>-2.0000000000000001E-4</v>
      </c>
      <c r="Y82">
        <v>1.9699999999999999E-2</v>
      </c>
      <c r="Z82">
        <v>-3.1899999999999998E-2</v>
      </c>
      <c r="AA82">
        <v>-4.0599999999999997E-2</v>
      </c>
      <c r="AB82">
        <v>-7.4000000000000003E-3</v>
      </c>
      <c r="AC82">
        <v>2.3999999999999998E-3</v>
      </c>
      <c r="AD82">
        <v>0.1208</v>
      </c>
      <c r="AE82">
        <v>0.20069999999999999</v>
      </c>
      <c r="AF82">
        <v>0.30630000000000002</v>
      </c>
      <c r="AG82">
        <v>0.29239999999999999</v>
      </c>
      <c r="AH82">
        <v>0.2177</v>
      </c>
      <c r="AI82">
        <v>0.19800000000000001</v>
      </c>
      <c r="AJ82">
        <v>5.6899999999999999E-2</v>
      </c>
      <c r="AK82">
        <v>7.5300000000000006E-2</v>
      </c>
      <c r="AL82">
        <v>5.5100000000000003E-2</v>
      </c>
      <c r="AM82">
        <v>-5.8000000000000003E-2</v>
      </c>
      <c r="AN82">
        <v>-5.1900000000000002E-2</v>
      </c>
      <c r="AO82">
        <v>-8.1100000000000005E-2</v>
      </c>
      <c r="AP82">
        <v>-4.4999999999999998E-2</v>
      </c>
      <c r="AQ82">
        <v>6.3E-3</v>
      </c>
      <c r="AR82">
        <v>5.6800000000000003E-2</v>
      </c>
      <c r="AS82">
        <v>7.4800000000000005E-2</v>
      </c>
      <c r="AT82">
        <v>3.0700000000000002E-2</v>
      </c>
      <c r="AU82">
        <v>2.2599999999999999E-2</v>
      </c>
      <c r="AV82">
        <v>-8.8999999999999999E-3</v>
      </c>
    </row>
    <row r="83" spans="1:48" x14ac:dyDescent="0.25">
      <c r="A83" t="s">
        <v>198</v>
      </c>
      <c r="B83" t="s">
        <v>2</v>
      </c>
      <c r="C83" t="s">
        <v>198</v>
      </c>
      <c r="D83">
        <v>15380</v>
      </c>
      <c r="E83" t="s">
        <v>672</v>
      </c>
      <c r="F83" t="s">
        <v>117</v>
      </c>
      <c r="G83" t="s">
        <v>670</v>
      </c>
      <c r="H83" t="s">
        <v>670</v>
      </c>
      <c r="I83">
        <v>4.6899999999999997E-2</v>
      </c>
      <c r="J83">
        <v>3.27E-2</v>
      </c>
      <c r="K83">
        <v>3.1600000000000003E-2</v>
      </c>
      <c r="L83">
        <v>3.04E-2</v>
      </c>
      <c r="M83">
        <v>3.85E-2</v>
      </c>
      <c r="N83">
        <v>8.2000000000000007E-3</v>
      </c>
      <c r="O83">
        <v>-1.21E-2</v>
      </c>
      <c r="P83">
        <v>-1.5E-3</v>
      </c>
      <c r="Q83">
        <v>-1.7999999999999999E-2</v>
      </c>
      <c r="R83">
        <v>1.9699999999999999E-2</v>
      </c>
      <c r="S83">
        <v>3.0300000000000001E-2</v>
      </c>
      <c r="T83">
        <v>2.0199999999999999E-2</v>
      </c>
      <c r="U83">
        <v>3.2899999999999999E-2</v>
      </c>
      <c r="V83">
        <v>8.8000000000000005E-3</v>
      </c>
      <c r="W83">
        <v>3.0200000000000001E-2</v>
      </c>
      <c r="X83">
        <v>3.6900000000000002E-2</v>
      </c>
      <c r="Y83">
        <v>3.6700000000000003E-2</v>
      </c>
      <c r="Z83">
        <v>3.2800000000000003E-2</v>
      </c>
      <c r="AA83">
        <v>2.4E-2</v>
      </c>
      <c r="AB83">
        <v>3.3300000000000003E-2</v>
      </c>
      <c r="AC83">
        <v>3.8100000000000002E-2</v>
      </c>
      <c r="AD83">
        <v>4.65E-2</v>
      </c>
      <c r="AE83">
        <v>5.8200000000000002E-2</v>
      </c>
      <c r="AF83">
        <v>6.8400000000000002E-2</v>
      </c>
      <c r="AG83">
        <v>7.3099999999999998E-2</v>
      </c>
      <c r="AH83">
        <v>0.1011</v>
      </c>
      <c r="AI83">
        <v>0.1086</v>
      </c>
      <c r="AJ83">
        <v>9.0499999999999997E-2</v>
      </c>
      <c r="AK83">
        <v>8.1699999999999995E-2</v>
      </c>
      <c r="AL83">
        <v>4.8300000000000003E-2</v>
      </c>
      <c r="AM83">
        <v>4.2900000000000001E-2</v>
      </c>
      <c r="AN83">
        <v>5.0299999999999997E-2</v>
      </c>
      <c r="AO83">
        <v>5.8099999999999999E-2</v>
      </c>
      <c r="AP83">
        <v>7.0499999999999993E-2</v>
      </c>
      <c r="AQ83">
        <v>6.0600000000000001E-2</v>
      </c>
      <c r="AR83">
        <v>5.3400000000000003E-2</v>
      </c>
      <c r="AS83">
        <v>4.8899999999999999E-2</v>
      </c>
      <c r="AT83">
        <v>5.7099999999999998E-2</v>
      </c>
      <c r="AU83">
        <v>4.9399999999999999E-2</v>
      </c>
      <c r="AV83">
        <v>4.9000000000000002E-2</v>
      </c>
    </row>
    <row r="84" spans="1:48" x14ac:dyDescent="0.25">
      <c r="A84" t="s">
        <v>199</v>
      </c>
      <c r="B84" t="s">
        <v>2</v>
      </c>
      <c r="C84" t="s">
        <v>199</v>
      </c>
      <c r="D84">
        <v>15460</v>
      </c>
      <c r="E84" t="s">
        <v>672</v>
      </c>
      <c r="F84" t="s">
        <v>117</v>
      </c>
      <c r="G84" t="s">
        <v>670</v>
      </c>
      <c r="H84" t="s">
        <v>670</v>
      </c>
      <c r="I84" t="s">
        <v>673</v>
      </c>
      <c r="J84" t="s">
        <v>673</v>
      </c>
      <c r="K84" t="s">
        <v>673</v>
      </c>
      <c r="L84" t="s">
        <v>673</v>
      </c>
      <c r="M84" t="s">
        <v>673</v>
      </c>
      <c r="N84">
        <v>0.1046</v>
      </c>
      <c r="O84" t="s">
        <v>673</v>
      </c>
      <c r="P84" t="s">
        <v>673</v>
      </c>
      <c r="Q84" t="s">
        <v>673</v>
      </c>
      <c r="R84" t="s">
        <v>673</v>
      </c>
      <c r="S84" t="s">
        <v>673</v>
      </c>
      <c r="T84" t="s">
        <v>673</v>
      </c>
      <c r="U84" t="s">
        <v>673</v>
      </c>
      <c r="V84" t="s">
        <v>673</v>
      </c>
      <c r="W84" t="s">
        <v>673</v>
      </c>
      <c r="X84" t="s">
        <v>673</v>
      </c>
      <c r="Y84" t="s">
        <v>673</v>
      </c>
      <c r="Z84" t="s">
        <v>673</v>
      </c>
      <c r="AA84" t="s">
        <v>673</v>
      </c>
      <c r="AB84" t="s">
        <v>673</v>
      </c>
      <c r="AC84" t="s">
        <v>673</v>
      </c>
      <c r="AD84" t="s">
        <v>673</v>
      </c>
      <c r="AE84" t="s">
        <v>673</v>
      </c>
      <c r="AF84" t="s">
        <v>673</v>
      </c>
      <c r="AG84" t="s">
        <v>673</v>
      </c>
      <c r="AH84" t="s">
        <v>673</v>
      </c>
      <c r="AI84" t="s">
        <v>673</v>
      </c>
      <c r="AJ84" t="s">
        <v>673</v>
      </c>
      <c r="AK84" t="s">
        <v>673</v>
      </c>
      <c r="AL84" t="s">
        <v>673</v>
      </c>
      <c r="AM84" t="s">
        <v>673</v>
      </c>
      <c r="AN84" t="s">
        <v>673</v>
      </c>
      <c r="AO84" t="s">
        <v>673</v>
      </c>
      <c r="AP84" t="s">
        <v>673</v>
      </c>
      <c r="AQ84" t="s">
        <v>673</v>
      </c>
      <c r="AR84" t="s">
        <v>673</v>
      </c>
      <c r="AS84" t="s">
        <v>673</v>
      </c>
      <c r="AT84" t="s">
        <v>673</v>
      </c>
      <c r="AU84" t="s">
        <v>673</v>
      </c>
      <c r="AV84" t="s">
        <v>673</v>
      </c>
    </row>
    <row r="85" spans="1:48" x14ac:dyDescent="0.25">
      <c r="A85" t="s">
        <v>200</v>
      </c>
      <c r="B85" t="s">
        <v>2</v>
      </c>
      <c r="C85" t="s">
        <v>200</v>
      </c>
      <c r="D85">
        <v>15540</v>
      </c>
      <c r="E85" t="s">
        <v>672</v>
      </c>
      <c r="F85" t="s">
        <v>117</v>
      </c>
      <c r="G85" t="s">
        <v>670</v>
      </c>
      <c r="H85" t="s">
        <v>670</v>
      </c>
      <c r="I85">
        <v>4.1200000000000001E-2</v>
      </c>
      <c r="J85">
        <v>6.0900000000000003E-2</v>
      </c>
      <c r="K85">
        <v>1.1299999999999999E-2</v>
      </c>
      <c r="L85">
        <v>5.0099999999999999E-2</v>
      </c>
      <c r="M85">
        <v>6.7000000000000004E-2</v>
      </c>
      <c r="N85">
        <v>5.7799999999999997E-2</v>
      </c>
      <c r="O85">
        <v>5.4800000000000001E-2</v>
      </c>
      <c r="P85">
        <v>1.4800000000000001E-2</v>
      </c>
      <c r="Q85">
        <v>-5.3800000000000001E-2</v>
      </c>
      <c r="R85">
        <v>-4.9599999999999998E-2</v>
      </c>
      <c r="S85">
        <v>-0.01</v>
      </c>
      <c r="T85">
        <v>-3.2800000000000003E-2</v>
      </c>
      <c r="U85">
        <v>-4.7000000000000002E-3</v>
      </c>
      <c r="V85">
        <v>-7.1000000000000004E-3</v>
      </c>
      <c r="W85">
        <v>-4.6699999999999998E-2</v>
      </c>
      <c r="X85">
        <v>-5.7999999999999996E-3</v>
      </c>
      <c r="Y85">
        <v>1.2999999999999999E-3</v>
      </c>
      <c r="Z85">
        <v>1.4E-3</v>
      </c>
      <c r="AA85">
        <v>5.1900000000000002E-2</v>
      </c>
      <c r="AB85">
        <v>3.7900000000000003E-2</v>
      </c>
      <c r="AC85">
        <v>6.7000000000000002E-3</v>
      </c>
      <c r="AD85">
        <v>6.1999999999999998E-3</v>
      </c>
      <c r="AE85">
        <v>-5.1000000000000004E-3</v>
      </c>
      <c r="AF85">
        <v>-1E-3</v>
      </c>
      <c r="AG85">
        <v>1.61E-2</v>
      </c>
      <c r="AH85">
        <v>1.6400000000000001E-2</v>
      </c>
      <c r="AI85">
        <v>4.1799999999999997E-2</v>
      </c>
      <c r="AJ85" t="s">
        <v>673</v>
      </c>
      <c r="AK85" t="s">
        <v>673</v>
      </c>
      <c r="AL85" t="s">
        <v>673</v>
      </c>
      <c r="AM85" t="s">
        <v>673</v>
      </c>
      <c r="AN85" t="s">
        <v>673</v>
      </c>
      <c r="AO85" t="s">
        <v>673</v>
      </c>
      <c r="AP85" t="s">
        <v>673</v>
      </c>
      <c r="AQ85" t="s">
        <v>673</v>
      </c>
      <c r="AR85" t="s">
        <v>673</v>
      </c>
      <c r="AS85" t="s">
        <v>673</v>
      </c>
      <c r="AT85" t="s">
        <v>673</v>
      </c>
      <c r="AU85">
        <v>0.14979999999999999</v>
      </c>
      <c r="AV85">
        <v>0.1106</v>
      </c>
    </row>
    <row r="86" spans="1:48" x14ac:dyDescent="0.25">
      <c r="A86" t="s">
        <v>201</v>
      </c>
      <c r="B86" t="s">
        <v>2</v>
      </c>
      <c r="C86" t="s">
        <v>201</v>
      </c>
      <c r="D86">
        <v>15860</v>
      </c>
      <c r="E86" t="s">
        <v>672</v>
      </c>
      <c r="F86" t="s">
        <v>117</v>
      </c>
      <c r="G86" t="s">
        <v>670</v>
      </c>
      <c r="H86" t="s">
        <v>670</v>
      </c>
      <c r="I86" t="s">
        <v>673</v>
      </c>
      <c r="J86" t="s">
        <v>673</v>
      </c>
      <c r="K86" t="s">
        <v>673</v>
      </c>
      <c r="L86" t="s">
        <v>673</v>
      </c>
      <c r="M86" t="s">
        <v>673</v>
      </c>
      <c r="N86" t="s">
        <v>673</v>
      </c>
      <c r="O86" t="s">
        <v>673</v>
      </c>
      <c r="P86" t="s">
        <v>673</v>
      </c>
      <c r="Q86" t="s">
        <v>673</v>
      </c>
      <c r="R86" t="s">
        <v>673</v>
      </c>
      <c r="S86" t="s">
        <v>673</v>
      </c>
      <c r="T86" t="s">
        <v>673</v>
      </c>
      <c r="U86" t="s">
        <v>673</v>
      </c>
      <c r="V86" t="s">
        <v>673</v>
      </c>
      <c r="W86" t="s">
        <v>673</v>
      </c>
      <c r="X86" t="s">
        <v>673</v>
      </c>
      <c r="Y86" t="s">
        <v>673</v>
      </c>
      <c r="Z86" t="s">
        <v>673</v>
      </c>
      <c r="AA86" t="s">
        <v>673</v>
      </c>
      <c r="AB86" t="s">
        <v>673</v>
      </c>
      <c r="AC86" t="s">
        <v>673</v>
      </c>
      <c r="AD86" t="s">
        <v>673</v>
      </c>
      <c r="AE86" t="s">
        <v>673</v>
      </c>
      <c r="AF86" t="s">
        <v>673</v>
      </c>
      <c r="AG86" t="s">
        <v>673</v>
      </c>
      <c r="AH86" t="s">
        <v>673</v>
      </c>
      <c r="AI86" t="s">
        <v>673</v>
      </c>
      <c r="AJ86" t="s">
        <v>673</v>
      </c>
      <c r="AK86" t="s">
        <v>673</v>
      </c>
      <c r="AL86" t="s">
        <v>673</v>
      </c>
      <c r="AM86" t="s">
        <v>673</v>
      </c>
      <c r="AN86" t="s">
        <v>673</v>
      </c>
      <c r="AO86" t="s">
        <v>673</v>
      </c>
      <c r="AP86" t="s">
        <v>673</v>
      </c>
      <c r="AQ86" t="s">
        <v>673</v>
      </c>
      <c r="AR86" t="s">
        <v>673</v>
      </c>
      <c r="AS86" t="s">
        <v>673</v>
      </c>
      <c r="AT86" t="s">
        <v>673</v>
      </c>
      <c r="AU86" t="s">
        <v>673</v>
      </c>
      <c r="AV86" t="s">
        <v>673</v>
      </c>
    </row>
    <row r="87" spans="1:48" x14ac:dyDescent="0.25">
      <c r="A87" t="s">
        <v>202</v>
      </c>
      <c r="B87" t="s">
        <v>2</v>
      </c>
      <c r="C87" t="s">
        <v>202</v>
      </c>
      <c r="D87">
        <v>15940</v>
      </c>
      <c r="E87" t="s">
        <v>672</v>
      </c>
      <c r="F87" t="s">
        <v>117</v>
      </c>
      <c r="G87" t="s">
        <v>670</v>
      </c>
      <c r="H87" t="s">
        <v>670</v>
      </c>
      <c r="I87">
        <v>4.2900000000000001E-2</v>
      </c>
      <c r="J87">
        <v>3.39E-2</v>
      </c>
      <c r="K87">
        <v>8.7599999999999997E-2</v>
      </c>
      <c r="L87">
        <v>6.7900000000000002E-2</v>
      </c>
      <c r="M87">
        <v>1.4E-2</v>
      </c>
      <c r="N87">
        <v>6.88E-2</v>
      </c>
      <c r="O87">
        <v>-1.2699999999999999E-2</v>
      </c>
      <c r="P87">
        <v>-1.9699999999999999E-2</v>
      </c>
      <c r="Q87">
        <v>4.1300000000000003E-2</v>
      </c>
      <c r="R87">
        <v>-9.7999999999999997E-3</v>
      </c>
      <c r="S87">
        <v>5.9299999999999999E-2</v>
      </c>
      <c r="T87">
        <v>5.8200000000000002E-2</v>
      </c>
      <c r="U87">
        <v>5.79E-2</v>
      </c>
      <c r="V87">
        <v>4.6100000000000002E-2</v>
      </c>
      <c r="W87">
        <v>1.52E-2</v>
      </c>
      <c r="X87">
        <v>5.8599999999999999E-2</v>
      </c>
      <c r="Y87">
        <v>7.0499999999999993E-2</v>
      </c>
      <c r="Z87">
        <v>7.6399999999999996E-2</v>
      </c>
      <c r="AA87">
        <v>9.4E-2</v>
      </c>
      <c r="AB87">
        <v>4.4299999999999999E-2</v>
      </c>
      <c r="AC87">
        <v>3.6400000000000002E-2</v>
      </c>
      <c r="AD87">
        <v>5.4199999999999998E-2</v>
      </c>
      <c r="AE87">
        <v>5.6300000000000003E-2</v>
      </c>
      <c r="AF87">
        <v>7.6999999999999999E-2</v>
      </c>
      <c r="AG87">
        <v>8.8900000000000007E-2</v>
      </c>
      <c r="AH87">
        <v>6.83E-2</v>
      </c>
      <c r="AI87">
        <v>7.22E-2</v>
      </c>
      <c r="AJ87">
        <v>0.1179</v>
      </c>
      <c r="AK87">
        <v>0.23760000000000001</v>
      </c>
      <c r="AL87">
        <v>0.26090000000000002</v>
      </c>
      <c r="AM87">
        <v>0.16350000000000001</v>
      </c>
      <c r="AN87">
        <v>0.1196</v>
      </c>
      <c r="AO87">
        <v>6.6E-3</v>
      </c>
      <c r="AP87">
        <v>-4.0000000000000001E-3</v>
      </c>
      <c r="AQ87">
        <v>3.9699999999999999E-2</v>
      </c>
      <c r="AR87">
        <v>1.84E-2</v>
      </c>
      <c r="AS87">
        <v>1.7600000000000001E-2</v>
      </c>
      <c r="AT87">
        <v>7.1800000000000003E-2</v>
      </c>
      <c r="AU87">
        <v>6.9400000000000003E-2</v>
      </c>
      <c r="AV87">
        <v>6.2799999999999995E-2</v>
      </c>
    </row>
    <row r="88" spans="1:48" x14ac:dyDescent="0.25">
      <c r="A88" t="s">
        <v>36</v>
      </c>
      <c r="B88" t="s">
        <v>2</v>
      </c>
      <c r="C88" t="s">
        <v>36</v>
      </c>
      <c r="D88">
        <v>15980</v>
      </c>
      <c r="E88" t="s">
        <v>672</v>
      </c>
      <c r="F88" t="s">
        <v>117</v>
      </c>
      <c r="G88" t="s">
        <v>670</v>
      </c>
      <c r="H88" t="s">
        <v>670</v>
      </c>
      <c r="I88">
        <v>8.9800000000000005E-2</v>
      </c>
      <c r="J88">
        <v>0.1071</v>
      </c>
      <c r="K88">
        <v>7.8100000000000003E-2</v>
      </c>
      <c r="L88">
        <v>4.8500000000000001E-2</v>
      </c>
      <c r="M88">
        <v>4.5600000000000002E-2</v>
      </c>
      <c r="N88">
        <v>1.7899999999999999E-2</v>
      </c>
      <c r="O88">
        <v>2.4799999999999999E-2</v>
      </c>
      <c r="P88">
        <v>5.8799999999999998E-2</v>
      </c>
      <c r="Q88">
        <v>6.5500000000000003E-2</v>
      </c>
      <c r="R88">
        <v>7.5999999999999998E-2</v>
      </c>
      <c r="S88">
        <v>7.0599999999999996E-2</v>
      </c>
      <c r="T88">
        <v>3.95E-2</v>
      </c>
      <c r="U88">
        <v>1.9599999999999999E-2</v>
      </c>
      <c r="V88">
        <v>2.5100000000000001E-2</v>
      </c>
      <c r="W88">
        <v>2.07E-2</v>
      </c>
      <c r="X88">
        <v>2.9100000000000001E-2</v>
      </c>
      <c r="Y88">
        <v>4.36E-2</v>
      </c>
      <c r="Z88">
        <v>1.47E-2</v>
      </c>
      <c r="AA88">
        <v>-1.2E-2</v>
      </c>
      <c r="AB88">
        <v>-5.9999999999999995E-4</v>
      </c>
      <c r="AC88">
        <v>1.1599999999999999E-2</v>
      </c>
      <c r="AD88">
        <v>7.6499999999999999E-2</v>
      </c>
      <c r="AE88">
        <v>0.2414</v>
      </c>
      <c r="AF88">
        <v>0.34589999999999999</v>
      </c>
      <c r="AG88">
        <v>0.41399999999999998</v>
      </c>
      <c r="AH88">
        <v>0.41760000000000003</v>
      </c>
      <c r="AI88">
        <v>0.28649999999999998</v>
      </c>
      <c r="AJ88">
        <v>0.1983</v>
      </c>
      <c r="AK88">
        <v>0.14069999999999999</v>
      </c>
      <c r="AL88">
        <v>6.7799999999999999E-2</v>
      </c>
      <c r="AM88">
        <v>6.4000000000000003E-3</v>
      </c>
      <c r="AN88">
        <v>-4.9599999999999998E-2</v>
      </c>
      <c r="AO88">
        <v>-8.1900000000000001E-2</v>
      </c>
      <c r="AP88">
        <v>-9.5000000000000001E-2</v>
      </c>
      <c r="AQ88">
        <v>-8.9899999999999994E-2</v>
      </c>
      <c r="AR88">
        <v>-8.8300000000000003E-2</v>
      </c>
      <c r="AS88">
        <v>-7.6499999999999999E-2</v>
      </c>
      <c r="AT88">
        <v>-4.87E-2</v>
      </c>
      <c r="AU88">
        <v>-6.3899999999999998E-2</v>
      </c>
      <c r="AV88">
        <v>-7.6700000000000004E-2</v>
      </c>
    </row>
    <row r="89" spans="1:48" x14ac:dyDescent="0.25">
      <c r="A89" t="s">
        <v>203</v>
      </c>
      <c r="B89" t="s">
        <v>2</v>
      </c>
      <c r="C89" t="s">
        <v>203</v>
      </c>
      <c r="D89">
        <v>216060</v>
      </c>
      <c r="E89" t="s">
        <v>672</v>
      </c>
      <c r="F89" t="s">
        <v>117</v>
      </c>
      <c r="G89" t="s">
        <v>670</v>
      </c>
      <c r="H89" t="s">
        <v>670</v>
      </c>
      <c r="I89" t="s">
        <v>673</v>
      </c>
      <c r="J89" t="s">
        <v>673</v>
      </c>
      <c r="K89" t="s">
        <v>673</v>
      </c>
      <c r="L89">
        <v>-0.19009999999999999</v>
      </c>
      <c r="M89">
        <v>-0.18909999999999999</v>
      </c>
      <c r="N89">
        <v>-0.14099999999999999</v>
      </c>
      <c r="O89">
        <v>-0.10489999999999999</v>
      </c>
      <c r="P89">
        <v>1.2200000000000001E-2</v>
      </c>
      <c r="Q89">
        <v>-6.3E-3</v>
      </c>
      <c r="R89">
        <v>4.7899999999999998E-2</v>
      </c>
      <c r="S89" t="s">
        <v>673</v>
      </c>
      <c r="T89" t="s">
        <v>673</v>
      </c>
      <c r="U89" t="s">
        <v>673</v>
      </c>
      <c r="V89" t="s">
        <v>673</v>
      </c>
      <c r="W89" t="s">
        <v>673</v>
      </c>
      <c r="X89" t="s">
        <v>673</v>
      </c>
      <c r="Y89" t="s">
        <v>673</v>
      </c>
      <c r="Z89" t="s">
        <v>673</v>
      </c>
      <c r="AA89" t="s">
        <v>673</v>
      </c>
      <c r="AB89" t="s">
        <v>673</v>
      </c>
      <c r="AC89" t="s">
        <v>673</v>
      </c>
      <c r="AD89" t="s">
        <v>673</v>
      </c>
      <c r="AE89" t="s">
        <v>673</v>
      </c>
      <c r="AF89" t="s">
        <v>673</v>
      </c>
      <c r="AG89" t="s">
        <v>673</v>
      </c>
      <c r="AH89" t="s">
        <v>673</v>
      </c>
      <c r="AI89" t="s">
        <v>673</v>
      </c>
      <c r="AJ89" t="s">
        <v>673</v>
      </c>
      <c r="AK89" t="s">
        <v>673</v>
      </c>
      <c r="AL89" t="s">
        <v>673</v>
      </c>
      <c r="AM89" t="s">
        <v>673</v>
      </c>
      <c r="AN89" t="s">
        <v>673</v>
      </c>
      <c r="AO89" t="s">
        <v>673</v>
      </c>
      <c r="AP89" t="s">
        <v>673</v>
      </c>
      <c r="AQ89" t="s">
        <v>673</v>
      </c>
      <c r="AR89" t="s">
        <v>673</v>
      </c>
      <c r="AS89" t="s">
        <v>673</v>
      </c>
      <c r="AT89" t="s">
        <v>673</v>
      </c>
      <c r="AU89" t="s">
        <v>673</v>
      </c>
      <c r="AV89" t="s">
        <v>673</v>
      </c>
    </row>
    <row r="90" spans="1:48" x14ac:dyDescent="0.25">
      <c r="A90" t="s">
        <v>204</v>
      </c>
      <c r="B90" t="s">
        <v>2</v>
      </c>
      <c r="C90" t="s">
        <v>204</v>
      </c>
      <c r="D90">
        <v>16100</v>
      </c>
      <c r="E90" t="s">
        <v>672</v>
      </c>
      <c r="F90" t="s">
        <v>117</v>
      </c>
      <c r="G90" t="s">
        <v>670</v>
      </c>
      <c r="H90" t="s">
        <v>670</v>
      </c>
      <c r="I90" t="s">
        <v>673</v>
      </c>
      <c r="J90" t="s">
        <v>673</v>
      </c>
      <c r="K90" t="s">
        <v>673</v>
      </c>
      <c r="L90" t="s">
        <v>673</v>
      </c>
      <c r="M90" t="s">
        <v>673</v>
      </c>
      <c r="N90" t="s">
        <v>673</v>
      </c>
      <c r="O90" t="s">
        <v>673</v>
      </c>
      <c r="P90" t="s">
        <v>673</v>
      </c>
      <c r="Q90" t="s">
        <v>673</v>
      </c>
      <c r="R90" t="s">
        <v>673</v>
      </c>
      <c r="S90" t="s">
        <v>673</v>
      </c>
      <c r="T90" t="s">
        <v>673</v>
      </c>
      <c r="U90" t="s">
        <v>673</v>
      </c>
      <c r="V90" t="s">
        <v>673</v>
      </c>
      <c r="W90" t="s">
        <v>673</v>
      </c>
      <c r="X90" t="s">
        <v>673</v>
      </c>
      <c r="Y90" t="s">
        <v>673</v>
      </c>
      <c r="Z90" t="s">
        <v>673</v>
      </c>
      <c r="AA90" t="s">
        <v>673</v>
      </c>
      <c r="AB90" t="s">
        <v>673</v>
      </c>
      <c r="AC90" t="s">
        <v>673</v>
      </c>
      <c r="AD90" t="s">
        <v>673</v>
      </c>
      <c r="AE90" t="s">
        <v>673</v>
      </c>
      <c r="AF90" t="s">
        <v>673</v>
      </c>
      <c r="AG90" t="s">
        <v>673</v>
      </c>
      <c r="AH90">
        <v>-3.1800000000000002E-2</v>
      </c>
      <c r="AI90">
        <v>-2.3E-3</v>
      </c>
      <c r="AJ90">
        <v>7.4700000000000003E-2</v>
      </c>
      <c r="AK90">
        <v>0.1263</v>
      </c>
      <c r="AL90">
        <v>8.4000000000000005E-2</v>
      </c>
      <c r="AM90">
        <v>8.7400000000000005E-2</v>
      </c>
      <c r="AN90">
        <v>0.09</v>
      </c>
      <c r="AO90">
        <v>8.1000000000000003E-2</v>
      </c>
      <c r="AP90">
        <v>6.3899999999999998E-2</v>
      </c>
      <c r="AQ90">
        <v>6.0100000000000001E-2</v>
      </c>
      <c r="AR90">
        <v>1.89E-2</v>
      </c>
      <c r="AS90">
        <v>6.4999999999999997E-3</v>
      </c>
      <c r="AT90">
        <v>1.7100000000000001E-2</v>
      </c>
      <c r="AU90">
        <v>1.9699999999999999E-2</v>
      </c>
      <c r="AV90">
        <v>2.8799999999999999E-2</v>
      </c>
    </row>
    <row r="91" spans="1:48" x14ac:dyDescent="0.25">
      <c r="A91" t="s">
        <v>205</v>
      </c>
      <c r="B91" t="s">
        <v>2</v>
      </c>
      <c r="C91" t="s">
        <v>205</v>
      </c>
      <c r="D91">
        <v>16180</v>
      </c>
      <c r="E91" t="s">
        <v>672</v>
      </c>
      <c r="F91" t="s">
        <v>117</v>
      </c>
      <c r="G91" t="s">
        <v>670</v>
      </c>
      <c r="H91" t="s">
        <v>670</v>
      </c>
      <c r="I91">
        <v>-2.2599999999999999E-2</v>
      </c>
      <c r="J91">
        <v>7.5399999999999995E-2</v>
      </c>
      <c r="K91">
        <v>7.9299999999999995E-2</v>
      </c>
      <c r="L91">
        <v>0.1009</v>
      </c>
      <c r="M91">
        <v>0.13100000000000001</v>
      </c>
      <c r="N91">
        <v>0.1295</v>
      </c>
      <c r="O91">
        <v>0.18110000000000001</v>
      </c>
      <c r="P91">
        <v>0.1651</v>
      </c>
      <c r="Q91">
        <v>0.1421</v>
      </c>
      <c r="R91">
        <v>0.09</v>
      </c>
      <c r="S91">
        <v>5.5300000000000002E-2</v>
      </c>
      <c r="T91">
        <v>8.4500000000000006E-2</v>
      </c>
      <c r="U91">
        <v>4.3299999999999998E-2</v>
      </c>
      <c r="V91">
        <v>2.0400000000000001E-2</v>
      </c>
      <c r="W91">
        <v>6.6E-3</v>
      </c>
      <c r="X91">
        <v>-2.6100000000000002E-2</v>
      </c>
      <c r="Y91">
        <v>-7.4999999999999997E-3</v>
      </c>
      <c r="Z91">
        <v>7.4999999999999997E-3</v>
      </c>
      <c r="AA91">
        <v>9.4000000000000004E-3</v>
      </c>
      <c r="AB91">
        <v>5.6300000000000003E-2</v>
      </c>
      <c r="AC91">
        <v>6.5299999999999997E-2</v>
      </c>
      <c r="AD91">
        <v>0.1021</v>
      </c>
      <c r="AE91">
        <v>0.19539999999999999</v>
      </c>
      <c r="AF91">
        <v>0.12909999999999999</v>
      </c>
      <c r="AG91">
        <v>0.11360000000000001</v>
      </c>
      <c r="AH91">
        <v>0.1232</v>
      </c>
      <c r="AI91">
        <v>5.8299999999999998E-2</v>
      </c>
      <c r="AJ91">
        <v>2.6200000000000001E-2</v>
      </c>
      <c r="AK91">
        <v>-4.1000000000000003E-3</v>
      </c>
      <c r="AL91">
        <v>-2.18E-2</v>
      </c>
      <c r="AM91">
        <v>-4.4900000000000002E-2</v>
      </c>
      <c r="AN91">
        <v>6.6E-3</v>
      </c>
      <c r="AO91">
        <v>4.07E-2</v>
      </c>
      <c r="AP91">
        <v>1.9699999999999999E-2</v>
      </c>
      <c r="AQ91">
        <v>1.2999999999999999E-2</v>
      </c>
      <c r="AR91">
        <v>4.3799999999999999E-2</v>
      </c>
      <c r="AS91">
        <v>5.1799999999999999E-2</v>
      </c>
      <c r="AT91">
        <v>9.1800000000000007E-2</v>
      </c>
      <c r="AU91">
        <v>7.6600000000000001E-2</v>
      </c>
      <c r="AV91">
        <v>1.8200000000000001E-2</v>
      </c>
    </row>
    <row r="92" spans="1:48" x14ac:dyDescent="0.25">
      <c r="A92" t="s">
        <v>206</v>
      </c>
      <c r="B92" t="s">
        <v>2</v>
      </c>
      <c r="C92" t="s">
        <v>206</v>
      </c>
      <c r="D92">
        <v>16220</v>
      </c>
      <c r="E92" t="s">
        <v>672</v>
      </c>
      <c r="F92" t="s">
        <v>117</v>
      </c>
      <c r="G92" t="s">
        <v>670</v>
      </c>
      <c r="H92" t="s">
        <v>670</v>
      </c>
      <c r="I92">
        <v>-0.1237</v>
      </c>
      <c r="J92">
        <v>-0.1676</v>
      </c>
      <c r="K92">
        <v>-0.1573</v>
      </c>
      <c r="L92">
        <v>-9.8299999999999998E-2</v>
      </c>
      <c r="M92">
        <v>-8.2600000000000007E-2</v>
      </c>
      <c r="N92">
        <v>-4.5999999999999999E-3</v>
      </c>
      <c r="O92">
        <v>3.6999999999999998E-2</v>
      </c>
      <c r="P92">
        <v>1.0999999999999999E-2</v>
      </c>
      <c r="Q92">
        <v>3.1099999999999999E-2</v>
      </c>
      <c r="R92">
        <v>6.6600000000000006E-2</v>
      </c>
      <c r="S92">
        <v>2.69E-2</v>
      </c>
      <c r="T92">
        <v>3.1600000000000003E-2</v>
      </c>
      <c r="U92">
        <v>7.17E-2</v>
      </c>
      <c r="V92">
        <v>5.8599999999999999E-2</v>
      </c>
      <c r="W92">
        <v>8.9200000000000002E-2</v>
      </c>
      <c r="X92">
        <v>9.0999999999999998E-2</v>
      </c>
      <c r="Y92">
        <v>6.7599999999999993E-2</v>
      </c>
      <c r="Z92">
        <v>9.4000000000000004E-3</v>
      </c>
      <c r="AA92">
        <v>-5.74E-2</v>
      </c>
      <c r="AB92">
        <v>-4.2000000000000003E-2</v>
      </c>
      <c r="AC92">
        <v>-6.25E-2</v>
      </c>
      <c r="AD92">
        <v>4.53E-2</v>
      </c>
      <c r="AE92">
        <v>0.13239999999999999</v>
      </c>
      <c r="AF92">
        <v>0.10050000000000001</v>
      </c>
      <c r="AG92">
        <v>0.1152</v>
      </c>
      <c r="AH92">
        <v>0.1396</v>
      </c>
      <c r="AI92">
        <v>9.4100000000000003E-2</v>
      </c>
      <c r="AJ92">
        <v>7.2800000000000004E-2</v>
      </c>
      <c r="AK92">
        <v>8.2100000000000006E-2</v>
      </c>
      <c r="AL92">
        <v>1.95E-2</v>
      </c>
      <c r="AM92">
        <v>3.95E-2</v>
      </c>
      <c r="AN92">
        <v>4.1799999999999997E-2</v>
      </c>
      <c r="AO92">
        <v>3.6999999999999998E-2</v>
      </c>
      <c r="AP92">
        <v>3.9699999999999999E-2</v>
      </c>
      <c r="AQ92">
        <v>5.0599999999999999E-2</v>
      </c>
      <c r="AR92">
        <v>3.44E-2</v>
      </c>
      <c r="AS92">
        <v>5.2900000000000003E-2</v>
      </c>
      <c r="AT92">
        <v>7.0300000000000001E-2</v>
      </c>
      <c r="AU92">
        <v>2.0400000000000001E-2</v>
      </c>
      <c r="AV92">
        <v>4.8399999999999999E-2</v>
      </c>
    </row>
    <row r="93" spans="1:48" x14ac:dyDescent="0.25">
      <c r="A93" t="s">
        <v>207</v>
      </c>
      <c r="B93" t="s">
        <v>2</v>
      </c>
      <c r="C93" t="s">
        <v>207</v>
      </c>
      <c r="D93">
        <v>16300</v>
      </c>
      <c r="E93" t="s">
        <v>672</v>
      </c>
      <c r="F93" t="s">
        <v>117</v>
      </c>
      <c r="G93" t="s">
        <v>670</v>
      </c>
      <c r="H93" t="s">
        <v>670</v>
      </c>
      <c r="I93">
        <v>0.1134</v>
      </c>
      <c r="J93">
        <v>5.04E-2</v>
      </c>
      <c r="K93">
        <v>5.7599999999999998E-2</v>
      </c>
      <c r="L93">
        <v>0.1179</v>
      </c>
      <c r="M93">
        <v>-4.7999999999999996E-3</v>
      </c>
      <c r="N93">
        <v>-1.5E-3</v>
      </c>
      <c r="O93">
        <v>3.5400000000000001E-2</v>
      </c>
      <c r="P93">
        <v>2.93E-2</v>
      </c>
      <c r="Q93">
        <v>2.6700000000000002E-2</v>
      </c>
      <c r="R93">
        <v>3.5999999999999997E-2</v>
      </c>
      <c r="S93">
        <v>3.9699999999999999E-2</v>
      </c>
      <c r="T93">
        <v>3.3000000000000002E-2</v>
      </c>
      <c r="U93">
        <v>1.37E-2</v>
      </c>
      <c r="V93">
        <v>-4.1999999999999997E-3</v>
      </c>
      <c r="W93">
        <v>-3.3300000000000003E-2</v>
      </c>
      <c r="X93">
        <v>-2.2200000000000001E-2</v>
      </c>
      <c r="Y93">
        <v>-3.7000000000000002E-3</v>
      </c>
      <c r="Z93">
        <v>-1.01E-2</v>
      </c>
      <c r="AA93">
        <v>2.87E-2</v>
      </c>
      <c r="AB93">
        <v>6.4399999999999999E-2</v>
      </c>
      <c r="AC93">
        <v>7.9500000000000001E-2</v>
      </c>
      <c r="AD93">
        <v>0.1135</v>
      </c>
      <c r="AE93">
        <v>0.10299999999999999</v>
      </c>
      <c r="AF93">
        <v>6.3100000000000003E-2</v>
      </c>
      <c r="AG93">
        <v>4.2299999999999997E-2</v>
      </c>
      <c r="AH93">
        <v>3.5400000000000001E-2</v>
      </c>
      <c r="AI93">
        <v>2.1100000000000001E-2</v>
      </c>
      <c r="AJ93">
        <v>2.3699999999999999E-2</v>
      </c>
      <c r="AK93">
        <v>1.0999999999999999E-2</v>
      </c>
      <c r="AL93">
        <v>-8.0000000000000002E-3</v>
      </c>
      <c r="AM93">
        <v>2.7300000000000001E-2</v>
      </c>
      <c r="AN93">
        <v>2.29E-2</v>
      </c>
      <c r="AO93">
        <v>5.79E-2</v>
      </c>
      <c r="AP93">
        <v>8.8499999999999995E-2</v>
      </c>
      <c r="AQ93">
        <v>5.0099999999999999E-2</v>
      </c>
      <c r="AR93">
        <v>4.1599999999999998E-2</v>
      </c>
      <c r="AS93">
        <v>3.9899999999999998E-2</v>
      </c>
      <c r="AT93">
        <v>5.2900000000000003E-2</v>
      </c>
      <c r="AU93">
        <v>7.5999999999999998E-2</v>
      </c>
      <c r="AV93">
        <v>0.126</v>
      </c>
    </row>
    <row r="94" spans="1:48" x14ac:dyDescent="0.25">
      <c r="A94" t="s">
        <v>208</v>
      </c>
      <c r="B94" t="s">
        <v>2</v>
      </c>
      <c r="C94" t="s">
        <v>208</v>
      </c>
      <c r="D94">
        <v>16540</v>
      </c>
      <c r="E94" t="s">
        <v>672</v>
      </c>
      <c r="F94" t="s">
        <v>117</v>
      </c>
      <c r="G94" t="s">
        <v>670</v>
      </c>
      <c r="H94" t="s">
        <v>670</v>
      </c>
      <c r="I94" t="s">
        <v>673</v>
      </c>
      <c r="J94" t="s">
        <v>673</v>
      </c>
      <c r="K94" t="s">
        <v>673</v>
      </c>
      <c r="L94" t="s">
        <v>673</v>
      </c>
      <c r="M94" t="s">
        <v>673</v>
      </c>
      <c r="N94" t="s">
        <v>673</v>
      </c>
      <c r="O94" t="s">
        <v>673</v>
      </c>
      <c r="P94" t="s">
        <v>673</v>
      </c>
      <c r="Q94" t="s">
        <v>673</v>
      </c>
      <c r="R94" t="s">
        <v>673</v>
      </c>
      <c r="S94" t="s">
        <v>673</v>
      </c>
      <c r="T94" t="s">
        <v>673</v>
      </c>
      <c r="U94" t="s">
        <v>673</v>
      </c>
      <c r="V94" t="s">
        <v>673</v>
      </c>
      <c r="W94" t="s">
        <v>673</v>
      </c>
      <c r="X94" t="s">
        <v>673</v>
      </c>
      <c r="Y94" t="s">
        <v>673</v>
      </c>
      <c r="Z94" t="s">
        <v>673</v>
      </c>
      <c r="AA94" t="s">
        <v>673</v>
      </c>
      <c r="AB94" t="s">
        <v>673</v>
      </c>
      <c r="AC94" t="s">
        <v>673</v>
      </c>
      <c r="AD94" t="s">
        <v>673</v>
      </c>
      <c r="AE94" t="s">
        <v>673</v>
      </c>
      <c r="AF94" t="s">
        <v>673</v>
      </c>
      <c r="AG94" t="s">
        <v>673</v>
      </c>
      <c r="AH94" t="s">
        <v>673</v>
      </c>
      <c r="AI94" t="s">
        <v>673</v>
      </c>
      <c r="AJ94" t="s">
        <v>673</v>
      </c>
      <c r="AK94" t="s">
        <v>673</v>
      </c>
      <c r="AL94" t="s">
        <v>673</v>
      </c>
      <c r="AM94" t="s">
        <v>673</v>
      </c>
      <c r="AN94" t="s">
        <v>673</v>
      </c>
      <c r="AO94" t="s">
        <v>673</v>
      </c>
      <c r="AP94" t="s">
        <v>673</v>
      </c>
      <c r="AQ94" t="s">
        <v>673</v>
      </c>
      <c r="AR94" t="s">
        <v>673</v>
      </c>
      <c r="AS94" t="s">
        <v>673</v>
      </c>
      <c r="AT94" t="s">
        <v>673</v>
      </c>
      <c r="AU94" t="s">
        <v>673</v>
      </c>
      <c r="AV94" t="s">
        <v>673</v>
      </c>
    </row>
    <row r="95" spans="1:48" x14ac:dyDescent="0.25">
      <c r="A95" t="s">
        <v>209</v>
      </c>
      <c r="B95" t="s">
        <v>2</v>
      </c>
      <c r="C95" t="s">
        <v>209</v>
      </c>
      <c r="D95">
        <v>16580</v>
      </c>
      <c r="E95" t="s">
        <v>672</v>
      </c>
      <c r="F95" t="s">
        <v>117</v>
      </c>
      <c r="G95" t="s">
        <v>670</v>
      </c>
      <c r="H95" t="s">
        <v>670</v>
      </c>
      <c r="I95">
        <v>3.2599999999999997E-2</v>
      </c>
      <c r="J95">
        <v>3.1199999999999999E-2</v>
      </c>
      <c r="K95">
        <v>1.3899999999999999E-2</v>
      </c>
      <c r="L95">
        <v>-1.9E-3</v>
      </c>
      <c r="M95">
        <v>3.8E-3</v>
      </c>
      <c r="N95">
        <v>-1.1999999999999999E-3</v>
      </c>
      <c r="O95">
        <v>2.5000000000000001E-3</v>
      </c>
      <c r="P95">
        <v>5.8999999999999999E-3</v>
      </c>
      <c r="Q95">
        <v>3.6700000000000003E-2</v>
      </c>
      <c r="R95">
        <v>3.9699999999999999E-2</v>
      </c>
      <c r="S95">
        <v>4.7600000000000003E-2</v>
      </c>
      <c r="T95">
        <v>3.0700000000000002E-2</v>
      </c>
      <c r="U95">
        <v>3.9199999999999999E-2</v>
      </c>
      <c r="V95">
        <v>3.5299999999999998E-2</v>
      </c>
      <c r="W95">
        <v>3.2399999999999998E-2</v>
      </c>
      <c r="X95">
        <v>4.58E-2</v>
      </c>
      <c r="Y95">
        <v>1.35E-2</v>
      </c>
      <c r="Z95">
        <v>2.2000000000000001E-3</v>
      </c>
      <c r="AA95">
        <v>-1.04E-2</v>
      </c>
      <c r="AB95">
        <v>-6.7000000000000002E-3</v>
      </c>
      <c r="AC95">
        <v>-1.49E-2</v>
      </c>
      <c r="AD95">
        <v>-2E-3</v>
      </c>
      <c r="AE95">
        <v>1.04E-2</v>
      </c>
      <c r="AF95">
        <v>6.0400000000000002E-2</v>
      </c>
      <c r="AG95">
        <v>4.6800000000000001E-2</v>
      </c>
      <c r="AH95">
        <v>6.7400000000000002E-2</v>
      </c>
      <c r="AI95">
        <v>0.1193</v>
      </c>
      <c r="AJ95">
        <v>0.1007</v>
      </c>
      <c r="AK95">
        <v>0.1217</v>
      </c>
      <c r="AL95">
        <v>0.1019</v>
      </c>
      <c r="AM95">
        <v>6.2600000000000003E-2</v>
      </c>
      <c r="AN95">
        <v>3.1600000000000003E-2</v>
      </c>
      <c r="AO95">
        <v>3.9699999999999999E-2</v>
      </c>
      <c r="AP95">
        <v>3.2000000000000001E-2</v>
      </c>
      <c r="AQ95">
        <v>5.2299999999999999E-2</v>
      </c>
      <c r="AR95">
        <v>6.3E-2</v>
      </c>
      <c r="AS95">
        <v>7.22E-2</v>
      </c>
      <c r="AT95">
        <v>0.17249999999999999</v>
      </c>
      <c r="AU95">
        <v>0.1197</v>
      </c>
      <c r="AV95">
        <v>0.1295</v>
      </c>
    </row>
    <row r="96" spans="1:48" x14ac:dyDescent="0.25">
      <c r="A96" t="s">
        <v>210</v>
      </c>
      <c r="B96" t="s">
        <v>2</v>
      </c>
      <c r="C96" t="s">
        <v>210</v>
      </c>
      <c r="D96">
        <v>16660</v>
      </c>
      <c r="E96" t="s">
        <v>672</v>
      </c>
      <c r="F96" t="s">
        <v>117</v>
      </c>
      <c r="G96" t="s">
        <v>670</v>
      </c>
      <c r="H96" t="s">
        <v>670</v>
      </c>
      <c r="I96" t="s">
        <v>673</v>
      </c>
      <c r="J96" t="s">
        <v>673</v>
      </c>
      <c r="K96" t="s">
        <v>673</v>
      </c>
      <c r="L96" t="s">
        <v>673</v>
      </c>
      <c r="M96" t="s">
        <v>673</v>
      </c>
      <c r="N96" t="s">
        <v>673</v>
      </c>
      <c r="O96" t="s">
        <v>673</v>
      </c>
      <c r="P96" t="s">
        <v>673</v>
      </c>
      <c r="Q96" t="s">
        <v>673</v>
      </c>
      <c r="R96" t="s">
        <v>673</v>
      </c>
      <c r="S96" t="s">
        <v>673</v>
      </c>
      <c r="T96" t="s">
        <v>673</v>
      </c>
      <c r="U96" t="s">
        <v>673</v>
      </c>
      <c r="V96" t="s">
        <v>673</v>
      </c>
      <c r="W96">
        <v>0.16950000000000001</v>
      </c>
      <c r="X96">
        <v>0.1487</v>
      </c>
      <c r="Y96">
        <v>0.1249</v>
      </c>
      <c r="Z96">
        <v>0.1429</v>
      </c>
      <c r="AA96">
        <v>-1.5E-3</v>
      </c>
      <c r="AB96">
        <v>1.43E-2</v>
      </c>
      <c r="AC96">
        <v>4.0800000000000003E-2</v>
      </c>
      <c r="AD96">
        <v>2.4500000000000001E-2</v>
      </c>
      <c r="AE96">
        <v>3.73E-2</v>
      </c>
      <c r="AF96">
        <v>6.2600000000000003E-2</v>
      </c>
      <c r="AG96" t="s">
        <v>673</v>
      </c>
      <c r="AH96" t="s">
        <v>673</v>
      </c>
      <c r="AI96" t="s">
        <v>673</v>
      </c>
      <c r="AJ96" t="s">
        <v>673</v>
      </c>
      <c r="AK96" t="s">
        <v>673</v>
      </c>
      <c r="AL96" t="s">
        <v>673</v>
      </c>
      <c r="AM96" t="s">
        <v>673</v>
      </c>
      <c r="AN96" t="s">
        <v>673</v>
      </c>
      <c r="AO96" t="s">
        <v>673</v>
      </c>
      <c r="AP96" t="s">
        <v>673</v>
      </c>
      <c r="AQ96" t="s">
        <v>673</v>
      </c>
      <c r="AR96" t="s">
        <v>673</v>
      </c>
      <c r="AS96" t="s">
        <v>673</v>
      </c>
      <c r="AT96" t="s">
        <v>673</v>
      </c>
      <c r="AU96" t="s">
        <v>673</v>
      </c>
      <c r="AV96" t="s">
        <v>673</v>
      </c>
    </row>
    <row r="97" spans="1:48" x14ac:dyDescent="0.25">
      <c r="A97" t="s">
        <v>19</v>
      </c>
      <c r="B97" t="s">
        <v>2</v>
      </c>
      <c r="C97" t="s">
        <v>19</v>
      </c>
      <c r="D97">
        <v>16700</v>
      </c>
      <c r="E97" t="s">
        <v>672</v>
      </c>
      <c r="F97" t="s">
        <v>117</v>
      </c>
      <c r="G97" t="s">
        <v>670</v>
      </c>
      <c r="H97" t="s">
        <v>670</v>
      </c>
      <c r="I97">
        <v>6.1800000000000001E-2</v>
      </c>
      <c r="J97">
        <v>6.83E-2</v>
      </c>
      <c r="K97">
        <v>4.6399999999999997E-2</v>
      </c>
      <c r="L97">
        <v>5.5800000000000002E-2</v>
      </c>
      <c r="M97">
        <v>5.8799999999999998E-2</v>
      </c>
      <c r="N97">
        <v>3.6999999999999998E-2</v>
      </c>
      <c r="O97">
        <v>4.2000000000000003E-2</v>
      </c>
      <c r="P97">
        <v>2.4500000000000001E-2</v>
      </c>
      <c r="Q97">
        <v>0.03</v>
      </c>
      <c r="R97">
        <v>4.4699999999999997E-2</v>
      </c>
      <c r="S97">
        <v>4.1500000000000002E-2</v>
      </c>
      <c r="T97">
        <v>3.6200000000000003E-2</v>
      </c>
      <c r="U97">
        <v>4.4699999999999997E-2</v>
      </c>
      <c r="V97">
        <v>4.7600000000000003E-2</v>
      </c>
      <c r="W97">
        <v>5.11E-2</v>
      </c>
      <c r="X97">
        <v>7.7499999999999999E-2</v>
      </c>
      <c r="Y97">
        <v>6.2100000000000002E-2</v>
      </c>
      <c r="Z97">
        <v>1.44E-2</v>
      </c>
      <c r="AA97">
        <v>1.0699999999999999E-2</v>
      </c>
      <c r="AB97">
        <v>3.3E-3</v>
      </c>
      <c r="AC97">
        <v>1.67E-2</v>
      </c>
      <c r="AD97">
        <v>0.1019</v>
      </c>
      <c r="AE97">
        <v>0.1865</v>
      </c>
      <c r="AF97">
        <v>0.23050000000000001</v>
      </c>
      <c r="AG97">
        <v>0.24529999999999999</v>
      </c>
      <c r="AH97">
        <v>0.22270000000000001</v>
      </c>
      <c r="AI97">
        <v>0.1734</v>
      </c>
      <c r="AJ97">
        <v>0.13089999999999999</v>
      </c>
      <c r="AK97">
        <v>0.10639999999999999</v>
      </c>
      <c r="AL97">
        <v>6.8099999999999994E-2</v>
      </c>
      <c r="AM97">
        <v>3.6200000000000003E-2</v>
      </c>
      <c r="AN97">
        <v>2.53E-2</v>
      </c>
      <c r="AO97">
        <v>1.6E-2</v>
      </c>
      <c r="AP97">
        <v>9.1000000000000004E-3</v>
      </c>
      <c r="AQ97">
        <v>4.1000000000000003E-3</v>
      </c>
      <c r="AR97">
        <v>-3.3E-3</v>
      </c>
      <c r="AS97">
        <v>2.5999999999999999E-3</v>
      </c>
      <c r="AT97">
        <v>6.0000000000000001E-3</v>
      </c>
      <c r="AU97">
        <v>-7.9000000000000008E-3</v>
      </c>
      <c r="AV97">
        <v>3.8999999999999998E-3</v>
      </c>
    </row>
    <row r="98" spans="1:48" x14ac:dyDescent="0.25">
      <c r="A98" t="s">
        <v>211</v>
      </c>
      <c r="B98" t="s">
        <v>2</v>
      </c>
      <c r="C98" t="s">
        <v>211</v>
      </c>
      <c r="D98">
        <v>16620</v>
      </c>
      <c r="E98" t="s">
        <v>672</v>
      </c>
      <c r="F98" t="s">
        <v>117</v>
      </c>
      <c r="G98" t="s">
        <v>670</v>
      </c>
      <c r="H98" t="s">
        <v>670</v>
      </c>
      <c r="I98" t="s">
        <v>673</v>
      </c>
      <c r="J98">
        <v>-7.8899999999999998E-2</v>
      </c>
      <c r="K98">
        <v>-0.2278</v>
      </c>
      <c r="L98">
        <v>-0.20430000000000001</v>
      </c>
      <c r="M98">
        <v>-0.11899999999999999</v>
      </c>
      <c r="N98" t="s">
        <v>673</v>
      </c>
      <c r="O98">
        <v>0.1578</v>
      </c>
      <c r="P98">
        <v>0.1507</v>
      </c>
      <c r="Q98">
        <v>-7.4399999999999994E-2</v>
      </c>
      <c r="R98">
        <v>-0.1414</v>
      </c>
      <c r="S98">
        <v>-4.7500000000000001E-2</v>
      </c>
      <c r="T98">
        <v>-4.7300000000000002E-2</v>
      </c>
      <c r="U98">
        <v>-4.0000000000000002E-4</v>
      </c>
      <c r="V98">
        <v>4.5999999999999999E-3</v>
      </c>
      <c r="W98">
        <v>0.2324</v>
      </c>
      <c r="X98">
        <v>0.16270000000000001</v>
      </c>
      <c r="Y98">
        <v>0.16020000000000001</v>
      </c>
      <c r="Z98">
        <v>0.15240000000000001</v>
      </c>
      <c r="AA98">
        <v>-5.8900000000000001E-2</v>
      </c>
      <c r="AB98">
        <v>5.8000000000000003E-2</v>
      </c>
      <c r="AC98">
        <v>6.5199999999999994E-2</v>
      </c>
      <c r="AD98">
        <v>9.3399999999999997E-2</v>
      </c>
      <c r="AE98">
        <v>7.4300000000000005E-2</v>
      </c>
      <c r="AF98">
        <v>6.3200000000000006E-2</v>
      </c>
      <c r="AG98">
        <v>0.1135</v>
      </c>
      <c r="AH98">
        <v>0.1205</v>
      </c>
      <c r="AI98">
        <v>0.16769999999999999</v>
      </c>
      <c r="AJ98">
        <v>0.11550000000000001</v>
      </c>
      <c r="AK98">
        <v>8.6800000000000002E-2</v>
      </c>
      <c r="AL98">
        <v>8.1199999999999994E-2</v>
      </c>
      <c r="AM98">
        <v>6.0600000000000001E-2</v>
      </c>
      <c r="AN98">
        <v>5.5800000000000002E-2</v>
      </c>
      <c r="AO98">
        <v>2.58E-2</v>
      </c>
      <c r="AP98">
        <v>4.4699999999999997E-2</v>
      </c>
      <c r="AQ98">
        <v>9.8299999999999998E-2</v>
      </c>
      <c r="AR98">
        <v>0.13089999999999999</v>
      </c>
      <c r="AS98">
        <v>0.13070000000000001</v>
      </c>
      <c r="AT98" t="s">
        <v>673</v>
      </c>
      <c r="AU98" t="s">
        <v>673</v>
      </c>
      <c r="AV98" t="s">
        <v>673</v>
      </c>
    </row>
    <row r="99" spans="1:48" x14ac:dyDescent="0.25">
      <c r="A99" t="s">
        <v>37</v>
      </c>
      <c r="B99" t="s">
        <v>2</v>
      </c>
      <c r="C99" t="s">
        <v>37</v>
      </c>
      <c r="D99">
        <v>16740</v>
      </c>
      <c r="E99" t="s">
        <v>672</v>
      </c>
      <c r="F99" t="s">
        <v>117</v>
      </c>
      <c r="G99" t="s">
        <v>670</v>
      </c>
      <c r="H99" t="s">
        <v>670</v>
      </c>
      <c r="I99">
        <v>8.2299999999999998E-2</v>
      </c>
      <c r="J99">
        <v>7.0300000000000001E-2</v>
      </c>
      <c r="K99">
        <v>5.3100000000000001E-2</v>
      </c>
      <c r="L99">
        <v>4.9000000000000002E-2</v>
      </c>
      <c r="M99">
        <v>4.6800000000000001E-2</v>
      </c>
      <c r="N99">
        <v>0.04</v>
      </c>
      <c r="O99">
        <v>4.6100000000000002E-2</v>
      </c>
      <c r="P99">
        <v>3.8399999999999997E-2</v>
      </c>
      <c r="Q99">
        <v>3.8300000000000001E-2</v>
      </c>
      <c r="R99">
        <v>4.5699999999999998E-2</v>
      </c>
      <c r="S99">
        <v>0.05</v>
      </c>
      <c r="T99">
        <v>5.62E-2</v>
      </c>
      <c r="U99">
        <v>6.0499999999999998E-2</v>
      </c>
      <c r="V99">
        <v>6.54E-2</v>
      </c>
      <c r="W99">
        <v>6.7699999999999996E-2</v>
      </c>
      <c r="X99">
        <v>7.0400000000000004E-2</v>
      </c>
      <c r="Y99">
        <v>6.3799999999999996E-2</v>
      </c>
      <c r="Z99">
        <v>1.4500000000000001E-2</v>
      </c>
      <c r="AA99">
        <v>7.3000000000000001E-3</v>
      </c>
      <c r="AB99">
        <v>2.2200000000000001E-2</v>
      </c>
      <c r="AC99">
        <v>2.7699999999999999E-2</v>
      </c>
      <c r="AD99">
        <v>9.6500000000000002E-2</v>
      </c>
      <c r="AE99">
        <v>0.1623</v>
      </c>
      <c r="AF99">
        <v>0.19689999999999999</v>
      </c>
      <c r="AG99">
        <v>0.20610000000000001</v>
      </c>
      <c r="AH99">
        <v>0.19370000000000001</v>
      </c>
      <c r="AI99">
        <v>0.16669999999999999</v>
      </c>
      <c r="AJ99">
        <v>0.10150000000000001</v>
      </c>
      <c r="AK99">
        <v>7.2400000000000006E-2</v>
      </c>
      <c r="AL99">
        <v>3.8699999999999998E-2</v>
      </c>
      <c r="AM99">
        <v>-9.2999999999999992E-3</v>
      </c>
      <c r="AN99">
        <v>-2.07E-2</v>
      </c>
      <c r="AO99">
        <v>-2.01E-2</v>
      </c>
      <c r="AP99">
        <v>-2.63E-2</v>
      </c>
      <c r="AQ99">
        <v>-2.6700000000000002E-2</v>
      </c>
      <c r="AR99">
        <v>-6.8999999999999999E-3</v>
      </c>
      <c r="AS99">
        <v>-2.7000000000000001E-3</v>
      </c>
      <c r="AT99">
        <v>1.4E-3</v>
      </c>
      <c r="AU99">
        <v>-3.2000000000000002E-3</v>
      </c>
      <c r="AV99">
        <v>-1.9E-2</v>
      </c>
    </row>
    <row r="100" spans="1:48" x14ac:dyDescent="0.25">
      <c r="A100" t="s">
        <v>212</v>
      </c>
      <c r="B100" t="s">
        <v>2</v>
      </c>
      <c r="C100" t="s">
        <v>212</v>
      </c>
      <c r="D100">
        <v>16820</v>
      </c>
      <c r="E100" t="s">
        <v>672</v>
      </c>
      <c r="F100" t="s">
        <v>117</v>
      </c>
      <c r="G100" t="s">
        <v>670</v>
      </c>
      <c r="H100" t="s">
        <v>670</v>
      </c>
      <c r="I100">
        <v>1.3599999999999999E-2</v>
      </c>
      <c r="J100">
        <v>4.1000000000000002E-2</v>
      </c>
      <c r="K100">
        <v>3.9300000000000002E-2</v>
      </c>
      <c r="L100">
        <v>4.0399999999999998E-2</v>
      </c>
      <c r="M100">
        <v>5.0700000000000002E-2</v>
      </c>
      <c r="N100">
        <v>4.5499999999999999E-2</v>
      </c>
      <c r="O100">
        <v>4.5900000000000003E-2</v>
      </c>
      <c r="P100">
        <v>2.58E-2</v>
      </c>
      <c r="Q100">
        <v>2.5999999999999999E-2</v>
      </c>
      <c r="R100">
        <v>2.5399999999999999E-2</v>
      </c>
      <c r="S100">
        <v>2.9700000000000001E-2</v>
      </c>
      <c r="T100">
        <v>4.2099999999999999E-2</v>
      </c>
      <c r="U100">
        <v>6.2399999999999997E-2</v>
      </c>
      <c r="V100">
        <v>6.3899999999999998E-2</v>
      </c>
      <c r="W100">
        <v>6.2100000000000002E-2</v>
      </c>
      <c r="X100">
        <v>5.3699999999999998E-2</v>
      </c>
      <c r="Y100">
        <v>3.5200000000000002E-2</v>
      </c>
      <c r="Z100">
        <v>5.4000000000000003E-3</v>
      </c>
      <c r="AA100">
        <v>3.8999999999999998E-3</v>
      </c>
      <c r="AB100">
        <v>1.04E-2</v>
      </c>
      <c r="AC100">
        <v>1.66E-2</v>
      </c>
      <c r="AD100">
        <v>6.1600000000000002E-2</v>
      </c>
      <c r="AE100">
        <v>9.5899999999999999E-2</v>
      </c>
      <c r="AF100">
        <v>0.10440000000000001</v>
      </c>
      <c r="AG100">
        <v>0.1095</v>
      </c>
      <c r="AH100">
        <v>0.11550000000000001</v>
      </c>
      <c r="AI100">
        <v>7.7200000000000005E-2</v>
      </c>
      <c r="AJ100">
        <v>7.0599999999999996E-2</v>
      </c>
      <c r="AK100">
        <v>7.3300000000000004E-2</v>
      </c>
      <c r="AL100">
        <v>6.3100000000000003E-2</v>
      </c>
      <c r="AM100">
        <v>4.65E-2</v>
      </c>
      <c r="AN100">
        <v>5.7599999999999998E-2</v>
      </c>
      <c r="AO100">
        <v>5.04E-2</v>
      </c>
      <c r="AP100">
        <v>4.1700000000000001E-2</v>
      </c>
      <c r="AQ100">
        <v>5.6500000000000002E-2</v>
      </c>
      <c r="AR100">
        <v>3.8800000000000001E-2</v>
      </c>
      <c r="AS100">
        <v>4.3200000000000002E-2</v>
      </c>
      <c r="AT100">
        <v>4.6199999999999998E-2</v>
      </c>
      <c r="AU100">
        <v>2.6499999999999999E-2</v>
      </c>
      <c r="AV100">
        <v>4.7000000000000002E-3</v>
      </c>
    </row>
    <row r="101" spans="1:48" x14ac:dyDescent="0.25">
      <c r="A101" t="s">
        <v>213</v>
      </c>
      <c r="B101" t="s">
        <v>2</v>
      </c>
      <c r="C101" t="s">
        <v>213</v>
      </c>
      <c r="D101">
        <v>16860</v>
      </c>
      <c r="E101" t="s">
        <v>672</v>
      </c>
      <c r="F101" t="s">
        <v>117</v>
      </c>
      <c r="G101" t="s">
        <v>670</v>
      </c>
      <c r="H101" t="s">
        <v>670</v>
      </c>
      <c r="I101">
        <v>8.5999999999999993E-2</v>
      </c>
      <c r="J101">
        <v>7.6200000000000004E-2</v>
      </c>
      <c r="K101">
        <v>5.8200000000000002E-2</v>
      </c>
      <c r="L101">
        <v>5.2600000000000001E-2</v>
      </c>
      <c r="M101">
        <v>4.5499999999999999E-2</v>
      </c>
      <c r="N101">
        <v>4.8800000000000003E-2</v>
      </c>
      <c r="O101">
        <v>5.4399999999999997E-2</v>
      </c>
      <c r="P101">
        <v>5.7299999999999997E-2</v>
      </c>
      <c r="Q101">
        <v>2.3199999999999998E-2</v>
      </c>
      <c r="R101">
        <v>1.2200000000000001E-2</v>
      </c>
      <c r="S101">
        <v>2.1899999999999999E-2</v>
      </c>
      <c r="T101">
        <v>2.4E-2</v>
      </c>
      <c r="U101">
        <v>4.53E-2</v>
      </c>
      <c r="V101">
        <v>5.3999999999999999E-2</v>
      </c>
      <c r="W101">
        <v>6.59E-2</v>
      </c>
      <c r="X101">
        <v>6.3600000000000004E-2</v>
      </c>
      <c r="Y101">
        <v>5.9900000000000002E-2</v>
      </c>
      <c r="Z101">
        <v>4.4900000000000002E-2</v>
      </c>
      <c r="AA101">
        <v>5.2699999999999997E-2</v>
      </c>
      <c r="AB101">
        <v>7.4499999999999997E-2</v>
      </c>
      <c r="AC101">
        <v>6.9500000000000006E-2</v>
      </c>
      <c r="AD101">
        <v>0.1118</v>
      </c>
      <c r="AE101">
        <v>0.15090000000000001</v>
      </c>
      <c r="AF101">
        <v>0.1772</v>
      </c>
      <c r="AG101">
        <v>0.18770000000000001</v>
      </c>
      <c r="AH101">
        <v>0.1951</v>
      </c>
      <c r="AI101">
        <v>0.15279999999999999</v>
      </c>
      <c r="AJ101">
        <v>0.1041</v>
      </c>
      <c r="AK101">
        <v>9.6699999999999994E-2</v>
      </c>
      <c r="AL101">
        <v>4.58E-2</v>
      </c>
      <c r="AM101">
        <v>9.7000000000000003E-3</v>
      </c>
      <c r="AN101">
        <v>1.6000000000000001E-3</v>
      </c>
      <c r="AO101">
        <v>-1.8599999999999998E-2</v>
      </c>
      <c r="AP101">
        <v>6.9999999999999999E-4</v>
      </c>
      <c r="AQ101">
        <v>1.1999999999999999E-3</v>
      </c>
      <c r="AR101">
        <v>-8.9999999999999993E-3</v>
      </c>
      <c r="AS101">
        <v>-2.8E-3</v>
      </c>
      <c r="AT101">
        <v>-4.5999999999999999E-3</v>
      </c>
      <c r="AU101">
        <v>-2.5999999999999999E-3</v>
      </c>
      <c r="AV101">
        <v>1.04E-2</v>
      </c>
    </row>
    <row r="102" spans="1:48" x14ac:dyDescent="0.25">
      <c r="A102" t="s">
        <v>214</v>
      </c>
      <c r="B102" t="s">
        <v>2</v>
      </c>
      <c r="C102" t="s">
        <v>214</v>
      </c>
      <c r="D102">
        <v>16940</v>
      </c>
      <c r="E102" t="s">
        <v>672</v>
      </c>
      <c r="F102" t="s">
        <v>117</v>
      </c>
      <c r="G102" t="s">
        <v>670</v>
      </c>
      <c r="H102" t="s">
        <v>670</v>
      </c>
      <c r="I102">
        <v>4.0300000000000002E-2</v>
      </c>
      <c r="J102">
        <v>2.3099999999999999E-2</v>
      </c>
      <c r="K102">
        <v>4.0599999999999997E-2</v>
      </c>
      <c r="L102">
        <v>1.4200000000000001E-2</v>
      </c>
      <c r="M102">
        <v>0.16980000000000001</v>
      </c>
      <c r="N102">
        <v>0.1699</v>
      </c>
      <c r="O102">
        <v>0.15179999999999999</v>
      </c>
      <c r="P102">
        <v>0.1673</v>
      </c>
      <c r="Q102">
        <v>-1.66E-2</v>
      </c>
      <c r="R102">
        <v>9.2999999999999992E-3</v>
      </c>
      <c r="S102">
        <v>1.7299999999999999E-2</v>
      </c>
      <c r="T102">
        <v>2.29E-2</v>
      </c>
      <c r="U102">
        <v>1.7600000000000001E-2</v>
      </c>
      <c r="V102">
        <v>2.52E-2</v>
      </c>
      <c r="W102">
        <v>2.53E-2</v>
      </c>
      <c r="X102">
        <v>2.3E-2</v>
      </c>
      <c r="Y102">
        <v>6.25E-2</v>
      </c>
      <c r="Z102">
        <v>5.57E-2</v>
      </c>
      <c r="AA102">
        <v>6.0999999999999999E-2</v>
      </c>
      <c r="AB102">
        <v>7.9699999999999993E-2</v>
      </c>
      <c r="AC102">
        <v>7.2800000000000004E-2</v>
      </c>
      <c r="AD102">
        <v>6.9099999999999995E-2</v>
      </c>
      <c r="AE102">
        <v>6.3799999999999996E-2</v>
      </c>
      <c r="AF102">
        <v>7.1999999999999995E-2</v>
      </c>
      <c r="AG102">
        <v>6.13E-2</v>
      </c>
      <c r="AH102">
        <v>6.2199999999999998E-2</v>
      </c>
      <c r="AI102">
        <v>7.0800000000000002E-2</v>
      </c>
      <c r="AJ102">
        <v>6.4100000000000004E-2</v>
      </c>
      <c r="AK102">
        <v>4.1099999999999998E-2</v>
      </c>
      <c r="AL102">
        <v>4.3200000000000002E-2</v>
      </c>
      <c r="AM102">
        <v>4.3299999999999998E-2</v>
      </c>
      <c r="AN102">
        <v>6.1999999999999998E-3</v>
      </c>
      <c r="AO102">
        <v>0.1055</v>
      </c>
      <c r="AP102">
        <v>0.12809999999999999</v>
      </c>
      <c r="AQ102">
        <v>0.12670000000000001</v>
      </c>
      <c r="AR102">
        <v>0.1051</v>
      </c>
      <c r="AS102">
        <v>5.3100000000000001E-2</v>
      </c>
      <c r="AT102">
        <v>9.3700000000000006E-2</v>
      </c>
      <c r="AU102">
        <v>7.9600000000000004E-2</v>
      </c>
      <c r="AV102">
        <v>0.14080000000000001</v>
      </c>
    </row>
    <row r="103" spans="1:48" x14ac:dyDescent="0.25">
      <c r="A103" t="s">
        <v>215</v>
      </c>
      <c r="B103" t="s">
        <v>2</v>
      </c>
      <c r="C103" t="s">
        <v>215</v>
      </c>
      <c r="D103">
        <v>216980</v>
      </c>
      <c r="E103" t="s">
        <v>672</v>
      </c>
      <c r="F103" t="s">
        <v>117</v>
      </c>
      <c r="G103" t="s">
        <v>670</v>
      </c>
      <c r="H103" t="s">
        <v>670</v>
      </c>
      <c r="I103">
        <v>5.5800000000000002E-2</v>
      </c>
      <c r="J103">
        <v>5.8500000000000003E-2</v>
      </c>
      <c r="K103">
        <v>4.2299999999999997E-2</v>
      </c>
      <c r="L103">
        <v>2.7199999999999998E-2</v>
      </c>
      <c r="M103">
        <v>2.9600000000000001E-2</v>
      </c>
      <c r="N103">
        <v>3.27E-2</v>
      </c>
      <c r="O103">
        <v>3.3399999999999999E-2</v>
      </c>
      <c r="P103">
        <v>3.9600000000000003E-2</v>
      </c>
      <c r="Q103">
        <v>2.92E-2</v>
      </c>
      <c r="R103">
        <v>2.0799999999999999E-2</v>
      </c>
      <c r="S103">
        <v>3.9600000000000003E-2</v>
      </c>
      <c r="T103">
        <v>6.0400000000000002E-2</v>
      </c>
      <c r="U103">
        <v>6.7000000000000004E-2</v>
      </c>
      <c r="V103">
        <v>6.8000000000000005E-2</v>
      </c>
      <c r="W103">
        <v>5.7700000000000001E-2</v>
      </c>
      <c r="X103">
        <v>2.6499999999999999E-2</v>
      </c>
      <c r="Y103">
        <v>3.0300000000000001E-2</v>
      </c>
      <c r="Z103">
        <v>-5.1000000000000004E-3</v>
      </c>
      <c r="AA103">
        <v>-3.8800000000000001E-2</v>
      </c>
      <c r="AB103">
        <v>-4.9700000000000001E-2</v>
      </c>
      <c r="AC103">
        <v>-5.8000000000000003E-2</v>
      </c>
      <c r="AD103">
        <v>-3.0000000000000001E-3</v>
      </c>
      <c r="AE103">
        <v>9.1600000000000001E-2</v>
      </c>
      <c r="AF103">
        <v>0.1605</v>
      </c>
      <c r="AG103">
        <v>0.184</v>
      </c>
      <c r="AH103">
        <v>0.17230000000000001</v>
      </c>
      <c r="AI103">
        <v>0.12429999999999999</v>
      </c>
      <c r="AJ103">
        <v>9.2899999999999996E-2</v>
      </c>
      <c r="AK103">
        <v>7.4800000000000005E-2</v>
      </c>
      <c r="AL103">
        <v>5.4100000000000002E-2</v>
      </c>
      <c r="AM103">
        <v>4.0899999999999999E-2</v>
      </c>
      <c r="AN103">
        <v>4.7399999999999998E-2</v>
      </c>
      <c r="AO103">
        <v>4.9200000000000001E-2</v>
      </c>
      <c r="AP103">
        <v>4.4900000000000002E-2</v>
      </c>
      <c r="AQ103">
        <v>4.9000000000000002E-2</v>
      </c>
      <c r="AR103">
        <v>5.3600000000000002E-2</v>
      </c>
      <c r="AS103">
        <v>5.96E-2</v>
      </c>
      <c r="AT103">
        <v>8.14E-2</v>
      </c>
      <c r="AU103">
        <v>7.8299999999999995E-2</v>
      </c>
      <c r="AV103">
        <v>6.4899999999999999E-2</v>
      </c>
    </row>
    <row r="104" spans="1:48" x14ac:dyDescent="0.25">
      <c r="A104" t="s">
        <v>216</v>
      </c>
      <c r="B104" t="s">
        <v>2</v>
      </c>
      <c r="C104" t="s">
        <v>216</v>
      </c>
      <c r="D104">
        <v>17020</v>
      </c>
      <c r="E104" t="s">
        <v>672</v>
      </c>
      <c r="F104" t="s">
        <v>117</v>
      </c>
      <c r="G104" t="s">
        <v>670</v>
      </c>
      <c r="H104" t="s">
        <v>670</v>
      </c>
      <c r="I104">
        <v>0.06</v>
      </c>
      <c r="J104">
        <v>5.9400000000000001E-2</v>
      </c>
      <c r="K104">
        <v>6.5600000000000006E-2</v>
      </c>
      <c r="L104">
        <v>7.8700000000000006E-2</v>
      </c>
      <c r="M104">
        <v>5.3900000000000003E-2</v>
      </c>
      <c r="N104">
        <v>5.57E-2</v>
      </c>
      <c r="O104">
        <v>4.2000000000000003E-2</v>
      </c>
      <c r="P104">
        <v>2.7900000000000001E-2</v>
      </c>
      <c r="Q104">
        <v>3.1E-2</v>
      </c>
      <c r="R104">
        <v>2.5600000000000001E-2</v>
      </c>
      <c r="S104">
        <v>5.16E-2</v>
      </c>
      <c r="T104">
        <v>3.3599999999999998E-2</v>
      </c>
      <c r="U104">
        <v>5.7000000000000002E-2</v>
      </c>
      <c r="V104">
        <v>8.6499999999999994E-2</v>
      </c>
      <c r="W104">
        <v>7.3099999999999998E-2</v>
      </c>
      <c r="X104">
        <v>9.4399999999999998E-2</v>
      </c>
      <c r="Y104">
        <v>5.0099999999999999E-2</v>
      </c>
      <c r="Z104">
        <v>1.1299999999999999E-2</v>
      </c>
      <c r="AA104">
        <v>9.4000000000000004E-3</v>
      </c>
      <c r="AB104">
        <v>1.7899999999999999E-2</v>
      </c>
      <c r="AC104">
        <v>1.6E-2</v>
      </c>
      <c r="AD104">
        <v>4.3400000000000001E-2</v>
      </c>
      <c r="AE104">
        <v>3.0099999999999998E-2</v>
      </c>
      <c r="AF104">
        <v>2.0299999999999999E-2</v>
      </c>
      <c r="AG104">
        <v>6.7199999999999996E-2</v>
      </c>
      <c r="AH104">
        <v>8.0600000000000005E-2</v>
      </c>
      <c r="AI104">
        <v>0.1091</v>
      </c>
      <c r="AJ104">
        <v>0.12230000000000001</v>
      </c>
      <c r="AK104">
        <v>0.1065</v>
      </c>
      <c r="AL104">
        <v>9.4100000000000003E-2</v>
      </c>
      <c r="AM104">
        <v>8.6199999999999999E-2</v>
      </c>
      <c r="AN104">
        <v>6.59E-2</v>
      </c>
      <c r="AO104">
        <v>4.5600000000000002E-2</v>
      </c>
      <c r="AP104">
        <v>2.52E-2</v>
      </c>
      <c r="AQ104">
        <v>0.03</v>
      </c>
      <c r="AR104">
        <v>2.2800000000000001E-2</v>
      </c>
      <c r="AS104">
        <v>2.3E-2</v>
      </c>
      <c r="AT104">
        <v>2.92E-2</v>
      </c>
      <c r="AU104">
        <v>3.7199999999999997E-2</v>
      </c>
      <c r="AV104">
        <v>4.2099999999999999E-2</v>
      </c>
    </row>
    <row r="105" spans="1:48" x14ac:dyDescent="0.25">
      <c r="A105" t="s">
        <v>217</v>
      </c>
      <c r="B105" t="s">
        <v>2</v>
      </c>
      <c r="C105" t="s">
        <v>217</v>
      </c>
      <c r="D105">
        <v>17060</v>
      </c>
      <c r="E105" t="s">
        <v>672</v>
      </c>
      <c r="F105" t="s">
        <v>117</v>
      </c>
      <c r="G105" t="s">
        <v>670</v>
      </c>
      <c r="H105" t="s">
        <v>670</v>
      </c>
      <c r="I105" t="s">
        <v>673</v>
      </c>
      <c r="J105" t="s">
        <v>673</v>
      </c>
      <c r="K105" t="s">
        <v>673</v>
      </c>
      <c r="L105" t="s">
        <v>673</v>
      </c>
      <c r="M105" t="s">
        <v>673</v>
      </c>
      <c r="N105" t="s">
        <v>673</v>
      </c>
      <c r="O105" t="s">
        <v>673</v>
      </c>
      <c r="P105" t="s">
        <v>673</v>
      </c>
      <c r="Q105" t="s">
        <v>673</v>
      </c>
      <c r="R105" t="s">
        <v>673</v>
      </c>
      <c r="S105" t="s">
        <v>673</v>
      </c>
      <c r="T105" t="s">
        <v>673</v>
      </c>
      <c r="U105" t="s">
        <v>673</v>
      </c>
      <c r="V105" t="s">
        <v>673</v>
      </c>
      <c r="W105" t="s">
        <v>673</v>
      </c>
      <c r="X105" t="s">
        <v>673</v>
      </c>
      <c r="Y105">
        <v>0.20930000000000001</v>
      </c>
      <c r="Z105">
        <v>0.21879999999999999</v>
      </c>
      <c r="AA105">
        <v>2.1999999999999999E-2</v>
      </c>
      <c r="AB105">
        <v>3.1800000000000002E-2</v>
      </c>
      <c r="AC105">
        <v>3.8600000000000002E-2</v>
      </c>
      <c r="AD105">
        <v>4.2200000000000001E-2</v>
      </c>
      <c r="AE105">
        <v>4.0899999999999999E-2</v>
      </c>
      <c r="AF105">
        <v>1.7999999999999999E-2</v>
      </c>
      <c r="AG105" t="s">
        <v>673</v>
      </c>
      <c r="AH105">
        <v>6.0100000000000001E-2</v>
      </c>
      <c r="AI105" t="s">
        <v>673</v>
      </c>
      <c r="AJ105" t="s">
        <v>673</v>
      </c>
      <c r="AK105" t="s">
        <v>673</v>
      </c>
      <c r="AL105" t="s">
        <v>673</v>
      </c>
      <c r="AM105" t="s">
        <v>673</v>
      </c>
      <c r="AN105">
        <v>9.0999999999999998E-2</v>
      </c>
      <c r="AO105">
        <v>0.12379999999999999</v>
      </c>
      <c r="AP105">
        <v>5.4100000000000002E-2</v>
      </c>
      <c r="AQ105">
        <v>-6.83E-2</v>
      </c>
      <c r="AR105">
        <v>1.3899999999999999E-2</v>
      </c>
      <c r="AS105">
        <v>1.09E-2</v>
      </c>
      <c r="AT105" t="s">
        <v>673</v>
      </c>
      <c r="AU105" t="s">
        <v>673</v>
      </c>
      <c r="AV105" t="s">
        <v>673</v>
      </c>
    </row>
    <row r="106" spans="1:48" x14ac:dyDescent="0.25">
      <c r="A106" t="s">
        <v>218</v>
      </c>
      <c r="B106" t="s">
        <v>2</v>
      </c>
      <c r="C106" t="s">
        <v>218</v>
      </c>
      <c r="D106">
        <v>17140</v>
      </c>
      <c r="E106" t="s">
        <v>672</v>
      </c>
      <c r="F106" t="s">
        <v>117</v>
      </c>
      <c r="G106" t="s">
        <v>670</v>
      </c>
      <c r="H106" t="s">
        <v>670</v>
      </c>
      <c r="I106">
        <v>3.5700000000000003E-2</v>
      </c>
      <c r="J106">
        <v>4.8099999999999997E-2</v>
      </c>
      <c r="K106">
        <v>3.2500000000000001E-2</v>
      </c>
      <c r="L106">
        <v>3.4099999999999998E-2</v>
      </c>
      <c r="M106">
        <v>2.6800000000000001E-2</v>
      </c>
      <c r="N106">
        <v>3.6400000000000002E-2</v>
      </c>
      <c r="O106">
        <v>4.1000000000000002E-2</v>
      </c>
      <c r="P106">
        <v>4.41E-2</v>
      </c>
      <c r="Q106">
        <v>3.8699999999999998E-2</v>
      </c>
      <c r="R106">
        <v>2.8899999999999999E-2</v>
      </c>
      <c r="S106">
        <v>4.1399999999999999E-2</v>
      </c>
      <c r="T106">
        <v>4.1500000000000002E-2</v>
      </c>
      <c r="U106">
        <v>5.0299999999999997E-2</v>
      </c>
      <c r="V106">
        <v>5.1200000000000002E-2</v>
      </c>
      <c r="W106">
        <v>5.5500000000000001E-2</v>
      </c>
      <c r="X106">
        <v>5.3199999999999997E-2</v>
      </c>
      <c r="Y106">
        <v>4.8500000000000001E-2</v>
      </c>
      <c r="Z106">
        <v>4.1599999999999998E-2</v>
      </c>
      <c r="AA106">
        <v>2.3099999999999999E-2</v>
      </c>
      <c r="AB106">
        <v>2.1600000000000001E-2</v>
      </c>
      <c r="AC106">
        <v>2.9700000000000001E-2</v>
      </c>
      <c r="AD106">
        <v>5.67E-2</v>
      </c>
      <c r="AE106">
        <v>9.3200000000000005E-2</v>
      </c>
      <c r="AF106">
        <v>0.1258</v>
      </c>
      <c r="AG106">
        <v>0.1444</v>
      </c>
      <c r="AH106">
        <v>0.1459</v>
      </c>
      <c r="AI106">
        <v>0.16209999999999999</v>
      </c>
      <c r="AJ106">
        <v>0.13880000000000001</v>
      </c>
      <c r="AK106">
        <v>0.1168</v>
      </c>
      <c r="AL106">
        <v>9.5000000000000001E-2</v>
      </c>
      <c r="AM106">
        <v>5.8900000000000001E-2</v>
      </c>
      <c r="AN106">
        <v>4.1399999999999999E-2</v>
      </c>
      <c r="AO106">
        <v>4.2999999999999997E-2</v>
      </c>
      <c r="AP106">
        <v>4.7600000000000003E-2</v>
      </c>
      <c r="AQ106">
        <v>4.4299999999999999E-2</v>
      </c>
      <c r="AR106">
        <v>4.2200000000000001E-2</v>
      </c>
      <c r="AS106">
        <v>4.48E-2</v>
      </c>
      <c r="AT106">
        <v>6.3200000000000006E-2</v>
      </c>
      <c r="AU106">
        <v>6.5500000000000003E-2</v>
      </c>
      <c r="AV106">
        <v>5.67E-2</v>
      </c>
    </row>
    <row r="107" spans="1:48" x14ac:dyDescent="0.25">
      <c r="A107" t="s">
        <v>219</v>
      </c>
      <c r="B107" t="s">
        <v>2</v>
      </c>
      <c r="C107" t="s">
        <v>219</v>
      </c>
      <c r="D107">
        <v>17300</v>
      </c>
      <c r="E107" t="s">
        <v>672</v>
      </c>
      <c r="F107" t="s">
        <v>117</v>
      </c>
      <c r="G107" t="s">
        <v>670</v>
      </c>
      <c r="H107" t="s">
        <v>670</v>
      </c>
      <c r="I107">
        <v>7.9899999999999999E-2</v>
      </c>
      <c r="J107">
        <v>6.2700000000000006E-2</v>
      </c>
      <c r="K107">
        <v>3.9199999999999999E-2</v>
      </c>
      <c r="L107">
        <v>3.3099999999999997E-2</v>
      </c>
      <c r="M107">
        <v>3.5200000000000002E-2</v>
      </c>
      <c r="N107">
        <v>6.9500000000000006E-2</v>
      </c>
      <c r="O107">
        <v>6.0600000000000001E-2</v>
      </c>
      <c r="P107">
        <v>7.1900000000000006E-2</v>
      </c>
      <c r="Q107">
        <v>6.1800000000000001E-2</v>
      </c>
      <c r="R107">
        <v>7.0699999999999999E-2</v>
      </c>
      <c r="S107">
        <v>6.5199999999999994E-2</v>
      </c>
      <c r="T107">
        <v>5.67E-2</v>
      </c>
      <c r="U107">
        <v>6.2199999999999998E-2</v>
      </c>
      <c r="V107">
        <v>5.1499999999999997E-2</v>
      </c>
      <c r="W107">
        <v>5.74E-2</v>
      </c>
      <c r="X107">
        <v>4.2599999999999999E-2</v>
      </c>
      <c r="Y107">
        <v>4.0599999999999997E-2</v>
      </c>
      <c r="Z107">
        <v>2.1899999999999999E-2</v>
      </c>
      <c r="AA107">
        <v>2.1000000000000001E-2</v>
      </c>
      <c r="AB107">
        <v>3.9100000000000003E-2</v>
      </c>
      <c r="AC107">
        <v>3.6299999999999999E-2</v>
      </c>
      <c r="AD107">
        <v>7.22E-2</v>
      </c>
      <c r="AE107">
        <v>0.10390000000000001</v>
      </c>
      <c r="AF107">
        <v>0.11990000000000001</v>
      </c>
      <c r="AG107">
        <v>0.1404</v>
      </c>
      <c r="AH107">
        <v>0.16880000000000001</v>
      </c>
      <c r="AI107">
        <v>0.13789999999999999</v>
      </c>
      <c r="AJ107">
        <v>9.06E-2</v>
      </c>
      <c r="AK107">
        <v>6.0999999999999999E-2</v>
      </c>
      <c r="AL107">
        <v>1.2800000000000001E-2</v>
      </c>
      <c r="AM107">
        <v>1.17E-2</v>
      </c>
      <c r="AN107">
        <v>2.8799999999999999E-2</v>
      </c>
      <c r="AO107">
        <v>3.4700000000000002E-2</v>
      </c>
      <c r="AP107">
        <v>5.5399999999999998E-2</v>
      </c>
      <c r="AQ107">
        <v>7.17E-2</v>
      </c>
      <c r="AR107">
        <v>5.0500000000000003E-2</v>
      </c>
      <c r="AS107">
        <v>2.4400000000000002E-2</v>
      </c>
      <c r="AT107">
        <v>-2.64E-2</v>
      </c>
      <c r="AU107">
        <v>-5.2299999999999999E-2</v>
      </c>
      <c r="AV107">
        <v>-4.5999999999999999E-2</v>
      </c>
    </row>
    <row r="108" spans="1:48" x14ac:dyDescent="0.25">
      <c r="A108" t="s">
        <v>220</v>
      </c>
      <c r="B108" t="s">
        <v>2</v>
      </c>
      <c r="C108" t="s">
        <v>220</v>
      </c>
      <c r="D108">
        <v>17410</v>
      </c>
      <c r="E108" t="s">
        <v>672</v>
      </c>
      <c r="F108" t="s">
        <v>117</v>
      </c>
      <c r="G108" t="s">
        <v>670</v>
      </c>
      <c r="H108" t="s">
        <v>670</v>
      </c>
      <c r="I108">
        <v>5.2600000000000001E-2</v>
      </c>
      <c r="J108">
        <v>6.0100000000000001E-2</v>
      </c>
      <c r="K108">
        <v>2.4E-2</v>
      </c>
      <c r="L108">
        <v>2.0400000000000001E-2</v>
      </c>
      <c r="M108">
        <v>2.0899999999999998E-2</v>
      </c>
      <c r="N108">
        <v>3.8E-3</v>
      </c>
      <c r="O108">
        <v>1.1299999999999999E-2</v>
      </c>
      <c r="P108">
        <v>1.43E-2</v>
      </c>
      <c r="Q108">
        <v>1.5100000000000001E-2</v>
      </c>
      <c r="R108">
        <v>2.0799999999999999E-2</v>
      </c>
      <c r="S108">
        <v>1.6400000000000001E-2</v>
      </c>
      <c r="T108">
        <v>1.8599999999999998E-2</v>
      </c>
      <c r="U108">
        <v>1.0800000000000001E-2</v>
      </c>
      <c r="V108">
        <v>1.8100000000000002E-2</v>
      </c>
      <c r="W108">
        <v>5.1700000000000003E-2</v>
      </c>
      <c r="X108">
        <v>7.0800000000000002E-2</v>
      </c>
      <c r="Y108">
        <v>7.5800000000000006E-2</v>
      </c>
      <c r="Z108">
        <v>6.1499999999999999E-2</v>
      </c>
      <c r="AA108">
        <v>3.85E-2</v>
      </c>
      <c r="AB108">
        <v>1.7999999999999999E-2</v>
      </c>
      <c r="AC108">
        <v>3.32E-2</v>
      </c>
      <c r="AD108">
        <v>4.2299999999999997E-2</v>
      </c>
      <c r="AE108">
        <v>6.4000000000000001E-2</v>
      </c>
      <c r="AF108">
        <v>0.10009999999999999</v>
      </c>
      <c r="AG108">
        <v>0.1123</v>
      </c>
      <c r="AH108">
        <v>0.1285</v>
      </c>
      <c r="AI108">
        <v>0.13320000000000001</v>
      </c>
      <c r="AJ108">
        <v>0.11310000000000001</v>
      </c>
      <c r="AK108">
        <v>9.4799999999999995E-2</v>
      </c>
      <c r="AL108">
        <v>7.0499999999999993E-2</v>
      </c>
      <c r="AM108">
        <v>4.1200000000000001E-2</v>
      </c>
      <c r="AN108">
        <v>4.3799999999999999E-2</v>
      </c>
      <c r="AO108">
        <v>4.8099999999999997E-2</v>
      </c>
      <c r="AP108">
        <v>5.3900000000000003E-2</v>
      </c>
      <c r="AQ108">
        <v>6.9599999999999995E-2</v>
      </c>
      <c r="AR108">
        <v>5.21E-2</v>
      </c>
      <c r="AS108">
        <v>4.3700000000000003E-2</v>
      </c>
      <c r="AT108">
        <v>6.25E-2</v>
      </c>
      <c r="AU108">
        <v>5.4399999999999997E-2</v>
      </c>
      <c r="AV108">
        <v>6.8599999999999994E-2</v>
      </c>
    </row>
    <row r="109" spans="1:48" x14ac:dyDescent="0.25">
      <c r="A109" t="s">
        <v>221</v>
      </c>
      <c r="B109" t="s">
        <v>2</v>
      </c>
      <c r="C109" t="s">
        <v>221</v>
      </c>
      <c r="D109">
        <v>17420</v>
      </c>
      <c r="E109" t="s">
        <v>672</v>
      </c>
      <c r="F109" t="s">
        <v>117</v>
      </c>
      <c r="G109" t="s">
        <v>670</v>
      </c>
      <c r="H109" t="s">
        <v>670</v>
      </c>
      <c r="I109">
        <v>-3.3500000000000002E-2</v>
      </c>
      <c r="J109">
        <v>-9.4000000000000004E-3</v>
      </c>
      <c r="K109" t="s">
        <v>673</v>
      </c>
      <c r="L109" t="s">
        <v>673</v>
      </c>
      <c r="M109" t="s">
        <v>673</v>
      </c>
      <c r="N109">
        <v>-6.5000000000000002E-2</v>
      </c>
      <c r="O109">
        <v>-8.4199999999999997E-2</v>
      </c>
      <c r="P109">
        <v>-0.1133</v>
      </c>
      <c r="Q109">
        <v>-9.6500000000000002E-2</v>
      </c>
      <c r="R109">
        <v>5.7000000000000002E-2</v>
      </c>
      <c r="S109">
        <v>1.3599999999999999E-2</v>
      </c>
      <c r="T109">
        <v>1.95E-2</v>
      </c>
      <c r="U109">
        <v>9.2999999999999992E-3</v>
      </c>
      <c r="V109">
        <v>1.01E-2</v>
      </c>
      <c r="W109">
        <v>3.04E-2</v>
      </c>
      <c r="X109">
        <v>2.64E-2</v>
      </c>
      <c r="Y109">
        <v>4.5100000000000001E-2</v>
      </c>
      <c r="Z109">
        <v>1.06E-2</v>
      </c>
      <c r="AA109">
        <v>3.6700000000000003E-2</v>
      </c>
      <c r="AB109">
        <v>7.2599999999999998E-2</v>
      </c>
      <c r="AC109">
        <v>8.5999999999999993E-2</v>
      </c>
      <c r="AD109">
        <v>0.1139</v>
      </c>
      <c r="AE109">
        <v>0.14080000000000001</v>
      </c>
      <c r="AF109">
        <v>0.19070000000000001</v>
      </c>
      <c r="AG109">
        <v>0.24929999999999999</v>
      </c>
      <c r="AH109">
        <v>0.27039999999999997</v>
      </c>
      <c r="AI109">
        <v>0.2036</v>
      </c>
      <c r="AJ109">
        <v>0.1163</v>
      </c>
      <c r="AK109">
        <v>2.52E-2</v>
      </c>
      <c r="AL109">
        <v>2.9399999999999999E-2</v>
      </c>
      <c r="AM109">
        <v>2.2499999999999999E-2</v>
      </c>
      <c r="AN109">
        <v>3.4599999999999999E-2</v>
      </c>
      <c r="AO109">
        <v>5.9499999999999997E-2</v>
      </c>
      <c r="AP109">
        <v>3.1199999999999999E-2</v>
      </c>
      <c r="AQ109">
        <v>0.104</v>
      </c>
      <c r="AR109">
        <v>9.8799999999999999E-2</v>
      </c>
      <c r="AS109">
        <v>6.7799999999999999E-2</v>
      </c>
      <c r="AT109">
        <v>4.4999999999999998E-2</v>
      </c>
      <c r="AU109">
        <v>-2.01E-2</v>
      </c>
      <c r="AV109">
        <v>-6.08E-2</v>
      </c>
    </row>
    <row r="110" spans="1:48" x14ac:dyDescent="0.25">
      <c r="A110" t="s">
        <v>222</v>
      </c>
      <c r="B110" t="s">
        <v>2</v>
      </c>
      <c r="C110" t="s">
        <v>222</v>
      </c>
      <c r="D110">
        <v>17540</v>
      </c>
      <c r="E110" t="s">
        <v>672</v>
      </c>
      <c r="F110" t="s">
        <v>117</v>
      </c>
      <c r="G110" t="s">
        <v>670</v>
      </c>
      <c r="H110" t="s">
        <v>670</v>
      </c>
      <c r="I110" t="s">
        <v>673</v>
      </c>
      <c r="J110" t="s">
        <v>673</v>
      </c>
      <c r="K110" t="s">
        <v>673</v>
      </c>
      <c r="L110" t="s">
        <v>673</v>
      </c>
      <c r="M110" t="s">
        <v>673</v>
      </c>
      <c r="N110" t="s">
        <v>673</v>
      </c>
      <c r="O110" t="s">
        <v>673</v>
      </c>
      <c r="P110" t="s">
        <v>673</v>
      </c>
      <c r="Q110" t="s">
        <v>673</v>
      </c>
      <c r="R110" t="s">
        <v>673</v>
      </c>
      <c r="S110" t="s">
        <v>673</v>
      </c>
      <c r="T110" t="s">
        <v>673</v>
      </c>
      <c r="U110" t="s">
        <v>673</v>
      </c>
      <c r="V110" t="s">
        <v>673</v>
      </c>
      <c r="W110" t="s">
        <v>673</v>
      </c>
      <c r="X110" t="s">
        <v>673</v>
      </c>
      <c r="Y110" t="s">
        <v>673</v>
      </c>
      <c r="Z110" t="s">
        <v>673</v>
      </c>
      <c r="AA110" t="s">
        <v>673</v>
      </c>
      <c r="AB110" t="s">
        <v>673</v>
      </c>
      <c r="AC110" t="s">
        <v>673</v>
      </c>
      <c r="AD110" t="s">
        <v>673</v>
      </c>
      <c r="AE110" t="s">
        <v>673</v>
      </c>
      <c r="AF110" t="s">
        <v>673</v>
      </c>
      <c r="AG110" t="s">
        <v>673</v>
      </c>
      <c r="AH110" t="s">
        <v>673</v>
      </c>
      <c r="AI110" t="s">
        <v>673</v>
      </c>
      <c r="AJ110" t="s">
        <v>673</v>
      </c>
      <c r="AK110" t="s">
        <v>673</v>
      </c>
      <c r="AL110" t="s">
        <v>673</v>
      </c>
      <c r="AM110" t="s">
        <v>673</v>
      </c>
      <c r="AN110" t="s">
        <v>673</v>
      </c>
      <c r="AO110" t="s">
        <v>673</v>
      </c>
      <c r="AP110" t="s">
        <v>673</v>
      </c>
      <c r="AQ110" t="s">
        <v>673</v>
      </c>
      <c r="AR110" t="s">
        <v>673</v>
      </c>
      <c r="AS110" t="s">
        <v>673</v>
      </c>
      <c r="AT110" t="s">
        <v>673</v>
      </c>
      <c r="AU110" t="s">
        <v>673</v>
      </c>
      <c r="AV110" t="s">
        <v>673</v>
      </c>
    </row>
    <row r="111" spans="1:48" x14ac:dyDescent="0.25">
      <c r="A111" t="s">
        <v>223</v>
      </c>
      <c r="B111" t="s">
        <v>2</v>
      </c>
      <c r="C111" t="s">
        <v>223</v>
      </c>
      <c r="D111">
        <v>17580</v>
      </c>
      <c r="E111" t="s">
        <v>672</v>
      </c>
      <c r="F111" t="s">
        <v>117</v>
      </c>
      <c r="G111" t="s">
        <v>670</v>
      </c>
      <c r="H111" t="s">
        <v>670</v>
      </c>
      <c r="I111" t="s">
        <v>673</v>
      </c>
      <c r="J111" t="s">
        <v>673</v>
      </c>
      <c r="K111" t="s">
        <v>673</v>
      </c>
      <c r="L111" t="s">
        <v>673</v>
      </c>
      <c r="M111" t="s">
        <v>673</v>
      </c>
      <c r="N111" t="s">
        <v>673</v>
      </c>
      <c r="O111" t="s">
        <v>673</v>
      </c>
      <c r="P111" t="s">
        <v>673</v>
      </c>
      <c r="Q111" t="s">
        <v>673</v>
      </c>
      <c r="R111" t="s">
        <v>673</v>
      </c>
      <c r="S111" t="s">
        <v>673</v>
      </c>
      <c r="T111" t="s">
        <v>673</v>
      </c>
      <c r="U111" t="s">
        <v>673</v>
      </c>
      <c r="V111" t="s">
        <v>673</v>
      </c>
      <c r="W111" t="s">
        <v>673</v>
      </c>
      <c r="X111" t="s">
        <v>673</v>
      </c>
      <c r="Y111" t="s">
        <v>673</v>
      </c>
      <c r="Z111" t="s">
        <v>673</v>
      </c>
      <c r="AA111" t="s">
        <v>673</v>
      </c>
      <c r="AB111" t="s">
        <v>673</v>
      </c>
      <c r="AC111" t="s">
        <v>673</v>
      </c>
      <c r="AD111" t="s">
        <v>673</v>
      </c>
      <c r="AE111" t="s">
        <v>673</v>
      </c>
      <c r="AF111" t="s">
        <v>673</v>
      </c>
      <c r="AG111">
        <v>0.2707</v>
      </c>
      <c r="AH111">
        <v>8.2299999999999998E-2</v>
      </c>
      <c r="AI111">
        <v>9.0200000000000002E-2</v>
      </c>
      <c r="AJ111">
        <v>7.0499999999999993E-2</v>
      </c>
      <c r="AK111">
        <v>1.38E-2</v>
      </c>
      <c r="AL111">
        <v>8.3999999999999995E-3</v>
      </c>
      <c r="AM111" t="s">
        <v>673</v>
      </c>
      <c r="AN111" t="s">
        <v>673</v>
      </c>
      <c r="AO111" t="s">
        <v>673</v>
      </c>
      <c r="AP111" t="s">
        <v>673</v>
      </c>
      <c r="AQ111" t="s">
        <v>673</v>
      </c>
      <c r="AR111" t="s">
        <v>673</v>
      </c>
      <c r="AS111" t="s">
        <v>673</v>
      </c>
      <c r="AT111" t="s">
        <v>673</v>
      </c>
      <c r="AU111" t="s">
        <v>673</v>
      </c>
      <c r="AV111" t="s">
        <v>673</v>
      </c>
    </row>
    <row r="112" spans="1:48" x14ac:dyDescent="0.25">
      <c r="A112" t="s">
        <v>224</v>
      </c>
      <c r="B112" t="s">
        <v>2</v>
      </c>
      <c r="C112" t="s">
        <v>224</v>
      </c>
      <c r="D112">
        <v>17660</v>
      </c>
      <c r="E112" t="s">
        <v>672</v>
      </c>
      <c r="F112" t="s">
        <v>117</v>
      </c>
      <c r="G112" t="s">
        <v>670</v>
      </c>
      <c r="H112" t="s">
        <v>670</v>
      </c>
      <c r="I112">
        <v>2.1899999999999999E-2</v>
      </c>
      <c r="J112">
        <v>0.15429999999999999</v>
      </c>
      <c r="K112">
        <v>5.2400000000000002E-2</v>
      </c>
      <c r="L112">
        <v>9.0399999999999994E-2</v>
      </c>
      <c r="M112">
        <v>0.1069</v>
      </c>
      <c r="N112">
        <v>0.11</v>
      </c>
      <c r="O112">
        <v>0.1326</v>
      </c>
      <c r="P112">
        <v>8.4900000000000003E-2</v>
      </c>
      <c r="Q112">
        <v>8.1199999999999994E-2</v>
      </c>
      <c r="R112">
        <v>5.4199999999999998E-2</v>
      </c>
      <c r="S112">
        <v>4.0099999999999997E-2</v>
      </c>
      <c r="T112">
        <v>4.7399999999999998E-2</v>
      </c>
      <c r="U112">
        <v>3.95E-2</v>
      </c>
      <c r="V112">
        <v>5.0599999999999999E-2</v>
      </c>
      <c r="W112">
        <v>6.8900000000000003E-2</v>
      </c>
      <c r="X112">
        <v>6.9400000000000003E-2</v>
      </c>
      <c r="Y112">
        <v>5.8000000000000003E-2</v>
      </c>
      <c r="Z112">
        <v>6.6699999999999995E-2</v>
      </c>
      <c r="AA112">
        <v>5.9499999999999997E-2</v>
      </c>
      <c r="AB112">
        <v>0.1168</v>
      </c>
      <c r="AC112">
        <v>0.2137</v>
      </c>
      <c r="AD112">
        <v>0.28089999999999998</v>
      </c>
      <c r="AE112">
        <v>0.32369999999999999</v>
      </c>
      <c r="AF112">
        <v>0.2492</v>
      </c>
      <c r="AG112">
        <v>0.155</v>
      </c>
      <c r="AH112">
        <v>0.1472</v>
      </c>
      <c r="AI112">
        <v>8.3699999999999997E-2</v>
      </c>
      <c r="AJ112">
        <v>3.1E-2</v>
      </c>
      <c r="AK112">
        <v>5.4699999999999999E-2</v>
      </c>
      <c r="AL112">
        <v>-6.3E-3</v>
      </c>
      <c r="AM112">
        <v>-1.0200000000000001E-2</v>
      </c>
      <c r="AN112">
        <v>1.4E-2</v>
      </c>
      <c r="AO112">
        <v>-7.0000000000000001E-3</v>
      </c>
      <c r="AP112">
        <v>1.5E-3</v>
      </c>
      <c r="AQ112">
        <v>1.24E-2</v>
      </c>
      <c r="AR112">
        <v>1.9199999999999998E-2</v>
      </c>
      <c r="AS112">
        <v>2.58E-2</v>
      </c>
      <c r="AT112">
        <v>3.7199999999999997E-2</v>
      </c>
      <c r="AU112">
        <v>2.8000000000000001E-2</v>
      </c>
      <c r="AV112">
        <v>2.4400000000000002E-2</v>
      </c>
    </row>
    <row r="113" spans="1:48" x14ac:dyDescent="0.25">
      <c r="A113" t="s">
        <v>225</v>
      </c>
      <c r="B113" t="s">
        <v>2</v>
      </c>
      <c r="C113" t="s">
        <v>225</v>
      </c>
      <c r="D113">
        <v>17740</v>
      </c>
      <c r="E113" t="s">
        <v>672</v>
      </c>
      <c r="F113" t="s">
        <v>117</v>
      </c>
      <c r="G113" t="s">
        <v>670</v>
      </c>
      <c r="H113" t="s">
        <v>670</v>
      </c>
      <c r="I113" t="s">
        <v>673</v>
      </c>
      <c r="J113" t="s">
        <v>673</v>
      </c>
      <c r="K113" t="s">
        <v>673</v>
      </c>
      <c r="L113" t="s">
        <v>673</v>
      </c>
      <c r="M113" t="s">
        <v>673</v>
      </c>
      <c r="N113" t="s">
        <v>673</v>
      </c>
      <c r="O113" t="s">
        <v>673</v>
      </c>
      <c r="P113" t="s">
        <v>673</v>
      </c>
      <c r="Q113" t="s">
        <v>673</v>
      </c>
      <c r="R113" t="s">
        <v>673</v>
      </c>
      <c r="S113" t="s">
        <v>673</v>
      </c>
      <c r="T113" t="s">
        <v>673</v>
      </c>
      <c r="U113" t="s">
        <v>673</v>
      </c>
      <c r="V113" t="s">
        <v>673</v>
      </c>
      <c r="W113" t="s">
        <v>673</v>
      </c>
      <c r="X113" t="s">
        <v>673</v>
      </c>
      <c r="Y113" t="s">
        <v>673</v>
      </c>
      <c r="Z113" t="s">
        <v>673</v>
      </c>
      <c r="AA113" t="s">
        <v>673</v>
      </c>
      <c r="AB113" t="s">
        <v>673</v>
      </c>
      <c r="AC113" t="s">
        <v>673</v>
      </c>
      <c r="AD113" t="s">
        <v>673</v>
      </c>
      <c r="AE113" t="s">
        <v>673</v>
      </c>
      <c r="AF113" t="s">
        <v>673</v>
      </c>
      <c r="AG113" t="s">
        <v>673</v>
      </c>
      <c r="AH113" t="s">
        <v>673</v>
      </c>
      <c r="AI113" t="s">
        <v>673</v>
      </c>
      <c r="AJ113" t="s">
        <v>673</v>
      </c>
      <c r="AK113" t="s">
        <v>673</v>
      </c>
      <c r="AL113" t="s">
        <v>673</v>
      </c>
      <c r="AM113" t="s">
        <v>673</v>
      </c>
      <c r="AN113" t="s">
        <v>673</v>
      </c>
      <c r="AO113" t="s">
        <v>673</v>
      </c>
      <c r="AP113" t="s">
        <v>673</v>
      </c>
      <c r="AQ113" t="s">
        <v>673</v>
      </c>
      <c r="AR113" t="s">
        <v>673</v>
      </c>
      <c r="AS113">
        <v>2.2700000000000001E-2</v>
      </c>
      <c r="AT113">
        <v>2.92E-2</v>
      </c>
      <c r="AU113">
        <v>1.5599999999999999E-2</v>
      </c>
      <c r="AV113">
        <v>2.3400000000000001E-2</v>
      </c>
    </row>
    <row r="114" spans="1:48" x14ac:dyDescent="0.25">
      <c r="A114" t="s">
        <v>226</v>
      </c>
      <c r="B114" t="s">
        <v>2</v>
      </c>
      <c r="C114" t="s">
        <v>226</v>
      </c>
      <c r="D114">
        <v>17780</v>
      </c>
      <c r="E114" t="s">
        <v>672</v>
      </c>
      <c r="F114" t="s">
        <v>117</v>
      </c>
      <c r="G114" t="s">
        <v>670</v>
      </c>
      <c r="H114" t="s">
        <v>670</v>
      </c>
      <c r="I114">
        <v>7.6899999999999996E-2</v>
      </c>
      <c r="J114">
        <v>7.0599999999999996E-2</v>
      </c>
      <c r="K114">
        <v>9.3799999999999994E-2</v>
      </c>
      <c r="L114">
        <v>5.6599999999999998E-2</v>
      </c>
      <c r="M114">
        <v>6.7100000000000007E-2</v>
      </c>
      <c r="N114">
        <v>5.33E-2</v>
      </c>
      <c r="O114">
        <v>-4.4999999999999997E-3</v>
      </c>
      <c r="P114">
        <v>9.4000000000000004E-3</v>
      </c>
      <c r="Q114">
        <v>1E-4</v>
      </c>
      <c r="R114">
        <v>3.3999999999999998E-3</v>
      </c>
      <c r="S114">
        <v>1.21E-2</v>
      </c>
      <c r="T114">
        <v>4.5999999999999999E-3</v>
      </c>
      <c r="U114">
        <v>1E-3</v>
      </c>
      <c r="V114">
        <v>-8.2000000000000007E-3</v>
      </c>
      <c r="W114">
        <v>3.3700000000000001E-2</v>
      </c>
      <c r="X114">
        <v>4.8899999999999999E-2</v>
      </c>
      <c r="Y114">
        <v>3.8699999999999998E-2</v>
      </c>
      <c r="Z114">
        <v>4.0000000000000001E-3</v>
      </c>
      <c r="AA114">
        <v>5.0000000000000001E-4</v>
      </c>
      <c r="AB114">
        <v>-2.1700000000000001E-2</v>
      </c>
      <c r="AC114">
        <v>-4.0000000000000002E-4</v>
      </c>
      <c r="AD114">
        <v>4.2299999999999997E-2</v>
      </c>
      <c r="AE114">
        <v>3.1899999999999998E-2</v>
      </c>
      <c r="AF114">
        <v>8.0500000000000002E-2</v>
      </c>
      <c r="AG114">
        <v>8.3799999999999999E-2</v>
      </c>
      <c r="AH114">
        <v>0.107</v>
      </c>
      <c r="AI114">
        <v>0.1159</v>
      </c>
      <c r="AJ114">
        <v>9.8199999999999996E-2</v>
      </c>
      <c r="AK114">
        <v>8.1600000000000006E-2</v>
      </c>
      <c r="AL114">
        <v>8.4699999999999998E-2</v>
      </c>
      <c r="AM114">
        <v>7.5700000000000003E-2</v>
      </c>
      <c r="AN114">
        <v>6.2700000000000006E-2</v>
      </c>
      <c r="AO114">
        <v>5.7099999999999998E-2</v>
      </c>
      <c r="AP114">
        <v>3.9800000000000002E-2</v>
      </c>
      <c r="AQ114">
        <v>4.3799999999999999E-2</v>
      </c>
      <c r="AR114">
        <v>2.9700000000000001E-2</v>
      </c>
      <c r="AS114">
        <v>2.46E-2</v>
      </c>
      <c r="AT114">
        <v>5.2699999999999997E-2</v>
      </c>
      <c r="AU114">
        <v>7.7899999999999997E-2</v>
      </c>
      <c r="AV114">
        <v>9.4100000000000003E-2</v>
      </c>
    </row>
    <row r="115" spans="1:48" x14ac:dyDescent="0.25">
      <c r="A115" t="s">
        <v>25</v>
      </c>
      <c r="B115" t="s">
        <v>2</v>
      </c>
      <c r="C115" t="s">
        <v>25</v>
      </c>
      <c r="D115">
        <v>17820</v>
      </c>
      <c r="E115" t="s">
        <v>672</v>
      </c>
      <c r="F115" t="s">
        <v>117</v>
      </c>
      <c r="G115" t="s">
        <v>670</v>
      </c>
      <c r="H115" t="s">
        <v>670</v>
      </c>
      <c r="I115">
        <v>7.8200000000000006E-2</v>
      </c>
      <c r="J115">
        <v>9.0899999999999995E-2</v>
      </c>
      <c r="K115">
        <v>9.4700000000000006E-2</v>
      </c>
      <c r="L115">
        <v>9.0999999999999998E-2</v>
      </c>
      <c r="M115">
        <v>8.6900000000000005E-2</v>
      </c>
      <c r="N115">
        <v>8.5999999999999993E-2</v>
      </c>
      <c r="O115">
        <v>8.3299999999999999E-2</v>
      </c>
      <c r="P115">
        <v>5.2499999999999998E-2</v>
      </c>
      <c r="Q115">
        <v>4.9099999999999998E-2</v>
      </c>
      <c r="R115">
        <v>3.4599999999999999E-2</v>
      </c>
      <c r="S115">
        <v>1.44E-2</v>
      </c>
      <c r="T115">
        <v>2.6599999999999999E-2</v>
      </c>
      <c r="U115">
        <v>4.8500000000000001E-2</v>
      </c>
      <c r="V115">
        <v>7.8200000000000006E-2</v>
      </c>
      <c r="W115">
        <v>0.1152</v>
      </c>
      <c r="X115">
        <v>0.1191</v>
      </c>
      <c r="Y115">
        <v>0.1017</v>
      </c>
      <c r="Z115">
        <v>5.3100000000000001E-2</v>
      </c>
      <c r="AA115">
        <v>4.2700000000000002E-2</v>
      </c>
      <c r="AB115">
        <v>4.7600000000000003E-2</v>
      </c>
      <c r="AC115">
        <v>6.0699999999999997E-2</v>
      </c>
      <c r="AD115">
        <v>0.13089999999999999</v>
      </c>
      <c r="AE115">
        <v>0.18759999999999999</v>
      </c>
      <c r="AF115">
        <v>0.17899999999999999</v>
      </c>
      <c r="AG115">
        <v>0.1668</v>
      </c>
      <c r="AH115">
        <v>0.13700000000000001</v>
      </c>
      <c r="AI115">
        <v>8.2799999999999999E-2</v>
      </c>
      <c r="AJ115">
        <v>0.06</v>
      </c>
      <c r="AK115">
        <v>3.8199999999999998E-2</v>
      </c>
      <c r="AL115">
        <v>4.4999999999999997E-3</v>
      </c>
      <c r="AM115">
        <v>-2.8000000000000001E-2</v>
      </c>
      <c r="AN115">
        <v>-1.41E-2</v>
      </c>
      <c r="AO115">
        <v>-1.2999999999999999E-2</v>
      </c>
      <c r="AP115">
        <v>-2.7900000000000001E-2</v>
      </c>
      <c r="AQ115">
        <v>-1.95E-2</v>
      </c>
      <c r="AR115">
        <v>-2.81E-2</v>
      </c>
      <c r="AS115">
        <v>-3.2800000000000003E-2</v>
      </c>
      <c r="AT115">
        <v>-2.86E-2</v>
      </c>
      <c r="AU115">
        <v>-3.44E-2</v>
      </c>
      <c r="AV115">
        <v>-4.5699999999999998E-2</v>
      </c>
    </row>
    <row r="116" spans="1:48" x14ac:dyDescent="0.25">
      <c r="A116" t="s">
        <v>227</v>
      </c>
      <c r="B116" t="s">
        <v>2</v>
      </c>
      <c r="C116" t="s">
        <v>227</v>
      </c>
      <c r="D116">
        <v>17860</v>
      </c>
      <c r="E116" t="s">
        <v>672</v>
      </c>
      <c r="F116" t="s">
        <v>117</v>
      </c>
      <c r="G116" t="s">
        <v>670</v>
      </c>
      <c r="H116" t="s">
        <v>670</v>
      </c>
      <c r="I116">
        <v>0.1166</v>
      </c>
      <c r="J116">
        <v>8.8599999999999998E-2</v>
      </c>
      <c r="K116">
        <v>4.36E-2</v>
      </c>
      <c r="L116">
        <v>-1.4500000000000001E-2</v>
      </c>
      <c r="M116">
        <v>-2.4299999999999999E-2</v>
      </c>
      <c r="N116">
        <v>-1.26E-2</v>
      </c>
      <c r="O116">
        <v>1.9699999999999999E-2</v>
      </c>
      <c r="P116">
        <v>3.0099999999999998E-2</v>
      </c>
      <c r="Q116">
        <v>1.9699999999999999E-2</v>
      </c>
      <c r="R116">
        <v>-5.9999999999999995E-4</v>
      </c>
      <c r="S116">
        <v>-7.6E-3</v>
      </c>
      <c r="T116">
        <v>-3.2399999999999998E-2</v>
      </c>
      <c r="U116">
        <v>-8.6E-3</v>
      </c>
      <c r="V116">
        <v>5.7999999999999996E-3</v>
      </c>
      <c r="W116">
        <v>4.3E-3</v>
      </c>
      <c r="X116">
        <v>4.2299999999999997E-2</v>
      </c>
      <c r="Y116">
        <v>3.1800000000000002E-2</v>
      </c>
      <c r="Z116">
        <v>2.1299999999999999E-2</v>
      </c>
      <c r="AA116">
        <v>1.7100000000000001E-2</v>
      </c>
      <c r="AB116">
        <v>6.83E-2</v>
      </c>
      <c r="AC116">
        <v>6.4500000000000002E-2</v>
      </c>
      <c r="AD116">
        <v>7.6999999999999999E-2</v>
      </c>
      <c r="AE116">
        <v>0.1074</v>
      </c>
      <c r="AF116">
        <v>6.9500000000000006E-2</v>
      </c>
      <c r="AG116">
        <v>0.11310000000000001</v>
      </c>
      <c r="AH116">
        <v>0.2389</v>
      </c>
      <c r="AI116">
        <v>0.24560000000000001</v>
      </c>
      <c r="AJ116">
        <v>0.21909999999999999</v>
      </c>
      <c r="AK116">
        <v>0.17100000000000001</v>
      </c>
      <c r="AL116">
        <v>6.5699999999999995E-2</v>
      </c>
      <c r="AM116">
        <v>2.46E-2</v>
      </c>
      <c r="AN116">
        <v>2.7699999999999999E-2</v>
      </c>
      <c r="AO116">
        <v>3.56E-2</v>
      </c>
      <c r="AP116">
        <v>3.5999999999999997E-2</v>
      </c>
      <c r="AQ116">
        <v>3.6799999999999999E-2</v>
      </c>
      <c r="AR116">
        <v>3.27E-2</v>
      </c>
      <c r="AS116">
        <v>4.1700000000000001E-2</v>
      </c>
      <c r="AT116">
        <v>3.9300000000000002E-2</v>
      </c>
      <c r="AU116">
        <v>6.7299999999999999E-2</v>
      </c>
      <c r="AV116">
        <v>5.9900000000000002E-2</v>
      </c>
    </row>
    <row r="117" spans="1:48" x14ac:dyDescent="0.25">
      <c r="A117" t="s">
        <v>228</v>
      </c>
      <c r="B117" t="s">
        <v>2</v>
      </c>
      <c r="C117" t="s">
        <v>228</v>
      </c>
      <c r="D117">
        <v>17900</v>
      </c>
      <c r="E117" t="s">
        <v>672</v>
      </c>
      <c r="F117" t="s">
        <v>117</v>
      </c>
      <c r="G117" t="s">
        <v>670</v>
      </c>
      <c r="H117" t="s">
        <v>670</v>
      </c>
      <c r="I117">
        <v>4.65E-2</v>
      </c>
      <c r="J117">
        <v>5.4300000000000001E-2</v>
      </c>
      <c r="K117">
        <v>3.2399999999999998E-2</v>
      </c>
      <c r="L117">
        <v>1.49E-2</v>
      </c>
      <c r="M117">
        <v>1.5699999999999999E-2</v>
      </c>
      <c r="N117">
        <v>1.26E-2</v>
      </c>
      <c r="O117">
        <v>3.6299999999999999E-2</v>
      </c>
      <c r="P117">
        <v>4.6300000000000001E-2</v>
      </c>
      <c r="Q117">
        <v>0.04</v>
      </c>
      <c r="R117">
        <v>4.3799999999999999E-2</v>
      </c>
      <c r="S117">
        <v>2.0400000000000001E-2</v>
      </c>
      <c r="T117">
        <v>4.2599999999999999E-2</v>
      </c>
      <c r="U117">
        <v>4.48E-2</v>
      </c>
      <c r="V117">
        <v>4.24E-2</v>
      </c>
      <c r="W117">
        <v>4.7300000000000002E-2</v>
      </c>
      <c r="X117">
        <v>2.4E-2</v>
      </c>
      <c r="Y117">
        <v>1.55E-2</v>
      </c>
      <c r="Z117">
        <v>7.0000000000000001E-3</v>
      </c>
      <c r="AA117">
        <v>3.1E-2</v>
      </c>
      <c r="AB117">
        <v>6.2799999999999995E-2</v>
      </c>
      <c r="AC117">
        <v>7.4899999999999994E-2</v>
      </c>
      <c r="AD117">
        <v>0.1065</v>
      </c>
      <c r="AE117">
        <v>0.13350000000000001</v>
      </c>
      <c r="AF117">
        <v>0.14530000000000001</v>
      </c>
      <c r="AG117">
        <v>0.14599999999999999</v>
      </c>
      <c r="AH117">
        <v>0.13650000000000001</v>
      </c>
      <c r="AI117">
        <v>0.1124</v>
      </c>
      <c r="AJ117">
        <v>9.0300000000000005E-2</v>
      </c>
      <c r="AK117">
        <v>7.6999999999999999E-2</v>
      </c>
      <c r="AL117">
        <v>6.0100000000000001E-2</v>
      </c>
      <c r="AM117">
        <v>3.3599999999999998E-2</v>
      </c>
      <c r="AN117">
        <v>2.4799999999999999E-2</v>
      </c>
      <c r="AO117">
        <v>2.3699999999999999E-2</v>
      </c>
      <c r="AP117">
        <v>2.1600000000000001E-2</v>
      </c>
      <c r="AQ117">
        <v>2.2800000000000001E-2</v>
      </c>
      <c r="AR117">
        <v>4.3E-3</v>
      </c>
      <c r="AS117">
        <v>1.4800000000000001E-2</v>
      </c>
      <c r="AT117">
        <v>1.1299999999999999E-2</v>
      </c>
      <c r="AU117">
        <v>2.3E-2</v>
      </c>
      <c r="AV117">
        <v>3.7699999999999997E-2</v>
      </c>
    </row>
    <row r="118" spans="1:48" x14ac:dyDescent="0.25">
      <c r="A118" t="s">
        <v>229</v>
      </c>
      <c r="B118" t="s">
        <v>2</v>
      </c>
      <c r="C118" t="s">
        <v>229</v>
      </c>
      <c r="D118">
        <v>17980</v>
      </c>
      <c r="E118" t="s">
        <v>672</v>
      </c>
      <c r="F118" t="s">
        <v>117</v>
      </c>
      <c r="G118" t="s">
        <v>670</v>
      </c>
      <c r="H118" t="s">
        <v>670</v>
      </c>
      <c r="I118">
        <v>1.1000000000000001E-3</v>
      </c>
      <c r="J118">
        <v>-3.0000000000000001E-3</v>
      </c>
      <c r="K118">
        <v>1.52E-2</v>
      </c>
      <c r="L118">
        <v>2.7400000000000001E-2</v>
      </c>
      <c r="M118">
        <v>3.6999999999999998E-2</v>
      </c>
      <c r="N118">
        <v>2.5499999999999998E-2</v>
      </c>
      <c r="O118">
        <v>9.4999999999999998E-3</v>
      </c>
      <c r="P118">
        <v>-2.2000000000000001E-3</v>
      </c>
      <c r="Q118">
        <v>1.1900000000000001E-2</v>
      </c>
      <c r="R118">
        <v>2.06E-2</v>
      </c>
      <c r="S118">
        <v>2.0299999999999999E-2</v>
      </c>
      <c r="T118">
        <v>5.3699999999999998E-2</v>
      </c>
      <c r="U118">
        <v>3.8300000000000001E-2</v>
      </c>
      <c r="V118">
        <v>4.8599999999999997E-2</v>
      </c>
      <c r="W118">
        <v>5.0500000000000003E-2</v>
      </c>
      <c r="X118">
        <v>3.0599999999999999E-2</v>
      </c>
      <c r="Y118">
        <v>5.5100000000000003E-2</v>
      </c>
      <c r="Z118">
        <v>5.5199999999999999E-2</v>
      </c>
      <c r="AA118">
        <v>5.3100000000000001E-2</v>
      </c>
      <c r="AB118">
        <v>0.05</v>
      </c>
      <c r="AC118">
        <v>4.2700000000000002E-2</v>
      </c>
      <c r="AD118">
        <v>6.0999999999999999E-2</v>
      </c>
      <c r="AE118">
        <v>7.8799999999999995E-2</v>
      </c>
      <c r="AF118">
        <v>9.1399999999999995E-2</v>
      </c>
      <c r="AG118">
        <v>9.6699999999999994E-2</v>
      </c>
      <c r="AH118">
        <v>9.7799999999999998E-2</v>
      </c>
      <c r="AI118">
        <v>7.8700000000000006E-2</v>
      </c>
      <c r="AJ118">
        <v>7.4899999999999994E-2</v>
      </c>
      <c r="AK118">
        <v>6.9699999999999998E-2</v>
      </c>
      <c r="AL118">
        <v>6.08E-2</v>
      </c>
      <c r="AM118">
        <v>6.6600000000000006E-2</v>
      </c>
      <c r="AN118">
        <v>4.9599999999999998E-2</v>
      </c>
      <c r="AO118">
        <v>6.1499999999999999E-2</v>
      </c>
      <c r="AP118">
        <v>5.0999999999999997E-2</v>
      </c>
      <c r="AQ118">
        <v>3.6999999999999998E-2</v>
      </c>
      <c r="AR118">
        <v>4.58E-2</v>
      </c>
      <c r="AS118">
        <v>3.0200000000000001E-2</v>
      </c>
      <c r="AT118">
        <v>2.3E-2</v>
      </c>
      <c r="AU118">
        <v>4.19E-2</v>
      </c>
      <c r="AV118">
        <v>3.6200000000000003E-2</v>
      </c>
    </row>
    <row r="119" spans="1:48" x14ac:dyDescent="0.25">
      <c r="A119" t="s">
        <v>230</v>
      </c>
      <c r="B119" t="s">
        <v>2</v>
      </c>
      <c r="C119" t="s">
        <v>230</v>
      </c>
      <c r="D119">
        <v>18020</v>
      </c>
      <c r="E119" t="s">
        <v>672</v>
      </c>
      <c r="F119" t="s">
        <v>117</v>
      </c>
      <c r="G119" t="s">
        <v>670</v>
      </c>
      <c r="H119" t="s">
        <v>670</v>
      </c>
      <c r="I119">
        <v>0.1249</v>
      </c>
      <c r="J119">
        <v>0.11840000000000001</v>
      </c>
      <c r="K119">
        <v>3.3E-3</v>
      </c>
      <c r="L119">
        <v>3.5000000000000001E-3</v>
      </c>
      <c r="M119">
        <v>8.6E-3</v>
      </c>
      <c r="N119">
        <v>3.32E-2</v>
      </c>
      <c r="O119">
        <v>2.7400000000000001E-2</v>
      </c>
      <c r="P119">
        <v>2.53E-2</v>
      </c>
      <c r="Q119">
        <v>8.3000000000000001E-3</v>
      </c>
      <c r="R119">
        <v>1.03E-2</v>
      </c>
      <c r="S119">
        <v>1.6799999999999999E-2</v>
      </c>
      <c r="T119">
        <v>2.64E-2</v>
      </c>
      <c r="U119">
        <v>3.7900000000000003E-2</v>
      </c>
      <c r="V119">
        <v>1.7100000000000001E-2</v>
      </c>
      <c r="W119">
        <v>1.5E-3</v>
      </c>
      <c r="X119">
        <v>-3.7199999999999997E-2</v>
      </c>
      <c r="Y119">
        <v>-4.3700000000000003E-2</v>
      </c>
      <c r="Z119">
        <v>-3.1399999999999997E-2</v>
      </c>
      <c r="AA119">
        <v>-3.8699999999999998E-2</v>
      </c>
      <c r="AB119">
        <v>-4.5499999999999999E-2</v>
      </c>
      <c r="AC119">
        <v>-8.6E-3</v>
      </c>
      <c r="AD119">
        <v>-5.7999999999999996E-3</v>
      </c>
      <c r="AE119">
        <v>5.2200000000000003E-2</v>
      </c>
      <c r="AF119">
        <v>0.10249999999999999</v>
      </c>
      <c r="AG119">
        <v>9.3700000000000006E-2</v>
      </c>
      <c r="AH119">
        <v>0.11650000000000001</v>
      </c>
      <c r="AI119">
        <v>9.8299999999999998E-2</v>
      </c>
      <c r="AJ119">
        <v>0.1021</v>
      </c>
      <c r="AK119">
        <v>8.4099999999999994E-2</v>
      </c>
      <c r="AL119">
        <v>6.6400000000000001E-2</v>
      </c>
      <c r="AM119">
        <v>7.8200000000000006E-2</v>
      </c>
      <c r="AN119">
        <v>2.5399999999999999E-2</v>
      </c>
      <c r="AO119">
        <v>2.1399999999999999E-2</v>
      </c>
      <c r="AP119">
        <v>2.01E-2</v>
      </c>
      <c r="AQ119">
        <v>6.1000000000000004E-3</v>
      </c>
      <c r="AR119">
        <v>4.6600000000000003E-2</v>
      </c>
      <c r="AS119">
        <v>4.4499999999999998E-2</v>
      </c>
      <c r="AT119">
        <v>7.6799999999999993E-2</v>
      </c>
      <c r="AU119">
        <v>4.3999999999999997E-2</v>
      </c>
      <c r="AV119">
        <v>1.66E-2</v>
      </c>
    </row>
    <row r="120" spans="1:48" x14ac:dyDescent="0.25">
      <c r="A120" t="s">
        <v>231</v>
      </c>
      <c r="B120" t="s">
        <v>2</v>
      </c>
      <c r="C120" t="s">
        <v>231</v>
      </c>
      <c r="D120">
        <v>18060</v>
      </c>
      <c r="E120" t="s">
        <v>672</v>
      </c>
      <c r="F120" t="s">
        <v>117</v>
      </c>
      <c r="G120" t="s">
        <v>670</v>
      </c>
      <c r="H120" t="s">
        <v>670</v>
      </c>
      <c r="I120" t="s">
        <v>673</v>
      </c>
      <c r="J120" t="s">
        <v>673</v>
      </c>
      <c r="K120" t="s">
        <v>673</v>
      </c>
      <c r="L120" t="s">
        <v>673</v>
      </c>
      <c r="M120" t="s">
        <v>673</v>
      </c>
      <c r="N120">
        <v>-0.10349999999999999</v>
      </c>
      <c r="O120" t="s">
        <v>673</v>
      </c>
      <c r="P120" t="s">
        <v>673</v>
      </c>
      <c r="Q120">
        <v>-6.6E-3</v>
      </c>
      <c r="R120">
        <v>5.1400000000000001E-2</v>
      </c>
      <c r="S120">
        <v>8.0999999999999996E-3</v>
      </c>
      <c r="T120">
        <v>2.7000000000000001E-3</v>
      </c>
      <c r="U120">
        <v>4.1799999999999997E-2</v>
      </c>
      <c r="V120">
        <v>5.67E-2</v>
      </c>
      <c r="W120">
        <v>1.6000000000000001E-3</v>
      </c>
      <c r="X120">
        <v>1.7500000000000002E-2</v>
      </c>
      <c r="Y120">
        <v>5.4999999999999997E-3</v>
      </c>
      <c r="Z120">
        <v>1.6299999999999999E-2</v>
      </c>
      <c r="AA120">
        <v>3.39E-2</v>
      </c>
      <c r="AB120">
        <v>4.5900000000000003E-2</v>
      </c>
      <c r="AC120">
        <v>3.09E-2</v>
      </c>
      <c r="AD120">
        <v>2.58E-2</v>
      </c>
      <c r="AE120">
        <v>3.4200000000000001E-2</v>
      </c>
      <c r="AF120" t="s">
        <v>673</v>
      </c>
      <c r="AG120" t="s">
        <v>673</v>
      </c>
      <c r="AH120" t="s">
        <v>673</v>
      </c>
      <c r="AI120" t="s">
        <v>673</v>
      </c>
      <c r="AJ120" t="s">
        <v>673</v>
      </c>
      <c r="AK120">
        <v>0.1648</v>
      </c>
      <c r="AL120">
        <v>0.1288</v>
      </c>
      <c r="AM120">
        <v>4.4299999999999999E-2</v>
      </c>
      <c r="AN120">
        <v>-8.9499999999999996E-2</v>
      </c>
      <c r="AO120">
        <v>-2.9999999999999997E-4</v>
      </c>
      <c r="AP120">
        <v>3.9300000000000002E-2</v>
      </c>
      <c r="AQ120">
        <v>4.8000000000000001E-2</v>
      </c>
      <c r="AR120">
        <v>5.3600000000000002E-2</v>
      </c>
      <c r="AS120">
        <v>2.2599999999999999E-2</v>
      </c>
      <c r="AT120">
        <v>1.89E-2</v>
      </c>
      <c r="AU120">
        <v>8.8900000000000007E-2</v>
      </c>
      <c r="AV120">
        <v>8.2100000000000006E-2</v>
      </c>
    </row>
    <row r="121" spans="1:48" x14ac:dyDescent="0.25">
      <c r="A121" t="s">
        <v>232</v>
      </c>
      <c r="B121" t="s">
        <v>2</v>
      </c>
      <c r="C121" t="s">
        <v>232</v>
      </c>
      <c r="D121">
        <v>18100</v>
      </c>
      <c r="E121" t="s">
        <v>672</v>
      </c>
      <c r="F121" t="s">
        <v>117</v>
      </c>
      <c r="G121" t="s">
        <v>670</v>
      </c>
      <c r="H121" t="s">
        <v>670</v>
      </c>
      <c r="I121" t="s">
        <v>673</v>
      </c>
      <c r="J121" t="s">
        <v>673</v>
      </c>
      <c r="K121" t="s">
        <v>673</v>
      </c>
      <c r="L121" t="s">
        <v>673</v>
      </c>
      <c r="M121" t="s">
        <v>673</v>
      </c>
      <c r="N121" t="s">
        <v>673</v>
      </c>
      <c r="O121" t="s">
        <v>673</v>
      </c>
      <c r="P121" t="s">
        <v>673</v>
      </c>
      <c r="Q121" t="s">
        <v>673</v>
      </c>
      <c r="R121" t="s">
        <v>673</v>
      </c>
      <c r="S121" t="s">
        <v>673</v>
      </c>
      <c r="T121" t="s">
        <v>673</v>
      </c>
      <c r="U121" t="s">
        <v>673</v>
      </c>
      <c r="V121" t="s">
        <v>673</v>
      </c>
      <c r="W121" t="s">
        <v>673</v>
      </c>
      <c r="X121" t="s">
        <v>673</v>
      </c>
      <c r="Y121" t="s">
        <v>673</v>
      </c>
      <c r="Z121" t="s">
        <v>673</v>
      </c>
      <c r="AA121" t="s">
        <v>673</v>
      </c>
      <c r="AB121" t="s">
        <v>673</v>
      </c>
      <c r="AC121" t="s">
        <v>673</v>
      </c>
      <c r="AD121" t="s">
        <v>673</v>
      </c>
      <c r="AE121" t="s">
        <v>673</v>
      </c>
      <c r="AF121" t="s">
        <v>673</v>
      </c>
      <c r="AG121" t="s">
        <v>673</v>
      </c>
      <c r="AH121" t="s">
        <v>673</v>
      </c>
      <c r="AI121" t="s">
        <v>673</v>
      </c>
      <c r="AJ121" t="s">
        <v>673</v>
      </c>
      <c r="AK121" t="s">
        <v>673</v>
      </c>
      <c r="AL121" t="s">
        <v>673</v>
      </c>
      <c r="AM121" t="s">
        <v>673</v>
      </c>
      <c r="AN121" t="s">
        <v>673</v>
      </c>
      <c r="AO121" t="s">
        <v>673</v>
      </c>
      <c r="AP121" t="s">
        <v>673</v>
      </c>
      <c r="AQ121" t="s">
        <v>673</v>
      </c>
      <c r="AR121" t="s">
        <v>673</v>
      </c>
      <c r="AS121" t="s">
        <v>673</v>
      </c>
      <c r="AT121" t="s">
        <v>673</v>
      </c>
      <c r="AU121" t="s">
        <v>673</v>
      </c>
      <c r="AV121" t="s">
        <v>673</v>
      </c>
    </row>
    <row r="122" spans="1:48" x14ac:dyDescent="0.25">
      <c r="A122" t="s">
        <v>7</v>
      </c>
      <c r="B122" t="s">
        <v>2</v>
      </c>
      <c r="C122" t="s">
        <v>7</v>
      </c>
      <c r="D122">
        <v>18140</v>
      </c>
      <c r="E122" t="s">
        <v>672</v>
      </c>
      <c r="F122" t="s">
        <v>117</v>
      </c>
      <c r="G122" t="s">
        <v>670</v>
      </c>
      <c r="H122" t="s">
        <v>670</v>
      </c>
      <c r="I122">
        <v>5.1299999999999998E-2</v>
      </c>
      <c r="J122">
        <v>4.5499999999999999E-2</v>
      </c>
      <c r="K122">
        <v>4.3700000000000003E-2</v>
      </c>
      <c r="L122">
        <v>4.2299999999999997E-2</v>
      </c>
      <c r="M122">
        <v>4.4299999999999999E-2</v>
      </c>
      <c r="N122">
        <v>5.1700000000000003E-2</v>
      </c>
      <c r="O122">
        <v>5.8299999999999998E-2</v>
      </c>
      <c r="P122">
        <v>6.0600000000000001E-2</v>
      </c>
      <c r="Q122">
        <v>5.7500000000000002E-2</v>
      </c>
      <c r="R122">
        <v>5.1799999999999999E-2</v>
      </c>
      <c r="S122">
        <v>4.2799999999999998E-2</v>
      </c>
      <c r="T122">
        <v>4.24E-2</v>
      </c>
      <c r="U122">
        <v>4.8399999999999999E-2</v>
      </c>
      <c r="V122">
        <v>4.7600000000000003E-2</v>
      </c>
      <c r="W122">
        <v>4.8599999999999997E-2</v>
      </c>
      <c r="X122">
        <v>4.1099999999999998E-2</v>
      </c>
      <c r="Y122">
        <v>4.87E-2</v>
      </c>
      <c r="Z122">
        <v>3.5799999999999998E-2</v>
      </c>
      <c r="AA122">
        <v>4.7800000000000002E-2</v>
      </c>
      <c r="AB122">
        <v>5.1200000000000002E-2</v>
      </c>
      <c r="AC122">
        <v>4.3700000000000003E-2</v>
      </c>
      <c r="AD122">
        <v>6.9199999999999998E-2</v>
      </c>
      <c r="AE122">
        <v>0.1</v>
      </c>
      <c r="AF122">
        <v>0.11269999999999999</v>
      </c>
      <c r="AG122">
        <v>0.1227</v>
      </c>
      <c r="AH122">
        <v>0.14729999999999999</v>
      </c>
      <c r="AI122">
        <v>0.126</v>
      </c>
      <c r="AJ122">
        <v>0.10979999999999999</v>
      </c>
      <c r="AK122">
        <v>9.74E-2</v>
      </c>
      <c r="AL122">
        <v>6.5600000000000006E-2</v>
      </c>
      <c r="AM122">
        <v>3.8100000000000002E-2</v>
      </c>
      <c r="AN122">
        <v>3.2899999999999999E-2</v>
      </c>
      <c r="AO122">
        <v>2.9499999999999998E-2</v>
      </c>
      <c r="AP122">
        <v>2.8500000000000001E-2</v>
      </c>
      <c r="AQ122">
        <v>2.9899999999999999E-2</v>
      </c>
      <c r="AR122">
        <v>2.5999999999999999E-2</v>
      </c>
      <c r="AS122">
        <v>3.73E-2</v>
      </c>
      <c r="AT122">
        <v>4.1700000000000001E-2</v>
      </c>
      <c r="AU122">
        <v>3.7999999999999999E-2</v>
      </c>
      <c r="AV122">
        <v>2.6100000000000002E-2</v>
      </c>
    </row>
    <row r="123" spans="1:48" x14ac:dyDescent="0.25">
      <c r="A123" t="s">
        <v>233</v>
      </c>
      <c r="B123" t="s">
        <v>2</v>
      </c>
      <c r="C123" t="s">
        <v>233</v>
      </c>
      <c r="D123">
        <v>18260</v>
      </c>
      <c r="E123" t="s">
        <v>672</v>
      </c>
      <c r="F123" t="s">
        <v>117</v>
      </c>
      <c r="G123" t="s">
        <v>670</v>
      </c>
      <c r="H123" t="s">
        <v>670</v>
      </c>
      <c r="I123" t="s">
        <v>673</v>
      </c>
      <c r="J123" t="s">
        <v>673</v>
      </c>
      <c r="K123">
        <v>6.9999999999999999E-4</v>
      </c>
      <c r="L123">
        <v>-8.5000000000000006E-2</v>
      </c>
      <c r="M123">
        <v>2.4799999999999999E-2</v>
      </c>
      <c r="N123">
        <v>4.0000000000000002E-4</v>
      </c>
      <c r="O123">
        <v>0.15110000000000001</v>
      </c>
      <c r="P123">
        <v>0.1313</v>
      </c>
      <c r="Q123">
        <v>0.11360000000000001</v>
      </c>
      <c r="R123">
        <v>8.8300000000000003E-2</v>
      </c>
      <c r="S123">
        <v>8.3799999999999999E-2</v>
      </c>
      <c r="T123">
        <v>8.2400000000000001E-2</v>
      </c>
      <c r="U123">
        <v>1.2999999999999999E-3</v>
      </c>
      <c r="V123">
        <v>2.63E-2</v>
      </c>
      <c r="W123">
        <v>0.1158</v>
      </c>
      <c r="X123">
        <v>0.1348</v>
      </c>
      <c r="Y123">
        <v>0.13400000000000001</v>
      </c>
      <c r="Z123">
        <v>0.12709999999999999</v>
      </c>
      <c r="AA123">
        <v>-1.7600000000000001E-2</v>
      </c>
      <c r="AB123">
        <v>-2.2700000000000001E-2</v>
      </c>
      <c r="AC123">
        <v>-1.6500000000000001E-2</v>
      </c>
      <c r="AD123">
        <v>-2.3599999999999999E-2</v>
      </c>
      <c r="AE123">
        <v>2.6100000000000002E-2</v>
      </c>
      <c r="AF123">
        <v>2.07E-2</v>
      </c>
      <c r="AG123" t="s">
        <v>673</v>
      </c>
      <c r="AH123" t="s">
        <v>673</v>
      </c>
      <c r="AI123" t="s">
        <v>673</v>
      </c>
      <c r="AJ123" t="s">
        <v>673</v>
      </c>
      <c r="AK123" t="s">
        <v>673</v>
      </c>
      <c r="AL123" t="s">
        <v>673</v>
      </c>
      <c r="AM123" t="s">
        <v>673</v>
      </c>
      <c r="AN123" t="s">
        <v>673</v>
      </c>
      <c r="AO123" t="s">
        <v>673</v>
      </c>
      <c r="AP123" t="s">
        <v>673</v>
      </c>
      <c r="AQ123" t="s">
        <v>673</v>
      </c>
      <c r="AR123" t="s">
        <v>673</v>
      </c>
      <c r="AS123" t="s">
        <v>673</v>
      </c>
      <c r="AT123" t="s">
        <v>673</v>
      </c>
      <c r="AU123" t="s">
        <v>673</v>
      </c>
      <c r="AV123" t="s">
        <v>673</v>
      </c>
    </row>
    <row r="124" spans="1:48" x14ac:dyDescent="0.25">
      <c r="A124" t="s">
        <v>234</v>
      </c>
      <c r="B124" t="s">
        <v>2</v>
      </c>
      <c r="C124" t="s">
        <v>234</v>
      </c>
      <c r="D124">
        <v>18380</v>
      </c>
      <c r="E124" t="s">
        <v>672</v>
      </c>
      <c r="F124" t="s">
        <v>117</v>
      </c>
      <c r="G124" t="s">
        <v>670</v>
      </c>
      <c r="H124" t="s">
        <v>670</v>
      </c>
      <c r="I124" t="s">
        <v>673</v>
      </c>
      <c r="J124" t="s">
        <v>673</v>
      </c>
      <c r="K124" t="s">
        <v>673</v>
      </c>
      <c r="L124" t="s">
        <v>673</v>
      </c>
      <c r="M124" t="s">
        <v>673</v>
      </c>
      <c r="N124" t="s">
        <v>673</v>
      </c>
      <c r="O124" t="s">
        <v>673</v>
      </c>
      <c r="P124" t="s">
        <v>673</v>
      </c>
      <c r="Q124" t="s">
        <v>673</v>
      </c>
      <c r="R124" t="s">
        <v>673</v>
      </c>
      <c r="S124" t="s">
        <v>673</v>
      </c>
      <c r="T124" t="s">
        <v>673</v>
      </c>
      <c r="U124" t="s">
        <v>673</v>
      </c>
      <c r="V124" t="s">
        <v>673</v>
      </c>
      <c r="W124" t="s">
        <v>673</v>
      </c>
      <c r="X124" t="s">
        <v>673</v>
      </c>
      <c r="Y124" t="s">
        <v>673</v>
      </c>
      <c r="Z124" t="s">
        <v>673</v>
      </c>
      <c r="AA124" t="s">
        <v>673</v>
      </c>
      <c r="AB124" t="s">
        <v>673</v>
      </c>
      <c r="AC124" t="s">
        <v>673</v>
      </c>
      <c r="AD124" t="s">
        <v>673</v>
      </c>
      <c r="AE124" t="s">
        <v>673</v>
      </c>
      <c r="AF124" t="s">
        <v>673</v>
      </c>
      <c r="AG124" t="s">
        <v>673</v>
      </c>
      <c r="AH124" t="s">
        <v>673</v>
      </c>
      <c r="AI124" t="s">
        <v>673</v>
      </c>
      <c r="AJ124" t="s">
        <v>673</v>
      </c>
      <c r="AK124" t="s">
        <v>673</v>
      </c>
      <c r="AL124" t="s">
        <v>673</v>
      </c>
      <c r="AM124" t="s">
        <v>673</v>
      </c>
      <c r="AN124" t="s">
        <v>673</v>
      </c>
      <c r="AO124" t="s">
        <v>673</v>
      </c>
      <c r="AP124" t="s">
        <v>673</v>
      </c>
      <c r="AQ124" t="s">
        <v>673</v>
      </c>
      <c r="AR124" t="s">
        <v>673</v>
      </c>
      <c r="AS124" t="s">
        <v>673</v>
      </c>
      <c r="AT124" t="s">
        <v>673</v>
      </c>
      <c r="AU124" t="s">
        <v>673</v>
      </c>
      <c r="AV124" t="s">
        <v>673</v>
      </c>
    </row>
    <row r="125" spans="1:48" x14ac:dyDescent="0.25">
      <c r="A125" t="s">
        <v>235</v>
      </c>
      <c r="B125" t="s">
        <v>2</v>
      </c>
      <c r="C125" t="s">
        <v>235</v>
      </c>
      <c r="D125">
        <v>18500</v>
      </c>
      <c r="E125" t="s">
        <v>672</v>
      </c>
      <c r="F125" t="s">
        <v>117</v>
      </c>
      <c r="G125" t="s">
        <v>670</v>
      </c>
      <c r="H125" t="s">
        <v>670</v>
      </c>
      <c r="I125" t="s">
        <v>673</v>
      </c>
      <c r="J125" t="s">
        <v>673</v>
      </c>
      <c r="K125" t="s">
        <v>673</v>
      </c>
      <c r="L125" t="s">
        <v>673</v>
      </c>
      <c r="M125">
        <v>-0.36399999999999999</v>
      </c>
      <c r="N125">
        <v>-0.32129999999999997</v>
      </c>
      <c r="O125">
        <v>-0.30480000000000002</v>
      </c>
      <c r="P125">
        <v>-0.1467</v>
      </c>
      <c r="Q125">
        <v>8.8200000000000001E-2</v>
      </c>
      <c r="R125" t="s">
        <v>673</v>
      </c>
      <c r="S125" t="s">
        <v>673</v>
      </c>
      <c r="T125" t="s">
        <v>673</v>
      </c>
      <c r="U125">
        <v>-2.8500000000000001E-2</v>
      </c>
      <c r="V125">
        <v>0.1201</v>
      </c>
      <c r="W125" t="s">
        <v>673</v>
      </c>
      <c r="X125">
        <v>0.22739999999999999</v>
      </c>
      <c r="Y125">
        <v>0.17180000000000001</v>
      </c>
      <c r="Z125">
        <v>0.11169999999999999</v>
      </c>
      <c r="AA125">
        <v>2.8299999999999999E-2</v>
      </c>
      <c r="AB125" t="s">
        <v>673</v>
      </c>
      <c r="AC125" t="s">
        <v>673</v>
      </c>
      <c r="AD125" t="s">
        <v>673</v>
      </c>
      <c r="AE125">
        <v>5.6800000000000003E-2</v>
      </c>
      <c r="AF125">
        <v>0.15229999999999999</v>
      </c>
      <c r="AG125">
        <v>0.13569999999999999</v>
      </c>
      <c r="AH125">
        <v>0.13339999999999999</v>
      </c>
      <c r="AI125">
        <v>6.3600000000000004E-2</v>
      </c>
      <c r="AJ125">
        <v>2.9499999999999998E-2</v>
      </c>
      <c r="AK125">
        <v>2.1700000000000001E-2</v>
      </c>
      <c r="AL125">
        <v>-1.1999999999999999E-3</v>
      </c>
      <c r="AM125">
        <v>-2E-3</v>
      </c>
      <c r="AN125">
        <v>1.44E-2</v>
      </c>
      <c r="AO125">
        <v>1.4500000000000001E-2</v>
      </c>
      <c r="AP125">
        <v>4.2000000000000003E-2</v>
      </c>
      <c r="AQ125">
        <v>6.6199999999999995E-2</v>
      </c>
      <c r="AR125">
        <v>6.3200000000000006E-2</v>
      </c>
      <c r="AS125">
        <v>9.8699999999999996E-2</v>
      </c>
      <c r="AT125">
        <v>9.8400000000000001E-2</v>
      </c>
      <c r="AU125">
        <v>5.8299999999999998E-2</v>
      </c>
      <c r="AV125">
        <v>6.5299999999999997E-2</v>
      </c>
    </row>
    <row r="126" spans="1:48" x14ac:dyDescent="0.25">
      <c r="A126" t="s">
        <v>236</v>
      </c>
      <c r="B126" t="s">
        <v>2</v>
      </c>
      <c r="C126" t="s">
        <v>236</v>
      </c>
      <c r="D126">
        <v>18580</v>
      </c>
      <c r="E126" t="s">
        <v>672</v>
      </c>
      <c r="F126" t="s">
        <v>117</v>
      </c>
      <c r="G126" t="s">
        <v>670</v>
      </c>
      <c r="H126" t="s">
        <v>670</v>
      </c>
      <c r="I126">
        <v>1.18E-2</v>
      </c>
      <c r="J126">
        <v>1.1299999999999999E-2</v>
      </c>
      <c r="K126">
        <v>-2.0999999999999999E-3</v>
      </c>
      <c r="L126">
        <v>-2.7699999999999999E-2</v>
      </c>
      <c r="M126">
        <v>-3.5400000000000001E-2</v>
      </c>
      <c r="N126">
        <v>-3.09E-2</v>
      </c>
      <c r="O126">
        <v>1E-4</v>
      </c>
      <c r="P126">
        <v>3.3799999999999997E-2</v>
      </c>
      <c r="Q126">
        <v>4.2599999999999999E-2</v>
      </c>
      <c r="R126">
        <v>5.5500000000000001E-2</v>
      </c>
      <c r="S126">
        <v>5.2900000000000003E-2</v>
      </c>
      <c r="T126">
        <v>1.4E-2</v>
      </c>
      <c r="U126">
        <v>2.29E-2</v>
      </c>
      <c r="V126">
        <v>3.1699999999999999E-2</v>
      </c>
      <c r="W126">
        <v>0.02</v>
      </c>
      <c r="X126">
        <v>4.9599999999999998E-2</v>
      </c>
      <c r="Y126">
        <v>3.5499999999999997E-2</v>
      </c>
      <c r="Z126">
        <v>1.8800000000000001E-2</v>
      </c>
      <c r="AA126">
        <v>2.63E-2</v>
      </c>
      <c r="AB126">
        <v>1.89E-2</v>
      </c>
      <c r="AC126">
        <v>3.9699999999999999E-2</v>
      </c>
      <c r="AD126">
        <v>4.02E-2</v>
      </c>
      <c r="AE126">
        <v>7.1099999999999997E-2</v>
      </c>
      <c r="AF126">
        <v>8.1100000000000005E-2</v>
      </c>
      <c r="AG126">
        <v>7.9000000000000001E-2</v>
      </c>
      <c r="AH126">
        <v>8.3299999999999999E-2</v>
      </c>
      <c r="AI126">
        <v>6.3E-2</v>
      </c>
      <c r="AJ126">
        <v>4.8599999999999997E-2</v>
      </c>
      <c r="AK126">
        <v>4.8899999999999999E-2</v>
      </c>
      <c r="AL126">
        <v>4.4499999999999998E-2</v>
      </c>
      <c r="AM126">
        <v>1.18E-2</v>
      </c>
      <c r="AN126">
        <v>0</v>
      </c>
      <c r="AO126">
        <v>-1.5E-3</v>
      </c>
      <c r="AP126">
        <v>2.7000000000000001E-3</v>
      </c>
      <c r="AQ126">
        <v>-8.9999999999999998E-4</v>
      </c>
      <c r="AR126">
        <v>4.1000000000000003E-3</v>
      </c>
      <c r="AS126">
        <v>7.9000000000000008E-3</v>
      </c>
      <c r="AT126">
        <v>-1.37E-2</v>
      </c>
      <c r="AU126">
        <v>-1.1999999999999999E-3</v>
      </c>
      <c r="AV126">
        <v>-2.0999999999999999E-3</v>
      </c>
    </row>
    <row r="127" spans="1:48" x14ac:dyDescent="0.25">
      <c r="A127" t="s">
        <v>237</v>
      </c>
      <c r="B127" t="s">
        <v>2</v>
      </c>
      <c r="C127" t="s">
        <v>237</v>
      </c>
      <c r="D127">
        <v>18620</v>
      </c>
      <c r="E127" t="s">
        <v>672</v>
      </c>
      <c r="F127" t="s">
        <v>117</v>
      </c>
      <c r="G127" t="s">
        <v>670</v>
      </c>
      <c r="H127" t="s">
        <v>670</v>
      </c>
      <c r="I127" t="s">
        <v>673</v>
      </c>
      <c r="J127" t="s">
        <v>673</v>
      </c>
      <c r="K127" t="s">
        <v>673</v>
      </c>
      <c r="L127" t="s">
        <v>673</v>
      </c>
      <c r="M127" t="s">
        <v>673</v>
      </c>
      <c r="N127" t="s">
        <v>673</v>
      </c>
      <c r="O127" t="s">
        <v>673</v>
      </c>
      <c r="P127" t="s">
        <v>673</v>
      </c>
      <c r="Q127" t="s">
        <v>673</v>
      </c>
      <c r="R127" t="s">
        <v>673</v>
      </c>
      <c r="S127" t="s">
        <v>673</v>
      </c>
      <c r="T127" t="s">
        <v>673</v>
      </c>
      <c r="U127" t="s">
        <v>673</v>
      </c>
      <c r="V127" t="s">
        <v>673</v>
      </c>
      <c r="W127" t="s">
        <v>673</v>
      </c>
      <c r="X127" t="s">
        <v>673</v>
      </c>
      <c r="Y127" t="s">
        <v>673</v>
      </c>
      <c r="Z127" t="s">
        <v>673</v>
      </c>
      <c r="AA127" t="s">
        <v>673</v>
      </c>
      <c r="AB127" t="s">
        <v>673</v>
      </c>
      <c r="AC127" t="s">
        <v>673</v>
      </c>
      <c r="AD127" t="s">
        <v>673</v>
      </c>
      <c r="AE127" t="s">
        <v>673</v>
      </c>
      <c r="AF127" t="s">
        <v>673</v>
      </c>
      <c r="AG127" t="s">
        <v>673</v>
      </c>
      <c r="AH127" t="s">
        <v>673</v>
      </c>
      <c r="AI127" t="s">
        <v>673</v>
      </c>
      <c r="AJ127" t="s">
        <v>673</v>
      </c>
      <c r="AK127" t="s">
        <v>673</v>
      </c>
      <c r="AL127" t="s">
        <v>673</v>
      </c>
      <c r="AM127" t="s">
        <v>673</v>
      </c>
      <c r="AN127" t="s">
        <v>673</v>
      </c>
      <c r="AO127" t="s">
        <v>673</v>
      </c>
      <c r="AP127" t="s">
        <v>673</v>
      </c>
      <c r="AQ127" t="s">
        <v>673</v>
      </c>
      <c r="AR127" t="s">
        <v>673</v>
      </c>
      <c r="AS127" t="s">
        <v>673</v>
      </c>
      <c r="AT127" t="s">
        <v>673</v>
      </c>
      <c r="AU127" t="s">
        <v>673</v>
      </c>
      <c r="AV127" t="s">
        <v>673</v>
      </c>
    </row>
    <row r="128" spans="1:48" x14ac:dyDescent="0.25">
      <c r="A128" t="s">
        <v>238</v>
      </c>
      <c r="B128" t="s">
        <v>2</v>
      </c>
      <c r="C128" t="s">
        <v>238</v>
      </c>
      <c r="D128">
        <v>18700</v>
      </c>
      <c r="E128" t="s">
        <v>672</v>
      </c>
      <c r="F128" t="s">
        <v>117</v>
      </c>
      <c r="G128" t="s">
        <v>670</v>
      </c>
      <c r="H128" t="s">
        <v>670</v>
      </c>
      <c r="I128">
        <v>7.9600000000000004E-2</v>
      </c>
      <c r="J128">
        <v>8.6499999999999994E-2</v>
      </c>
      <c r="K128">
        <v>8.9200000000000002E-2</v>
      </c>
      <c r="L128">
        <v>5.6300000000000003E-2</v>
      </c>
      <c r="M128">
        <v>4.8899999999999999E-2</v>
      </c>
      <c r="N128">
        <v>6.3899999999999998E-2</v>
      </c>
      <c r="O128">
        <v>4.8300000000000003E-2</v>
      </c>
      <c r="P128">
        <v>6.9400000000000003E-2</v>
      </c>
      <c r="Q128">
        <v>4.87E-2</v>
      </c>
      <c r="R128">
        <v>3.1399999999999997E-2</v>
      </c>
      <c r="S128">
        <v>4.6199999999999998E-2</v>
      </c>
      <c r="T128">
        <v>5.1799999999999999E-2</v>
      </c>
      <c r="U128">
        <v>5.0999999999999997E-2</v>
      </c>
      <c r="V128">
        <v>4.3400000000000001E-2</v>
      </c>
      <c r="W128">
        <v>3.2000000000000001E-2</v>
      </c>
      <c r="X128">
        <v>2.7300000000000001E-2</v>
      </c>
      <c r="Y128">
        <v>1.8200000000000001E-2</v>
      </c>
      <c r="Z128">
        <v>-3.8E-3</v>
      </c>
      <c r="AA128">
        <v>3.0999999999999999E-3</v>
      </c>
      <c r="AB128">
        <v>4.0099999999999997E-2</v>
      </c>
      <c r="AC128">
        <v>5.7700000000000001E-2</v>
      </c>
      <c r="AD128">
        <v>9.4399999999999998E-2</v>
      </c>
      <c r="AE128">
        <v>0.12</v>
      </c>
      <c r="AF128">
        <v>0.1431</v>
      </c>
      <c r="AG128">
        <v>0.16800000000000001</v>
      </c>
      <c r="AH128">
        <v>0.18529999999999999</v>
      </c>
      <c r="AI128">
        <v>0.2064</v>
      </c>
      <c r="AJ128">
        <v>0.15629999999999999</v>
      </c>
      <c r="AK128">
        <v>0.109</v>
      </c>
      <c r="AL128">
        <v>8.8900000000000007E-2</v>
      </c>
      <c r="AM128">
        <v>3.6900000000000002E-2</v>
      </c>
      <c r="AN128">
        <v>3.7699999999999997E-2</v>
      </c>
      <c r="AO128">
        <v>5.3499999999999999E-2</v>
      </c>
      <c r="AP128">
        <v>1.9099999999999999E-2</v>
      </c>
      <c r="AQ128">
        <v>2.9899999999999999E-2</v>
      </c>
      <c r="AR128">
        <v>1.32E-2</v>
      </c>
      <c r="AS128">
        <v>-1.8800000000000001E-2</v>
      </c>
      <c r="AT128">
        <v>1.55E-2</v>
      </c>
      <c r="AU128">
        <v>1.09E-2</v>
      </c>
      <c r="AV128">
        <v>-1.6400000000000001E-2</v>
      </c>
    </row>
    <row r="129" spans="1:48" x14ac:dyDescent="0.25">
      <c r="A129" t="s">
        <v>239</v>
      </c>
      <c r="B129" t="s">
        <v>2</v>
      </c>
      <c r="C129" t="s">
        <v>239</v>
      </c>
      <c r="D129">
        <v>18820</v>
      </c>
      <c r="E129" t="s">
        <v>672</v>
      </c>
      <c r="F129" t="s">
        <v>117</v>
      </c>
      <c r="G129" t="s">
        <v>670</v>
      </c>
      <c r="H129" t="s">
        <v>670</v>
      </c>
      <c r="I129" t="s">
        <v>673</v>
      </c>
      <c r="J129" t="s">
        <v>673</v>
      </c>
      <c r="K129" t="s">
        <v>673</v>
      </c>
      <c r="L129" t="s">
        <v>673</v>
      </c>
      <c r="M129" t="s">
        <v>673</v>
      </c>
      <c r="N129" t="s">
        <v>673</v>
      </c>
      <c r="O129" t="s">
        <v>673</v>
      </c>
      <c r="P129" t="s">
        <v>673</v>
      </c>
      <c r="Q129" t="s">
        <v>673</v>
      </c>
      <c r="R129" t="s">
        <v>673</v>
      </c>
      <c r="S129" t="s">
        <v>673</v>
      </c>
      <c r="T129" t="s">
        <v>673</v>
      </c>
      <c r="U129" t="s">
        <v>673</v>
      </c>
      <c r="V129" t="s">
        <v>673</v>
      </c>
      <c r="W129" t="s">
        <v>673</v>
      </c>
      <c r="X129" t="s">
        <v>673</v>
      </c>
      <c r="Y129" t="s">
        <v>673</v>
      </c>
      <c r="Z129" t="s">
        <v>673</v>
      </c>
      <c r="AA129" t="s">
        <v>673</v>
      </c>
      <c r="AB129" t="s">
        <v>673</v>
      </c>
      <c r="AC129" t="s">
        <v>673</v>
      </c>
      <c r="AD129" t="s">
        <v>673</v>
      </c>
      <c r="AE129" t="s">
        <v>673</v>
      </c>
      <c r="AF129" t="s">
        <v>673</v>
      </c>
      <c r="AG129" t="s">
        <v>673</v>
      </c>
      <c r="AH129" t="s">
        <v>673</v>
      </c>
      <c r="AI129" t="s">
        <v>673</v>
      </c>
      <c r="AJ129" t="s">
        <v>673</v>
      </c>
      <c r="AK129">
        <v>0.11840000000000001</v>
      </c>
      <c r="AL129">
        <v>7.6799999999999993E-2</v>
      </c>
      <c r="AM129">
        <v>7.17E-2</v>
      </c>
      <c r="AN129">
        <v>0.105</v>
      </c>
      <c r="AO129">
        <v>0.1031</v>
      </c>
      <c r="AP129">
        <v>7.4899999999999994E-2</v>
      </c>
      <c r="AQ129">
        <v>4.9200000000000001E-2</v>
      </c>
      <c r="AR129">
        <v>1.1900000000000001E-2</v>
      </c>
      <c r="AS129">
        <v>5.3900000000000003E-2</v>
      </c>
      <c r="AT129" t="s">
        <v>673</v>
      </c>
      <c r="AU129" t="s">
        <v>673</v>
      </c>
      <c r="AV129" t="s">
        <v>673</v>
      </c>
    </row>
    <row r="130" spans="1:48" x14ac:dyDescent="0.25">
      <c r="A130" t="s">
        <v>240</v>
      </c>
      <c r="B130" t="s">
        <v>2</v>
      </c>
      <c r="C130" t="s">
        <v>240</v>
      </c>
      <c r="D130">
        <v>18880</v>
      </c>
      <c r="E130" t="s">
        <v>672</v>
      </c>
      <c r="F130" t="s">
        <v>117</v>
      </c>
      <c r="G130" t="s">
        <v>670</v>
      </c>
      <c r="H130" t="s">
        <v>670</v>
      </c>
      <c r="I130">
        <v>8.1299999999999997E-2</v>
      </c>
      <c r="J130">
        <v>4.82E-2</v>
      </c>
      <c r="K130">
        <v>5.4699999999999999E-2</v>
      </c>
      <c r="L130">
        <v>5.8900000000000001E-2</v>
      </c>
      <c r="M130">
        <v>3.7100000000000001E-2</v>
      </c>
      <c r="N130">
        <v>3.2599999999999997E-2</v>
      </c>
      <c r="O130">
        <v>4.1399999999999999E-2</v>
      </c>
      <c r="P130">
        <v>4.7899999999999998E-2</v>
      </c>
      <c r="Q130">
        <v>2.6100000000000002E-2</v>
      </c>
      <c r="R130">
        <v>5.3800000000000001E-2</v>
      </c>
      <c r="S130">
        <v>9.7100000000000006E-2</v>
      </c>
      <c r="T130">
        <v>0.1163</v>
      </c>
      <c r="U130">
        <v>0.14410000000000001</v>
      </c>
      <c r="V130">
        <v>0.14990000000000001</v>
      </c>
      <c r="W130">
        <v>0.11609999999999999</v>
      </c>
      <c r="X130">
        <v>6.2799999999999995E-2</v>
      </c>
      <c r="Y130">
        <v>4.7100000000000003E-2</v>
      </c>
      <c r="Z130">
        <v>-2.6499999999999999E-2</v>
      </c>
      <c r="AA130">
        <v>-2.6200000000000001E-2</v>
      </c>
      <c r="AB130">
        <v>1.0999999999999999E-2</v>
      </c>
      <c r="AC130">
        <v>0.03</v>
      </c>
      <c r="AD130">
        <v>0.17680000000000001</v>
      </c>
      <c r="AE130">
        <v>0.28770000000000001</v>
      </c>
      <c r="AF130">
        <v>0.27160000000000001</v>
      </c>
      <c r="AG130">
        <v>0.27500000000000002</v>
      </c>
      <c r="AH130">
        <v>0.2104</v>
      </c>
      <c r="AI130">
        <v>0.10879999999999999</v>
      </c>
      <c r="AJ130">
        <v>8.0199999999999994E-2</v>
      </c>
      <c r="AK130">
        <v>4.3999999999999997E-2</v>
      </c>
      <c r="AL130">
        <v>5.9999999999999995E-4</v>
      </c>
      <c r="AM130">
        <v>-3.6400000000000002E-2</v>
      </c>
      <c r="AN130">
        <v>-2.2800000000000001E-2</v>
      </c>
      <c r="AO130">
        <v>-1.9800000000000002E-2</v>
      </c>
      <c r="AP130">
        <v>-1.8200000000000001E-2</v>
      </c>
      <c r="AQ130">
        <v>8.9999999999999993E-3</v>
      </c>
      <c r="AR130">
        <v>3.8E-3</v>
      </c>
      <c r="AS130">
        <v>-1.41E-2</v>
      </c>
      <c r="AT130">
        <v>-6.2300000000000001E-2</v>
      </c>
      <c r="AU130">
        <v>-7.6700000000000004E-2</v>
      </c>
      <c r="AV130">
        <v>-6.54E-2</v>
      </c>
    </row>
    <row r="131" spans="1:48" x14ac:dyDescent="0.25">
      <c r="A131" t="s">
        <v>241</v>
      </c>
      <c r="B131" t="s">
        <v>2</v>
      </c>
      <c r="C131" t="s">
        <v>241</v>
      </c>
      <c r="D131">
        <v>18980</v>
      </c>
      <c r="E131" t="s">
        <v>672</v>
      </c>
      <c r="F131" t="s">
        <v>117</v>
      </c>
      <c r="G131" t="s">
        <v>670</v>
      </c>
      <c r="H131" t="s">
        <v>670</v>
      </c>
      <c r="I131" t="s">
        <v>673</v>
      </c>
      <c r="J131" t="s">
        <v>673</v>
      </c>
      <c r="K131" t="s">
        <v>673</v>
      </c>
      <c r="L131" t="s">
        <v>673</v>
      </c>
      <c r="M131" t="s">
        <v>673</v>
      </c>
      <c r="N131" t="s">
        <v>673</v>
      </c>
      <c r="O131" t="s">
        <v>673</v>
      </c>
      <c r="P131" t="s">
        <v>673</v>
      </c>
      <c r="Q131" t="s">
        <v>673</v>
      </c>
      <c r="R131" t="s">
        <v>673</v>
      </c>
      <c r="S131" t="s">
        <v>673</v>
      </c>
      <c r="T131" t="s">
        <v>673</v>
      </c>
      <c r="U131" t="s">
        <v>673</v>
      </c>
      <c r="V131" t="s">
        <v>673</v>
      </c>
      <c r="W131" t="s">
        <v>673</v>
      </c>
      <c r="X131" t="s">
        <v>673</v>
      </c>
      <c r="Y131" t="s">
        <v>673</v>
      </c>
      <c r="Z131" t="s">
        <v>673</v>
      </c>
      <c r="AA131" t="s">
        <v>673</v>
      </c>
      <c r="AB131" t="s">
        <v>673</v>
      </c>
      <c r="AC131" t="s">
        <v>673</v>
      </c>
      <c r="AD131">
        <v>8.6699999999999999E-2</v>
      </c>
      <c r="AE131">
        <v>9.0399999999999994E-2</v>
      </c>
      <c r="AF131">
        <v>0.17799999999999999</v>
      </c>
      <c r="AG131">
        <v>0.1653</v>
      </c>
      <c r="AH131">
        <v>7.1199999999999999E-2</v>
      </c>
      <c r="AI131">
        <v>0.1449</v>
      </c>
      <c r="AJ131">
        <v>7.8799999999999995E-2</v>
      </c>
      <c r="AK131">
        <v>5.9400000000000001E-2</v>
      </c>
      <c r="AL131">
        <v>1.9699999999999999E-2</v>
      </c>
      <c r="AM131">
        <v>4.0300000000000002E-2</v>
      </c>
      <c r="AN131">
        <v>5.62E-2</v>
      </c>
      <c r="AO131">
        <v>9.1200000000000003E-2</v>
      </c>
      <c r="AP131">
        <v>0.1575</v>
      </c>
      <c r="AQ131">
        <v>0.107</v>
      </c>
      <c r="AR131">
        <v>4.3099999999999999E-2</v>
      </c>
      <c r="AS131">
        <v>3.6200000000000003E-2</v>
      </c>
      <c r="AT131">
        <v>4.8800000000000003E-2</v>
      </c>
      <c r="AU131">
        <v>4.8999999999999998E-3</v>
      </c>
      <c r="AV131">
        <v>4.2999999999999997E-2</v>
      </c>
    </row>
    <row r="132" spans="1:48" x14ac:dyDescent="0.25">
      <c r="A132" t="s">
        <v>35</v>
      </c>
      <c r="B132" t="s">
        <v>2</v>
      </c>
      <c r="C132" t="s">
        <v>35</v>
      </c>
      <c r="D132">
        <v>19124</v>
      </c>
      <c r="E132" t="s">
        <v>672</v>
      </c>
      <c r="F132" t="s">
        <v>117</v>
      </c>
      <c r="G132" t="s">
        <v>670</v>
      </c>
      <c r="H132" t="s">
        <v>670</v>
      </c>
      <c r="I132">
        <v>7.4099999999999999E-2</v>
      </c>
      <c r="J132">
        <v>7.0199999999999999E-2</v>
      </c>
      <c r="K132">
        <v>6.3E-2</v>
      </c>
      <c r="L132">
        <v>6.0100000000000001E-2</v>
      </c>
      <c r="M132">
        <v>5.4600000000000003E-2</v>
      </c>
      <c r="N132">
        <v>5.1200000000000002E-2</v>
      </c>
      <c r="O132">
        <v>4.5100000000000001E-2</v>
      </c>
      <c r="P132">
        <v>3.4700000000000002E-2</v>
      </c>
      <c r="Q132">
        <v>2.7199999999999998E-2</v>
      </c>
      <c r="R132">
        <v>2.18E-2</v>
      </c>
      <c r="S132">
        <v>2.4199999999999999E-2</v>
      </c>
      <c r="T132">
        <v>3.39E-2</v>
      </c>
      <c r="U132">
        <v>4.3499999999999997E-2</v>
      </c>
      <c r="V132">
        <v>4.53E-2</v>
      </c>
      <c r="W132">
        <v>4.9399999999999999E-2</v>
      </c>
      <c r="X132">
        <v>4.7100000000000003E-2</v>
      </c>
      <c r="Y132">
        <v>4.3999999999999997E-2</v>
      </c>
      <c r="Z132">
        <v>2.12E-2</v>
      </c>
      <c r="AA132">
        <v>1E-3</v>
      </c>
      <c r="AB132">
        <v>-2.9999999999999997E-4</v>
      </c>
      <c r="AC132">
        <v>3.0999999999999999E-3</v>
      </c>
      <c r="AD132">
        <v>5.0799999999999998E-2</v>
      </c>
      <c r="AE132">
        <v>0.13120000000000001</v>
      </c>
      <c r="AF132">
        <v>0.1774</v>
      </c>
      <c r="AG132">
        <v>0.20499999999999999</v>
      </c>
      <c r="AH132">
        <v>0.1976</v>
      </c>
      <c r="AI132">
        <v>0.15429999999999999</v>
      </c>
      <c r="AJ132">
        <v>0.1069</v>
      </c>
      <c r="AK132">
        <v>6.8400000000000002E-2</v>
      </c>
      <c r="AL132">
        <v>3.7499999999999999E-2</v>
      </c>
      <c r="AM132">
        <v>7.4999999999999997E-3</v>
      </c>
      <c r="AN132">
        <v>-3.3E-3</v>
      </c>
      <c r="AO132">
        <v>-9.7999999999999997E-3</v>
      </c>
      <c r="AP132">
        <v>-1.89E-2</v>
      </c>
      <c r="AQ132">
        <v>-2.6200000000000001E-2</v>
      </c>
      <c r="AR132">
        <v>-2.7699999999999999E-2</v>
      </c>
      <c r="AS132">
        <v>-2.3199999999999998E-2</v>
      </c>
      <c r="AT132">
        <v>-1.26E-2</v>
      </c>
      <c r="AU132">
        <v>-1.0800000000000001E-2</v>
      </c>
      <c r="AV132">
        <v>-8.9999999999999993E-3</v>
      </c>
    </row>
    <row r="133" spans="1:48" x14ac:dyDescent="0.25">
      <c r="A133" t="s">
        <v>242</v>
      </c>
      <c r="B133" t="s">
        <v>2</v>
      </c>
      <c r="C133" t="s">
        <v>242</v>
      </c>
      <c r="D133">
        <v>19140</v>
      </c>
      <c r="E133" t="s">
        <v>672</v>
      </c>
      <c r="F133" t="s">
        <v>117</v>
      </c>
      <c r="G133" t="s">
        <v>670</v>
      </c>
      <c r="H133" t="s">
        <v>670</v>
      </c>
      <c r="I133">
        <v>3.7400000000000003E-2</v>
      </c>
      <c r="J133">
        <v>4.0300000000000002E-2</v>
      </c>
      <c r="K133">
        <v>6.2E-2</v>
      </c>
      <c r="L133">
        <v>5.5800000000000002E-2</v>
      </c>
      <c r="M133">
        <v>8.7499999999999994E-2</v>
      </c>
      <c r="N133">
        <v>0.12520000000000001</v>
      </c>
      <c r="O133">
        <v>4.5199999999999997E-2</v>
      </c>
      <c r="P133">
        <v>4.2700000000000002E-2</v>
      </c>
      <c r="Q133">
        <v>8.3000000000000001E-3</v>
      </c>
      <c r="R133">
        <v>-4.7000000000000002E-3</v>
      </c>
      <c r="S133">
        <v>6.6000000000000003E-2</v>
      </c>
      <c r="T133">
        <v>6.2199999999999998E-2</v>
      </c>
      <c r="U133">
        <v>8.8599999999999998E-2</v>
      </c>
      <c r="V133">
        <v>7.2499999999999995E-2</v>
      </c>
      <c r="W133">
        <v>6.4799999999999996E-2</v>
      </c>
      <c r="X133">
        <v>9.7799999999999998E-2</v>
      </c>
      <c r="Y133">
        <v>4.9500000000000002E-2</v>
      </c>
      <c r="Z133">
        <v>5.1799999999999999E-2</v>
      </c>
      <c r="AA133">
        <v>2.4899999999999999E-2</v>
      </c>
      <c r="AB133">
        <v>3.8699999999999998E-2</v>
      </c>
      <c r="AC133">
        <v>7.3599999999999999E-2</v>
      </c>
      <c r="AD133">
        <v>5.4399999999999997E-2</v>
      </c>
      <c r="AE133">
        <v>9.4299999999999995E-2</v>
      </c>
      <c r="AF133">
        <v>8.48E-2</v>
      </c>
      <c r="AG133">
        <v>0.1045</v>
      </c>
      <c r="AH133">
        <v>0.1462</v>
      </c>
      <c r="AI133">
        <v>0.1201</v>
      </c>
      <c r="AJ133">
        <v>0.1137</v>
      </c>
      <c r="AK133">
        <v>0.106</v>
      </c>
      <c r="AL133">
        <v>0.13200000000000001</v>
      </c>
      <c r="AM133">
        <v>0.1268</v>
      </c>
      <c r="AN133">
        <v>0.11650000000000001</v>
      </c>
      <c r="AO133">
        <v>8.6099999999999996E-2</v>
      </c>
      <c r="AP133">
        <v>0.01</v>
      </c>
      <c r="AQ133">
        <v>2.1100000000000001E-2</v>
      </c>
      <c r="AR133">
        <v>-8.0000000000000002E-3</v>
      </c>
      <c r="AS133">
        <v>-7.1999999999999998E-3</v>
      </c>
      <c r="AT133">
        <v>8.3400000000000002E-2</v>
      </c>
      <c r="AU133">
        <v>7.1099999999999997E-2</v>
      </c>
      <c r="AV133">
        <v>5.1299999999999998E-2</v>
      </c>
    </row>
    <row r="134" spans="1:48" x14ac:dyDescent="0.25">
      <c r="A134" t="s">
        <v>243</v>
      </c>
      <c r="B134" t="s">
        <v>2</v>
      </c>
      <c r="C134" t="s">
        <v>243</v>
      </c>
      <c r="D134">
        <v>19340</v>
      </c>
      <c r="E134" t="s">
        <v>672</v>
      </c>
      <c r="F134" t="s">
        <v>117</v>
      </c>
      <c r="G134" t="s">
        <v>670</v>
      </c>
      <c r="H134" t="s">
        <v>670</v>
      </c>
      <c r="I134">
        <v>1.5699999999999999E-2</v>
      </c>
      <c r="J134">
        <v>4.3900000000000002E-2</v>
      </c>
      <c r="K134">
        <v>5.3999999999999999E-2</v>
      </c>
      <c r="L134">
        <v>8.3000000000000001E-3</v>
      </c>
      <c r="M134">
        <v>-6.7999999999999996E-3</v>
      </c>
      <c r="N134">
        <v>-3.5299999999999998E-2</v>
      </c>
      <c r="O134">
        <v>-9.1999999999999998E-3</v>
      </c>
      <c r="P134">
        <v>1.67E-2</v>
      </c>
      <c r="Q134">
        <v>1.4800000000000001E-2</v>
      </c>
      <c r="R134">
        <v>1.41E-2</v>
      </c>
      <c r="S134">
        <v>2.0999999999999999E-3</v>
      </c>
      <c r="T134">
        <v>-4.4999999999999997E-3</v>
      </c>
      <c r="U134">
        <v>1.83E-2</v>
      </c>
      <c r="V134">
        <v>1.7100000000000001E-2</v>
      </c>
      <c r="W134">
        <v>1.9400000000000001E-2</v>
      </c>
      <c r="X134">
        <v>4.1500000000000002E-2</v>
      </c>
      <c r="Y134">
        <v>2.6599999999999999E-2</v>
      </c>
      <c r="Z134">
        <v>2.6800000000000001E-2</v>
      </c>
      <c r="AA134">
        <v>2.1600000000000001E-2</v>
      </c>
      <c r="AB134">
        <v>-2.2000000000000001E-3</v>
      </c>
      <c r="AC134">
        <v>2.0799999999999999E-2</v>
      </c>
      <c r="AD134">
        <v>2.6800000000000001E-2</v>
      </c>
      <c r="AE134">
        <v>5.6500000000000002E-2</v>
      </c>
      <c r="AF134">
        <v>7.7700000000000005E-2</v>
      </c>
      <c r="AG134">
        <v>8.1199999999999994E-2</v>
      </c>
      <c r="AH134">
        <v>0.10630000000000001</v>
      </c>
      <c r="AI134">
        <v>0.1042</v>
      </c>
      <c r="AJ134">
        <v>0.1043</v>
      </c>
      <c r="AK134">
        <v>9.3299999999999994E-2</v>
      </c>
      <c r="AL134">
        <v>6.7500000000000004E-2</v>
      </c>
      <c r="AM134">
        <v>3.4599999999999999E-2</v>
      </c>
      <c r="AN134">
        <v>3.5799999999999998E-2</v>
      </c>
      <c r="AO134">
        <v>5.6000000000000001E-2</v>
      </c>
      <c r="AP134">
        <v>6.0900000000000003E-2</v>
      </c>
      <c r="AQ134">
        <v>6.7299999999999999E-2</v>
      </c>
      <c r="AR134">
        <v>5.0999999999999997E-2</v>
      </c>
      <c r="AS134">
        <v>1.7999999999999999E-2</v>
      </c>
      <c r="AT134">
        <v>-1.6000000000000001E-3</v>
      </c>
      <c r="AU134">
        <v>-7.6E-3</v>
      </c>
      <c r="AV134">
        <v>6.7999999999999996E-3</v>
      </c>
    </row>
    <row r="135" spans="1:48" x14ac:dyDescent="0.25">
      <c r="A135" t="s">
        <v>244</v>
      </c>
      <c r="B135" t="s">
        <v>2</v>
      </c>
      <c r="C135" t="s">
        <v>244</v>
      </c>
      <c r="D135">
        <v>19430</v>
      </c>
      <c r="E135" t="s">
        <v>672</v>
      </c>
      <c r="F135" t="s">
        <v>117</v>
      </c>
      <c r="G135" t="s">
        <v>670</v>
      </c>
      <c r="H135" t="s">
        <v>670</v>
      </c>
      <c r="I135">
        <v>4.9099999999999998E-2</v>
      </c>
      <c r="J135">
        <v>3.8600000000000002E-2</v>
      </c>
      <c r="K135">
        <v>3.8600000000000002E-2</v>
      </c>
      <c r="L135">
        <v>7.9000000000000008E-3</v>
      </c>
      <c r="M135">
        <v>-8.0000000000000004E-4</v>
      </c>
      <c r="N135">
        <v>1.35E-2</v>
      </c>
      <c r="O135">
        <v>8.0000000000000002E-3</v>
      </c>
      <c r="P135">
        <v>2.4500000000000001E-2</v>
      </c>
      <c r="Q135">
        <v>2.6800000000000001E-2</v>
      </c>
      <c r="R135">
        <v>1.9E-2</v>
      </c>
      <c r="S135">
        <v>2.6100000000000002E-2</v>
      </c>
      <c r="T135">
        <v>3.9100000000000003E-2</v>
      </c>
      <c r="U135">
        <v>3.6299999999999999E-2</v>
      </c>
      <c r="V135">
        <v>5.2600000000000001E-2</v>
      </c>
      <c r="W135">
        <v>6.6400000000000001E-2</v>
      </c>
      <c r="X135">
        <v>6.0900000000000003E-2</v>
      </c>
      <c r="Y135">
        <v>6.93E-2</v>
      </c>
      <c r="Z135">
        <v>5.5300000000000002E-2</v>
      </c>
      <c r="AA135">
        <v>2.8000000000000001E-2</v>
      </c>
      <c r="AB135">
        <v>3.27E-2</v>
      </c>
      <c r="AC135">
        <v>3.5999999999999997E-2</v>
      </c>
      <c r="AD135">
        <v>5.1499999999999997E-2</v>
      </c>
      <c r="AE135">
        <v>9.8900000000000002E-2</v>
      </c>
      <c r="AF135">
        <v>0.1225</v>
      </c>
      <c r="AG135">
        <v>0.13109999999999999</v>
      </c>
      <c r="AH135">
        <v>0.1459</v>
      </c>
      <c r="AI135">
        <v>0.14099999999999999</v>
      </c>
      <c r="AJ135">
        <v>0.1147</v>
      </c>
      <c r="AK135">
        <v>9.1399999999999995E-2</v>
      </c>
      <c r="AL135">
        <v>6.5199999999999994E-2</v>
      </c>
      <c r="AM135">
        <v>4.2500000000000003E-2</v>
      </c>
      <c r="AN135">
        <v>4.7300000000000002E-2</v>
      </c>
      <c r="AO135">
        <v>5.4399999999999997E-2</v>
      </c>
      <c r="AP135">
        <v>5.6800000000000003E-2</v>
      </c>
      <c r="AQ135">
        <v>6.1499999999999999E-2</v>
      </c>
      <c r="AR135">
        <v>5.5800000000000002E-2</v>
      </c>
      <c r="AS135">
        <v>4.99E-2</v>
      </c>
      <c r="AT135">
        <v>6.5799999999999997E-2</v>
      </c>
      <c r="AU135">
        <v>5.91E-2</v>
      </c>
      <c r="AV135">
        <v>5.5E-2</v>
      </c>
    </row>
    <row r="136" spans="1:48" x14ac:dyDescent="0.25">
      <c r="A136" t="s">
        <v>245</v>
      </c>
      <c r="B136" t="s">
        <v>2</v>
      </c>
      <c r="C136" t="s">
        <v>245</v>
      </c>
      <c r="D136">
        <v>19460</v>
      </c>
      <c r="E136" t="s">
        <v>672</v>
      </c>
      <c r="F136" t="s">
        <v>117</v>
      </c>
      <c r="G136" t="s">
        <v>670</v>
      </c>
      <c r="H136" t="s">
        <v>670</v>
      </c>
      <c r="I136" t="s">
        <v>673</v>
      </c>
      <c r="J136" t="s">
        <v>673</v>
      </c>
      <c r="K136" t="s">
        <v>673</v>
      </c>
      <c r="L136" t="s">
        <v>673</v>
      </c>
      <c r="M136" t="s">
        <v>673</v>
      </c>
      <c r="N136" t="s">
        <v>673</v>
      </c>
      <c r="O136" t="s">
        <v>673</v>
      </c>
      <c r="P136">
        <v>4.87E-2</v>
      </c>
      <c r="Q136">
        <v>2.8899999999999999E-2</v>
      </c>
      <c r="R136">
        <v>4.3900000000000002E-2</v>
      </c>
      <c r="S136">
        <v>5.1799999999999999E-2</v>
      </c>
      <c r="T136">
        <v>5.3800000000000001E-2</v>
      </c>
      <c r="U136">
        <v>6.7900000000000002E-2</v>
      </c>
      <c r="V136">
        <v>4.6800000000000001E-2</v>
      </c>
      <c r="W136">
        <v>1.67E-2</v>
      </c>
      <c r="X136">
        <v>4.5999999999999999E-3</v>
      </c>
      <c r="Y136">
        <v>-1.6899999999999998E-2</v>
      </c>
      <c r="Z136">
        <v>-5.0000000000000001E-4</v>
      </c>
      <c r="AA136">
        <v>9.9500000000000005E-2</v>
      </c>
      <c r="AB136">
        <v>0.1169</v>
      </c>
      <c r="AC136">
        <v>0.1205</v>
      </c>
      <c r="AD136">
        <v>0.1212</v>
      </c>
      <c r="AE136">
        <v>5.4100000000000002E-2</v>
      </c>
      <c r="AF136">
        <v>8.5699999999999998E-2</v>
      </c>
      <c r="AG136">
        <v>0.28320000000000001</v>
      </c>
      <c r="AH136">
        <v>0.3206</v>
      </c>
      <c r="AI136">
        <v>0.36049999999999999</v>
      </c>
      <c r="AJ136">
        <v>0.32169999999999999</v>
      </c>
      <c r="AK136">
        <v>0.216</v>
      </c>
      <c r="AL136">
        <v>0.16020000000000001</v>
      </c>
      <c r="AM136">
        <v>0.1004</v>
      </c>
      <c r="AN136">
        <v>3.3099999999999997E-2</v>
      </c>
      <c r="AO136">
        <v>-4.2700000000000002E-2</v>
      </c>
      <c r="AP136">
        <v>-3.0599999999999999E-2</v>
      </c>
      <c r="AQ136">
        <v>-9.7000000000000003E-3</v>
      </c>
      <c r="AR136">
        <v>5.7700000000000001E-2</v>
      </c>
      <c r="AS136">
        <v>5.6099999999999997E-2</v>
      </c>
      <c r="AT136">
        <v>7.4899999999999994E-2</v>
      </c>
      <c r="AU136">
        <v>0.01</v>
      </c>
      <c r="AV136">
        <v>-2.1100000000000001E-2</v>
      </c>
    </row>
    <row r="137" spans="1:48" x14ac:dyDescent="0.25">
      <c r="A137" t="s">
        <v>246</v>
      </c>
      <c r="B137" t="s">
        <v>2</v>
      </c>
      <c r="C137" t="s">
        <v>246</v>
      </c>
      <c r="D137">
        <v>19500</v>
      </c>
      <c r="E137" t="s">
        <v>672</v>
      </c>
      <c r="F137" t="s">
        <v>117</v>
      </c>
      <c r="G137" t="s">
        <v>670</v>
      </c>
      <c r="H137" t="s">
        <v>670</v>
      </c>
      <c r="I137" t="s">
        <v>673</v>
      </c>
      <c r="J137" t="s">
        <v>673</v>
      </c>
      <c r="K137" t="s">
        <v>673</v>
      </c>
      <c r="L137" t="s">
        <v>673</v>
      </c>
      <c r="M137" t="s">
        <v>673</v>
      </c>
      <c r="N137" t="s">
        <v>673</v>
      </c>
      <c r="O137" t="s">
        <v>673</v>
      </c>
      <c r="P137" t="s">
        <v>673</v>
      </c>
      <c r="Q137" t="s">
        <v>673</v>
      </c>
      <c r="R137" t="s">
        <v>673</v>
      </c>
      <c r="S137" t="s">
        <v>673</v>
      </c>
      <c r="T137" t="s">
        <v>673</v>
      </c>
      <c r="U137" t="s">
        <v>673</v>
      </c>
      <c r="V137" t="s">
        <v>673</v>
      </c>
      <c r="W137">
        <v>-3.27E-2</v>
      </c>
      <c r="X137">
        <v>1.1000000000000001E-3</v>
      </c>
      <c r="Y137">
        <v>-2.8000000000000001E-2</v>
      </c>
      <c r="Z137">
        <v>-1.44E-2</v>
      </c>
      <c r="AA137">
        <v>3.4799999999999998E-2</v>
      </c>
      <c r="AB137">
        <v>-1.78E-2</v>
      </c>
      <c r="AC137" t="s">
        <v>673</v>
      </c>
      <c r="AD137" t="s">
        <v>673</v>
      </c>
      <c r="AE137" t="s">
        <v>673</v>
      </c>
      <c r="AF137">
        <v>2.41E-2</v>
      </c>
      <c r="AG137">
        <v>7.7499999999999999E-2</v>
      </c>
      <c r="AH137">
        <v>9.2700000000000005E-2</v>
      </c>
      <c r="AI137">
        <v>8.0799999999999997E-2</v>
      </c>
      <c r="AJ137">
        <v>6.4899999999999999E-2</v>
      </c>
      <c r="AK137">
        <v>4.58E-2</v>
      </c>
      <c r="AL137">
        <v>4.2599999999999999E-2</v>
      </c>
      <c r="AM137">
        <v>4.7399999999999998E-2</v>
      </c>
      <c r="AN137">
        <v>5.57E-2</v>
      </c>
      <c r="AO137">
        <v>0.1164</v>
      </c>
      <c r="AP137">
        <v>0.1076</v>
      </c>
      <c r="AQ137">
        <v>0.1017</v>
      </c>
      <c r="AR137">
        <v>8.6900000000000005E-2</v>
      </c>
      <c r="AS137">
        <v>2.7099999999999999E-2</v>
      </c>
      <c r="AT137">
        <v>2.0000000000000001E-4</v>
      </c>
      <c r="AU137">
        <v>-3.8999999999999998E-3</v>
      </c>
      <c r="AV137">
        <v>-1.01E-2</v>
      </c>
    </row>
    <row r="138" spans="1:48" x14ac:dyDescent="0.25">
      <c r="A138" t="s">
        <v>247</v>
      </c>
      <c r="B138" t="s">
        <v>2</v>
      </c>
      <c r="C138" t="s">
        <v>247</v>
      </c>
      <c r="D138">
        <v>19620</v>
      </c>
      <c r="E138" t="s">
        <v>672</v>
      </c>
      <c r="F138" t="s">
        <v>117</v>
      </c>
      <c r="G138" t="s">
        <v>670</v>
      </c>
      <c r="H138" t="s">
        <v>670</v>
      </c>
      <c r="I138" t="s">
        <v>673</v>
      </c>
      <c r="J138" t="s">
        <v>673</v>
      </c>
      <c r="K138" t="s">
        <v>673</v>
      </c>
      <c r="L138" t="s">
        <v>673</v>
      </c>
      <c r="M138" t="s">
        <v>673</v>
      </c>
      <c r="N138" t="s">
        <v>673</v>
      </c>
      <c r="O138" t="s">
        <v>673</v>
      </c>
      <c r="P138" t="s">
        <v>673</v>
      </c>
      <c r="Q138" t="s">
        <v>673</v>
      </c>
      <c r="R138" t="s">
        <v>673</v>
      </c>
      <c r="S138" t="s">
        <v>673</v>
      </c>
      <c r="T138" t="s">
        <v>673</v>
      </c>
      <c r="U138" t="s">
        <v>673</v>
      </c>
      <c r="V138" t="s">
        <v>673</v>
      </c>
      <c r="W138" t="s">
        <v>673</v>
      </c>
      <c r="X138" t="s">
        <v>673</v>
      </c>
      <c r="Y138" t="s">
        <v>673</v>
      </c>
      <c r="Z138" t="s">
        <v>673</v>
      </c>
      <c r="AA138" t="s">
        <v>673</v>
      </c>
      <c r="AB138" t="s">
        <v>673</v>
      </c>
      <c r="AC138" t="s">
        <v>673</v>
      </c>
      <c r="AD138" t="s">
        <v>673</v>
      </c>
      <c r="AE138" t="s">
        <v>673</v>
      </c>
      <c r="AF138" t="s">
        <v>673</v>
      </c>
      <c r="AG138" t="s">
        <v>673</v>
      </c>
      <c r="AH138" t="s">
        <v>673</v>
      </c>
      <c r="AI138" t="s">
        <v>673</v>
      </c>
      <c r="AJ138" t="s">
        <v>673</v>
      </c>
      <c r="AK138" t="s">
        <v>673</v>
      </c>
      <c r="AL138" t="s">
        <v>673</v>
      </c>
      <c r="AM138" t="s">
        <v>673</v>
      </c>
      <c r="AN138" t="s">
        <v>673</v>
      </c>
      <c r="AO138" t="s">
        <v>673</v>
      </c>
      <c r="AP138" t="s">
        <v>673</v>
      </c>
      <c r="AQ138" t="s">
        <v>673</v>
      </c>
      <c r="AR138" t="s">
        <v>673</v>
      </c>
      <c r="AS138" t="s">
        <v>673</v>
      </c>
      <c r="AT138" t="s">
        <v>673</v>
      </c>
      <c r="AU138" t="s">
        <v>673</v>
      </c>
      <c r="AV138" t="s">
        <v>673</v>
      </c>
    </row>
    <row r="139" spans="1:48" x14ac:dyDescent="0.25">
      <c r="A139" t="s">
        <v>248</v>
      </c>
      <c r="B139" t="s">
        <v>2</v>
      </c>
      <c r="C139" t="s">
        <v>248</v>
      </c>
      <c r="D139">
        <v>19660</v>
      </c>
      <c r="E139" t="s">
        <v>672</v>
      </c>
      <c r="F139" t="s">
        <v>117</v>
      </c>
      <c r="G139" t="s">
        <v>670</v>
      </c>
      <c r="H139" t="s">
        <v>670</v>
      </c>
      <c r="I139">
        <v>5.7200000000000001E-2</v>
      </c>
      <c r="J139">
        <v>5.6800000000000003E-2</v>
      </c>
      <c r="K139">
        <v>4.0899999999999999E-2</v>
      </c>
      <c r="L139">
        <v>5.0500000000000003E-2</v>
      </c>
      <c r="M139">
        <v>5.1700000000000003E-2</v>
      </c>
      <c r="N139">
        <v>5.33E-2</v>
      </c>
      <c r="O139">
        <v>4.19E-2</v>
      </c>
      <c r="P139">
        <v>3.6499999999999998E-2</v>
      </c>
      <c r="Q139">
        <v>3.4700000000000002E-2</v>
      </c>
      <c r="R139">
        <v>3.9E-2</v>
      </c>
      <c r="S139">
        <v>6.7199999999999996E-2</v>
      </c>
      <c r="T139">
        <v>6.93E-2</v>
      </c>
      <c r="U139">
        <v>7.9200000000000007E-2</v>
      </c>
      <c r="V139">
        <v>6.5600000000000006E-2</v>
      </c>
      <c r="W139">
        <v>3.6299999999999999E-2</v>
      </c>
      <c r="X139">
        <v>2.46E-2</v>
      </c>
      <c r="Y139">
        <v>2.0500000000000001E-2</v>
      </c>
      <c r="Z139">
        <v>-2.0999999999999999E-3</v>
      </c>
      <c r="AA139">
        <v>1.7899999999999999E-2</v>
      </c>
      <c r="AB139">
        <v>2.9100000000000001E-2</v>
      </c>
      <c r="AC139">
        <v>2.75E-2</v>
      </c>
      <c r="AD139">
        <v>7.7600000000000002E-2</v>
      </c>
      <c r="AE139">
        <v>0.17169999999999999</v>
      </c>
      <c r="AF139">
        <v>0.24049999999999999</v>
      </c>
      <c r="AG139">
        <v>0.2702</v>
      </c>
      <c r="AH139">
        <v>0.30940000000000001</v>
      </c>
      <c r="AI139">
        <v>0.21990000000000001</v>
      </c>
      <c r="AJ139">
        <v>0.13969999999999999</v>
      </c>
      <c r="AK139">
        <v>0.1154</v>
      </c>
      <c r="AL139">
        <v>4.3099999999999999E-2</v>
      </c>
      <c r="AM139">
        <v>-7.3000000000000001E-3</v>
      </c>
      <c r="AN139">
        <v>-4.2500000000000003E-2</v>
      </c>
      <c r="AO139">
        <v>-6.4000000000000001E-2</v>
      </c>
      <c r="AP139">
        <v>-6.2700000000000006E-2</v>
      </c>
      <c r="AQ139">
        <v>-5.1900000000000002E-2</v>
      </c>
      <c r="AR139">
        <v>-2.0899999999999998E-2</v>
      </c>
      <c r="AS139">
        <v>-7.6E-3</v>
      </c>
      <c r="AT139">
        <v>-1.1000000000000001E-3</v>
      </c>
      <c r="AU139">
        <v>-5.7999999999999996E-3</v>
      </c>
      <c r="AV139">
        <v>-2.1299999999999999E-2</v>
      </c>
    </row>
    <row r="140" spans="1:48" x14ac:dyDescent="0.25">
      <c r="A140" t="s">
        <v>38</v>
      </c>
      <c r="B140" t="s">
        <v>2</v>
      </c>
      <c r="C140" t="s">
        <v>38</v>
      </c>
      <c r="D140">
        <v>19740</v>
      </c>
      <c r="E140" t="s">
        <v>672</v>
      </c>
      <c r="F140" t="s">
        <v>117</v>
      </c>
      <c r="G140" t="s">
        <v>670</v>
      </c>
      <c r="H140" t="s">
        <v>670</v>
      </c>
      <c r="I140">
        <v>6.1600000000000002E-2</v>
      </c>
      <c r="J140">
        <v>6.0299999999999999E-2</v>
      </c>
      <c r="K140">
        <v>4.3799999999999999E-2</v>
      </c>
      <c r="L140">
        <v>3.8699999999999998E-2</v>
      </c>
      <c r="M140">
        <v>4.3799999999999999E-2</v>
      </c>
      <c r="N140">
        <v>4.3299999999999998E-2</v>
      </c>
      <c r="O140">
        <v>4.5499999999999999E-2</v>
      </c>
      <c r="P140">
        <v>4.2099999999999999E-2</v>
      </c>
      <c r="Q140">
        <v>3.5400000000000001E-2</v>
      </c>
      <c r="R140">
        <v>2.63E-2</v>
      </c>
      <c r="S140">
        <v>2.92E-2</v>
      </c>
      <c r="T140">
        <v>4.2099999999999999E-2</v>
      </c>
      <c r="U140">
        <v>4.9599999999999998E-2</v>
      </c>
      <c r="V140">
        <v>4.6100000000000002E-2</v>
      </c>
      <c r="W140">
        <v>4.3400000000000001E-2</v>
      </c>
      <c r="X140">
        <v>3.1199999999999999E-2</v>
      </c>
      <c r="Y140">
        <v>2.76E-2</v>
      </c>
      <c r="Z140">
        <v>-9.4000000000000004E-3</v>
      </c>
      <c r="AA140">
        <v>-1.66E-2</v>
      </c>
      <c r="AB140">
        <v>-5.8999999999999999E-3</v>
      </c>
      <c r="AC140">
        <v>-5.7999999999999996E-3</v>
      </c>
      <c r="AD140">
        <v>6.0199999999999997E-2</v>
      </c>
      <c r="AE140">
        <v>0.13769999999999999</v>
      </c>
      <c r="AF140">
        <v>0.16869999999999999</v>
      </c>
      <c r="AG140">
        <v>0.1767</v>
      </c>
      <c r="AH140">
        <v>0.1575</v>
      </c>
      <c r="AI140">
        <v>9.5699999999999993E-2</v>
      </c>
      <c r="AJ140">
        <v>5.8500000000000003E-2</v>
      </c>
      <c r="AK140">
        <v>4.4299999999999999E-2</v>
      </c>
      <c r="AL140">
        <v>2.2700000000000001E-2</v>
      </c>
      <c r="AM140">
        <v>1.23E-2</v>
      </c>
      <c r="AN140">
        <v>1.32E-2</v>
      </c>
      <c r="AO140">
        <v>1.06E-2</v>
      </c>
      <c r="AP140">
        <v>6.1000000000000004E-3</v>
      </c>
      <c r="AQ140">
        <v>-2.7000000000000001E-3</v>
      </c>
      <c r="AR140">
        <v>-3.1800000000000002E-2</v>
      </c>
      <c r="AS140">
        <v>-4.0300000000000002E-2</v>
      </c>
      <c r="AT140">
        <v>-4.24E-2</v>
      </c>
      <c r="AU140">
        <v>-6.3299999999999995E-2</v>
      </c>
      <c r="AV140">
        <v>-5.9299999999999999E-2</v>
      </c>
    </row>
    <row r="141" spans="1:48" x14ac:dyDescent="0.25">
      <c r="A141" t="s">
        <v>249</v>
      </c>
      <c r="B141" t="s">
        <v>2</v>
      </c>
      <c r="C141" t="s">
        <v>249</v>
      </c>
      <c r="D141">
        <v>19760</v>
      </c>
      <c r="E141" t="s">
        <v>672</v>
      </c>
      <c r="F141" t="s">
        <v>117</v>
      </c>
      <c r="G141" t="s">
        <v>670</v>
      </c>
      <c r="H141" t="s">
        <v>670</v>
      </c>
      <c r="I141" t="s">
        <v>673</v>
      </c>
      <c r="J141" t="s">
        <v>673</v>
      </c>
      <c r="K141" t="s">
        <v>673</v>
      </c>
      <c r="L141" t="s">
        <v>673</v>
      </c>
      <c r="M141" t="s">
        <v>673</v>
      </c>
      <c r="N141" t="s">
        <v>673</v>
      </c>
      <c r="O141" t="s">
        <v>673</v>
      </c>
      <c r="P141" t="s">
        <v>673</v>
      </c>
      <c r="Q141" t="s">
        <v>673</v>
      </c>
      <c r="R141" t="s">
        <v>673</v>
      </c>
      <c r="S141" t="s">
        <v>673</v>
      </c>
      <c r="T141" t="s">
        <v>673</v>
      </c>
      <c r="U141" t="s">
        <v>673</v>
      </c>
      <c r="V141" t="s">
        <v>673</v>
      </c>
      <c r="W141" t="s">
        <v>673</v>
      </c>
      <c r="X141" t="s">
        <v>673</v>
      </c>
      <c r="Y141" t="s">
        <v>673</v>
      </c>
      <c r="Z141" t="s">
        <v>673</v>
      </c>
      <c r="AA141" t="s">
        <v>673</v>
      </c>
      <c r="AB141" t="s">
        <v>673</v>
      </c>
      <c r="AC141" t="s">
        <v>673</v>
      </c>
      <c r="AD141" t="s">
        <v>673</v>
      </c>
      <c r="AE141" t="s">
        <v>673</v>
      </c>
      <c r="AF141" t="s">
        <v>673</v>
      </c>
      <c r="AG141" t="s">
        <v>673</v>
      </c>
      <c r="AH141" t="s">
        <v>673</v>
      </c>
      <c r="AI141" t="s">
        <v>673</v>
      </c>
      <c r="AJ141" t="s">
        <v>673</v>
      </c>
      <c r="AK141" t="s">
        <v>673</v>
      </c>
      <c r="AL141" t="s">
        <v>673</v>
      </c>
      <c r="AM141" t="s">
        <v>673</v>
      </c>
      <c r="AN141" t="s">
        <v>673</v>
      </c>
      <c r="AO141" t="s">
        <v>673</v>
      </c>
      <c r="AP141" t="s">
        <v>673</v>
      </c>
      <c r="AQ141" t="s">
        <v>673</v>
      </c>
      <c r="AR141" t="s">
        <v>673</v>
      </c>
      <c r="AS141" t="s">
        <v>673</v>
      </c>
      <c r="AT141" t="s">
        <v>673</v>
      </c>
      <c r="AU141" t="s">
        <v>673</v>
      </c>
      <c r="AV141" t="s">
        <v>673</v>
      </c>
    </row>
    <row r="142" spans="1:48" x14ac:dyDescent="0.25">
      <c r="A142" t="s">
        <v>250</v>
      </c>
      <c r="B142" t="s">
        <v>2</v>
      </c>
      <c r="C142" t="s">
        <v>250</v>
      </c>
      <c r="D142">
        <v>19780</v>
      </c>
      <c r="E142" t="s">
        <v>672</v>
      </c>
      <c r="F142" t="s">
        <v>117</v>
      </c>
      <c r="G142" t="s">
        <v>670</v>
      </c>
      <c r="H142" t="s">
        <v>670</v>
      </c>
      <c r="I142">
        <v>2.6100000000000002E-2</v>
      </c>
      <c r="J142">
        <v>4.6600000000000003E-2</v>
      </c>
      <c r="K142">
        <v>6.6500000000000004E-2</v>
      </c>
      <c r="L142">
        <v>4.0099999999999997E-2</v>
      </c>
      <c r="M142">
        <v>4.48E-2</v>
      </c>
      <c r="N142">
        <v>2.4E-2</v>
      </c>
      <c r="O142">
        <v>1.9E-2</v>
      </c>
      <c r="P142">
        <v>3.4700000000000002E-2</v>
      </c>
      <c r="Q142">
        <v>1.3100000000000001E-2</v>
      </c>
      <c r="R142">
        <v>3.5999999999999997E-2</v>
      </c>
      <c r="S142">
        <v>1.9199999999999998E-2</v>
      </c>
      <c r="T142">
        <v>1.66E-2</v>
      </c>
      <c r="U142">
        <v>2.7900000000000001E-2</v>
      </c>
      <c r="V142">
        <v>2.4E-2</v>
      </c>
      <c r="W142">
        <v>5.0500000000000003E-2</v>
      </c>
      <c r="X142">
        <v>5.0700000000000002E-2</v>
      </c>
      <c r="Y142">
        <v>4.7199999999999999E-2</v>
      </c>
      <c r="Z142">
        <v>1.7100000000000001E-2</v>
      </c>
      <c r="AA142">
        <v>3.0999999999999999E-3</v>
      </c>
      <c r="AB142">
        <v>-1E-3</v>
      </c>
      <c r="AC142">
        <v>8.0999999999999996E-3</v>
      </c>
      <c r="AD142">
        <v>2.92E-2</v>
      </c>
      <c r="AE142">
        <v>5.3199999999999997E-2</v>
      </c>
      <c r="AF142">
        <v>7.2700000000000001E-2</v>
      </c>
      <c r="AG142">
        <v>7.1199999999999999E-2</v>
      </c>
      <c r="AH142">
        <v>8.9099999999999999E-2</v>
      </c>
      <c r="AI142">
        <v>8.6800000000000002E-2</v>
      </c>
      <c r="AJ142">
        <v>8.8700000000000001E-2</v>
      </c>
      <c r="AK142">
        <v>9.01E-2</v>
      </c>
      <c r="AL142">
        <v>6.7900000000000002E-2</v>
      </c>
      <c r="AM142">
        <v>4.7500000000000001E-2</v>
      </c>
      <c r="AN142">
        <v>3.3099999999999997E-2</v>
      </c>
      <c r="AO142">
        <v>2.9499999999999998E-2</v>
      </c>
      <c r="AP142">
        <v>3.4000000000000002E-2</v>
      </c>
      <c r="AQ142">
        <v>3.5499999999999997E-2</v>
      </c>
      <c r="AR142">
        <v>3.0300000000000001E-2</v>
      </c>
      <c r="AS142">
        <v>2.12E-2</v>
      </c>
      <c r="AT142">
        <v>2.7099999999999999E-2</v>
      </c>
      <c r="AU142">
        <v>7.4000000000000003E-3</v>
      </c>
      <c r="AV142">
        <v>-6.3E-3</v>
      </c>
    </row>
    <row r="143" spans="1:48" x14ac:dyDescent="0.25">
      <c r="A143" t="s">
        <v>251</v>
      </c>
      <c r="B143" t="s">
        <v>2</v>
      </c>
      <c r="C143" t="s">
        <v>251</v>
      </c>
      <c r="D143">
        <v>19820</v>
      </c>
      <c r="E143" t="s">
        <v>672</v>
      </c>
      <c r="F143" t="s">
        <v>117</v>
      </c>
      <c r="G143" t="s">
        <v>670</v>
      </c>
      <c r="H143" t="s">
        <v>670</v>
      </c>
      <c r="I143">
        <v>4.8800000000000003E-2</v>
      </c>
      <c r="J143">
        <v>5.1900000000000002E-2</v>
      </c>
      <c r="K143">
        <v>4.7800000000000002E-2</v>
      </c>
      <c r="L143">
        <v>5.2999999999999999E-2</v>
      </c>
      <c r="M143">
        <v>3.6999999999999998E-2</v>
      </c>
      <c r="N143">
        <v>3.7600000000000001E-2</v>
      </c>
      <c r="O143">
        <v>3.6700000000000003E-2</v>
      </c>
      <c r="P143">
        <v>2.64E-2</v>
      </c>
      <c r="Q143">
        <v>3.4799999999999998E-2</v>
      </c>
      <c r="R143">
        <v>3.3300000000000003E-2</v>
      </c>
      <c r="S143">
        <v>3.2099999999999997E-2</v>
      </c>
      <c r="T143">
        <v>3.5299999999999998E-2</v>
      </c>
      <c r="U143">
        <v>2.8000000000000001E-2</v>
      </c>
      <c r="V143">
        <v>3.1800000000000002E-2</v>
      </c>
      <c r="W143">
        <v>3.6799999999999999E-2</v>
      </c>
      <c r="X143">
        <v>3.1199999999999999E-2</v>
      </c>
      <c r="Y143">
        <v>4.3400000000000001E-2</v>
      </c>
      <c r="Z143">
        <v>3.61E-2</v>
      </c>
      <c r="AA143">
        <v>4.41E-2</v>
      </c>
      <c r="AB143">
        <v>6.08E-2</v>
      </c>
      <c r="AC143">
        <v>5.5399999999999998E-2</v>
      </c>
      <c r="AD143">
        <v>7.3800000000000004E-2</v>
      </c>
      <c r="AE143">
        <v>8.7099999999999997E-2</v>
      </c>
      <c r="AF143">
        <v>9.9500000000000005E-2</v>
      </c>
      <c r="AG143">
        <v>0.1198</v>
      </c>
      <c r="AH143">
        <v>0.12859999999999999</v>
      </c>
      <c r="AI143">
        <v>0.11020000000000001</v>
      </c>
      <c r="AJ143">
        <v>8.6300000000000002E-2</v>
      </c>
      <c r="AK143">
        <v>5.8400000000000001E-2</v>
      </c>
      <c r="AL143">
        <v>3.5700000000000003E-2</v>
      </c>
      <c r="AM143">
        <v>2.3099999999999999E-2</v>
      </c>
      <c r="AN143">
        <v>1.8100000000000002E-2</v>
      </c>
      <c r="AO143">
        <v>2.1999999999999999E-2</v>
      </c>
      <c r="AP143">
        <v>2.1100000000000001E-2</v>
      </c>
      <c r="AQ143">
        <v>2.4199999999999999E-2</v>
      </c>
      <c r="AR143">
        <v>3.1800000000000002E-2</v>
      </c>
      <c r="AS143">
        <v>3.7100000000000001E-2</v>
      </c>
      <c r="AT143">
        <v>4.53E-2</v>
      </c>
      <c r="AU143">
        <v>5.2600000000000001E-2</v>
      </c>
      <c r="AV143">
        <v>4.1599999999999998E-2</v>
      </c>
    </row>
    <row r="144" spans="1:48" x14ac:dyDescent="0.25">
      <c r="A144" t="s">
        <v>252</v>
      </c>
      <c r="B144" t="s">
        <v>2</v>
      </c>
      <c r="C144" t="s">
        <v>252</v>
      </c>
      <c r="D144">
        <v>19860</v>
      </c>
      <c r="E144" t="s">
        <v>672</v>
      </c>
      <c r="F144" t="s">
        <v>117</v>
      </c>
      <c r="G144" t="s">
        <v>670</v>
      </c>
      <c r="H144" t="s">
        <v>670</v>
      </c>
      <c r="I144" t="s">
        <v>673</v>
      </c>
      <c r="J144" t="s">
        <v>673</v>
      </c>
      <c r="K144" t="s">
        <v>673</v>
      </c>
      <c r="L144" t="s">
        <v>673</v>
      </c>
      <c r="M144" t="s">
        <v>673</v>
      </c>
      <c r="N144">
        <v>-0.42499999999999999</v>
      </c>
      <c r="O144">
        <v>-2.4E-2</v>
      </c>
      <c r="P144">
        <v>6.1499999999999999E-2</v>
      </c>
      <c r="Q144">
        <v>3.7999999999999999E-2</v>
      </c>
      <c r="R144">
        <v>0.1275</v>
      </c>
      <c r="S144">
        <v>7.1900000000000006E-2</v>
      </c>
      <c r="T144">
        <v>7.1599999999999997E-2</v>
      </c>
      <c r="U144">
        <v>9.7500000000000003E-2</v>
      </c>
      <c r="V144">
        <v>0.1244</v>
      </c>
      <c r="W144">
        <v>0.13769999999999999</v>
      </c>
      <c r="X144">
        <v>0.13059999999999999</v>
      </c>
      <c r="Y144">
        <v>0.1085</v>
      </c>
      <c r="Z144">
        <v>-3.2500000000000001E-2</v>
      </c>
      <c r="AA144">
        <v>-0.1038</v>
      </c>
      <c r="AB144">
        <v>-6.54E-2</v>
      </c>
      <c r="AC144">
        <v>-0.16450000000000001</v>
      </c>
      <c r="AD144">
        <v>-8.8800000000000004E-2</v>
      </c>
      <c r="AE144">
        <v>1.6000000000000001E-3</v>
      </c>
      <c r="AF144">
        <v>-4.4600000000000001E-2</v>
      </c>
      <c r="AG144">
        <v>0.15659999999999999</v>
      </c>
      <c r="AH144">
        <v>0.16059999999999999</v>
      </c>
      <c r="AI144">
        <v>0.16259999999999999</v>
      </c>
      <c r="AJ144">
        <v>0.14699999999999999</v>
      </c>
      <c r="AK144">
        <v>7.6600000000000001E-2</v>
      </c>
      <c r="AL144">
        <v>6.8699999999999997E-2</v>
      </c>
      <c r="AM144">
        <v>5.3100000000000001E-2</v>
      </c>
      <c r="AN144">
        <v>0.1011</v>
      </c>
      <c r="AO144">
        <v>9.3899999999999997E-2</v>
      </c>
      <c r="AP144">
        <v>0.1077</v>
      </c>
      <c r="AQ144">
        <v>8.48E-2</v>
      </c>
      <c r="AR144">
        <v>6.7699999999999996E-2</v>
      </c>
      <c r="AS144">
        <v>7.0800000000000002E-2</v>
      </c>
      <c r="AT144">
        <v>6.25E-2</v>
      </c>
      <c r="AU144">
        <v>4.8599999999999997E-2</v>
      </c>
      <c r="AV144">
        <v>3.5099999999999999E-2</v>
      </c>
    </row>
    <row r="145" spans="1:48" x14ac:dyDescent="0.25">
      <c r="A145" t="s">
        <v>253</v>
      </c>
      <c r="B145" t="s">
        <v>2</v>
      </c>
      <c r="C145" t="s">
        <v>253</v>
      </c>
      <c r="D145">
        <v>20020</v>
      </c>
      <c r="E145" t="s">
        <v>672</v>
      </c>
      <c r="F145" t="s">
        <v>117</v>
      </c>
      <c r="G145" t="s">
        <v>670</v>
      </c>
      <c r="H145" t="s">
        <v>670</v>
      </c>
      <c r="I145" t="s">
        <v>673</v>
      </c>
      <c r="J145" t="s">
        <v>673</v>
      </c>
      <c r="K145">
        <v>-0.19950000000000001</v>
      </c>
      <c r="L145">
        <v>-0.21329999999999999</v>
      </c>
      <c r="M145">
        <v>-0.2417</v>
      </c>
      <c r="N145">
        <v>-3.8100000000000002E-2</v>
      </c>
      <c r="O145">
        <v>-5.2900000000000003E-2</v>
      </c>
      <c r="P145">
        <v>4.6100000000000002E-2</v>
      </c>
      <c r="Q145">
        <v>9.4299999999999995E-2</v>
      </c>
      <c r="R145">
        <v>8.0699999999999994E-2</v>
      </c>
      <c r="S145">
        <v>8.5900000000000004E-2</v>
      </c>
      <c r="T145">
        <v>4.6600000000000003E-2</v>
      </c>
      <c r="U145">
        <v>1.4E-2</v>
      </c>
      <c r="V145">
        <v>5.0700000000000002E-2</v>
      </c>
      <c r="W145">
        <v>7.5800000000000006E-2</v>
      </c>
      <c r="X145">
        <v>2.47E-2</v>
      </c>
      <c r="Y145">
        <v>1.5900000000000001E-2</v>
      </c>
      <c r="Z145">
        <v>1.1999999999999999E-3</v>
      </c>
      <c r="AA145">
        <v>1.49E-2</v>
      </c>
      <c r="AB145">
        <v>4.8000000000000001E-2</v>
      </c>
      <c r="AC145">
        <v>6.0199999999999997E-2</v>
      </c>
      <c r="AD145">
        <v>8.6900000000000005E-2</v>
      </c>
      <c r="AE145">
        <v>8.14E-2</v>
      </c>
      <c r="AF145">
        <v>9.4399999999999998E-2</v>
      </c>
      <c r="AG145">
        <v>0.1171</v>
      </c>
      <c r="AH145">
        <v>0.1135</v>
      </c>
      <c r="AI145">
        <v>0.11169999999999999</v>
      </c>
      <c r="AJ145">
        <v>9.3600000000000003E-2</v>
      </c>
      <c r="AK145">
        <v>8.5400000000000004E-2</v>
      </c>
      <c r="AL145">
        <v>5.8299999999999998E-2</v>
      </c>
      <c r="AM145">
        <v>5.3499999999999999E-2</v>
      </c>
      <c r="AN145">
        <v>4.2200000000000001E-2</v>
      </c>
      <c r="AO145">
        <v>2.63E-2</v>
      </c>
      <c r="AP145">
        <v>4.7699999999999999E-2</v>
      </c>
      <c r="AQ145">
        <v>2.1299999999999999E-2</v>
      </c>
      <c r="AR145">
        <v>2.2599999999999999E-2</v>
      </c>
      <c r="AS145">
        <v>3.3000000000000002E-2</v>
      </c>
      <c r="AT145">
        <v>3.0300000000000001E-2</v>
      </c>
      <c r="AU145">
        <v>4.58E-2</v>
      </c>
      <c r="AV145">
        <v>3.2800000000000003E-2</v>
      </c>
    </row>
    <row r="146" spans="1:48" x14ac:dyDescent="0.25">
      <c r="A146" t="s">
        <v>254</v>
      </c>
      <c r="B146" t="s">
        <v>2</v>
      </c>
      <c r="C146" t="s">
        <v>254</v>
      </c>
      <c r="D146">
        <v>20100</v>
      </c>
      <c r="E146" t="s">
        <v>672</v>
      </c>
      <c r="F146" t="s">
        <v>117</v>
      </c>
      <c r="G146" t="s">
        <v>670</v>
      </c>
      <c r="H146" t="s">
        <v>670</v>
      </c>
      <c r="I146">
        <v>7.7100000000000002E-2</v>
      </c>
      <c r="J146">
        <v>5.1400000000000001E-2</v>
      </c>
      <c r="K146">
        <v>2.35E-2</v>
      </c>
      <c r="L146">
        <v>2.4400000000000002E-2</v>
      </c>
      <c r="M146">
        <v>0.01</v>
      </c>
      <c r="N146">
        <v>1.32E-2</v>
      </c>
      <c r="O146">
        <v>1.83E-2</v>
      </c>
      <c r="P146">
        <v>7.4000000000000003E-3</v>
      </c>
      <c r="Q146">
        <v>2.87E-2</v>
      </c>
      <c r="R146">
        <v>4.8099999999999997E-2</v>
      </c>
      <c r="S146">
        <v>5.1700000000000003E-2</v>
      </c>
      <c r="T146">
        <v>5.5E-2</v>
      </c>
      <c r="U146">
        <v>6.0100000000000001E-2</v>
      </c>
      <c r="V146">
        <v>5.45E-2</v>
      </c>
      <c r="W146">
        <v>3.1699999999999999E-2</v>
      </c>
      <c r="X146">
        <v>0.02</v>
      </c>
      <c r="Y146">
        <v>2.35E-2</v>
      </c>
      <c r="Z146">
        <v>3.7199999999999997E-2</v>
      </c>
      <c r="AA146">
        <v>8.3299999999999999E-2</v>
      </c>
      <c r="AB146">
        <v>0.1133</v>
      </c>
      <c r="AC146">
        <v>8.4099999999999994E-2</v>
      </c>
      <c r="AD146">
        <v>7.3899999999999993E-2</v>
      </c>
      <c r="AE146">
        <v>0.12529999999999999</v>
      </c>
      <c r="AF146">
        <v>0.15040000000000001</v>
      </c>
      <c r="AG146">
        <v>0.14299999999999999</v>
      </c>
      <c r="AH146">
        <v>0.13800000000000001</v>
      </c>
      <c r="AI146">
        <v>9.2600000000000002E-2</v>
      </c>
      <c r="AJ146">
        <v>4.9500000000000002E-2</v>
      </c>
      <c r="AK146">
        <v>7.51E-2</v>
      </c>
      <c r="AL146">
        <v>8.6599999999999996E-2</v>
      </c>
      <c r="AM146">
        <v>4.9399999999999999E-2</v>
      </c>
      <c r="AN146">
        <v>8.5999999999999993E-2</v>
      </c>
      <c r="AO146">
        <v>7.7799999999999994E-2</v>
      </c>
      <c r="AP146">
        <v>4.2900000000000001E-2</v>
      </c>
      <c r="AQ146">
        <v>2.2599999999999999E-2</v>
      </c>
      <c r="AR146">
        <v>-2.2000000000000001E-3</v>
      </c>
      <c r="AS146">
        <v>-1.9199999999999998E-2</v>
      </c>
      <c r="AT146">
        <v>-2.3900000000000001E-2</v>
      </c>
      <c r="AU146">
        <v>3.2399999999999998E-2</v>
      </c>
      <c r="AV146">
        <v>1.5100000000000001E-2</v>
      </c>
    </row>
    <row r="147" spans="1:48" x14ac:dyDescent="0.25">
      <c r="A147" t="s">
        <v>255</v>
      </c>
      <c r="B147" t="s">
        <v>2</v>
      </c>
      <c r="C147" t="s">
        <v>255</v>
      </c>
      <c r="D147">
        <v>20260</v>
      </c>
      <c r="E147" t="s">
        <v>672</v>
      </c>
      <c r="F147" t="s">
        <v>117</v>
      </c>
      <c r="G147" t="s">
        <v>670</v>
      </c>
      <c r="H147" t="s">
        <v>670</v>
      </c>
      <c r="I147">
        <v>-2.3199999999999998E-2</v>
      </c>
      <c r="J147">
        <v>-7.1499999999999994E-2</v>
      </c>
      <c r="K147">
        <v>-2.58E-2</v>
      </c>
      <c r="L147">
        <v>5.1999999999999998E-2</v>
      </c>
      <c r="M147">
        <v>1.6E-2</v>
      </c>
      <c r="N147">
        <v>6.7100000000000007E-2</v>
      </c>
      <c r="O147">
        <v>0.12640000000000001</v>
      </c>
      <c r="P147">
        <v>0.15870000000000001</v>
      </c>
      <c r="Q147">
        <v>0.10489999999999999</v>
      </c>
      <c r="R147">
        <v>9.4600000000000004E-2</v>
      </c>
      <c r="S147">
        <v>0.1013</v>
      </c>
      <c r="T147">
        <v>-7.0000000000000001E-3</v>
      </c>
      <c r="U147">
        <v>1.2200000000000001E-2</v>
      </c>
      <c r="V147">
        <v>2.23E-2</v>
      </c>
      <c r="W147">
        <v>4.48E-2</v>
      </c>
      <c r="X147">
        <v>3.9100000000000003E-2</v>
      </c>
      <c r="Y147">
        <v>3.7499999999999999E-2</v>
      </c>
      <c r="Z147">
        <v>2.6100000000000002E-2</v>
      </c>
      <c r="AA147">
        <v>9.1000000000000004E-3</v>
      </c>
      <c r="AB147">
        <v>1.9199999999999998E-2</v>
      </c>
      <c r="AC147">
        <v>2.9100000000000001E-2</v>
      </c>
      <c r="AD147">
        <v>3.0499999999999999E-2</v>
      </c>
      <c r="AE147">
        <v>7.0199999999999999E-2</v>
      </c>
      <c r="AF147">
        <v>8.7599999999999997E-2</v>
      </c>
      <c r="AG147">
        <v>0.1205</v>
      </c>
      <c r="AH147">
        <v>0.14910000000000001</v>
      </c>
      <c r="AI147">
        <v>0.11219999999999999</v>
      </c>
      <c r="AJ147">
        <v>6.7799999999999999E-2</v>
      </c>
      <c r="AK147">
        <v>2.8000000000000001E-2</v>
      </c>
      <c r="AL147">
        <v>-6.4500000000000002E-2</v>
      </c>
      <c r="AM147">
        <v>-7.8899999999999998E-2</v>
      </c>
      <c r="AN147">
        <v>-6.0699999999999997E-2</v>
      </c>
      <c r="AO147">
        <v>-3.6999999999999998E-2</v>
      </c>
      <c r="AP147">
        <v>3.4099999999999998E-2</v>
      </c>
      <c r="AQ147">
        <v>4.02E-2</v>
      </c>
      <c r="AR147">
        <v>7.2999999999999995E-2</v>
      </c>
      <c r="AS147">
        <v>5.9200000000000003E-2</v>
      </c>
      <c r="AT147">
        <v>0.14199999999999999</v>
      </c>
      <c r="AU147">
        <v>0.1676</v>
      </c>
      <c r="AV147">
        <v>0.14069999999999999</v>
      </c>
    </row>
    <row r="148" spans="1:48" x14ac:dyDescent="0.25">
      <c r="A148" t="s">
        <v>256</v>
      </c>
      <c r="B148" t="s">
        <v>2</v>
      </c>
      <c r="C148" t="s">
        <v>256</v>
      </c>
      <c r="D148">
        <v>20420</v>
      </c>
      <c r="E148" t="s">
        <v>672</v>
      </c>
      <c r="F148" t="s">
        <v>117</v>
      </c>
      <c r="G148" t="s">
        <v>670</v>
      </c>
      <c r="H148" t="s">
        <v>670</v>
      </c>
      <c r="I148" t="s">
        <v>673</v>
      </c>
      <c r="J148" t="s">
        <v>673</v>
      </c>
      <c r="K148" t="s">
        <v>673</v>
      </c>
      <c r="L148" t="s">
        <v>673</v>
      </c>
      <c r="M148" t="s">
        <v>673</v>
      </c>
      <c r="N148" t="s">
        <v>673</v>
      </c>
      <c r="O148" t="s">
        <v>673</v>
      </c>
      <c r="P148" t="s">
        <v>673</v>
      </c>
      <c r="Q148" t="s">
        <v>673</v>
      </c>
      <c r="R148" t="s">
        <v>673</v>
      </c>
      <c r="S148" t="s">
        <v>673</v>
      </c>
      <c r="T148" t="s">
        <v>673</v>
      </c>
      <c r="U148" t="s">
        <v>673</v>
      </c>
      <c r="V148" t="s">
        <v>673</v>
      </c>
      <c r="W148" t="s">
        <v>673</v>
      </c>
      <c r="X148">
        <v>7.7100000000000002E-2</v>
      </c>
      <c r="Y148">
        <v>9.5399999999999999E-2</v>
      </c>
      <c r="Z148">
        <v>4.5900000000000003E-2</v>
      </c>
      <c r="AA148">
        <v>8.7900000000000006E-2</v>
      </c>
      <c r="AB148">
        <v>0.1004</v>
      </c>
      <c r="AC148">
        <v>0.1636</v>
      </c>
      <c r="AD148">
        <v>0.36299999999999999</v>
      </c>
      <c r="AE148">
        <v>0.43390000000000001</v>
      </c>
      <c r="AF148">
        <v>0.2737</v>
      </c>
      <c r="AG148">
        <v>0.21510000000000001</v>
      </c>
      <c r="AH148">
        <v>0.14249999999999999</v>
      </c>
      <c r="AI148">
        <v>-1.4800000000000001E-2</v>
      </c>
      <c r="AJ148">
        <v>-7.4999999999999997E-3</v>
      </c>
      <c r="AK148">
        <v>-4.6899999999999997E-2</v>
      </c>
      <c r="AL148">
        <v>-4.1500000000000002E-2</v>
      </c>
      <c r="AM148">
        <v>4.0899999999999999E-2</v>
      </c>
      <c r="AN148">
        <v>2.3599999999999999E-2</v>
      </c>
      <c r="AO148">
        <v>4.3799999999999999E-2</v>
      </c>
      <c r="AP148">
        <v>4.1099999999999998E-2</v>
      </c>
      <c r="AQ148">
        <v>-6.3299999999999995E-2</v>
      </c>
      <c r="AR148">
        <v>-1.7399999999999999E-2</v>
      </c>
      <c r="AS148">
        <v>-2.0299999999999999E-2</v>
      </c>
      <c r="AT148">
        <v>-7.0000000000000007E-2</v>
      </c>
      <c r="AU148">
        <v>-1.5599999999999999E-2</v>
      </c>
      <c r="AV148">
        <v>-3.3500000000000002E-2</v>
      </c>
    </row>
    <row r="149" spans="1:48" x14ac:dyDescent="0.25">
      <c r="A149" t="s">
        <v>257</v>
      </c>
      <c r="B149" t="s">
        <v>2</v>
      </c>
      <c r="C149" t="s">
        <v>257</v>
      </c>
      <c r="D149">
        <v>20460</v>
      </c>
      <c r="E149" t="s">
        <v>672</v>
      </c>
      <c r="F149" t="s">
        <v>117</v>
      </c>
      <c r="G149" t="s">
        <v>670</v>
      </c>
      <c r="H149" t="s">
        <v>670</v>
      </c>
      <c r="I149" t="s">
        <v>673</v>
      </c>
      <c r="J149" t="s">
        <v>673</v>
      </c>
      <c r="K149" t="s">
        <v>673</v>
      </c>
      <c r="L149" t="s">
        <v>673</v>
      </c>
      <c r="M149" t="s">
        <v>673</v>
      </c>
      <c r="N149" t="s">
        <v>673</v>
      </c>
      <c r="O149" t="s">
        <v>673</v>
      </c>
      <c r="P149" t="s">
        <v>673</v>
      </c>
      <c r="Q149" t="s">
        <v>673</v>
      </c>
      <c r="R149" t="s">
        <v>673</v>
      </c>
      <c r="S149" t="s">
        <v>673</v>
      </c>
      <c r="T149" t="s">
        <v>673</v>
      </c>
      <c r="U149" t="s">
        <v>673</v>
      </c>
      <c r="V149" t="s">
        <v>673</v>
      </c>
      <c r="W149" t="s">
        <v>673</v>
      </c>
      <c r="X149" t="s">
        <v>673</v>
      </c>
      <c r="Y149" t="s">
        <v>673</v>
      </c>
      <c r="Z149" t="s">
        <v>673</v>
      </c>
      <c r="AA149" t="s">
        <v>673</v>
      </c>
      <c r="AB149" t="s">
        <v>673</v>
      </c>
      <c r="AC149" t="s">
        <v>673</v>
      </c>
      <c r="AD149" t="s">
        <v>673</v>
      </c>
      <c r="AE149" t="s">
        <v>673</v>
      </c>
      <c r="AF149" t="s">
        <v>673</v>
      </c>
      <c r="AG149" t="s">
        <v>673</v>
      </c>
      <c r="AH149" t="s">
        <v>673</v>
      </c>
      <c r="AI149" t="s">
        <v>673</v>
      </c>
      <c r="AJ149" t="s">
        <v>673</v>
      </c>
      <c r="AK149" t="s">
        <v>673</v>
      </c>
      <c r="AL149" t="s">
        <v>673</v>
      </c>
      <c r="AM149" t="s">
        <v>673</v>
      </c>
      <c r="AN149" t="s">
        <v>673</v>
      </c>
      <c r="AO149" t="s">
        <v>673</v>
      </c>
      <c r="AP149" t="s">
        <v>673</v>
      </c>
      <c r="AQ149" t="s">
        <v>673</v>
      </c>
      <c r="AR149" t="s">
        <v>673</v>
      </c>
      <c r="AS149" t="s">
        <v>673</v>
      </c>
      <c r="AT149" t="s">
        <v>673</v>
      </c>
      <c r="AU149" t="s">
        <v>673</v>
      </c>
      <c r="AV149" t="s">
        <v>673</v>
      </c>
    </row>
    <row r="150" spans="1:48" x14ac:dyDescent="0.25">
      <c r="A150" t="s">
        <v>258</v>
      </c>
      <c r="B150" t="s">
        <v>2</v>
      </c>
      <c r="C150" t="s">
        <v>258</v>
      </c>
      <c r="D150">
        <v>20580</v>
      </c>
      <c r="E150" t="s">
        <v>672</v>
      </c>
      <c r="F150" t="s">
        <v>117</v>
      </c>
      <c r="G150" t="s">
        <v>670</v>
      </c>
      <c r="H150" t="s">
        <v>670</v>
      </c>
      <c r="I150" t="s">
        <v>673</v>
      </c>
      <c r="J150" t="s">
        <v>673</v>
      </c>
      <c r="K150" t="s">
        <v>673</v>
      </c>
      <c r="L150" t="s">
        <v>673</v>
      </c>
      <c r="M150">
        <v>-0.21290000000000001</v>
      </c>
      <c r="N150">
        <v>-0.1782</v>
      </c>
      <c r="O150">
        <v>-5.7000000000000002E-3</v>
      </c>
      <c r="P150">
        <v>0.1106</v>
      </c>
      <c r="Q150">
        <v>0.1749</v>
      </c>
      <c r="R150">
        <v>0.253</v>
      </c>
      <c r="S150">
        <v>5.9799999999999999E-2</v>
      </c>
      <c r="T150">
        <v>-2.5700000000000001E-2</v>
      </c>
      <c r="U150">
        <v>-6.9099999999999995E-2</v>
      </c>
      <c r="V150">
        <v>-3.9899999999999998E-2</v>
      </c>
      <c r="W150">
        <v>-5.0000000000000001E-4</v>
      </c>
      <c r="X150">
        <v>6.7599999999999993E-2</v>
      </c>
      <c r="Y150">
        <v>0.1193</v>
      </c>
      <c r="Z150">
        <v>2.9499999999999998E-2</v>
      </c>
      <c r="AA150">
        <v>-1.72E-2</v>
      </c>
      <c r="AB150">
        <v>-5.4100000000000002E-2</v>
      </c>
      <c r="AC150">
        <v>-4.6300000000000001E-2</v>
      </c>
      <c r="AD150">
        <v>-2.2499999999999999E-2</v>
      </c>
      <c r="AE150">
        <v>0.1368</v>
      </c>
      <c r="AF150">
        <v>0.15859999999999999</v>
      </c>
      <c r="AG150">
        <v>0.15129999999999999</v>
      </c>
      <c r="AH150">
        <v>0.2009</v>
      </c>
      <c r="AI150">
        <v>0.14199999999999999</v>
      </c>
      <c r="AJ150">
        <v>0.18490000000000001</v>
      </c>
      <c r="AK150">
        <v>0.25969999999999999</v>
      </c>
      <c r="AL150">
        <v>0.26960000000000001</v>
      </c>
      <c r="AM150">
        <v>0.14249999999999999</v>
      </c>
      <c r="AN150">
        <v>7.4200000000000002E-2</v>
      </c>
      <c r="AO150">
        <v>0.11169999999999999</v>
      </c>
      <c r="AP150">
        <v>0.10580000000000001</v>
      </c>
      <c r="AQ150">
        <v>8.9399999999999993E-2</v>
      </c>
      <c r="AR150">
        <v>0.108</v>
      </c>
      <c r="AS150">
        <v>-2.5100000000000001E-2</v>
      </c>
      <c r="AT150">
        <v>-5.3699999999999998E-2</v>
      </c>
      <c r="AU150">
        <v>-0.20630000000000001</v>
      </c>
      <c r="AV150">
        <v>-0.24129999999999999</v>
      </c>
    </row>
    <row r="151" spans="1:48" x14ac:dyDescent="0.25">
      <c r="A151" t="s">
        <v>259</v>
      </c>
      <c r="B151" t="s">
        <v>2</v>
      </c>
      <c r="C151" t="s">
        <v>259</v>
      </c>
      <c r="D151">
        <v>20660</v>
      </c>
      <c r="E151" t="s">
        <v>672</v>
      </c>
      <c r="F151" t="s">
        <v>117</v>
      </c>
      <c r="G151" t="s">
        <v>670</v>
      </c>
      <c r="H151" t="s">
        <v>670</v>
      </c>
      <c r="I151" t="s">
        <v>673</v>
      </c>
      <c r="J151" t="s">
        <v>673</v>
      </c>
      <c r="K151" t="s">
        <v>673</v>
      </c>
      <c r="L151" t="s">
        <v>673</v>
      </c>
      <c r="M151" t="s">
        <v>673</v>
      </c>
      <c r="N151" t="s">
        <v>673</v>
      </c>
      <c r="O151" t="s">
        <v>673</v>
      </c>
      <c r="P151" t="s">
        <v>673</v>
      </c>
      <c r="Q151" t="s">
        <v>673</v>
      </c>
      <c r="R151" t="s">
        <v>673</v>
      </c>
      <c r="S151" t="s">
        <v>673</v>
      </c>
      <c r="T151" t="s">
        <v>673</v>
      </c>
      <c r="U151" t="s">
        <v>673</v>
      </c>
      <c r="V151" t="s">
        <v>673</v>
      </c>
      <c r="W151" t="s">
        <v>673</v>
      </c>
      <c r="X151" t="s">
        <v>673</v>
      </c>
      <c r="Y151" t="s">
        <v>673</v>
      </c>
      <c r="Z151" t="s">
        <v>673</v>
      </c>
      <c r="AA151" t="s">
        <v>673</v>
      </c>
      <c r="AB151" t="s">
        <v>673</v>
      </c>
      <c r="AC151" t="s">
        <v>673</v>
      </c>
      <c r="AD151" t="s">
        <v>673</v>
      </c>
      <c r="AE151" t="s">
        <v>673</v>
      </c>
      <c r="AF151" t="s">
        <v>673</v>
      </c>
      <c r="AG151" t="s">
        <v>673</v>
      </c>
      <c r="AH151" t="s">
        <v>673</v>
      </c>
      <c r="AI151" t="s">
        <v>673</v>
      </c>
      <c r="AJ151" t="s">
        <v>673</v>
      </c>
      <c r="AK151" t="s">
        <v>673</v>
      </c>
      <c r="AL151" t="s">
        <v>673</v>
      </c>
      <c r="AM151" t="s">
        <v>673</v>
      </c>
      <c r="AN151" t="s">
        <v>673</v>
      </c>
      <c r="AO151" t="s">
        <v>673</v>
      </c>
      <c r="AP151" t="s">
        <v>673</v>
      </c>
      <c r="AQ151" t="s">
        <v>673</v>
      </c>
      <c r="AR151" t="s">
        <v>673</v>
      </c>
      <c r="AS151" t="s">
        <v>673</v>
      </c>
      <c r="AT151" t="s">
        <v>673</v>
      </c>
      <c r="AU151" t="s">
        <v>673</v>
      </c>
      <c r="AV151" t="s">
        <v>673</v>
      </c>
    </row>
    <row r="152" spans="1:48" x14ac:dyDescent="0.25">
      <c r="A152" t="s">
        <v>260</v>
      </c>
      <c r="B152" t="s">
        <v>2</v>
      </c>
      <c r="C152" t="s">
        <v>260</v>
      </c>
      <c r="D152">
        <v>20700</v>
      </c>
      <c r="E152" t="s">
        <v>672</v>
      </c>
      <c r="F152" t="s">
        <v>117</v>
      </c>
      <c r="G152" t="s">
        <v>670</v>
      </c>
      <c r="H152" t="s">
        <v>670</v>
      </c>
      <c r="I152">
        <v>8.3000000000000004E-2</v>
      </c>
      <c r="J152">
        <v>2.41E-2</v>
      </c>
      <c r="K152">
        <v>4.7999999999999996E-3</v>
      </c>
      <c r="L152">
        <v>1.1599999999999999E-2</v>
      </c>
      <c r="M152">
        <v>8.0999999999999996E-3</v>
      </c>
      <c r="N152">
        <v>5.7000000000000002E-3</v>
      </c>
      <c r="O152">
        <v>-7.1999999999999998E-3</v>
      </c>
      <c r="P152">
        <v>3.6700000000000003E-2</v>
      </c>
      <c r="Q152">
        <v>0.1123</v>
      </c>
      <c r="R152">
        <v>0.13289999999999999</v>
      </c>
      <c r="S152">
        <v>0.14219999999999999</v>
      </c>
      <c r="T152">
        <v>5.0999999999999997E-2</v>
      </c>
      <c r="U152">
        <v>-1.7100000000000001E-2</v>
      </c>
      <c r="V152">
        <v>-1.67E-2</v>
      </c>
      <c r="W152">
        <v>-1.0800000000000001E-2</v>
      </c>
      <c r="X152">
        <v>1.41E-2</v>
      </c>
      <c r="Y152">
        <v>0.1144</v>
      </c>
      <c r="Z152">
        <v>0.13109999999999999</v>
      </c>
      <c r="AA152">
        <v>0.12809999999999999</v>
      </c>
      <c r="AB152">
        <v>0.10199999999999999</v>
      </c>
      <c r="AC152">
        <v>4.0399999999999998E-2</v>
      </c>
      <c r="AD152">
        <v>7.5399999999999995E-2</v>
      </c>
      <c r="AE152">
        <v>7.46E-2</v>
      </c>
      <c r="AF152">
        <v>0.11700000000000001</v>
      </c>
      <c r="AG152">
        <v>0.25869999999999999</v>
      </c>
      <c r="AH152">
        <v>0.17449999999999999</v>
      </c>
      <c r="AI152">
        <v>0.17810000000000001</v>
      </c>
      <c r="AJ152">
        <v>0.1767</v>
      </c>
      <c r="AK152">
        <v>-1.2999999999999999E-2</v>
      </c>
      <c r="AL152">
        <v>5.0000000000000001E-4</v>
      </c>
      <c r="AM152">
        <v>-2.8000000000000001E-2</v>
      </c>
      <c r="AN152">
        <v>-4.1799999999999997E-2</v>
      </c>
      <c r="AO152">
        <v>3.3999999999999998E-3</v>
      </c>
      <c r="AP152">
        <v>-4.3299999999999998E-2</v>
      </c>
      <c r="AQ152">
        <v>-2.93E-2</v>
      </c>
      <c r="AR152">
        <v>-3.4599999999999999E-2</v>
      </c>
      <c r="AS152">
        <v>-2.7099999999999999E-2</v>
      </c>
      <c r="AT152">
        <v>2.93E-2</v>
      </c>
      <c r="AU152">
        <v>2.53E-2</v>
      </c>
      <c r="AV152">
        <v>1.9099999999999999E-2</v>
      </c>
    </row>
    <row r="153" spans="1:48" x14ac:dyDescent="0.25">
      <c r="A153" t="s">
        <v>261</v>
      </c>
      <c r="B153" t="s">
        <v>2</v>
      </c>
      <c r="C153" t="s">
        <v>261</v>
      </c>
      <c r="D153">
        <v>20740</v>
      </c>
      <c r="E153" t="s">
        <v>672</v>
      </c>
      <c r="F153" t="s">
        <v>117</v>
      </c>
      <c r="G153" t="s">
        <v>670</v>
      </c>
      <c r="H153" t="s">
        <v>670</v>
      </c>
      <c r="I153" t="s">
        <v>673</v>
      </c>
      <c r="J153" t="s">
        <v>673</v>
      </c>
      <c r="K153" t="s">
        <v>673</v>
      </c>
      <c r="L153" t="s">
        <v>673</v>
      </c>
      <c r="M153" t="s">
        <v>673</v>
      </c>
      <c r="N153" t="s">
        <v>673</v>
      </c>
      <c r="O153" t="s">
        <v>673</v>
      </c>
      <c r="P153" t="s">
        <v>673</v>
      </c>
      <c r="Q153" t="s">
        <v>673</v>
      </c>
      <c r="R153" t="s">
        <v>673</v>
      </c>
      <c r="S153" t="s">
        <v>673</v>
      </c>
      <c r="T153" t="s">
        <v>673</v>
      </c>
      <c r="U153" t="s">
        <v>673</v>
      </c>
      <c r="V153" t="s">
        <v>673</v>
      </c>
      <c r="W153" t="s">
        <v>673</v>
      </c>
      <c r="X153" t="s">
        <v>673</v>
      </c>
      <c r="Y153" t="s">
        <v>673</v>
      </c>
      <c r="Z153" t="s">
        <v>673</v>
      </c>
      <c r="AA153" t="s">
        <v>673</v>
      </c>
      <c r="AB153" t="s">
        <v>673</v>
      </c>
      <c r="AC153" t="s">
        <v>673</v>
      </c>
      <c r="AD153" t="s">
        <v>673</v>
      </c>
      <c r="AE153">
        <v>0.45150000000000001</v>
      </c>
      <c r="AF153">
        <v>0.28939999999999999</v>
      </c>
      <c r="AG153">
        <v>0.30859999999999999</v>
      </c>
      <c r="AH153">
        <v>0.31090000000000001</v>
      </c>
      <c r="AI153">
        <v>6.6400000000000001E-2</v>
      </c>
      <c r="AJ153">
        <v>9.3899999999999997E-2</v>
      </c>
      <c r="AK153">
        <v>0.15190000000000001</v>
      </c>
      <c r="AL153">
        <v>0.1173</v>
      </c>
      <c r="AM153">
        <v>7.3499999999999996E-2</v>
      </c>
      <c r="AN153">
        <v>4.0399999999999998E-2</v>
      </c>
      <c r="AO153">
        <v>1.5E-3</v>
      </c>
      <c r="AP153">
        <v>3.0499999999999999E-2</v>
      </c>
      <c r="AQ153">
        <v>0.06</v>
      </c>
      <c r="AR153">
        <v>6.3100000000000003E-2</v>
      </c>
      <c r="AS153">
        <v>4.0500000000000001E-2</v>
      </c>
      <c r="AT153">
        <v>0.1462</v>
      </c>
      <c r="AU153">
        <v>8.4500000000000006E-2</v>
      </c>
      <c r="AV153">
        <v>5.3400000000000003E-2</v>
      </c>
    </row>
    <row r="154" spans="1:48" x14ac:dyDescent="0.25">
      <c r="A154" t="s">
        <v>262</v>
      </c>
      <c r="B154" t="s">
        <v>2</v>
      </c>
      <c r="C154" t="s">
        <v>262</v>
      </c>
      <c r="D154">
        <v>20780</v>
      </c>
      <c r="E154" t="s">
        <v>672</v>
      </c>
      <c r="F154" t="s">
        <v>117</v>
      </c>
      <c r="G154" t="s">
        <v>670</v>
      </c>
      <c r="H154" t="s">
        <v>670</v>
      </c>
      <c r="I154">
        <v>-0.34089999999999998</v>
      </c>
      <c r="J154">
        <v>-0.25469999999999998</v>
      </c>
      <c r="K154">
        <v>-0.25019999999999998</v>
      </c>
      <c r="L154">
        <v>4.6199999999999998E-2</v>
      </c>
      <c r="M154">
        <v>-4.5999999999999999E-3</v>
      </c>
      <c r="N154">
        <v>-4.4999999999999997E-3</v>
      </c>
      <c r="O154">
        <v>1.1599999999999999E-2</v>
      </c>
      <c r="P154">
        <v>2.7699999999999999E-2</v>
      </c>
      <c r="Q154">
        <v>0.08</v>
      </c>
      <c r="R154">
        <v>7.0400000000000004E-2</v>
      </c>
      <c r="S154">
        <v>0.12470000000000001</v>
      </c>
      <c r="T154">
        <v>0.16520000000000001</v>
      </c>
      <c r="U154">
        <v>0.12590000000000001</v>
      </c>
      <c r="V154" t="s">
        <v>673</v>
      </c>
      <c r="W154">
        <v>4.4999999999999998E-2</v>
      </c>
      <c r="X154">
        <v>3.5299999999999998E-2</v>
      </c>
      <c r="Y154">
        <v>6.7299999999999999E-2</v>
      </c>
      <c r="Z154">
        <v>0.2135</v>
      </c>
      <c r="AA154">
        <v>6.5100000000000005E-2</v>
      </c>
      <c r="AB154">
        <v>-4.07E-2</v>
      </c>
      <c r="AC154">
        <v>4.8000000000000001E-2</v>
      </c>
      <c r="AD154">
        <v>2.1600000000000001E-2</v>
      </c>
      <c r="AE154">
        <v>8.7300000000000003E-2</v>
      </c>
      <c r="AF154">
        <v>0.22320000000000001</v>
      </c>
      <c r="AG154">
        <v>6.5600000000000006E-2</v>
      </c>
      <c r="AH154">
        <v>0.16220000000000001</v>
      </c>
      <c r="AI154">
        <v>0.15759999999999999</v>
      </c>
      <c r="AJ154">
        <v>6.9800000000000001E-2</v>
      </c>
      <c r="AK154">
        <v>0.14130000000000001</v>
      </c>
      <c r="AL154">
        <v>5.7299999999999997E-2</v>
      </c>
      <c r="AM154">
        <v>5.7500000000000002E-2</v>
      </c>
      <c r="AN154">
        <v>0.1089</v>
      </c>
      <c r="AO154">
        <v>0.14149999999999999</v>
      </c>
      <c r="AP154">
        <v>0.1472</v>
      </c>
      <c r="AQ154">
        <v>0.11310000000000001</v>
      </c>
      <c r="AR154">
        <v>8.8599999999999998E-2</v>
      </c>
      <c r="AS154">
        <v>2.41E-2</v>
      </c>
      <c r="AT154">
        <v>-2E-3</v>
      </c>
      <c r="AU154">
        <v>0.1583</v>
      </c>
      <c r="AV154">
        <v>0.1696</v>
      </c>
    </row>
    <row r="155" spans="1:48" x14ac:dyDescent="0.25">
      <c r="A155" t="s">
        <v>263</v>
      </c>
      <c r="B155" t="s">
        <v>2</v>
      </c>
      <c r="C155" t="s">
        <v>263</v>
      </c>
      <c r="D155">
        <v>20900</v>
      </c>
      <c r="E155" t="s">
        <v>672</v>
      </c>
      <c r="F155" t="s">
        <v>117</v>
      </c>
      <c r="G155" t="s">
        <v>670</v>
      </c>
      <c r="H155" t="s">
        <v>670</v>
      </c>
      <c r="I155" t="s">
        <v>673</v>
      </c>
      <c r="J155" t="s">
        <v>673</v>
      </c>
      <c r="K155" t="s">
        <v>673</v>
      </c>
      <c r="L155" t="s">
        <v>673</v>
      </c>
      <c r="M155" t="s">
        <v>673</v>
      </c>
      <c r="N155">
        <v>5.67E-2</v>
      </c>
      <c r="O155">
        <v>-0.1323</v>
      </c>
      <c r="P155" t="s">
        <v>673</v>
      </c>
      <c r="Q155" t="s">
        <v>673</v>
      </c>
      <c r="R155" t="s">
        <v>673</v>
      </c>
      <c r="S155" t="s">
        <v>673</v>
      </c>
      <c r="T155" t="s">
        <v>673</v>
      </c>
      <c r="U155" t="s">
        <v>673</v>
      </c>
      <c r="V155">
        <v>7.5300000000000006E-2</v>
      </c>
      <c r="W155">
        <v>7.51E-2</v>
      </c>
      <c r="X155">
        <v>7.7100000000000002E-2</v>
      </c>
      <c r="Y155">
        <v>6.0100000000000001E-2</v>
      </c>
      <c r="Z155">
        <v>-4.5999999999999999E-3</v>
      </c>
      <c r="AA155">
        <v>4.7000000000000002E-3</v>
      </c>
      <c r="AB155">
        <v>-2.9999999999999997E-4</v>
      </c>
      <c r="AC155">
        <v>1.35E-2</v>
      </c>
      <c r="AD155">
        <v>3.8699999999999998E-2</v>
      </c>
      <c r="AE155">
        <v>3.2300000000000002E-2</v>
      </c>
      <c r="AF155">
        <v>0.1016</v>
      </c>
      <c r="AG155">
        <v>0.15920000000000001</v>
      </c>
      <c r="AH155">
        <v>0.16189999999999999</v>
      </c>
      <c r="AI155">
        <v>0.14749999999999999</v>
      </c>
      <c r="AJ155">
        <v>0.1169</v>
      </c>
      <c r="AK155">
        <v>6.7500000000000004E-2</v>
      </c>
      <c r="AL155">
        <v>7.2800000000000004E-2</v>
      </c>
      <c r="AM155">
        <v>8.3799999999999999E-2</v>
      </c>
      <c r="AN155">
        <v>4.2999999999999997E-2</v>
      </c>
      <c r="AO155">
        <v>3.3799999999999997E-2</v>
      </c>
      <c r="AP155">
        <v>6.0000000000000001E-3</v>
      </c>
      <c r="AQ155">
        <v>1.0699999999999999E-2</v>
      </c>
      <c r="AR155">
        <v>3.5000000000000001E-3</v>
      </c>
      <c r="AS155">
        <v>4.0000000000000001E-3</v>
      </c>
      <c r="AT155" t="s">
        <v>673</v>
      </c>
      <c r="AU155" t="s">
        <v>673</v>
      </c>
      <c r="AV155" t="s">
        <v>673</v>
      </c>
    </row>
    <row r="156" spans="1:48" x14ac:dyDescent="0.25">
      <c r="A156" t="s">
        <v>264</v>
      </c>
      <c r="B156" t="s">
        <v>2</v>
      </c>
      <c r="C156" t="s">
        <v>264</v>
      </c>
      <c r="D156">
        <v>20940</v>
      </c>
      <c r="E156" t="s">
        <v>672</v>
      </c>
      <c r="F156" t="s">
        <v>117</v>
      </c>
      <c r="G156" t="s">
        <v>670</v>
      </c>
      <c r="H156" t="s">
        <v>670</v>
      </c>
      <c r="I156" t="s">
        <v>673</v>
      </c>
      <c r="J156" t="s">
        <v>673</v>
      </c>
      <c r="K156" t="s">
        <v>673</v>
      </c>
      <c r="L156" t="s">
        <v>673</v>
      </c>
      <c r="M156" t="s">
        <v>673</v>
      </c>
      <c r="N156" t="s">
        <v>673</v>
      </c>
      <c r="O156">
        <v>1.1636</v>
      </c>
      <c r="P156">
        <v>0.12330000000000001</v>
      </c>
      <c r="Q156">
        <v>-8.1199999999999994E-2</v>
      </c>
      <c r="R156">
        <v>-5.4300000000000001E-2</v>
      </c>
      <c r="S156">
        <v>4.0000000000000002E-4</v>
      </c>
      <c r="T156">
        <v>1.7000000000000001E-2</v>
      </c>
      <c r="U156">
        <v>4.7600000000000003E-2</v>
      </c>
      <c r="V156">
        <v>4.4200000000000003E-2</v>
      </c>
      <c r="W156">
        <v>5.4699999999999999E-2</v>
      </c>
      <c r="X156">
        <v>9.1800000000000007E-2</v>
      </c>
      <c r="Y156" t="s">
        <v>673</v>
      </c>
      <c r="Z156" t="s">
        <v>673</v>
      </c>
      <c r="AA156" t="s">
        <v>673</v>
      </c>
      <c r="AB156" t="s">
        <v>673</v>
      </c>
      <c r="AC156" t="s">
        <v>673</v>
      </c>
      <c r="AD156" t="s">
        <v>673</v>
      </c>
      <c r="AE156" t="s">
        <v>673</v>
      </c>
      <c r="AF156">
        <v>7.6300000000000007E-2</v>
      </c>
      <c r="AG156">
        <v>0.1085</v>
      </c>
      <c r="AH156">
        <v>0.1211</v>
      </c>
      <c r="AI156">
        <v>0.14680000000000001</v>
      </c>
      <c r="AJ156">
        <v>0.13400000000000001</v>
      </c>
      <c r="AK156">
        <v>0.13159999999999999</v>
      </c>
      <c r="AL156">
        <v>0.1139</v>
      </c>
      <c r="AM156">
        <v>7.6100000000000001E-2</v>
      </c>
      <c r="AN156">
        <v>5.8799999999999998E-2</v>
      </c>
      <c r="AO156">
        <v>8.0100000000000005E-2</v>
      </c>
      <c r="AP156">
        <v>0.09</v>
      </c>
      <c r="AQ156">
        <v>7.9799999999999996E-2</v>
      </c>
      <c r="AR156">
        <v>7.7600000000000002E-2</v>
      </c>
      <c r="AS156">
        <v>3.3599999999999998E-2</v>
      </c>
      <c r="AT156">
        <v>-1.4E-2</v>
      </c>
      <c r="AU156">
        <v>1.34E-2</v>
      </c>
      <c r="AV156">
        <v>1.7999999999999999E-2</v>
      </c>
    </row>
    <row r="157" spans="1:48" x14ac:dyDescent="0.25">
      <c r="A157" t="s">
        <v>265</v>
      </c>
      <c r="B157" t="s">
        <v>2</v>
      </c>
      <c r="C157" t="s">
        <v>265</v>
      </c>
      <c r="D157">
        <v>20980</v>
      </c>
      <c r="E157" t="s">
        <v>672</v>
      </c>
      <c r="F157" t="s">
        <v>117</v>
      </c>
      <c r="G157" t="s">
        <v>670</v>
      </c>
      <c r="H157" t="s">
        <v>670</v>
      </c>
      <c r="I157" t="s">
        <v>673</v>
      </c>
      <c r="J157" t="s">
        <v>673</v>
      </c>
      <c r="K157" t="s">
        <v>673</v>
      </c>
      <c r="L157" t="s">
        <v>673</v>
      </c>
      <c r="M157" t="s">
        <v>673</v>
      </c>
      <c r="N157" t="s">
        <v>673</v>
      </c>
      <c r="O157" t="s">
        <v>673</v>
      </c>
      <c r="P157" t="s">
        <v>673</v>
      </c>
      <c r="Q157" t="s">
        <v>673</v>
      </c>
      <c r="R157" t="s">
        <v>673</v>
      </c>
      <c r="S157" t="s">
        <v>673</v>
      </c>
      <c r="T157" t="s">
        <v>673</v>
      </c>
      <c r="U157" t="s">
        <v>673</v>
      </c>
      <c r="V157" t="s">
        <v>673</v>
      </c>
      <c r="W157" t="s">
        <v>673</v>
      </c>
      <c r="X157" t="s">
        <v>673</v>
      </c>
      <c r="Y157" t="s">
        <v>673</v>
      </c>
      <c r="Z157" t="s">
        <v>673</v>
      </c>
      <c r="AA157" t="s">
        <v>673</v>
      </c>
      <c r="AB157" t="s">
        <v>673</v>
      </c>
      <c r="AC157" t="s">
        <v>673</v>
      </c>
      <c r="AD157" t="s">
        <v>673</v>
      </c>
      <c r="AE157" t="s">
        <v>673</v>
      </c>
      <c r="AF157" t="s">
        <v>673</v>
      </c>
      <c r="AG157" t="s">
        <v>673</v>
      </c>
      <c r="AH157" t="s">
        <v>673</v>
      </c>
      <c r="AI157" t="s">
        <v>673</v>
      </c>
      <c r="AJ157" t="s">
        <v>673</v>
      </c>
      <c r="AK157" t="s">
        <v>673</v>
      </c>
      <c r="AL157" t="s">
        <v>673</v>
      </c>
      <c r="AM157" t="s">
        <v>673</v>
      </c>
      <c r="AN157" t="s">
        <v>673</v>
      </c>
      <c r="AO157" t="s">
        <v>673</v>
      </c>
      <c r="AP157" t="s">
        <v>673</v>
      </c>
      <c r="AQ157" t="s">
        <v>673</v>
      </c>
      <c r="AR157" t="s">
        <v>673</v>
      </c>
      <c r="AS157" t="s">
        <v>673</v>
      </c>
      <c r="AT157" t="s">
        <v>673</v>
      </c>
      <c r="AU157" t="s">
        <v>673</v>
      </c>
      <c r="AV157" t="s">
        <v>673</v>
      </c>
    </row>
    <row r="158" spans="1:48" x14ac:dyDescent="0.25">
      <c r="A158" t="s">
        <v>266</v>
      </c>
      <c r="B158" t="s">
        <v>2</v>
      </c>
      <c r="C158" t="s">
        <v>266</v>
      </c>
      <c r="D158">
        <v>21020</v>
      </c>
      <c r="E158" t="s">
        <v>672</v>
      </c>
      <c r="F158" t="s">
        <v>117</v>
      </c>
      <c r="G158" t="s">
        <v>670</v>
      </c>
      <c r="H158" t="s">
        <v>670</v>
      </c>
      <c r="I158" t="s">
        <v>673</v>
      </c>
      <c r="J158" t="s">
        <v>673</v>
      </c>
      <c r="K158" t="s">
        <v>673</v>
      </c>
      <c r="L158" t="s">
        <v>673</v>
      </c>
      <c r="M158" t="s">
        <v>673</v>
      </c>
      <c r="N158" t="s">
        <v>673</v>
      </c>
      <c r="O158" t="s">
        <v>673</v>
      </c>
      <c r="P158" t="s">
        <v>673</v>
      </c>
      <c r="Q158" t="s">
        <v>673</v>
      </c>
      <c r="R158" t="s">
        <v>673</v>
      </c>
      <c r="S158" t="s">
        <v>673</v>
      </c>
      <c r="T158" t="s">
        <v>673</v>
      </c>
      <c r="U158" t="s">
        <v>673</v>
      </c>
      <c r="V158" t="s">
        <v>673</v>
      </c>
      <c r="W158" t="s">
        <v>673</v>
      </c>
      <c r="X158" t="s">
        <v>673</v>
      </c>
      <c r="Y158" t="s">
        <v>673</v>
      </c>
      <c r="Z158" t="s">
        <v>673</v>
      </c>
      <c r="AA158" t="s">
        <v>673</v>
      </c>
      <c r="AB158" t="s">
        <v>673</v>
      </c>
      <c r="AC158" t="s">
        <v>673</v>
      </c>
      <c r="AD158" t="s">
        <v>673</v>
      </c>
      <c r="AE158" t="s">
        <v>673</v>
      </c>
      <c r="AF158" t="s">
        <v>673</v>
      </c>
      <c r="AG158">
        <v>0.1784</v>
      </c>
      <c r="AH158">
        <v>0.18540000000000001</v>
      </c>
      <c r="AI158">
        <v>0.1731</v>
      </c>
      <c r="AJ158">
        <v>0.16569999999999999</v>
      </c>
      <c r="AK158">
        <v>0.13150000000000001</v>
      </c>
      <c r="AL158">
        <v>9.2799999999999994E-2</v>
      </c>
      <c r="AM158">
        <v>4.1200000000000001E-2</v>
      </c>
      <c r="AN158">
        <v>5.8999999999999999E-3</v>
      </c>
      <c r="AO158">
        <v>3.5299999999999998E-2</v>
      </c>
      <c r="AP158">
        <v>4.48E-2</v>
      </c>
      <c r="AQ158">
        <v>8.8700000000000001E-2</v>
      </c>
      <c r="AR158">
        <v>0.1149</v>
      </c>
      <c r="AS158">
        <v>6.8599999999999994E-2</v>
      </c>
      <c r="AT158">
        <v>6.7799999999999999E-2</v>
      </c>
      <c r="AU158">
        <v>2.7E-2</v>
      </c>
      <c r="AV158">
        <v>1.34E-2</v>
      </c>
    </row>
    <row r="159" spans="1:48" x14ac:dyDescent="0.25">
      <c r="A159" t="s">
        <v>267</v>
      </c>
      <c r="B159" t="s">
        <v>2</v>
      </c>
      <c r="C159" t="s">
        <v>267</v>
      </c>
      <c r="D159">
        <v>21060</v>
      </c>
      <c r="E159" t="s">
        <v>672</v>
      </c>
      <c r="F159" t="s">
        <v>117</v>
      </c>
      <c r="G159" t="s">
        <v>670</v>
      </c>
      <c r="H159" t="s">
        <v>670</v>
      </c>
      <c r="I159">
        <v>-4.1300000000000003E-2</v>
      </c>
      <c r="J159">
        <v>-2.9000000000000001E-2</v>
      </c>
      <c r="K159">
        <v>-2.0199999999999999E-2</v>
      </c>
      <c r="L159">
        <v>-1.8200000000000001E-2</v>
      </c>
      <c r="M159">
        <v>5.4699999999999999E-2</v>
      </c>
      <c r="N159">
        <v>6.6600000000000006E-2</v>
      </c>
      <c r="O159">
        <v>5.9299999999999999E-2</v>
      </c>
      <c r="P159">
        <v>6.6500000000000004E-2</v>
      </c>
      <c r="Q159">
        <v>3.78E-2</v>
      </c>
      <c r="R159">
        <v>3.2000000000000001E-2</v>
      </c>
      <c r="S159">
        <v>2.3E-2</v>
      </c>
      <c r="T159">
        <v>2.1999999999999999E-2</v>
      </c>
      <c r="U159">
        <v>2.3599999999999999E-2</v>
      </c>
      <c r="V159">
        <v>2.7400000000000001E-2</v>
      </c>
      <c r="W159">
        <v>3.6700000000000003E-2</v>
      </c>
      <c r="X159">
        <v>5.3800000000000001E-2</v>
      </c>
      <c r="Y159">
        <v>4.2900000000000001E-2</v>
      </c>
      <c r="Z159">
        <v>4.4299999999999999E-2</v>
      </c>
      <c r="AA159">
        <v>5.0900000000000001E-2</v>
      </c>
      <c r="AB159">
        <v>4.5600000000000002E-2</v>
      </c>
      <c r="AC159">
        <v>6.1499999999999999E-2</v>
      </c>
      <c r="AD159">
        <v>8.9300000000000004E-2</v>
      </c>
      <c r="AE159">
        <v>9.4899999999999998E-2</v>
      </c>
      <c r="AF159">
        <v>7.85E-2</v>
      </c>
      <c r="AG159">
        <v>7.4899999999999994E-2</v>
      </c>
      <c r="AH159">
        <v>6.2899999999999998E-2</v>
      </c>
      <c r="AI159">
        <v>5.7299999999999997E-2</v>
      </c>
      <c r="AJ159">
        <v>7.6799999999999993E-2</v>
      </c>
      <c r="AK159">
        <v>0.14269999999999999</v>
      </c>
      <c r="AL159">
        <v>0.1704</v>
      </c>
      <c r="AM159">
        <v>0.15110000000000001</v>
      </c>
      <c r="AN159">
        <v>0.14019999999999999</v>
      </c>
      <c r="AO159">
        <v>4.07E-2</v>
      </c>
      <c r="AP159">
        <v>9.0800000000000006E-2</v>
      </c>
      <c r="AQ159">
        <v>0.10680000000000001</v>
      </c>
      <c r="AR159">
        <v>0.1009</v>
      </c>
      <c r="AS159">
        <v>4.6600000000000003E-2</v>
      </c>
      <c r="AT159">
        <v>-6.8500000000000005E-2</v>
      </c>
      <c r="AU159">
        <v>-4.0300000000000002E-2</v>
      </c>
      <c r="AV159">
        <v>-4.6699999999999998E-2</v>
      </c>
    </row>
    <row r="160" spans="1:48" x14ac:dyDescent="0.25">
      <c r="A160" t="s">
        <v>268</v>
      </c>
      <c r="B160" t="s">
        <v>2</v>
      </c>
      <c r="C160" t="s">
        <v>268</v>
      </c>
      <c r="D160">
        <v>21120</v>
      </c>
      <c r="E160" t="s">
        <v>672</v>
      </c>
      <c r="F160" t="s">
        <v>117</v>
      </c>
      <c r="G160" t="s">
        <v>670</v>
      </c>
      <c r="H160" t="s">
        <v>670</v>
      </c>
      <c r="I160" t="s">
        <v>673</v>
      </c>
      <c r="J160" t="s">
        <v>673</v>
      </c>
      <c r="K160" t="s">
        <v>673</v>
      </c>
      <c r="L160" t="s">
        <v>673</v>
      </c>
      <c r="M160" t="s">
        <v>673</v>
      </c>
      <c r="N160" t="s">
        <v>673</v>
      </c>
      <c r="O160" t="s">
        <v>673</v>
      </c>
      <c r="P160" t="s">
        <v>673</v>
      </c>
      <c r="Q160" t="s">
        <v>673</v>
      </c>
      <c r="R160" t="s">
        <v>673</v>
      </c>
      <c r="S160" t="s">
        <v>673</v>
      </c>
      <c r="T160" t="s">
        <v>673</v>
      </c>
      <c r="U160" t="s">
        <v>673</v>
      </c>
      <c r="V160" t="s">
        <v>673</v>
      </c>
      <c r="W160" t="s">
        <v>673</v>
      </c>
      <c r="X160" t="s">
        <v>673</v>
      </c>
      <c r="Y160" t="s">
        <v>673</v>
      </c>
      <c r="Z160" t="s">
        <v>673</v>
      </c>
      <c r="AA160" t="s">
        <v>673</v>
      </c>
      <c r="AB160" t="s">
        <v>673</v>
      </c>
      <c r="AC160" t="s">
        <v>673</v>
      </c>
      <c r="AD160" t="s">
        <v>673</v>
      </c>
      <c r="AE160" t="s">
        <v>673</v>
      </c>
      <c r="AF160" t="s">
        <v>673</v>
      </c>
      <c r="AG160" t="s">
        <v>673</v>
      </c>
      <c r="AH160" t="s">
        <v>673</v>
      </c>
      <c r="AI160" t="s">
        <v>673</v>
      </c>
      <c r="AJ160" t="s">
        <v>673</v>
      </c>
      <c r="AK160" t="s">
        <v>673</v>
      </c>
      <c r="AL160" t="s">
        <v>673</v>
      </c>
      <c r="AM160" t="s">
        <v>673</v>
      </c>
      <c r="AN160" t="s">
        <v>673</v>
      </c>
      <c r="AO160" t="s">
        <v>673</v>
      </c>
      <c r="AP160" t="s">
        <v>673</v>
      </c>
      <c r="AQ160" t="s">
        <v>673</v>
      </c>
      <c r="AR160" t="s">
        <v>673</v>
      </c>
      <c r="AS160" t="s">
        <v>673</v>
      </c>
      <c r="AT160" t="s">
        <v>673</v>
      </c>
      <c r="AU160" t="s">
        <v>673</v>
      </c>
      <c r="AV160" t="s">
        <v>673</v>
      </c>
    </row>
    <row r="161" spans="1:48" x14ac:dyDescent="0.25">
      <c r="A161" t="s">
        <v>269</v>
      </c>
      <c r="B161" t="s">
        <v>2</v>
      </c>
      <c r="C161" t="s">
        <v>269</v>
      </c>
      <c r="D161">
        <v>21140</v>
      </c>
      <c r="E161" t="s">
        <v>672</v>
      </c>
      <c r="F161" t="s">
        <v>117</v>
      </c>
      <c r="G161" t="s">
        <v>670</v>
      </c>
      <c r="H161" t="s">
        <v>670</v>
      </c>
      <c r="I161">
        <v>0.10390000000000001</v>
      </c>
      <c r="J161">
        <v>4.6300000000000001E-2</v>
      </c>
      <c r="K161">
        <v>4.65E-2</v>
      </c>
      <c r="L161">
        <v>7.3599999999999999E-2</v>
      </c>
      <c r="M161">
        <v>6.2399999999999997E-2</v>
      </c>
      <c r="N161">
        <v>5.7799999999999997E-2</v>
      </c>
      <c r="O161">
        <v>6.6600000000000006E-2</v>
      </c>
      <c r="P161">
        <v>4.1399999999999999E-2</v>
      </c>
      <c r="Q161">
        <v>4.9500000000000002E-2</v>
      </c>
      <c r="R161">
        <v>4.6899999999999997E-2</v>
      </c>
      <c r="S161">
        <v>4.9599999999999998E-2</v>
      </c>
      <c r="T161">
        <v>4.8300000000000003E-2</v>
      </c>
      <c r="U161">
        <v>4.1099999999999998E-2</v>
      </c>
      <c r="V161">
        <v>3.1300000000000001E-2</v>
      </c>
      <c r="W161">
        <v>6.54E-2</v>
      </c>
      <c r="X161">
        <v>5.8999999999999997E-2</v>
      </c>
      <c r="Y161">
        <v>5.9299999999999999E-2</v>
      </c>
      <c r="Z161">
        <v>4.7300000000000002E-2</v>
      </c>
      <c r="AA161">
        <v>3.8199999999999998E-2</v>
      </c>
      <c r="AB161">
        <v>4.3400000000000001E-2</v>
      </c>
      <c r="AC161">
        <v>8.2799999999999999E-2</v>
      </c>
      <c r="AD161">
        <v>0.12959999999999999</v>
      </c>
      <c r="AE161">
        <v>0.16880000000000001</v>
      </c>
      <c r="AF161">
        <v>0.20530000000000001</v>
      </c>
      <c r="AG161">
        <v>0.1923</v>
      </c>
      <c r="AH161">
        <v>0.21360000000000001</v>
      </c>
      <c r="AI161">
        <v>0.19969999999999999</v>
      </c>
      <c r="AJ161">
        <v>0.1104</v>
      </c>
      <c r="AK161">
        <v>6.93E-2</v>
      </c>
      <c r="AL161">
        <v>1.5599999999999999E-2</v>
      </c>
      <c r="AM161">
        <v>-4.2900000000000001E-2</v>
      </c>
      <c r="AN161">
        <v>-2.3800000000000002E-2</v>
      </c>
      <c r="AO161">
        <v>-2.9899999999999999E-2</v>
      </c>
      <c r="AP161">
        <v>-1.8200000000000001E-2</v>
      </c>
      <c r="AQ161">
        <v>1.66E-2</v>
      </c>
      <c r="AR161">
        <v>5.0299999999999997E-2</v>
      </c>
      <c r="AS161">
        <v>7.1599999999999997E-2</v>
      </c>
      <c r="AT161">
        <v>8.8099999999999998E-2</v>
      </c>
      <c r="AU161">
        <v>9.6600000000000005E-2</v>
      </c>
      <c r="AV161">
        <v>6.25E-2</v>
      </c>
    </row>
    <row r="162" spans="1:48" x14ac:dyDescent="0.25">
      <c r="A162" t="s">
        <v>270</v>
      </c>
      <c r="B162" t="s">
        <v>2</v>
      </c>
      <c r="C162" t="s">
        <v>270</v>
      </c>
      <c r="D162">
        <v>21220</v>
      </c>
      <c r="E162" t="s">
        <v>672</v>
      </c>
      <c r="F162" t="s">
        <v>117</v>
      </c>
      <c r="G162" t="s">
        <v>670</v>
      </c>
      <c r="H162" t="s">
        <v>670</v>
      </c>
      <c r="I162">
        <v>-0.1004</v>
      </c>
      <c r="J162">
        <v>-7.0000000000000007E-2</v>
      </c>
      <c r="K162" t="s">
        <v>673</v>
      </c>
      <c r="L162" t="s">
        <v>673</v>
      </c>
      <c r="M162" t="s">
        <v>673</v>
      </c>
      <c r="N162">
        <v>2.1100000000000001E-2</v>
      </c>
      <c r="O162">
        <v>-9.8299999999999998E-2</v>
      </c>
      <c r="P162">
        <v>-0.1903</v>
      </c>
      <c r="Q162">
        <v>-0.13969999999999999</v>
      </c>
      <c r="R162">
        <v>0.10249999999999999</v>
      </c>
      <c r="S162">
        <v>6.2E-2</v>
      </c>
      <c r="T162">
        <v>4.5499999999999999E-2</v>
      </c>
      <c r="U162">
        <v>2.9899999999999999E-2</v>
      </c>
      <c r="V162">
        <v>1.9800000000000002E-2</v>
      </c>
      <c r="W162">
        <v>-1.5E-3</v>
      </c>
      <c r="X162">
        <v>-8.5000000000000006E-3</v>
      </c>
      <c r="Y162">
        <v>3.9800000000000002E-2</v>
      </c>
      <c r="Z162">
        <v>5.11E-2</v>
      </c>
      <c r="AA162">
        <v>4.8899999999999999E-2</v>
      </c>
      <c r="AB162">
        <v>6.5699999999999995E-2</v>
      </c>
      <c r="AC162">
        <v>3.9E-2</v>
      </c>
      <c r="AD162">
        <v>3.2099999999999997E-2</v>
      </c>
      <c r="AE162">
        <v>2.86E-2</v>
      </c>
      <c r="AF162" t="s">
        <v>673</v>
      </c>
      <c r="AG162" t="s">
        <v>673</v>
      </c>
      <c r="AH162" t="s">
        <v>673</v>
      </c>
      <c r="AI162" t="s">
        <v>673</v>
      </c>
      <c r="AJ162">
        <v>6.9000000000000006E-2</v>
      </c>
      <c r="AK162">
        <v>4.1599999999999998E-2</v>
      </c>
      <c r="AL162">
        <v>2.9499999999999998E-2</v>
      </c>
      <c r="AM162">
        <v>-1.9E-2</v>
      </c>
      <c r="AN162">
        <v>5.3400000000000003E-2</v>
      </c>
      <c r="AO162">
        <v>1.52E-2</v>
      </c>
      <c r="AP162">
        <v>2.1000000000000001E-2</v>
      </c>
      <c r="AQ162">
        <v>6.1999999999999998E-3</v>
      </c>
      <c r="AR162">
        <v>9.1000000000000004E-3</v>
      </c>
      <c r="AS162">
        <v>1.66E-2</v>
      </c>
      <c r="AT162">
        <v>-2.8999999999999998E-3</v>
      </c>
      <c r="AU162">
        <v>2.46E-2</v>
      </c>
      <c r="AV162">
        <v>2.4899999999999999E-2</v>
      </c>
    </row>
    <row r="163" spans="1:48" x14ac:dyDescent="0.25">
      <c r="A163" t="s">
        <v>271</v>
      </c>
      <c r="B163" t="s">
        <v>2</v>
      </c>
      <c r="C163" t="s">
        <v>271</v>
      </c>
      <c r="D163">
        <v>21260</v>
      </c>
      <c r="E163" t="s">
        <v>672</v>
      </c>
      <c r="F163" t="s">
        <v>117</v>
      </c>
      <c r="G163" t="s">
        <v>670</v>
      </c>
      <c r="H163" t="s">
        <v>670</v>
      </c>
      <c r="I163" t="s">
        <v>673</v>
      </c>
      <c r="J163" t="s">
        <v>673</v>
      </c>
      <c r="K163" t="s">
        <v>673</v>
      </c>
      <c r="L163" t="s">
        <v>673</v>
      </c>
      <c r="M163">
        <v>7.0699999999999999E-2</v>
      </c>
      <c r="N163">
        <v>5.5E-2</v>
      </c>
      <c r="O163">
        <v>6.0900000000000003E-2</v>
      </c>
      <c r="P163">
        <v>7.5899999999999995E-2</v>
      </c>
      <c r="Q163">
        <v>6.5100000000000005E-2</v>
      </c>
      <c r="R163">
        <v>6.5000000000000002E-2</v>
      </c>
      <c r="S163" t="s">
        <v>673</v>
      </c>
      <c r="T163">
        <v>5.7599999999999998E-2</v>
      </c>
      <c r="U163">
        <v>4.9299999999999997E-2</v>
      </c>
      <c r="V163" t="s">
        <v>673</v>
      </c>
      <c r="W163" t="s">
        <v>673</v>
      </c>
      <c r="X163" t="s">
        <v>673</v>
      </c>
      <c r="Y163" t="s">
        <v>673</v>
      </c>
      <c r="Z163">
        <v>1.8599999999999998E-2</v>
      </c>
      <c r="AA163" t="s">
        <v>673</v>
      </c>
      <c r="AB163">
        <v>0.22969999999999999</v>
      </c>
      <c r="AC163">
        <v>0.1517</v>
      </c>
      <c r="AD163">
        <v>0.20369999999999999</v>
      </c>
      <c r="AE163">
        <v>0.2908</v>
      </c>
      <c r="AF163">
        <v>3.2599999999999997E-2</v>
      </c>
      <c r="AG163">
        <v>5.9499999999999997E-2</v>
      </c>
      <c r="AH163">
        <v>3.9899999999999998E-2</v>
      </c>
      <c r="AI163">
        <v>7.3800000000000004E-2</v>
      </c>
      <c r="AJ163">
        <v>6.5799999999999997E-2</v>
      </c>
      <c r="AK163">
        <v>3.4200000000000001E-2</v>
      </c>
      <c r="AL163">
        <v>3.2399999999999998E-2</v>
      </c>
      <c r="AM163">
        <v>-7.3499999999999996E-2</v>
      </c>
      <c r="AN163">
        <v>-1.04E-2</v>
      </c>
      <c r="AO163">
        <v>6.5600000000000006E-2</v>
      </c>
      <c r="AP163" t="s">
        <v>673</v>
      </c>
      <c r="AQ163" t="s">
        <v>673</v>
      </c>
      <c r="AR163" t="s">
        <v>673</v>
      </c>
      <c r="AS163" t="s">
        <v>673</v>
      </c>
      <c r="AT163" t="s">
        <v>673</v>
      </c>
      <c r="AU163" t="s">
        <v>673</v>
      </c>
      <c r="AV163" t="s">
        <v>673</v>
      </c>
    </row>
    <row r="164" spans="1:48" x14ac:dyDescent="0.25">
      <c r="A164" t="s">
        <v>272</v>
      </c>
      <c r="B164" t="s">
        <v>2</v>
      </c>
      <c r="C164" t="s">
        <v>272</v>
      </c>
      <c r="D164">
        <v>21300</v>
      </c>
      <c r="E164" t="s">
        <v>672</v>
      </c>
      <c r="F164" t="s">
        <v>117</v>
      </c>
      <c r="G164" t="s">
        <v>670</v>
      </c>
      <c r="H164" t="s">
        <v>670</v>
      </c>
      <c r="I164" t="s">
        <v>673</v>
      </c>
      <c r="J164" t="s">
        <v>673</v>
      </c>
      <c r="K164" t="s">
        <v>673</v>
      </c>
      <c r="L164" t="s">
        <v>673</v>
      </c>
      <c r="M164" t="s">
        <v>673</v>
      </c>
      <c r="N164" t="s">
        <v>673</v>
      </c>
      <c r="O164" t="s">
        <v>673</v>
      </c>
      <c r="P164" t="s">
        <v>673</v>
      </c>
      <c r="Q164" t="s">
        <v>673</v>
      </c>
      <c r="R164" t="s">
        <v>673</v>
      </c>
      <c r="S164" t="s">
        <v>673</v>
      </c>
      <c r="T164" t="s">
        <v>673</v>
      </c>
      <c r="U164" t="s">
        <v>673</v>
      </c>
      <c r="V164" t="s">
        <v>673</v>
      </c>
      <c r="W164" t="s">
        <v>673</v>
      </c>
      <c r="X164" t="s">
        <v>673</v>
      </c>
      <c r="Y164" t="s">
        <v>673</v>
      </c>
      <c r="Z164" t="s">
        <v>673</v>
      </c>
      <c r="AA164" t="s">
        <v>673</v>
      </c>
      <c r="AB164" t="s">
        <v>673</v>
      </c>
      <c r="AC164" t="s">
        <v>673</v>
      </c>
      <c r="AD164" t="s">
        <v>673</v>
      </c>
      <c r="AE164" t="s">
        <v>673</v>
      </c>
      <c r="AF164" t="s">
        <v>673</v>
      </c>
      <c r="AG164" t="s">
        <v>673</v>
      </c>
      <c r="AH164" t="s">
        <v>673</v>
      </c>
      <c r="AI164" t="s">
        <v>673</v>
      </c>
      <c r="AJ164" t="s">
        <v>673</v>
      </c>
      <c r="AK164" t="s">
        <v>673</v>
      </c>
      <c r="AL164" t="s">
        <v>673</v>
      </c>
      <c r="AM164" t="s">
        <v>673</v>
      </c>
      <c r="AN164" t="s">
        <v>673</v>
      </c>
      <c r="AO164" t="s">
        <v>673</v>
      </c>
      <c r="AP164" t="s">
        <v>673</v>
      </c>
      <c r="AQ164" t="s">
        <v>673</v>
      </c>
      <c r="AR164" t="s">
        <v>673</v>
      </c>
      <c r="AS164" t="s">
        <v>673</v>
      </c>
      <c r="AT164" t="s">
        <v>673</v>
      </c>
      <c r="AU164" t="s">
        <v>673</v>
      </c>
      <c r="AV164" t="s">
        <v>673</v>
      </c>
    </row>
    <row r="165" spans="1:48" x14ac:dyDescent="0.25">
      <c r="A165" t="s">
        <v>273</v>
      </c>
      <c r="B165" t="s">
        <v>2</v>
      </c>
      <c r="C165" t="s">
        <v>273</v>
      </c>
      <c r="D165">
        <v>21340</v>
      </c>
      <c r="E165" t="s">
        <v>672</v>
      </c>
      <c r="F165" t="s">
        <v>117</v>
      </c>
      <c r="G165" t="s">
        <v>670</v>
      </c>
      <c r="H165" t="s">
        <v>670</v>
      </c>
      <c r="I165">
        <v>-1.6000000000000001E-3</v>
      </c>
      <c r="J165">
        <v>2E-3</v>
      </c>
      <c r="K165">
        <v>1.9E-3</v>
      </c>
      <c r="L165">
        <v>1.3100000000000001E-2</v>
      </c>
      <c r="M165">
        <v>3.7000000000000002E-3</v>
      </c>
      <c r="N165">
        <v>1.34E-2</v>
      </c>
      <c r="O165">
        <v>1.83E-2</v>
      </c>
      <c r="P165">
        <v>9.9000000000000008E-3</v>
      </c>
      <c r="Q165">
        <v>2.6800000000000001E-2</v>
      </c>
      <c r="R165">
        <v>3.0099999999999998E-2</v>
      </c>
      <c r="S165">
        <v>3.9699999999999999E-2</v>
      </c>
      <c r="T165">
        <v>3.6400000000000002E-2</v>
      </c>
      <c r="U165">
        <v>3.27E-2</v>
      </c>
      <c r="V165">
        <v>3.3599999999999998E-2</v>
      </c>
      <c r="W165">
        <v>3.2599999999999997E-2</v>
      </c>
      <c r="X165">
        <v>4.6699999999999998E-2</v>
      </c>
      <c r="Y165">
        <v>5.1900000000000002E-2</v>
      </c>
      <c r="Z165">
        <v>2.18E-2</v>
      </c>
      <c r="AA165">
        <v>1.8100000000000002E-2</v>
      </c>
      <c r="AB165">
        <v>2.35E-2</v>
      </c>
      <c r="AC165">
        <v>1.7100000000000001E-2</v>
      </c>
      <c r="AD165">
        <v>5.28E-2</v>
      </c>
      <c r="AE165">
        <v>9.7000000000000003E-2</v>
      </c>
      <c r="AF165">
        <v>0.13020000000000001</v>
      </c>
      <c r="AG165">
        <v>0.14879999999999999</v>
      </c>
      <c r="AH165">
        <v>0.1462</v>
      </c>
      <c r="AI165">
        <v>0.12429999999999999</v>
      </c>
      <c r="AJ165">
        <v>0.10150000000000001</v>
      </c>
      <c r="AK165">
        <v>9.0899999999999995E-2</v>
      </c>
      <c r="AL165">
        <v>8.1600000000000006E-2</v>
      </c>
      <c r="AM165">
        <v>4.2000000000000003E-2</v>
      </c>
      <c r="AN165">
        <v>1.6199999999999999E-2</v>
      </c>
      <c r="AO165">
        <v>1.9699999999999999E-2</v>
      </c>
      <c r="AP165">
        <v>3.56E-2</v>
      </c>
      <c r="AQ165">
        <v>3.9E-2</v>
      </c>
      <c r="AR165">
        <v>3.2899999999999999E-2</v>
      </c>
      <c r="AS165">
        <v>2.3199999999999998E-2</v>
      </c>
      <c r="AT165">
        <v>6.4000000000000003E-3</v>
      </c>
      <c r="AU165">
        <v>2.6700000000000002E-2</v>
      </c>
      <c r="AV165">
        <v>3.6600000000000001E-2</v>
      </c>
    </row>
    <row r="166" spans="1:48" x14ac:dyDescent="0.25">
      <c r="A166" t="s">
        <v>274</v>
      </c>
      <c r="B166" t="s">
        <v>2</v>
      </c>
      <c r="C166" t="s">
        <v>274</v>
      </c>
      <c r="D166">
        <v>21380</v>
      </c>
      <c r="E166" t="s">
        <v>672</v>
      </c>
      <c r="F166" t="s">
        <v>117</v>
      </c>
      <c r="G166" t="s">
        <v>670</v>
      </c>
      <c r="H166" t="s">
        <v>670</v>
      </c>
      <c r="I166" t="s">
        <v>673</v>
      </c>
      <c r="J166" t="s">
        <v>673</v>
      </c>
      <c r="K166" t="s">
        <v>673</v>
      </c>
      <c r="L166" t="s">
        <v>673</v>
      </c>
      <c r="M166" t="s">
        <v>673</v>
      </c>
      <c r="N166" t="s">
        <v>673</v>
      </c>
      <c r="O166" t="s">
        <v>673</v>
      </c>
      <c r="P166" t="s">
        <v>673</v>
      </c>
      <c r="Q166" t="s">
        <v>673</v>
      </c>
      <c r="R166" t="s">
        <v>673</v>
      </c>
      <c r="S166" t="s">
        <v>673</v>
      </c>
      <c r="T166" t="s">
        <v>673</v>
      </c>
      <c r="U166" t="s">
        <v>673</v>
      </c>
      <c r="V166" t="s">
        <v>673</v>
      </c>
      <c r="W166" t="s">
        <v>673</v>
      </c>
      <c r="X166" t="s">
        <v>673</v>
      </c>
      <c r="Y166" t="s">
        <v>673</v>
      </c>
      <c r="Z166" t="s">
        <v>673</v>
      </c>
      <c r="AA166" t="s">
        <v>673</v>
      </c>
      <c r="AB166" t="s">
        <v>673</v>
      </c>
      <c r="AC166" t="s">
        <v>673</v>
      </c>
      <c r="AD166" t="s">
        <v>673</v>
      </c>
      <c r="AE166" t="s">
        <v>673</v>
      </c>
      <c r="AF166" t="s">
        <v>673</v>
      </c>
      <c r="AG166" t="s">
        <v>673</v>
      </c>
      <c r="AH166" t="s">
        <v>673</v>
      </c>
      <c r="AI166">
        <v>0.33679999999999999</v>
      </c>
      <c r="AJ166">
        <v>1E-4</v>
      </c>
      <c r="AK166">
        <v>-6.1999999999999998E-3</v>
      </c>
      <c r="AL166">
        <v>-1.0500000000000001E-2</v>
      </c>
      <c r="AM166">
        <v>-2.53E-2</v>
      </c>
      <c r="AN166">
        <v>1.37E-2</v>
      </c>
      <c r="AO166">
        <v>1.1000000000000001E-3</v>
      </c>
      <c r="AP166">
        <v>8.6E-3</v>
      </c>
      <c r="AQ166">
        <v>2.1999999999999999E-2</v>
      </c>
      <c r="AR166">
        <v>8.2699999999999996E-2</v>
      </c>
      <c r="AS166">
        <v>8.43E-2</v>
      </c>
      <c r="AT166">
        <v>7.0000000000000007E-2</v>
      </c>
      <c r="AU166">
        <v>6.9699999999999998E-2</v>
      </c>
      <c r="AV166">
        <v>7.0000000000000001E-3</v>
      </c>
    </row>
    <row r="167" spans="1:48" x14ac:dyDescent="0.25">
      <c r="A167" t="s">
        <v>275</v>
      </c>
      <c r="B167" t="s">
        <v>2</v>
      </c>
      <c r="C167" t="s">
        <v>275</v>
      </c>
      <c r="D167">
        <v>21420</v>
      </c>
      <c r="E167" t="s">
        <v>672</v>
      </c>
      <c r="F167" t="s">
        <v>117</v>
      </c>
      <c r="G167" t="s">
        <v>670</v>
      </c>
      <c r="H167" t="s">
        <v>670</v>
      </c>
      <c r="I167" t="s">
        <v>673</v>
      </c>
      <c r="J167" t="s">
        <v>673</v>
      </c>
      <c r="K167" t="s">
        <v>673</v>
      </c>
      <c r="L167" t="s">
        <v>673</v>
      </c>
      <c r="M167" t="s">
        <v>673</v>
      </c>
      <c r="N167" t="s">
        <v>673</v>
      </c>
      <c r="O167" t="s">
        <v>673</v>
      </c>
      <c r="P167">
        <v>0.1133</v>
      </c>
      <c r="Q167">
        <v>0.15440000000000001</v>
      </c>
      <c r="R167">
        <v>9.3100000000000002E-2</v>
      </c>
      <c r="S167">
        <v>0.16900000000000001</v>
      </c>
      <c r="T167">
        <v>6.3200000000000006E-2</v>
      </c>
      <c r="U167">
        <v>2.1600000000000001E-2</v>
      </c>
      <c r="V167">
        <v>5.45E-2</v>
      </c>
      <c r="W167">
        <v>2.35E-2</v>
      </c>
      <c r="X167">
        <v>-5.1999999999999998E-2</v>
      </c>
      <c r="Y167">
        <v>-2.1999999999999999E-2</v>
      </c>
      <c r="Z167">
        <v>-1.7100000000000001E-2</v>
      </c>
      <c r="AA167">
        <v>-3.0200000000000001E-2</v>
      </c>
      <c r="AB167">
        <v>5.4999999999999997E-3</v>
      </c>
      <c r="AC167">
        <v>5.0000000000000001E-3</v>
      </c>
      <c r="AD167">
        <v>6.8999999999999999E-3</v>
      </c>
      <c r="AE167">
        <v>-1E-3</v>
      </c>
      <c r="AF167">
        <v>2.29E-2</v>
      </c>
      <c r="AG167">
        <v>3.3300000000000003E-2</v>
      </c>
      <c r="AH167">
        <v>3.2199999999999999E-2</v>
      </c>
      <c r="AI167">
        <v>3.8899999999999997E-2</v>
      </c>
      <c r="AJ167">
        <v>3.5799999999999998E-2</v>
      </c>
      <c r="AK167">
        <v>2.1899999999999999E-2</v>
      </c>
      <c r="AL167">
        <v>2.12E-2</v>
      </c>
      <c r="AM167">
        <v>1.7000000000000001E-2</v>
      </c>
      <c r="AN167">
        <v>2.7799999999999998E-2</v>
      </c>
      <c r="AO167">
        <v>2.87E-2</v>
      </c>
      <c r="AP167">
        <v>2.4799999999999999E-2</v>
      </c>
      <c r="AQ167">
        <v>1.0800000000000001E-2</v>
      </c>
      <c r="AR167">
        <v>-6.7000000000000002E-3</v>
      </c>
      <c r="AS167">
        <v>0</v>
      </c>
      <c r="AT167">
        <v>3.8E-3</v>
      </c>
      <c r="AU167">
        <v>4.5999999999999999E-3</v>
      </c>
      <c r="AV167">
        <v>6.7000000000000002E-3</v>
      </c>
    </row>
    <row r="168" spans="1:48" x14ac:dyDescent="0.25">
      <c r="A168" t="s">
        <v>276</v>
      </c>
      <c r="B168" t="s">
        <v>2</v>
      </c>
      <c r="C168" t="s">
        <v>276</v>
      </c>
      <c r="D168">
        <v>21460</v>
      </c>
      <c r="E168" t="s">
        <v>672</v>
      </c>
      <c r="F168" t="s">
        <v>117</v>
      </c>
      <c r="G168" t="s">
        <v>670</v>
      </c>
      <c r="H168" t="s">
        <v>670</v>
      </c>
      <c r="I168">
        <v>2.2499999999999999E-2</v>
      </c>
      <c r="J168">
        <v>3.3999999999999998E-3</v>
      </c>
      <c r="K168">
        <v>2.1399999999999999E-2</v>
      </c>
      <c r="L168">
        <v>3.3599999999999998E-2</v>
      </c>
      <c r="M168">
        <v>2.3199999999999998E-2</v>
      </c>
      <c r="N168">
        <v>1.83E-2</v>
      </c>
      <c r="O168">
        <v>3.5999999999999999E-3</v>
      </c>
      <c r="P168">
        <v>-1.4E-3</v>
      </c>
      <c r="Q168">
        <v>-2.8500000000000001E-2</v>
      </c>
      <c r="R168">
        <v>-3.8600000000000002E-2</v>
      </c>
      <c r="S168">
        <v>-1.66E-2</v>
      </c>
      <c r="T168">
        <v>1.52E-2</v>
      </c>
      <c r="U168">
        <v>5.16E-2</v>
      </c>
      <c r="V168">
        <v>6.8000000000000005E-2</v>
      </c>
      <c r="W168" t="s">
        <v>673</v>
      </c>
      <c r="X168" t="s">
        <v>673</v>
      </c>
      <c r="Y168" t="s">
        <v>673</v>
      </c>
      <c r="Z168" t="s">
        <v>673</v>
      </c>
      <c r="AA168" t="s">
        <v>673</v>
      </c>
      <c r="AB168" t="s">
        <v>673</v>
      </c>
      <c r="AC168" t="s">
        <v>673</v>
      </c>
      <c r="AD168" t="s">
        <v>673</v>
      </c>
      <c r="AE168" t="s">
        <v>673</v>
      </c>
      <c r="AF168">
        <v>0.1666</v>
      </c>
      <c r="AG168">
        <v>0.17519999999999999</v>
      </c>
      <c r="AH168">
        <v>0.1426</v>
      </c>
      <c r="AI168" t="s">
        <v>673</v>
      </c>
      <c r="AJ168" t="s">
        <v>673</v>
      </c>
      <c r="AK168" t="s">
        <v>673</v>
      </c>
      <c r="AL168" t="s">
        <v>673</v>
      </c>
      <c r="AM168" t="s">
        <v>673</v>
      </c>
      <c r="AN168" t="s">
        <v>673</v>
      </c>
      <c r="AO168" t="s">
        <v>673</v>
      </c>
      <c r="AP168" t="s">
        <v>673</v>
      </c>
      <c r="AQ168" t="s">
        <v>673</v>
      </c>
      <c r="AR168" t="s">
        <v>673</v>
      </c>
      <c r="AS168" t="s">
        <v>673</v>
      </c>
      <c r="AT168" t="s">
        <v>673</v>
      </c>
      <c r="AU168" t="s">
        <v>673</v>
      </c>
      <c r="AV168" t="s">
        <v>673</v>
      </c>
    </row>
    <row r="169" spans="1:48" x14ac:dyDescent="0.25">
      <c r="A169" t="s">
        <v>277</v>
      </c>
      <c r="B169" t="s">
        <v>2</v>
      </c>
      <c r="C169" t="s">
        <v>277</v>
      </c>
      <c r="D169">
        <v>21500</v>
      </c>
      <c r="E169" t="s">
        <v>672</v>
      </c>
      <c r="F169" t="s">
        <v>117</v>
      </c>
      <c r="G169" t="s">
        <v>670</v>
      </c>
      <c r="H169" t="s">
        <v>670</v>
      </c>
      <c r="I169">
        <v>-6.9400000000000003E-2</v>
      </c>
      <c r="J169">
        <v>5.0900000000000001E-2</v>
      </c>
      <c r="K169">
        <v>0.1031</v>
      </c>
      <c r="L169">
        <v>5.62E-2</v>
      </c>
      <c r="M169">
        <v>1.8100000000000002E-2</v>
      </c>
      <c r="N169">
        <v>-3.7999999999999999E-2</v>
      </c>
      <c r="O169">
        <v>-8.3299999999999999E-2</v>
      </c>
      <c r="P169">
        <v>-4.3700000000000003E-2</v>
      </c>
      <c r="Q169">
        <v>-1.29E-2</v>
      </c>
      <c r="R169">
        <v>2.0000000000000001E-4</v>
      </c>
      <c r="S169">
        <v>-3.0000000000000001E-3</v>
      </c>
      <c r="T169" t="s">
        <v>673</v>
      </c>
      <c r="U169" t="s">
        <v>673</v>
      </c>
      <c r="V169" t="s">
        <v>673</v>
      </c>
      <c r="W169" t="s">
        <v>673</v>
      </c>
      <c r="X169">
        <v>3.1800000000000002E-2</v>
      </c>
      <c r="Y169">
        <v>6.88E-2</v>
      </c>
      <c r="Z169">
        <v>6.7799999999999999E-2</v>
      </c>
      <c r="AA169">
        <v>5.62E-2</v>
      </c>
      <c r="AB169">
        <v>6.13E-2</v>
      </c>
      <c r="AC169">
        <v>0.1938</v>
      </c>
      <c r="AD169">
        <v>0.17599999999999999</v>
      </c>
      <c r="AE169">
        <v>0.19719999999999999</v>
      </c>
      <c r="AF169">
        <v>0.105</v>
      </c>
      <c r="AG169">
        <v>-5.5E-2</v>
      </c>
      <c r="AH169">
        <v>-3.6700000000000003E-2</v>
      </c>
      <c r="AI169">
        <v>5.8900000000000001E-2</v>
      </c>
      <c r="AJ169">
        <v>0.20619999999999999</v>
      </c>
      <c r="AK169">
        <v>0.22470000000000001</v>
      </c>
      <c r="AL169">
        <v>0.20449999999999999</v>
      </c>
      <c r="AM169">
        <v>9.2899999999999996E-2</v>
      </c>
      <c r="AN169">
        <v>8.0799999999999997E-2</v>
      </c>
      <c r="AO169">
        <v>6.4699999999999994E-2</v>
      </c>
      <c r="AP169">
        <v>5.7000000000000002E-2</v>
      </c>
      <c r="AQ169">
        <v>7.2700000000000001E-2</v>
      </c>
      <c r="AR169">
        <v>6.7199999999999996E-2</v>
      </c>
      <c r="AS169">
        <v>7.0000000000000007E-2</v>
      </c>
      <c r="AT169">
        <v>9.8199999999999996E-2</v>
      </c>
      <c r="AU169">
        <v>8.1900000000000001E-2</v>
      </c>
      <c r="AV169">
        <v>4.1399999999999999E-2</v>
      </c>
    </row>
    <row r="170" spans="1:48" x14ac:dyDescent="0.25">
      <c r="A170" t="s">
        <v>278</v>
      </c>
      <c r="B170" t="s">
        <v>2</v>
      </c>
      <c r="C170" t="s">
        <v>278</v>
      </c>
      <c r="D170">
        <v>21660</v>
      </c>
      <c r="E170" t="s">
        <v>672</v>
      </c>
      <c r="F170" t="s">
        <v>117</v>
      </c>
      <c r="G170" t="s">
        <v>670</v>
      </c>
      <c r="H170" t="s">
        <v>670</v>
      </c>
      <c r="I170">
        <v>8.2500000000000004E-2</v>
      </c>
      <c r="J170">
        <v>0.1096</v>
      </c>
      <c r="K170">
        <v>9.6100000000000005E-2</v>
      </c>
      <c r="L170">
        <v>8.7499999999999994E-2</v>
      </c>
      <c r="M170">
        <v>7.3700000000000002E-2</v>
      </c>
      <c r="N170">
        <v>6.0400000000000002E-2</v>
      </c>
      <c r="O170">
        <v>9.1999999999999998E-2</v>
      </c>
      <c r="P170">
        <v>7.6600000000000001E-2</v>
      </c>
      <c r="Q170">
        <v>6.4299999999999996E-2</v>
      </c>
      <c r="R170">
        <v>6.6199999999999995E-2</v>
      </c>
      <c r="S170">
        <v>5.6399999999999999E-2</v>
      </c>
      <c r="T170">
        <v>7.3099999999999998E-2</v>
      </c>
      <c r="U170">
        <v>6.2600000000000003E-2</v>
      </c>
      <c r="V170">
        <v>3.5099999999999999E-2</v>
      </c>
      <c r="W170">
        <v>5.0200000000000002E-2</v>
      </c>
      <c r="X170">
        <v>3.49E-2</v>
      </c>
      <c r="Y170">
        <v>4.5400000000000003E-2</v>
      </c>
      <c r="Z170">
        <v>3.5200000000000002E-2</v>
      </c>
      <c r="AA170">
        <v>9.5999999999999992E-3</v>
      </c>
      <c r="AB170">
        <v>3.78E-2</v>
      </c>
      <c r="AC170">
        <v>5.1299999999999998E-2</v>
      </c>
      <c r="AD170">
        <v>8.8800000000000004E-2</v>
      </c>
      <c r="AE170">
        <v>0.1125</v>
      </c>
      <c r="AF170">
        <v>0.13450000000000001</v>
      </c>
      <c r="AG170">
        <v>0.1661</v>
      </c>
      <c r="AH170">
        <v>0.1782</v>
      </c>
      <c r="AI170">
        <v>0.18010000000000001</v>
      </c>
      <c r="AJ170">
        <v>0.1198</v>
      </c>
      <c r="AK170">
        <v>7.6700000000000004E-2</v>
      </c>
      <c r="AL170">
        <v>3.4500000000000003E-2</v>
      </c>
      <c r="AM170">
        <v>-1.1999999999999999E-3</v>
      </c>
      <c r="AN170">
        <v>1.66E-2</v>
      </c>
      <c r="AO170">
        <v>2.4199999999999999E-2</v>
      </c>
      <c r="AP170">
        <v>2.1899999999999999E-2</v>
      </c>
      <c r="AQ170">
        <v>3.44E-2</v>
      </c>
      <c r="AR170">
        <v>7.3000000000000001E-3</v>
      </c>
      <c r="AS170">
        <v>7.4999999999999997E-3</v>
      </c>
      <c r="AT170">
        <v>2.8799999999999999E-2</v>
      </c>
      <c r="AU170">
        <v>2.4500000000000001E-2</v>
      </c>
      <c r="AV170">
        <v>2.76E-2</v>
      </c>
    </row>
    <row r="171" spans="1:48" x14ac:dyDescent="0.25">
      <c r="A171" t="s">
        <v>279</v>
      </c>
      <c r="B171" t="s">
        <v>2</v>
      </c>
      <c r="C171" t="s">
        <v>279</v>
      </c>
      <c r="D171">
        <v>21780</v>
      </c>
      <c r="E171" t="s">
        <v>672</v>
      </c>
      <c r="F171" t="s">
        <v>117</v>
      </c>
      <c r="G171" t="s">
        <v>670</v>
      </c>
      <c r="H171" t="s">
        <v>670</v>
      </c>
      <c r="I171">
        <v>5.04E-2</v>
      </c>
      <c r="J171">
        <v>4.5100000000000001E-2</v>
      </c>
      <c r="K171">
        <v>3.27E-2</v>
      </c>
      <c r="L171">
        <v>2.58E-2</v>
      </c>
      <c r="M171">
        <v>2.5999999999999999E-3</v>
      </c>
      <c r="N171">
        <v>1.15E-2</v>
      </c>
      <c r="O171">
        <v>3.1099999999999999E-2</v>
      </c>
      <c r="P171">
        <v>2.7099999999999999E-2</v>
      </c>
      <c r="Q171">
        <v>4.7800000000000002E-2</v>
      </c>
      <c r="R171">
        <v>3.6799999999999999E-2</v>
      </c>
      <c r="S171">
        <v>2.98E-2</v>
      </c>
      <c r="T171">
        <v>3.15E-2</v>
      </c>
      <c r="U171">
        <v>1.5900000000000001E-2</v>
      </c>
      <c r="V171">
        <v>2.4299999999999999E-2</v>
      </c>
      <c r="W171">
        <v>3.1099999999999999E-2</v>
      </c>
      <c r="X171">
        <v>2.5600000000000001E-2</v>
      </c>
      <c r="Y171">
        <v>2.6700000000000002E-2</v>
      </c>
      <c r="Z171">
        <v>-1.1000000000000001E-3</v>
      </c>
      <c r="AA171">
        <v>7.6E-3</v>
      </c>
      <c r="AB171">
        <v>1.5299999999999999E-2</v>
      </c>
      <c r="AC171">
        <v>2.1600000000000001E-2</v>
      </c>
      <c r="AD171">
        <v>3.5900000000000001E-2</v>
      </c>
      <c r="AE171">
        <v>6.9599999999999995E-2</v>
      </c>
      <c r="AF171">
        <v>8.9800000000000005E-2</v>
      </c>
      <c r="AG171">
        <v>9.0899999999999995E-2</v>
      </c>
      <c r="AH171">
        <v>0.1246</v>
      </c>
      <c r="AI171">
        <v>9.5100000000000004E-2</v>
      </c>
      <c r="AJ171">
        <v>6.7500000000000004E-2</v>
      </c>
      <c r="AK171">
        <v>7.1400000000000005E-2</v>
      </c>
      <c r="AL171">
        <v>5.0599999999999999E-2</v>
      </c>
      <c r="AM171">
        <v>0.04</v>
      </c>
      <c r="AN171">
        <v>8.4900000000000003E-2</v>
      </c>
      <c r="AO171">
        <v>6.4299999999999996E-2</v>
      </c>
      <c r="AP171">
        <v>5.3600000000000002E-2</v>
      </c>
      <c r="AQ171">
        <v>7.1800000000000003E-2</v>
      </c>
      <c r="AR171">
        <v>3.9100000000000003E-2</v>
      </c>
      <c r="AS171">
        <v>4.5600000000000002E-2</v>
      </c>
      <c r="AT171">
        <v>5.4699999999999999E-2</v>
      </c>
      <c r="AU171">
        <v>6.3899999999999998E-2</v>
      </c>
      <c r="AV171">
        <v>7.8600000000000003E-2</v>
      </c>
    </row>
    <row r="172" spans="1:48" x14ac:dyDescent="0.25">
      <c r="A172" t="s">
        <v>280</v>
      </c>
      <c r="B172" t="s">
        <v>2</v>
      </c>
      <c r="C172" t="s">
        <v>280</v>
      </c>
      <c r="D172">
        <v>21820</v>
      </c>
      <c r="E172" t="s">
        <v>672</v>
      </c>
      <c r="F172" t="s">
        <v>117</v>
      </c>
      <c r="G172" t="s">
        <v>670</v>
      </c>
      <c r="H172" t="s">
        <v>670</v>
      </c>
      <c r="I172" t="s">
        <v>673</v>
      </c>
      <c r="J172" t="s">
        <v>673</v>
      </c>
      <c r="K172" t="s">
        <v>673</v>
      </c>
      <c r="L172" t="s">
        <v>673</v>
      </c>
      <c r="M172" t="s">
        <v>673</v>
      </c>
      <c r="N172" t="s">
        <v>673</v>
      </c>
      <c r="O172" t="s">
        <v>673</v>
      </c>
      <c r="P172" t="s">
        <v>673</v>
      </c>
      <c r="Q172">
        <v>2.4299999999999999E-2</v>
      </c>
      <c r="R172">
        <v>2E-3</v>
      </c>
      <c r="S172">
        <v>-3.8999999999999998E-3</v>
      </c>
      <c r="T172">
        <v>7.7999999999999996E-3</v>
      </c>
      <c r="U172">
        <v>-7.9699999999999993E-2</v>
      </c>
      <c r="V172">
        <v>-6.3E-3</v>
      </c>
      <c r="W172" t="s">
        <v>673</v>
      </c>
      <c r="X172" t="s">
        <v>673</v>
      </c>
      <c r="Y172" t="s">
        <v>673</v>
      </c>
      <c r="Z172">
        <v>4.3E-3</v>
      </c>
      <c r="AA172">
        <v>0.1032</v>
      </c>
      <c r="AB172">
        <v>0.1206</v>
      </c>
      <c r="AC172">
        <v>9.7299999999999998E-2</v>
      </c>
      <c r="AD172">
        <v>5.2600000000000001E-2</v>
      </c>
      <c r="AE172">
        <v>8.8599999999999998E-2</v>
      </c>
      <c r="AF172">
        <v>0.2979</v>
      </c>
      <c r="AG172">
        <v>0.32969999999999999</v>
      </c>
      <c r="AH172">
        <v>0.41170000000000001</v>
      </c>
      <c r="AI172">
        <v>0.3659</v>
      </c>
      <c r="AJ172">
        <v>0.17019999999999999</v>
      </c>
      <c r="AK172">
        <v>0.14230000000000001</v>
      </c>
      <c r="AL172">
        <v>6.4600000000000005E-2</v>
      </c>
      <c r="AM172">
        <v>6.6299999999999998E-2</v>
      </c>
      <c r="AN172">
        <v>1.3100000000000001E-2</v>
      </c>
      <c r="AO172">
        <v>-1.38E-2</v>
      </c>
      <c r="AP172">
        <v>1.43E-2</v>
      </c>
      <c r="AQ172">
        <v>-2.6700000000000002E-2</v>
      </c>
      <c r="AR172">
        <v>-9.4999999999999998E-3</v>
      </c>
      <c r="AS172">
        <v>2.35E-2</v>
      </c>
      <c r="AT172" t="s">
        <v>673</v>
      </c>
      <c r="AU172" t="s">
        <v>673</v>
      </c>
      <c r="AV172" t="s">
        <v>673</v>
      </c>
    </row>
    <row r="173" spans="1:48" x14ac:dyDescent="0.25">
      <c r="A173" t="s">
        <v>281</v>
      </c>
      <c r="B173" t="s">
        <v>2</v>
      </c>
      <c r="C173" t="s">
        <v>281</v>
      </c>
      <c r="D173">
        <v>21900</v>
      </c>
      <c r="E173" t="s">
        <v>672</v>
      </c>
      <c r="F173" t="s">
        <v>117</v>
      </c>
      <c r="G173" t="s">
        <v>670</v>
      </c>
      <c r="H173" t="s">
        <v>670</v>
      </c>
      <c r="I173" t="s">
        <v>673</v>
      </c>
      <c r="J173" t="s">
        <v>673</v>
      </c>
      <c r="K173" t="s">
        <v>673</v>
      </c>
      <c r="L173" t="s">
        <v>673</v>
      </c>
      <c r="M173" t="s">
        <v>673</v>
      </c>
      <c r="N173" t="s">
        <v>673</v>
      </c>
      <c r="O173" t="s">
        <v>673</v>
      </c>
      <c r="P173" t="s">
        <v>673</v>
      </c>
      <c r="Q173" t="s">
        <v>673</v>
      </c>
      <c r="R173" t="s">
        <v>673</v>
      </c>
      <c r="S173" t="s">
        <v>673</v>
      </c>
      <c r="T173" t="s">
        <v>673</v>
      </c>
      <c r="U173" t="s">
        <v>673</v>
      </c>
      <c r="V173" t="s">
        <v>673</v>
      </c>
      <c r="W173" t="s">
        <v>673</v>
      </c>
      <c r="X173" t="s">
        <v>673</v>
      </c>
      <c r="Y173" t="s">
        <v>673</v>
      </c>
      <c r="Z173" t="s">
        <v>673</v>
      </c>
      <c r="AA173" t="s">
        <v>673</v>
      </c>
      <c r="AB173" t="s">
        <v>673</v>
      </c>
      <c r="AC173" t="s">
        <v>673</v>
      </c>
      <c r="AD173" t="s">
        <v>673</v>
      </c>
      <c r="AE173" t="s">
        <v>673</v>
      </c>
      <c r="AF173" t="s">
        <v>673</v>
      </c>
      <c r="AG173" t="s">
        <v>673</v>
      </c>
      <c r="AH173" t="s">
        <v>673</v>
      </c>
      <c r="AI173" t="s">
        <v>673</v>
      </c>
      <c r="AJ173" t="s">
        <v>673</v>
      </c>
      <c r="AK173" t="s">
        <v>673</v>
      </c>
      <c r="AL173" t="s">
        <v>673</v>
      </c>
      <c r="AM173" t="s">
        <v>673</v>
      </c>
      <c r="AN173" t="s">
        <v>673</v>
      </c>
      <c r="AO173" t="s">
        <v>673</v>
      </c>
      <c r="AP173" t="s">
        <v>673</v>
      </c>
      <c r="AQ173" t="s">
        <v>673</v>
      </c>
      <c r="AR173" t="s">
        <v>673</v>
      </c>
      <c r="AS173" t="s">
        <v>673</v>
      </c>
      <c r="AT173" t="s">
        <v>673</v>
      </c>
      <c r="AU173" t="s">
        <v>673</v>
      </c>
      <c r="AV173" t="s">
        <v>673</v>
      </c>
    </row>
    <row r="174" spans="1:48" x14ac:dyDescent="0.25">
      <c r="A174" t="s">
        <v>282</v>
      </c>
      <c r="B174" t="s">
        <v>2</v>
      </c>
      <c r="C174" t="s">
        <v>282</v>
      </c>
      <c r="D174">
        <v>22020</v>
      </c>
      <c r="E174" t="s">
        <v>672</v>
      </c>
      <c r="F174" t="s">
        <v>117</v>
      </c>
      <c r="G174" t="s">
        <v>670</v>
      </c>
      <c r="H174" t="s">
        <v>670</v>
      </c>
      <c r="I174">
        <v>5.0299999999999997E-2</v>
      </c>
      <c r="J174">
        <v>4.3900000000000002E-2</v>
      </c>
      <c r="K174">
        <v>4.9200000000000001E-2</v>
      </c>
      <c r="L174">
        <v>6.8999999999999999E-3</v>
      </c>
      <c r="M174">
        <v>4.02E-2</v>
      </c>
      <c r="N174">
        <v>5.8700000000000002E-2</v>
      </c>
      <c r="O174">
        <v>3.5299999999999998E-2</v>
      </c>
      <c r="P174">
        <v>4.8599999999999997E-2</v>
      </c>
      <c r="Q174">
        <v>1.38E-2</v>
      </c>
      <c r="R174">
        <v>3.27E-2</v>
      </c>
      <c r="S174">
        <v>5.2600000000000001E-2</v>
      </c>
      <c r="T174">
        <v>4.2099999999999999E-2</v>
      </c>
      <c r="U174">
        <v>2.4299999999999999E-2</v>
      </c>
      <c r="V174">
        <v>7.7999999999999996E-3</v>
      </c>
      <c r="W174">
        <v>-5.7999999999999996E-3</v>
      </c>
      <c r="X174">
        <v>-1.2E-2</v>
      </c>
      <c r="Y174">
        <v>-4.7000000000000002E-3</v>
      </c>
      <c r="Z174">
        <v>-1.84E-2</v>
      </c>
      <c r="AA174">
        <v>4.4000000000000003E-3</v>
      </c>
      <c r="AB174">
        <v>1.83E-2</v>
      </c>
      <c r="AC174">
        <v>0.02</v>
      </c>
      <c r="AD174">
        <v>0.03</v>
      </c>
      <c r="AE174">
        <v>2.9700000000000001E-2</v>
      </c>
      <c r="AF174">
        <v>4.3200000000000002E-2</v>
      </c>
      <c r="AG174">
        <v>5.7599999999999998E-2</v>
      </c>
      <c r="AH174">
        <v>0.11210000000000001</v>
      </c>
      <c r="AI174">
        <v>0.1193</v>
      </c>
      <c r="AJ174">
        <v>0.12089999999999999</v>
      </c>
      <c r="AK174">
        <v>0.123</v>
      </c>
      <c r="AL174">
        <v>8.1600000000000006E-2</v>
      </c>
      <c r="AM174">
        <v>7.3999999999999996E-2</v>
      </c>
      <c r="AN174">
        <v>7.8E-2</v>
      </c>
      <c r="AO174">
        <v>6.2100000000000002E-2</v>
      </c>
      <c r="AP174">
        <v>4.9399999999999999E-2</v>
      </c>
      <c r="AQ174">
        <v>4.1700000000000001E-2</v>
      </c>
      <c r="AR174">
        <v>1.46E-2</v>
      </c>
      <c r="AS174">
        <v>2.53E-2</v>
      </c>
      <c r="AT174">
        <v>7.6399999999999996E-2</v>
      </c>
      <c r="AU174">
        <v>6.5199999999999994E-2</v>
      </c>
      <c r="AV174">
        <v>6.59E-2</v>
      </c>
    </row>
    <row r="175" spans="1:48" x14ac:dyDescent="0.25">
      <c r="A175" t="s">
        <v>283</v>
      </c>
      <c r="B175" t="s">
        <v>2</v>
      </c>
      <c r="C175" t="s">
        <v>283</v>
      </c>
      <c r="D175">
        <v>22060</v>
      </c>
      <c r="E175" t="s">
        <v>672</v>
      </c>
      <c r="F175" t="s">
        <v>117</v>
      </c>
      <c r="G175" t="s">
        <v>670</v>
      </c>
      <c r="H175" t="s">
        <v>670</v>
      </c>
      <c r="I175" t="s">
        <v>673</v>
      </c>
      <c r="J175" t="s">
        <v>673</v>
      </c>
      <c r="K175" t="s">
        <v>673</v>
      </c>
      <c r="L175" t="s">
        <v>673</v>
      </c>
      <c r="M175" t="s">
        <v>673</v>
      </c>
      <c r="N175" t="s">
        <v>673</v>
      </c>
      <c r="O175" t="s">
        <v>673</v>
      </c>
      <c r="P175" t="s">
        <v>673</v>
      </c>
      <c r="Q175" t="s">
        <v>673</v>
      </c>
      <c r="R175" t="s">
        <v>673</v>
      </c>
      <c r="S175" t="s">
        <v>673</v>
      </c>
      <c r="T175" t="s">
        <v>673</v>
      </c>
      <c r="U175" t="s">
        <v>673</v>
      </c>
      <c r="V175" t="s">
        <v>673</v>
      </c>
      <c r="W175" t="s">
        <v>673</v>
      </c>
      <c r="X175" t="s">
        <v>673</v>
      </c>
      <c r="Y175" t="s">
        <v>673</v>
      </c>
      <c r="Z175" t="s">
        <v>673</v>
      </c>
      <c r="AA175" t="s">
        <v>673</v>
      </c>
      <c r="AB175" t="s">
        <v>673</v>
      </c>
      <c r="AC175" t="s">
        <v>673</v>
      </c>
      <c r="AD175" t="s">
        <v>673</v>
      </c>
      <c r="AE175" t="s">
        <v>673</v>
      </c>
      <c r="AF175" t="s">
        <v>673</v>
      </c>
      <c r="AG175" t="s">
        <v>673</v>
      </c>
      <c r="AH175" t="s">
        <v>673</v>
      </c>
      <c r="AI175" t="s">
        <v>673</v>
      </c>
      <c r="AJ175" t="s">
        <v>673</v>
      </c>
      <c r="AK175" t="s">
        <v>673</v>
      </c>
      <c r="AL175" t="s">
        <v>673</v>
      </c>
      <c r="AM175" t="s">
        <v>673</v>
      </c>
      <c r="AN175" t="s">
        <v>673</v>
      </c>
      <c r="AO175" t="s">
        <v>673</v>
      </c>
      <c r="AP175" t="s">
        <v>673</v>
      </c>
      <c r="AQ175" t="s">
        <v>673</v>
      </c>
      <c r="AR175" t="s">
        <v>673</v>
      </c>
      <c r="AS175" t="s">
        <v>673</v>
      </c>
      <c r="AT175" t="s">
        <v>673</v>
      </c>
      <c r="AU175">
        <v>6.8900000000000003E-2</v>
      </c>
      <c r="AV175">
        <v>0.1444</v>
      </c>
    </row>
    <row r="176" spans="1:48" x14ac:dyDescent="0.25">
      <c r="A176" t="s">
        <v>284</v>
      </c>
      <c r="B176" t="s">
        <v>2</v>
      </c>
      <c r="C176" t="s">
        <v>284</v>
      </c>
      <c r="D176">
        <v>22100</v>
      </c>
      <c r="E176" t="s">
        <v>672</v>
      </c>
      <c r="F176" t="s">
        <v>117</v>
      </c>
      <c r="G176" t="s">
        <v>670</v>
      </c>
      <c r="H176" t="s">
        <v>670</v>
      </c>
      <c r="I176" t="s">
        <v>673</v>
      </c>
      <c r="J176" t="s">
        <v>673</v>
      </c>
      <c r="K176" t="s">
        <v>673</v>
      </c>
      <c r="L176" t="s">
        <v>673</v>
      </c>
      <c r="M176" t="s">
        <v>673</v>
      </c>
      <c r="N176" t="s">
        <v>673</v>
      </c>
      <c r="O176" t="s">
        <v>673</v>
      </c>
      <c r="P176" t="s">
        <v>673</v>
      </c>
      <c r="Q176" t="s">
        <v>673</v>
      </c>
      <c r="R176" t="s">
        <v>673</v>
      </c>
      <c r="S176" t="s">
        <v>673</v>
      </c>
      <c r="T176" t="s">
        <v>673</v>
      </c>
      <c r="U176" t="s">
        <v>673</v>
      </c>
      <c r="V176" t="s">
        <v>673</v>
      </c>
      <c r="W176" t="s">
        <v>673</v>
      </c>
      <c r="X176" t="s">
        <v>673</v>
      </c>
      <c r="Y176" t="s">
        <v>673</v>
      </c>
      <c r="Z176" t="s">
        <v>673</v>
      </c>
      <c r="AA176" t="s">
        <v>673</v>
      </c>
      <c r="AB176" t="s">
        <v>673</v>
      </c>
      <c r="AC176" t="s">
        <v>673</v>
      </c>
      <c r="AD176" t="s">
        <v>673</v>
      </c>
      <c r="AE176" t="s">
        <v>673</v>
      </c>
      <c r="AF176" t="s">
        <v>673</v>
      </c>
      <c r="AG176" t="s">
        <v>673</v>
      </c>
      <c r="AH176" t="s">
        <v>673</v>
      </c>
      <c r="AI176" t="s">
        <v>673</v>
      </c>
      <c r="AJ176" t="s">
        <v>673</v>
      </c>
      <c r="AK176" t="s">
        <v>673</v>
      </c>
      <c r="AL176" t="s">
        <v>673</v>
      </c>
      <c r="AM176" t="s">
        <v>673</v>
      </c>
      <c r="AN176" t="s">
        <v>673</v>
      </c>
      <c r="AO176" t="s">
        <v>673</v>
      </c>
      <c r="AP176" t="s">
        <v>673</v>
      </c>
      <c r="AQ176" t="s">
        <v>673</v>
      </c>
      <c r="AR176" t="s">
        <v>673</v>
      </c>
      <c r="AS176" t="s">
        <v>673</v>
      </c>
      <c r="AT176" t="s">
        <v>673</v>
      </c>
      <c r="AU176" t="s">
        <v>673</v>
      </c>
      <c r="AV176" t="s">
        <v>673</v>
      </c>
    </row>
    <row r="177" spans="1:48" x14ac:dyDescent="0.25">
      <c r="A177" t="s">
        <v>285</v>
      </c>
      <c r="B177" t="s">
        <v>2</v>
      </c>
      <c r="C177" t="s">
        <v>285</v>
      </c>
      <c r="D177">
        <v>22180</v>
      </c>
      <c r="E177" t="s">
        <v>672</v>
      </c>
      <c r="F177" t="s">
        <v>117</v>
      </c>
      <c r="G177" t="s">
        <v>670</v>
      </c>
      <c r="H177" t="s">
        <v>670</v>
      </c>
      <c r="I177">
        <v>1.9599999999999999E-2</v>
      </c>
      <c r="J177">
        <v>3.5099999999999999E-2</v>
      </c>
      <c r="K177">
        <v>2.6100000000000002E-2</v>
      </c>
      <c r="L177">
        <v>2.0299999999999999E-2</v>
      </c>
      <c r="M177">
        <v>7.1999999999999998E-3</v>
      </c>
      <c r="N177">
        <v>1E-4</v>
      </c>
      <c r="O177">
        <v>5.5999999999999999E-3</v>
      </c>
      <c r="P177">
        <v>3.0000000000000001E-3</v>
      </c>
      <c r="Q177">
        <v>3.4299999999999997E-2</v>
      </c>
      <c r="R177">
        <v>6.1100000000000002E-2</v>
      </c>
      <c r="S177">
        <v>4.87E-2</v>
      </c>
      <c r="T177">
        <v>4.8000000000000001E-2</v>
      </c>
      <c r="U177">
        <v>3.3099999999999997E-2</v>
      </c>
      <c r="V177">
        <v>2.76E-2</v>
      </c>
      <c r="W177">
        <v>3.1E-2</v>
      </c>
      <c r="X177">
        <v>4.1000000000000002E-2</v>
      </c>
      <c r="Y177">
        <v>3.7100000000000001E-2</v>
      </c>
      <c r="Z177">
        <v>3.9800000000000002E-2</v>
      </c>
      <c r="AA177">
        <v>7.2099999999999997E-2</v>
      </c>
      <c r="AB177">
        <v>9.1499999999999998E-2</v>
      </c>
      <c r="AC177">
        <v>0.10589999999999999</v>
      </c>
      <c r="AD177">
        <v>0.12139999999999999</v>
      </c>
      <c r="AE177">
        <v>0.16270000000000001</v>
      </c>
      <c r="AF177">
        <v>0.14990000000000001</v>
      </c>
      <c r="AG177">
        <v>0.14319999999999999</v>
      </c>
      <c r="AH177">
        <v>0.1595</v>
      </c>
      <c r="AI177">
        <v>0.12180000000000001</v>
      </c>
      <c r="AJ177">
        <v>0.1273</v>
      </c>
      <c r="AK177">
        <v>0.1168</v>
      </c>
      <c r="AL177">
        <v>5.91E-2</v>
      </c>
      <c r="AM177">
        <v>2.0199999999999999E-2</v>
      </c>
      <c r="AN177">
        <v>-1.17E-2</v>
      </c>
      <c r="AO177">
        <v>-1.54E-2</v>
      </c>
      <c r="AP177">
        <v>-5.9999999999999995E-4</v>
      </c>
      <c r="AQ177">
        <v>9.7999999999999997E-3</v>
      </c>
      <c r="AR177">
        <v>2.52E-2</v>
      </c>
      <c r="AS177">
        <v>1.95E-2</v>
      </c>
      <c r="AT177">
        <v>2.8999999999999998E-3</v>
      </c>
      <c r="AU177">
        <v>7.1000000000000004E-3</v>
      </c>
      <c r="AV177">
        <v>2E-3</v>
      </c>
    </row>
    <row r="178" spans="1:48" x14ac:dyDescent="0.25">
      <c r="A178" t="s">
        <v>286</v>
      </c>
      <c r="B178" t="s">
        <v>2</v>
      </c>
      <c r="C178" t="s">
        <v>286</v>
      </c>
      <c r="D178">
        <v>22220</v>
      </c>
      <c r="E178" t="s">
        <v>672</v>
      </c>
      <c r="F178" t="s">
        <v>117</v>
      </c>
      <c r="G178" t="s">
        <v>670</v>
      </c>
      <c r="H178" t="s">
        <v>670</v>
      </c>
      <c r="I178">
        <v>4.7899999999999998E-2</v>
      </c>
      <c r="J178">
        <v>3.8199999999999998E-2</v>
      </c>
      <c r="K178">
        <v>6.5699999999999995E-2</v>
      </c>
      <c r="L178">
        <v>5.4199999999999998E-2</v>
      </c>
      <c r="M178">
        <v>1.52E-2</v>
      </c>
      <c r="N178">
        <v>1E-4</v>
      </c>
      <c r="O178">
        <v>4.0000000000000002E-4</v>
      </c>
      <c r="P178">
        <v>-9.1999999999999998E-3</v>
      </c>
      <c r="Q178">
        <v>8.0000000000000002E-3</v>
      </c>
      <c r="R178">
        <v>3.6900000000000002E-2</v>
      </c>
      <c r="S178">
        <v>8.3099999999999993E-2</v>
      </c>
      <c r="T178">
        <v>9.1600000000000001E-2</v>
      </c>
      <c r="U178">
        <v>9.2999999999999999E-2</v>
      </c>
      <c r="V178">
        <v>9.9400000000000002E-2</v>
      </c>
      <c r="W178">
        <v>5.91E-2</v>
      </c>
      <c r="X178">
        <v>5.1799999999999999E-2</v>
      </c>
      <c r="Y178">
        <v>4.36E-2</v>
      </c>
      <c r="Z178">
        <v>-2E-3</v>
      </c>
      <c r="AA178">
        <v>1.4800000000000001E-2</v>
      </c>
      <c r="AB178">
        <v>2.1000000000000001E-2</v>
      </c>
      <c r="AC178">
        <v>3.1899999999999998E-2</v>
      </c>
      <c r="AD178">
        <v>7.5999999999999998E-2</v>
      </c>
      <c r="AE178">
        <v>7.9699999999999993E-2</v>
      </c>
      <c r="AF178">
        <v>0.1031</v>
      </c>
      <c r="AG178">
        <v>0.11799999999999999</v>
      </c>
      <c r="AH178">
        <v>0.17080000000000001</v>
      </c>
      <c r="AI178">
        <v>0.2127</v>
      </c>
      <c r="AJ178">
        <v>0.21729999999999999</v>
      </c>
      <c r="AK178">
        <v>0.19950000000000001</v>
      </c>
      <c r="AL178">
        <v>0.1724</v>
      </c>
      <c r="AM178">
        <v>0.12189999999999999</v>
      </c>
      <c r="AN178">
        <v>9.69E-2</v>
      </c>
      <c r="AO178">
        <v>9.5600000000000004E-2</v>
      </c>
      <c r="AP178">
        <v>4.4900000000000002E-2</v>
      </c>
      <c r="AQ178">
        <v>2.29E-2</v>
      </c>
      <c r="AR178">
        <v>2.1499999999999998E-2</v>
      </c>
      <c r="AS178">
        <v>2.4E-2</v>
      </c>
      <c r="AT178">
        <v>4.58E-2</v>
      </c>
      <c r="AU178">
        <v>5.7799999999999997E-2</v>
      </c>
      <c r="AV178">
        <v>4.9099999999999998E-2</v>
      </c>
    </row>
    <row r="179" spans="1:48" x14ac:dyDescent="0.25">
      <c r="A179" t="s">
        <v>287</v>
      </c>
      <c r="B179" t="s">
        <v>2</v>
      </c>
      <c r="C179" t="s">
        <v>287</v>
      </c>
      <c r="D179">
        <v>22260</v>
      </c>
      <c r="E179" t="s">
        <v>672</v>
      </c>
      <c r="F179" t="s">
        <v>117</v>
      </c>
      <c r="G179" t="s">
        <v>670</v>
      </c>
      <c r="H179" t="s">
        <v>670</v>
      </c>
      <c r="I179" t="s">
        <v>673</v>
      </c>
      <c r="J179" t="s">
        <v>673</v>
      </c>
      <c r="K179" t="s">
        <v>673</v>
      </c>
      <c r="L179" t="s">
        <v>673</v>
      </c>
      <c r="M179" t="s">
        <v>673</v>
      </c>
      <c r="N179" t="s">
        <v>673</v>
      </c>
      <c r="O179">
        <v>7.4399999999999994E-2</v>
      </c>
      <c r="P179">
        <v>0.10639999999999999</v>
      </c>
      <c r="Q179">
        <v>-8.0000000000000004E-4</v>
      </c>
      <c r="R179">
        <v>-2.7699999999999999E-2</v>
      </c>
      <c r="S179">
        <v>2.0199999999999999E-2</v>
      </c>
      <c r="T179">
        <v>3.1899999999999998E-2</v>
      </c>
      <c r="U179">
        <v>3.3300000000000003E-2</v>
      </c>
      <c r="V179">
        <v>-7.1000000000000004E-3</v>
      </c>
      <c r="W179">
        <v>-5.5999999999999999E-3</v>
      </c>
      <c r="X179">
        <v>2.5499999999999998E-2</v>
      </c>
      <c r="Y179">
        <v>1.0999999999999999E-2</v>
      </c>
      <c r="Z179">
        <v>2.8799999999999999E-2</v>
      </c>
      <c r="AA179">
        <v>1.8100000000000002E-2</v>
      </c>
      <c r="AB179">
        <v>8.9999999999999998E-4</v>
      </c>
      <c r="AC179" t="s">
        <v>673</v>
      </c>
      <c r="AD179" t="s">
        <v>673</v>
      </c>
      <c r="AE179" t="s">
        <v>673</v>
      </c>
      <c r="AF179" t="s">
        <v>673</v>
      </c>
      <c r="AG179" t="s">
        <v>673</v>
      </c>
      <c r="AH179" t="s">
        <v>673</v>
      </c>
      <c r="AI179" t="s">
        <v>673</v>
      </c>
      <c r="AJ179" t="s">
        <v>673</v>
      </c>
      <c r="AK179" t="s">
        <v>673</v>
      </c>
      <c r="AL179" t="s">
        <v>673</v>
      </c>
      <c r="AM179" t="s">
        <v>673</v>
      </c>
      <c r="AN179" t="s">
        <v>673</v>
      </c>
      <c r="AO179" t="s">
        <v>673</v>
      </c>
      <c r="AP179" t="s">
        <v>673</v>
      </c>
      <c r="AQ179" t="s">
        <v>673</v>
      </c>
      <c r="AR179" t="s">
        <v>673</v>
      </c>
      <c r="AS179" t="s">
        <v>673</v>
      </c>
      <c r="AT179" t="s">
        <v>673</v>
      </c>
      <c r="AU179" t="s">
        <v>673</v>
      </c>
      <c r="AV179" t="s">
        <v>673</v>
      </c>
    </row>
    <row r="180" spans="1:48" x14ac:dyDescent="0.25">
      <c r="A180" t="s">
        <v>288</v>
      </c>
      <c r="B180" t="s">
        <v>2</v>
      </c>
      <c r="C180" t="s">
        <v>288</v>
      </c>
      <c r="D180">
        <v>22300</v>
      </c>
      <c r="E180" t="s">
        <v>672</v>
      </c>
      <c r="F180" t="s">
        <v>117</v>
      </c>
      <c r="G180" t="s">
        <v>670</v>
      </c>
      <c r="H180" t="s">
        <v>670</v>
      </c>
      <c r="I180" t="s">
        <v>673</v>
      </c>
      <c r="J180">
        <v>-6.5199999999999994E-2</v>
      </c>
      <c r="K180" t="s">
        <v>673</v>
      </c>
      <c r="L180">
        <v>9.0200000000000002E-2</v>
      </c>
      <c r="M180">
        <v>-1.01E-2</v>
      </c>
      <c r="N180">
        <v>0.30459999999999998</v>
      </c>
      <c r="O180">
        <v>6.7000000000000002E-3</v>
      </c>
      <c r="P180">
        <v>-5.7799999999999997E-2</v>
      </c>
      <c r="Q180">
        <v>1.77E-2</v>
      </c>
      <c r="R180">
        <v>-0.19700000000000001</v>
      </c>
      <c r="S180">
        <v>1.15E-2</v>
      </c>
      <c r="T180">
        <v>1.77E-2</v>
      </c>
      <c r="U180">
        <v>2.9399999999999999E-2</v>
      </c>
      <c r="V180">
        <v>8.8999999999999996E-2</v>
      </c>
      <c r="W180">
        <v>2.0199999999999999E-2</v>
      </c>
      <c r="X180">
        <v>0.107</v>
      </c>
      <c r="Y180" t="s">
        <v>673</v>
      </c>
      <c r="Z180">
        <v>0.15989999999999999</v>
      </c>
      <c r="AA180">
        <v>0.23069999999999999</v>
      </c>
      <c r="AB180">
        <v>0.15659999999999999</v>
      </c>
      <c r="AC180">
        <v>0.19120000000000001</v>
      </c>
      <c r="AD180">
        <v>0.1021</v>
      </c>
      <c r="AE180">
        <v>4.7E-2</v>
      </c>
      <c r="AF180">
        <v>2.87E-2</v>
      </c>
      <c r="AG180">
        <v>0.02</v>
      </c>
      <c r="AH180">
        <v>0.1646</v>
      </c>
      <c r="AI180">
        <v>0.34379999999999999</v>
      </c>
      <c r="AJ180">
        <v>0.31159999999999999</v>
      </c>
      <c r="AK180">
        <v>0.27979999999999999</v>
      </c>
      <c r="AL180">
        <v>0.15290000000000001</v>
      </c>
      <c r="AM180">
        <v>0.03</v>
      </c>
      <c r="AN180">
        <v>5.4100000000000002E-2</v>
      </c>
      <c r="AO180">
        <v>0.10680000000000001</v>
      </c>
      <c r="AP180">
        <v>6.9000000000000006E-2</v>
      </c>
      <c r="AQ180">
        <v>3.7600000000000001E-2</v>
      </c>
      <c r="AR180">
        <v>1.7000000000000001E-2</v>
      </c>
      <c r="AS180">
        <v>1.34E-2</v>
      </c>
      <c r="AT180">
        <v>8.3000000000000001E-3</v>
      </c>
      <c r="AU180">
        <v>5.7999999999999996E-3</v>
      </c>
      <c r="AV180" t="s">
        <v>673</v>
      </c>
    </row>
    <row r="181" spans="1:48" x14ac:dyDescent="0.25">
      <c r="A181" t="s">
        <v>289</v>
      </c>
      <c r="B181" t="s">
        <v>2</v>
      </c>
      <c r="C181" t="s">
        <v>289</v>
      </c>
      <c r="D181">
        <v>22380</v>
      </c>
      <c r="E181" t="s">
        <v>672</v>
      </c>
      <c r="F181" t="s">
        <v>117</v>
      </c>
      <c r="G181" t="s">
        <v>670</v>
      </c>
      <c r="H181" t="s">
        <v>670</v>
      </c>
      <c r="I181">
        <v>0.1217</v>
      </c>
      <c r="J181">
        <v>0.11459999999999999</v>
      </c>
      <c r="K181">
        <v>0.14319999999999999</v>
      </c>
      <c r="L181">
        <v>0.1246</v>
      </c>
      <c r="M181">
        <v>0.1145</v>
      </c>
      <c r="N181">
        <v>9.9199999999999997E-2</v>
      </c>
      <c r="O181">
        <v>1.8800000000000001E-2</v>
      </c>
      <c r="P181">
        <v>-9.4000000000000004E-3</v>
      </c>
      <c r="Q181">
        <v>-7.1999999999999998E-3</v>
      </c>
      <c r="R181">
        <v>1.67E-2</v>
      </c>
      <c r="S181">
        <v>1.52E-2</v>
      </c>
      <c r="T181">
        <v>2.07E-2</v>
      </c>
      <c r="U181">
        <v>2.6700000000000002E-2</v>
      </c>
      <c r="V181">
        <v>1E-4</v>
      </c>
      <c r="W181">
        <v>2.64E-2</v>
      </c>
      <c r="X181">
        <v>2.1299999999999999E-2</v>
      </c>
      <c r="Y181">
        <v>2.3400000000000001E-2</v>
      </c>
      <c r="Z181">
        <v>-3.5999999999999999E-3</v>
      </c>
      <c r="AA181">
        <v>4.7999999999999996E-3</v>
      </c>
      <c r="AB181">
        <v>2.7799999999999998E-2</v>
      </c>
      <c r="AC181">
        <v>5.57E-2</v>
      </c>
      <c r="AD181">
        <v>0.1394</v>
      </c>
      <c r="AE181">
        <v>0.189</v>
      </c>
      <c r="AF181">
        <v>0.2107</v>
      </c>
      <c r="AG181">
        <v>0.18379999999999999</v>
      </c>
      <c r="AH181">
        <v>0.15770000000000001</v>
      </c>
      <c r="AI181">
        <v>0.12520000000000001</v>
      </c>
      <c r="AJ181">
        <v>8.1299999999999997E-2</v>
      </c>
      <c r="AK181">
        <v>7.6799999999999993E-2</v>
      </c>
      <c r="AL181">
        <v>6.9800000000000001E-2</v>
      </c>
      <c r="AM181">
        <v>4.7699999999999999E-2</v>
      </c>
      <c r="AN181">
        <v>1.55E-2</v>
      </c>
      <c r="AO181">
        <v>5.1000000000000004E-3</v>
      </c>
      <c r="AP181">
        <v>-6.7999999999999996E-3</v>
      </c>
      <c r="AQ181">
        <v>-8.8000000000000005E-3</v>
      </c>
      <c r="AR181">
        <v>-7.4000000000000003E-3</v>
      </c>
      <c r="AS181">
        <v>-1.04E-2</v>
      </c>
      <c r="AT181">
        <v>1.8499999999999999E-2</v>
      </c>
      <c r="AU181">
        <v>-1.4999999999999999E-2</v>
      </c>
      <c r="AV181">
        <v>-2.6800000000000001E-2</v>
      </c>
    </row>
    <row r="182" spans="1:48" x14ac:dyDescent="0.25">
      <c r="A182" t="s">
        <v>290</v>
      </c>
      <c r="B182" t="s">
        <v>2</v>
      </c>
      <c r="C182" t="s">
        <v>290</v>
      </c>
      <c r="D182">
        <v>22420</v>
      </c>
      <c r="E182" t="s">
        <v>672</v>
      </c>
      <c r="F182" t="s">
        <v>117</v>
      </c>
      <c r="G182" t="s">
        <v>670</v>
      </c>
      <c r="H182" t="s">
        <v>670</v>
      </c>
      <c r="I182">
        <v>3.9699999999999999E-2</v>
      </c>
      <c r="J182">
        <v>5.04E-2</v>
      </c>
      <c r="K182">
        <v>5.16E-2</v>
      </c>
      <c r="L182">
        <v>5.3600000000000002E-2</v>
      </c>
      <c r="M182">
        <v>5.2200000000000003E-2</v>
      </c>
      <c r="N182">
        <v>4.19E-2</v>
      </c>
      <c r="O182">
        <v>2.7199999999999998E-2</v>
      </c>
      <c r="P182">
        <v>2.87E-2</v>
      </c>
      <c r="Q182">
        <v>2.24E-2</v>
      </c>
      <c r="R182">
        <v>2.5499999999999998E-2</v>
      </c>
      <c r="S182">
        <v>2.1600000000000001E-2</v>
      </c>
      <c r="T182">
        <v>3.5400000000000001E-2</v>
      </c>
      <c r="U182">
        <v>3.5400000000000001E-2</v>
      </c>
      <c r="V182">
        <v>3.4799999999999998E-2</v>
      </c>
      <c r="W182">
        <v>6.4399999999999999E-2</v>
      </c>
      <c r="X182">
        <v>5.1799999999999999E-2</v>
      </c>
      <c r="Y182">
        <v>4.07E-2</v>
      </c>
      <c r="Z182">
        <v>3.7400000000000003E-2</v>
      </c>
      <c r="AA182">
        <v>4.5199999999999997E-2</v>
      </c>
      <c r="AB182">
        <v>7.1999999999999995E-2</v>
      </c>
      <c r="AC182">
        <v>9.1600000000000001E-2</v>
      </c>
      <c r="AD182">
        <v>0.11260000000000001</v>
      </c>
      <c r="AE182">
        <v>0.115</v>
      </c>
      <c r="AF182">
        <v>0.108</v>
      </c>
      <c r="AG182">
        <v>0.1086</v>
      </c>
      <c r="AH182">
        <v>0.1115</v>
      </c>
      <c r="AI182">
        <v>0.1103</v>
      </c>
      <c r="AJ182">
        <v>8.8099999999999998E-2</v>
      </c>
      <c r="AK182">
        <v>6.5299999999999997E-2</v>
      </c>
      <c r="AL182">
        <v>4.3099999999999999E-2</v>
      </c>
      <c r="AM182">
        <v>3.0200000000000001E-2</v>
      </c>
      <c r="AN182">
        <v>4.1099999999999998E-2</v>
      </c>
      <c r="AO182">
        <v>6.2700000000000006E-2</v>
      </c>
      <c r="AP182">
        <v>5.8200000000000002E-2</v>
      </c>
      <c r="AQ182">
        <v>4.0500000000000001E-2</v>
      </c>
      <c r="AR182">
        <v>3.6299999999999999E-2</v>
      </c>
      <c r="AS182">
        <v>2.6100000000000002E-2</v>
      </c>
      <c r="AT182">
        <v>4.3499999999999997E-2</v>
      </c>
      <c r="AU182">
        <v>3.2300000000000002E-2</v>
      </c>
      <c r="AV182">
        <v>2.9399999999999999E-2</v>
      </c>
    </row>
    <row r="183" spans="1:48" x14ac:dyDescent="0.25">
      <c r="A183" t="s">
        <v>291</v>
      </c>
      <c r="B183" t="s">
        <v>2</v>
      </c>
      <c r="C183" t="s">
        <v>291</v>
      </c>
      <c r="D183">
        <v>22520</v>
      </c>
      <c r="E183" t="s">
        <v>672</v>
      </c>
      <c r="F183" t="s">
        <v>117</v>
      </c>
      <c r="G183" t="s">
        <v>670</v>
      </c>
      <c r="H183" t="s">
        <v>670</v>
      </c>
      <c r="I183">
        <v>-6.4999999999999997E-3</v>
      </c>
      <c r="J183">
        <v>-6.4999999999999997E-3</v>
      </c>
      <c r="K183">
        <v>3.0999999999999999E-3</v>
      </c>
      <c r="L183">
        <v>-0.15909999999999999</v>
      </c>
      <c r="M183">
        <v>-0.16839999999999999</v>
      </c>
      <c r="N183">
        <v>-0.16350000000000001</v>
      </c>
      <c r="O183">
        <v>-0.15390000000000001</v>
      </c>
      <c r="P183">
        <v>1.2500000000000001E-2</v>
      </c>
      <c r="Q183">
        <v>2.1000000000000001E-2</v>
      </c>
      <c r="R183">
        <v>0.02</v>
      </c>
      <c r="S183">
        <v>1.89E-2</v>
      </c>
      <c r="T183">
        <v>2.5700000000000001E-2</v>
      </c>
      <c r="U183">
        <v>3.2099999999999997E-2</v>
      </c>
      <c r="V183">
        <v>3.3500000000000002E-2</v>
      </c>
      <c r="W183">
        <v>2.2100000000000002E-2</v>
      </c>
      <c r="X183">
        <v>1.2699999999999999E-2</v>
      </c>
      <c r="Y183">
        <v>1.37E-2</v>
      </c>
      <c r="Z183">
        <v>1.4800000000000001E-2</v>
      </c>
      <c r="AA183">
        <v>7.2499999999999995E-2</v>
      </c>
      <c r="AB183">
        <v>6.83E-2</v>
      </c>
      <c r="AC183">
        <v>7.3099999999999998E-2</v>
      </c>
      <c r="AD183">
        <v>8.4199999999999997E-2</v>
      </c>
      <c r="AE183">
        <v>6.1199999999999997E-2</v>
      </c>
      <c r="AF183">
        <v>8.6400000000000005E-2</v>
      </c>
      <c r="AG183">
        <v>0.11219999999999999</v>
      </c>
      <c r="AH183">
        <v>9.98E-2</v>
      </c>
      <c r="AI183">
        <v>0.13320000000000001</v>
      </c>
      <c r="AJ183">
        <v>0.1366</v>
      </c>
      <c r="AK183">
        <v>8.9099999999999999E-2</v>
      </c>
      <c r="AL183">
        <v>0.11559999999999999</v>
      </c>
      <c r="AM183">
        <v>9.35E-2</v>
      </c>
      <c r="AN183">
        <v>6.5699999999999995E-2</v>
      </c>
      <c r="AO183">
        <v>0.105</v>
      </c>
      <c r="AP183">
        <v>8.3099999999999993E-2</v>
      </c>
      <c r="AQ183">
        <v>3.9399999999999998E-2</v>
      </c>
      <c r="AR183">
        <v>6.5500000000000003E-2</v>
      </c>
      <c r="AS183">
        <v>1.77E-2</v>
      </c>
      <c r="AT183">
        <v>1.72E-2</v>
      </c>
      <c r="AU183">
        <v>3.5700000000000003E-2</v>
      </c>
      <c r="AV183">
        <v>3.9800000000000002E-2</v>
      </c>
    </row>
    <row r="184" spans="1:48" x14ac:dyDescent="0.25">
      <c r="A184" t="s">
        <v>292</v>
      </c>
      <c r="B184" t="s">
        <v>2</v>
      </c>
      <c r="C184" t="s">
        <v>292</v>
      </c>
      <c r="D184">
        <v>22500</v>
      </c>
      <c r="E184" t="s">
        <v>672</v>
      </c>
      <c r="F184" t="s">
        <v>117</v>
      </c>
      <c r="G184" t="s">
        <v>670</v>
      </c>
      <c r="H184" t="s">
        <v>670</v>
      </c>
      <c r="I184">
        <v>3.5200000000000002E-2</v>
      </c>
      <c r="J184">
        <v>4.0500000000000001E-2</v>
      </c>
      <c r="K184">
        <v>5.8000000000000003E-2</v>
      </c>
      <c r="L184">
        <v>4.24E-2</v>
      </c>
      <c r="M184">
        <v>5.2200000000000003E-2</v>
      </c>
      <c r="N184">
        <v>4.0899999999999999E-2</v>
      </c>
      <c r="O184">
        <v>6.6900000000000001E-2</v>
      </c>
      <c r="P184">
        <v>2.63E-2</v>
      </c>
      <c r="Q184">
        <v>1.0800000000000001E-2</v>
      </c>
      <c r="R184">
        <v>9.5999999999999992E-3</v>
      </c>
      <c r="S184">
        <v>-2.3199999999999998E-2</v>
      </c>
      <c r="T184">
        <v>4.7100000000000003E-2</v>
      </c>
      <c r="U184">
        <v>6.8400000000000002E-2</v>
      </c>
      <c r="V184">
        <v>7.3800000000000004E-2</v>
      </c>
      <c r="W184">
        <v>4.3400000000000001E-2</v>
      </c>
      <c r="X184">
        <v>9.7999999999999997E-3</v>
      </c>
      <c r="Y184">
        <v>-9.5999999999999992E-3</v>
      </c>
      <c r="Z184">
        <v>-1.6899999999999998E-2</v>
      </c>
      <c r="AA184">
        <v>5.4600000000000003E-2</v>
      </c>
      <c r="AB184">
        <v>7.6499999999999999E-2</v>
      </c>
      <c r="AC184">
        <v>7.6899999999999996E-2</v>
      </c>
      <c r="AD184">
        <v>9.6100000000000005E-2</v>
      </c>
      <c r="AE184">
        <v>6.6400000000000001E-2</v>
      </c>
      <c r="AF184">
        <v>5.2400000000000002E-2</v>
      </c>
      <c r="AG184">
        <v>5.9700000000000003E-2</v>
      </c>
      <c r="AH184">
        <v>6.7299999999999999E-2</v>
      </c>
      <c r="AI184">
        <v>7.1400000000000005E-2</v>
      </c>
      <c r="AJ184">
        <v>0.104</v>
      </c>
      <c r="AK184">
        <v>0.13589999999999999</v>
      </c>
      <c r="AL184">
        <v>0.1134</v>
      </c>
      <c r="AM184">
        <v>6.0499999999999998E-2</v>
      </c>
      <c r="AN184">
        <v>6.08E-2</v>
      </c>
      <c r="AO184">
        <v>1.09E-2</v>
      </c>
      <c r="AP184">
        <v>2.47E-2</v>
      </c>
      <c r="AQ184">
        <v>7.1099999999999997E-2</v>
      </c>
      <c r="AR184">
        <v>2.0199999999999999E-2</v>
      </c>
      <c r="AS184">
        <v>4.4400000000000002E-2</v>
      </c>
      <c r="AT184">
        <v>3.8600000000000002E-2</v>
      </c>
      <c r="AU184">
        <v>1.9E-3</v>
      </c>
      <c r="AV184">
        <v>-3.3E-3</v>
      </c>
    </row>
    <row r="185" spans="1:48" x14ac:dyDescent="0.25">
      <c r="A185" t="s">
        <v>293</v>
      </c>
      <c r="B185" t="s">
        <v>2</v>
      </c>
      <c r="C185" t="s">
        <v>293</v>
      </c>
      <c r="D185">
        <v>22540</v>
      </c>
      <c r="E185" t="s">
        <v>672</v>
      </c>
      <c r="F185" t="s">
        <v>117</v>
      </c>
      <c r="G185" t="s">
        <v>670</v>
      </c>
      <c r="H185" t="s">
        <v>670</v>
      </c>
      <c r="I185" t="s">
        <v>673</v>
      </c>
      <c r="J185" t="s">
        <v>673</v>
      </c>
      <c r="K185" t="s">
        <v>673</v>
      </c>
      <c r="L185" t="s">
        <v>673</v>
      </c>
      <c r="M185">
        <v>-7.5800000000000006E-2</v>
      </c>
      <c r="N185">
        <v>-7.4200000000000002E-2</v>
      </c>
      <c r="O185">
        <v>-0.1017</v>
      </c>
      <c r="P185">
        <v>-0.1152</v>
      </c>
      <c r="Q185">
        <v>3.6299999999999999E-2</v>
      </c>
      <c r="R185">
        <v>2.0400000000000001E-2</v>
      </c>
      <c r="S185">
        <v>3.85E-2</v>
      </c>
      <c r="T185">
        <v>4.7300000000000002E-2</v>
      </c>
      <c r="U185">
        <v>1.6500000000000001E-2</v>
      </c>
      <c r="V185">
        <v>2.6499999999999999E-2</v>
      </c>
      <c r="W185">
        <v>6.1100000000000002E-2</v>
      </c>
      <c r="X185">
        <v>6.08E-2</v>
      </c>
      <c r="Y185">
        <v>5.2200000000000003E-2</v>
      </c>
      <c r="Z185">
        <v>4.0399999999999998E-2</v>
      </c>
      <c r="AA185">
        <v>3.5000000000000001E-3</v>
      </c>
      <c r="AB185">
        <v>6.9099999999999995E-2</v>
      </c>
      <c r="AC185">
        <v>0.1716</v>
      </c>
      <c r="AD185">
        <v>0.2402</v>
      </c>
      <c r="AE185">
        <v>0.30270000000000002</v>
      </c>
      <c r="AF185">
        <v>0.1565</v>
      </c>
      <c r="AG185">
        <v>6.3E-2</v>
      </c>
      <c r="AH185">
        <v>0.04</v>
      </c>
      <c r="AI185">
        <v>2.6200000000000001E-2</v>
      </c>
      <c r="AJ185">
        <v>5.9900000000000002E-2</v>
      </c>
      <c r="AK185">
        <v>9.9000000000000008E-3</v>
      </c>
      <c r="AL185">
        <v>-6.8999999999999999E-3</v>
      </c>
      <c r="AM185">
        <v>0.1087</v>
      </c>
      <c r="AN185">
        <v>9.74E-2</v>
      </c>
      <c r="AO185">
        <v>9.7500000000000003E-2</v>
      </c>
      <c r="AP185">
        <v>0.14560000000000001</v>
      </c>
      <c r="AQ185">
        <v>0.125</v>
      </c>
      <c r="AR185">
        <v>0.19270000000000001</v>
      </c>
      <c r="AS185">
        <v>0.153</v>
      </c>
      <c r="AT185">
        <v>0.1371</v>
      </c>
      <c r="AU185">
        <v>5.8900000000000001E-2</v>
      </c>
      <c r="AV185">
        <v>5.7000000000000002E-3</v>
      </c>
    </row>
    <row r="186" spans="1:48" x14ac:dyDescent="0.25">
      <c r="A186" t="s">
        <v>294</v>
      </c>
      <c r="B186" t="s">
        <v>2</v>
      </c>
      <c r="C186" t="s">
        <v>294</v>
      </c>
      <c r="D186">
        <v>22620</v>
      </c>
      <c r="E186" t="s">
        <v>672</v>
      </c>
      <c r="F186" t="s">
        <v>117</v>
      </c>
      <c r="G186" t="s">
        <v>670</v>
      </c>
      <c r="H186" t="s">
        <v>670</v>
      </c>
      <c r="I186" t="s">
        <v>673</v>
      </c>
      <c r="J186" t="s">
        <v>673</v>
      </c>
      <c r="K186" t="s">
        <v>673</v>
      </c>
      <c r="L186" t="s">
        <v>673</v>
      </c>
      <c r="M186" t="s">
        <v>673</v>
      </c>
      <c r="N186" t="s">
        <v>673</v>
      </c>
      <c r="O186" t="s">
        <v>673</v>
      </c>
      <c r="P186" t="s">
        <v>673</v>
      </c>
      <c r="Q186" t="s">
        <v>673</v>
      </c>
      <c r="R186" t="s">
        <v>673</v>
      </c>
      <c r="S186" t="s">
        <v>673</v>
      </c>
      <c r="T186" t="s">
        <v>673</v>
      </c>
      <c r="U186" t="s">
        <v>673</v>
      </c>
      <c r="V186" t="s">
        <v>673</v>
      </c>
      <c r="W186" t="s">
        <v>673</v>
      </c>
      <c r="X186" t="s">
        <v>673</v>
      </c>
      <c r="Y186" t="s">
        <v>673</v>
      </c>
      <c r="Z186" t="s">
        <v>673</v>
      </c>
      <c r="AA186" t="s">
        <v>673</v>
      </c>
      <c r="AB186" t="s">
        <v>673</v>
      </c>
      <c r="AC186" t="s">
        <v>673</v>
      </c>
      <c r="AD186" t="s">
        <v>673</v>
      </c>
      <c r="AE186" t="s">
        <v>673</v>
      </c>
      <c r="AF186" t="s">
        <v>673</v>
      </c>
      <c r="AG186" t="s">
        <v>673</v>
      </c>
      <c r="AH186" t="s">
        <v>673</v>
      </c>
      <c r="AI186" t="s">
        <v>673</v>
      </c>
      <c r="AJ186" t="s">
        <v>673</v>
      </c>
      <c r="AK186" t="s">
        <v>673</v>
      </c>
      <c r="AL186" t="s">
        <v>673</v>
      </c>
      <c r="AM186" t="s">
        <v>673</v>
      </c>
      <c r="AN186" t="s">
        <v>673</v>
      </c>
      <c r="AO186" t="s">
        <v>673</v>
      </c>
      <c r="AP186" t="s">
        <v>673</v>
      </c>
      <c r="AQ186" t="s">
        <v>673</v>
      </c>
      <c r="AR186" t="s">
        <v>673</v>
      </c>
      <c r="AS186" t="s">
        <v>673</v>
      </c>
      <c r="AT186" t="s">
        <v>673</v>
      </c>
      <c r="AU186" t="s">
        <v>673</v>
      </c>
      <c r="AV186" t="s">
        <v>673</v>
      </c>
    </row>
    <row r="187" spans="1:48" x14ac:dyDescent="0.25">
      <c r="A187" t="s">
        <v>295</v>
      </c>
      <c r="B187" t="s">
        <v>2</v>
      </c>
      <c r="C187" t="s">
        <v>295</v>
      </c>
      <c r="D187">
        <v>22660</v>
      </c>
      <c r="E187" t="s">
        <v>672</v>
      </c>
      <c r="F187" t="s">
        <v>117</v>
      </c>
      <c r="G187" t="s">
        <v>670</v>
      </c>
      <c r="H187" t="s">
        <v>670</v>
      </c>
      <c r="I187">
        <v>9.4999999999999998E-3</v>
      </c>
      <c r="J187">
        <v>6.8999999999999999E-3</v>
      </c>
      <c r="K187">
        <v>3.3999999999999998E-3</v>
      </c>
      <c r="L187">
        <v>-1.06E-2</v>
      </c>
      <c r="M187">
        <v>-1.9599999999999999E-2</v>
      </c>
      <c r="N187">
        <v>1.6500000000000001E-2</v>
      </c>
      <c r="O187">
        <v>4.8599999999999997E-2</v>
      </c>
      <c r="P187">
        <v>7.2900000000000006E-2</v>
      </c>
      <c r="Q187">
        <v>7.4200000000000002E-2</v>
      </c>
      <c r="R187">
        <v>4.7699999999999999E-2</v>
      </c>
      <c r="S187">
        <v>1.95E-2</v>
      </c>
      <c r="T187">
        <v>4.7000000000000002E-3</v>
      </c>
      <c r="U187">
        <v>1.41E-2</v>
      </c>
      <c r="V187">
        <v>1.6999999999999999E-3</v>
      </c>
      <c r="W187">
        <v>1.38E-2</v>
      </c>
      <c r="X187">
        <v>3.7999999999999999E-2</v>
      </c>
      <c r="Y187">
        <v>3.1099999999999999E-2</v>
      </c>
      <c r="Z187">
        <v>2.5999999999999999E-3</v>
      </c>
      <c r="AA187">
        <v>1.01E-2</v>
      </c>
      <c r="AB187">
        <v>-2.12E-2</v>
      </c>
      <c r="AC187">
        <v>-1.3599999999999999E-2</v>
      </c>
      <c r="AD187">
        <v>7.7299999999999994E-2</v>
      </c>
      <c r="AE187">
        <v>0.1351</v>
      </c>
      <c r="AF187">
        <v>0.18079999999999999</v>
      </c>
      <c r="AG187">
        <v>0.18440000000000001</v>
      </c>
      <c r="AH187">
        <v>0.1411</v>
      </c>
      <c r="AI187">
        <v>0.1114</v>
      </c>
      <c r="AJ187">
        <v>8.5300000000000001E-2</v>
      </c>
      <c r="AK187">
        <v>7.5700000000000003E-2</v>
      </c>
      <c r="AL187">
        <v>5.8000000000000003E-2</v>
      </c>
      <c r="AM187">
        <v>2.2100000000000002E-2</v>
      </c>
      <c r="AN187">
        <v>1.2E-2</v>
      </c>
      <c r="AO187">
        <v>4.7000000000000002E-3</v>
      </c>
      <c r="AP187">
        <v>2.2499999999999999E-2</v>
      </c>
      <c r="AQ187">
        <v>1.8100000000000002E-2</v>
      </c>
      <c r="AR187">
        <v>-1.0200000000000001E-2</v>
      </c>
      <c r="AS187">
        <v>-4.0000000000000001E-3</v>
      </c>
      <c r="AT187">
        <v>2.8400000000000002E-2</v>
      </c>
      <c r="AU187">
        <v>4.1999999999999997E-3</v>
      </c>
      <c r="AV187">
        <v>2.2000000000000001E-3</v>
      </c>
    </row>
    <row r="188" spans="1:48" x14ac:dyDescent="0.25">
      <c r="A188" t="s">
        <v>296</v>
      </c>
      <c r="B188" t="s">
        <v>2</v>
      </c>
      <c r="C188" t="s">
        <v>296</v>
      </c>
      <c r="D188">
        <v>22700</v>
      </c>
      <c r="E188" t="s">
        <v>672</v>
      </c>
      <c r="F188" t="s">
        <v>117</v>
      </c>
      <c r="G188" t="s">
        <v>670</v>
      </c>
      <c r="H188" t="s">
        <v>670</v>
      </c>
      <c r="I188" t="s">
        <v>673</v>
      </c>
      <c r="J188" t="s">
        <v>673</v>
      </c>
      <c r="K188" t="s">
        <v>673</v>
      </c>
      <c r="L188" t="s">
        <v>673</v>
      </c>
      <c r="M188" t="s">
        <v>673</v>
      </c>
      <c r="N188" t="s">
        <v>673</v>
      </c>
      <c r="O188" t="s">
        <v>673</v>
      </c>
      <c r="P188" t="s">
        <v>673</v>
      </c>
      <c r="Q188" t="s">
        <v>673</v>
      </c>
      <c r="R188" t="s">
        <v>673</v>
      </c>
      <c r="S188" t="s">
        <v>673</v>
      </c>
      <c r="T188" t="s">
        <v>673</v>
      </c>
      <c r="U188" t="s">
        <v>673</v>
      </c>
      <c r="V188" t="s">
        <v>673</v>
      </c>
      <c r="W188" t="s">
        <v>673</v>
      </c>
      <c r="X188" t="s">
        <v>673</v>
      </c>
      <c r="Y188" t="s">
        <v>673</v>
      </c>
      <c r="Z188" t="s">
        <v>673</v>
      </c>
      <c r="AA188" t="s">
        <v>673</v>
      </c>
      <c r="AB188" t="s">
        <v>673</v>
      </c>
      <c r="AC188" t="s">
        <v>673</v>
      </c>
      <c r="AD188" t="s">
        <v>673</v>
      </c>
      <c r="AE188" t="s">
        <v>673</v>
      </c>
      <c r="AF188" t="s">
        <v>673</v>
      </c>
      <c r="AG188" t="s">
        <v>673</v>
      </c>
      <c r="AH188" t="s">
        <v>673</v>
      </c>
      <c r="AI188" t="s">
        <v>673</v>
      </c>
      <c r="AJ188" t="s">
        <v>673</v>
      </c>
      <c r="AK188" t="s">
        <v>673</v>
      </c>
      <c r="AL188" t="s">
        <v>673</v>
      </c>
      <c r="AM188" t="s">
        <v>673</v>
      </c>
      <c r="AN188" t="s">
        <v>673</v>
      </c>
      <c r="AO188" t="s">
        <v>673</v>
      </c>
      <c r="AP188" t="s">
        <v>673</v>
      </c>
      <c r="AQ188" t="s">
        <v>673</v>
      </c>
      <c r="AR188" t="s">
        <v>673</v>
      </c>
      <c r="AS188" t="s">
        <v>673</v>
      </c>
      <c r="AT188" t="s">
        <v>673</v>
      </c>
      <c r="AU188">
        <v>0.1263</v>
      </c>
      <c r="AV188">
        <v>2.4899999999999999E-2</v>
      </c>
    </row>
    <row r="189" spans="1:48" x14ac:dyDescent="0.25">
      <c r="A189" t="s">
        <v>18</v>
      </c>
      <c r="B189" t="s">
        <v>2</v>
      </c>
      <c r="C189" t="s">
        <v>18</v>
      </c>
      <c r="D189">
        <v>22744</v>
      </c>
      <c r="E189" t="s">
        <v>672</v>
      </c>
      <c r="F189" t="s">
        <v>117</v>
      </c>
      <c r="G189" t="s">
        <v>670</v>
      </c>
      <c r="H189" t="s">
        <v>670</v>
      </c>
      <c r="I189">
        <v>6.8599999999999994E-2</v>
      </c>
      <c r="J189">
        <v>5.74E-2</v>
      </c>
      <c r="K189">
        <v>2.9899999999999999E-2</v>
      </c>
      <c r="L189">
        <v>1.8700000000000001E-2</v>
      </c>
      <c r="M189">
        <v>1.78E-2</v>
      </c>
      <c r="N189">
        <v>1.7999999999999999E-2</v>
      </c>
      <c r="O189">
        <v>1.9400000000000001E-2</v>
      </c>
      <c r="P189">
        <v>1.6199999999999999E-2</v>
      </c>
      <c r="Q189">
        <v>2.5600000000000001E-2</v>
      </c>
      <c r="R189">
        <v>3.4799999999999998E-2</v>
      </c>
      <c r="S189">
        <v>3.6999999999999998E-2</v>
      </c>
      <c r="T189">
        <v>6.0299999999999999E-2</v>
      </c>
      <c r="U189">
        <v>5.4199999999999998E-2</v>
      </c>
      <c r="V189">
        <v>4.8800000000000003E-2</v>
      </c>
      <c r="W189">
        <v>4.87E-2</v>
      </c>
      <c r="X189">
        <v>2.9499999999999998E-2</v>
      </c>
      <c r="Y189">
        <v>2.76E-2</v>
      </c>
      <c r="Z189">
        <v>-1.5E-3</v>
      </c>
      <c r="AA189">
        <v>-7.7000000000000002E-3</v>
      </c>
      <c r="AB189">
        <v>6.8999999999999999E-3</v>
      </c>
      <c r="AC189">
        <v>2.7400000000000001E-2</v>
      </c>
      <c r="AD189">
        <v>0.10340000000000001</v>
      </c>
      <c r="AE189">
        <v>0.21590000000000001</v>
      </c>
      <c r="AF189">
        <v>0.28299999999999997</v>
      </c>
      <c r="AG189">
        <v>0.31180000000000002</v>
      </c>
      <c r="AH189">
        <v>0.29859999999999998</v>
      </c>
      <c r="AI189">
        <v>0.1981</v>
      </c>
      <c r="AJ189">
        <v>0.1159</v>
      </c>
      <c r="AK189">
        <v>7.1199999999999999E-2</v>
      </c>
      <c r="AL189">
        <v>3.8199999999999998E-2</v>
      </c>
      <c r="AM189">
        <v>1.72E-2</v>
      </c>
      <c r="AN189">
        <v>5.1000000000000004E-3</v>
      </c>
      <c r="AO189">
        <v>4.7999999999999996E-3</v>
      </c>
      <c r="AP189">
        <v>-3.0000000000000001E-3</v>
      </c>
      <c r="AQ189">
        <v>-1.04E-2</v>
      </c>
      <c r="AR189">
        <v>-5.1999999999999998E-3</v>
      </c>
      <c r="AS189">
        <v>-5.4000000000000003E-3</v>
      </c>
      <c r="AT189">
        <v>6.4999999999999997E-3</v>
      </c>
      <c r="AU189">
        <v>1.8499999999999999E-2</v>
      </c>
      <c r="AV189">
        <v>1.5800000000000002E-2</v>
      </c>
    </row>
    <row r="190" spans="1:48" x14ac:dyDescent="0.25">
      <c r="A190" t="s">
        <v>297</v>
      </c>
      <c r="B190" t="s">
        <v>2</v>
      </c>
      <c r="C190" t="s">
        <v>297</v>
      </c>
      <c r="D190">
        <v>22780</v>
      </c>
      <c r="E190" t="s">
        <v>672</v>
      </c>
      <c r="F190" t="s">
        <v>117</v>
      </c>
      <c r="G190" t="s">
        <v>670</v>
      </c>
      <c r="H190" t="s">
        <v>670</v>
      </c>
      <c r="I190" t="s">
        <v>673</v>
      </c>
      <c r="J190" t="s">
        <v>673</v>
      </c>
      <c r="K190" t="s">
        <v>673</v>
      </c>
      <c r="L190" t="s">
        <v>673</v>
      </c>
      <c r="M190" t="s">
        <v>673</v>
      </c>
      <c r="N190" t="s">
        <v>673</v>
      </c>
      <c r="O190" t="s">
        <v>673</v>
      </c>
      <c r="P190" t="s">
        <v>673</v>
      </c>
      <c r="Q190" t="s">
        <v>673</v>
      </c>
      <c r="R190" t="s">
        <v>673</v>
      </c>
      <c r="S190" t="s">
        <v>673</v>
      </c>
      <c r="T190" t="s">
        <v>673</v>
      </c>
      <c r="U190" t="s">
        <v>673</v>
      </c>
      <c r="V190" t="s">
        <v>673</v>
      </c>
      <c r="W190" t="s">
        <v>673</v>
      </c>
      <c r="X190" t="s">
        <v>673</v>
      </c>
      <c r="Y190" t="s">
        <v>673</v>
      </c>
      <c r="Z190" t="s">
        <v>673</v>
      </c>
      <c r="AA190" t="s">
        <v>673</v>
      </c>
      <c r="AB190" t="s">
        <v>673</v>
      </c>
      <c r="AC190" t="s">
        <v>673</v>
      </c>
      <c r="AD190" t="s">
        <v>673</v>
      </c>
      <c r="AE190" t="s">
        <v>673</v>
      </c>
      <c r="AF190" t="s">
        <v>673</v>
      </c>
      <c r="AG190" t="s">
        <v>673</v>
      </c>
      <c r="AH190" t="s">
        <v>673</v>
      </c>
      <c r="AI190" t="s">
        <v>673</v>
      </c>
      <c r="AJ190" t="s">
        <v>673</v>
      </c>
      <c r="AK190" t="s">
        <v>673</v>
      </c>
      <c r="AL190" t="s">
        <v>673</v>
      </c>
      <c r="AM190" t="s">
        <v>673</v>
      </c>
      <c r="AN190" t="s">
        <v>673</v>
      </c>
      <c r="AO190" t="s">
        <v>673</v>
      </c>
      <c r="AP190" t="s">
        <v>673</v>
      </c>
      <c r="AQ190" t="s">
        <v>673</v>
      </c>
      <c r="AR190" t="s">
        <v>673</v>
      </c>
      <c r="AS190" t="s">
        <v>673</v>
      </c>
      <c r="AT190" t="s">
        <v>673</v>
      </c>
      <c r="AU190" t="s">
        <v>673</v>
      </c>
      <c r="AV190" t="s">
        <v>673</v>
      </c>
    </row>
    <row r="191" spans="1:48" x14ac:dyDescent="0.25">
      <c r="A191" t="s">
        <v>298</v>
      </c>
      <c r="B191" t="s">
        <v>2</v>
      </c>
      <c r="C191" t="s">
        <v>298</v>
      </c>
      <c r="D191">
        <v>22900</v>
      </c>
      <c r="E191" t="s">
        <v>672</v>
      </c>
      <c r="F191" t="s">
        <v>117</v>
      </c>
      <c r="G191" t="s">
        <v>670</v>
      </c>
      <c r="H191" t="s">
        <v>670</v>
      </c>
      <c r="I191">
        <v>0.17449999999999999</v>
      </c>
      <c r="J191">
        <v>0.1361</v>
      </c>
      <c r="K191">
        <v>-0.12470000000000001</v>
      </c>
      <c r="L191">
        <v>-0.154</v>
      </c>
      <c r="M191">
        <v>-0.18090000000000001</v>
      </c>
      <c r="N191">
        <v>-0.16650000000000001</v>
      </c>
      <c r="O191">
        <v>3.3E-3</v>
      </c>
      <c r="P191">
        <v>9.9000000000000008E-3</v>
      </c>
      <c r="Q191">
        <v>7.9000000000000008E-3</v>
      </c>
      <c r="R191">
        <v>-8.3000000000000001E-3</v>
      </c>
      <c r="S191">
        <v>-2.3999999999999998E-3</v>
      </c>
      <c r="T191">
        <v>5.1000000000000004E-3</v>
      </c>
      <c r="U191">
        <v>1.2999999999999999E-2</v>
      </c>
      <c r="V191">
        <v>8.1299999999999997E-2</v>
      </c>
      <c r="W191">
        <v>9.3799999999999994E-2</v>
      </c>
      <c r="X191">
        <v>8.1699999999999995E-2</v>
      </c>
      <c r="Y191">
        <v>8.6499999999999994E-2</v>
      </c>
      <c r="Z191">
        <v>1.83E-2</v>
      </c>
      <c r="AA191">
        <v>7.7999999999999996E-3</v>
      </c>
      <c r="AB191">
        <v>1.11E-2</v>
      </c>
      <c r="AC191">
        <v>1.61E-2</v>
      </c>
      <c r="AD191">
        <v>2.6499999999999999E-2</v>
      </c>
      <c r="AE191">
        <v>4.7300000000000002E-2</v>
      </c>
      <c r="AF191">
        <v>1.6E-2</v>
      </c>
      <c r="AG191">
        <v>2.3999999999999998E-3</v>
      </c>
      <c r="AH191">
        <v>4.0399999999999998E-2</v>
      </c>
      <c r="AI191">
        <v>7.5899999999999995E-2</v>
      </c>
      <c r="AJ191">
        <v>0.14949999999999999</v>
      </c>
      <c r="AK191">
        <v>0.16489999999999999</v>
      </c>
      <c r="AL191">
        <v>0.1124</v>
      </c>
      <c r="AM191">
        <v>0.1124</v>
      </c>
      <c r="AN191">
        <v>9.11E-2</v>
      </c>
      <c r="AO191">
        <v>8.3599999999999994E-2</v>
      </c>
      <c r="AP191">
        <v>9.11E-2</v>
      </c>
      <c r="AQ191">
        <v>1.6299999999999999E-2</v>
      </c>
      <c r="AR191">
        <v>-4.1999999999999997E-3</v>
      </c>
      <c r="AS191">
        <v>-2.5999999999999999E-3</v>
      </c>
      <c r="AT191">
        <v>2.6599999999999999E-2</v>
      </c>
      <c r="AU191">
        <v>0.1855</v>
      </c>
      <c r="AV191">
        <v>0.19500000000000001</v>
      </c>
    </row>
    <row r="192" spans="1:48" x14ac:dyDescent="0.25">
      <c r="A192" t="s">
        <v>299</v>
      </c>
      <c r="B192" t="s">
        <v>2</v>
      </c>
      <c r="C192" t="s">
        <v>299</v>
      </c>
      <c r="D192">
        <v>23060</v>
      </c>
      <c r="E192" t="s">
        <v>672</v>
      </c>
      <c r="F192" t="s">
        <v>117</v>
      </c>
      <c r="G192" t="s">
        <v>670</v>
      </c>
      <c r="H192" t="s">
        <v>670</v>
      </c>
      <c r="I192">
        <v>6.3E-2</v>
      </c>
      <c r="J192">
        <v>7.6300000000000007E-2</v>
      </c>
      <c r="K192">
        <v>7.9200000000000007E-2</v>
      </c>
      <c r="L192">
        <v>7.1800000000000003E-2</v>
      </c>
      <c r="M192">
        <v>4.6100000000000002E-2</v>
      </c>
      <c r="N192">
        <v>2.7300000000000001E-2</v>
      </c>
      <c r="O192">
        <v>2.0500000000000001E-2</v>
      </c>
      <c r="P192">
        <v>1.8800000000000001E-2</v>
      </c>
      <c r="Q192">
        <v>2.8500000000000001E-2</v>
      </c>
      <c r="R192">
        <v>4.3799999999999999E-2</v>
      </c>
      <c r="S192">
        <v>4.07E-2</v>
      </c>
      <c r="T192">
        <v>4.99E-2</v>
      </c>
      <c r="U192">
        <v>5.4300000000000001E-2</v>
      </c>
      <c r="V192">
        <v>5.16E-2</v>
      </c>
      <c r="W192">
        <v>6.6900000000000001E-2</v>
      </c>
      <c r="X192">
        <v>6.7599999999999993E-2</v>
      </c>
      <c r="Y192">
        <v>7.6100000000000001E-2</v>
      </c>
      <c r="Z192">
        <v>5.16E-2</v>
      </c>
      <c r="AA192">
        <v>3.7400000000000003E-2</v>
      </c>
      <c r="AB192">
        <v>3.8399999999999997E-2</v>
      </c>
      <c r="AC192">
        <v>4.6300000000000001E-2</v>
      </c>
      <c r="AD192">
        <v>8.9099999999999999E-2</v>
      </c>
      <c r="AE192">
        <v>0.1353</v>
      </c>
      <c r="AF192">
        <v>0.14960000000000001</v>
      </c>
      <c r="AG192">
        <v>0.15609999999999999</v>
      </c>
      <c r="AH192">
        <v>0.1585</v>
      </c>
      <c r="AI192">
        <v>0.1226</v>
      </c>
      <c r="AJ192">
        <v>0.1051</v>
      </c>
      <c r="AK192">
        <v>7.6899999999999996E-2</v>
      </c>
      <c r="AL192">
        <v>3.09E-2</v>
      </c>
      <c r="AM192">
        <v>1.78E-2</v>
      </c>
      <c r="AN192">
        <v>2.53E-2</v>
      </c>
      <c r="AO192">
        <v>2.8299999999999999E-2</v>
      </c>
      <c r="AP192">
        <v>2.9600000000000001E-2</v>
      </c>
      <c r="AQ192">
        <v>5.8700000000000002E-2</v>
      </c>
      <c r="AR192">
        <v>4.41E-2</v>
      </c>
      <c r="AS192">
        <v>4.2900000000000001E-2</v>
      </c>
      <c r="AT192">
        <v>6.5799999999999997E-2</v>
      </c>
      <c r="AU192">
        <v>4.4699999999999997E-2</v>
      </c>
      <c r="AV192">
        <v>3.6299999999999999E-2</v>
      </c>
    </row>
    <row r="193" spans="1:48" x14ac:dyDescent="0.25">
      <c r="A193" t="s">
        <v>300</v>
      </c>
      <c r="B193" t="s">
        <v>2</v>
      </c>
      <c r="C193" t="s">
        <v>300</v>
      </c>
      <c r="D193">
        <v>223104</v>
      </c>
      <c r="E193" t="s">
        <v>672</v>
      </c>
      <c r="F193" t="s">
        <v>117</v>
      </c>
      <c r="G193" t="s">
        <v>670</v>
      </c>
      <c r="H193" t="s">
        <v>670</v>
      </c>
      <c r="I193">
        <v>7.3099999999999998E-2</v>
      </c>
      <c r="J193">
        <v>7.5999999999999998E-2</v>
      </c>
      <c r="K193">
        <v>6.9099999999999995E-2</v>
      </c>
      <c r="L193">
        <v>6.5000000000000002E-2</v>
      </c>
      <c r="M193">
        <v>5.5599999999999997E-2</v>
      </c>
      <c r="N193">
        <v>4.58E-2</v>
      </c>
      <c r="O193">
        <v>4.0899999999999999E-2</v>
      </c>
      <c r="P193">
        <v>3.9300000000000002E-2</v>
      </c>
      <c r="Q193">
        <v>4.5400000000000003E-2</v>
      </c>
      <c r="R193">
        <v>4.2500000000000003E-2</v>
      </c>
      <c r="S193">
        <v>4.6699999999999998E-2</v>
      </c>
      <c r="T193">
        <v>4.8800000000000003E-2</v>
      </c>
      <c r="U193">
        <v>4.87E-2</v>
      </c>
      <c r="V193">
        <v>4.8000000000000001E-2</v>
      </c>
      <c r="W193">
        <v>4.3999999999999997E-2</v>
      </c>
      <c r="X193">
        <v>3.9100000000000003E-2</v>
      </c>
      <c r="Y193">
        <v>4.2099999999999999E-2</v>
      </c>
      <c r="Z193">
        <v>2.4500000000000001E-2</v>
      </c>
      <c r="AA193">
        <v>2.7400000000000001E-2</v>
      </c>
      <c r="AB193">
        <v>2.75E-2</v>
      </c>
      <c r="AC193">
        <v>2.98E-2</v>
      </c>
      <c r="AD193">
        <v>7.2099999999999997E-2</v>
      </c>
      <c r="AE193">
        <v>0.1111</v>
      </c>
      <c r="AF193">
        <v>0.15870000000000001</v>
      </c>
      <c r="AG193">
        <v>0.18559999999999999</v>
      </c>
      <c r="AH193">
        <v>0.17960000000000001</v>
      </c>
      <c r="AI193">
        <v>0.1489</v>
      </c>
      <c r="AJ193">
        <v>9.7799999999999998E-2</v>
      </c>
      <c r="AK193">
        <v>6.1699999999999998E-2</v>
      </c>
      <c r="AL193">
        <v>3.2599999999999997E-2</v>
      </c>
      <c r="AM193">
        <v>7.1999999999999998E-3</v>
      </c>
      <c r="AN193">
        <v>-8.3000000000000001E-3</v>
      </c>
      <c r="AO193">
        <v>-1.4E-2</v>
      </c>
      <c r="AP193">
        <v>-1.8200000000000001E-2</v>
      </c>
      <c r="AQ193">
        <v>-2.0899999999999998E-2</v>
      </c>
      <c r="AR193">
        <v>-1.77E-2</v>
      </c>
      <c r="AS193">
        <v>-1.38E-2</v>
      </c>
      <c r="AT193">
        <v>-6.3E-3</v>
      </c>
      <c r="AU193">
        <v>-2.8999999999999998E-3</v>
      </c>
      <c r="AV193">
        <v>-6.1000000000000004E-3</v>
      </c>
    </row>
    <row r="194" spans="1:48" x14ac:dyDescent="0.25">
      <c r="A194" t="s">
        <v>301</v>
      </c>
      <c r="B194" t="s">
        <v>2</v>
      </c>
      <c r="C194" t="s">
        <v>301</v>
      </c>
      <c r="D194">
        <v>23140</v>
      </c>
      <c r="E194" t="s">
        <v>672</v>
      </c>
      <c r="F194" t="s">
        <v>117</v>
      </c>
      <c r="G194" t="s">
        <v>670</v>
      </c>
      <c r="H194" t="s">
        <v>670</v>
      </c>
      <c r="I194" t="s">
        <v>673</v>
      </c>
      <c r="J194" t="s">
        <v>673</v>
      </c>
      <c r="K194" t="s">
        <v>673</v>
      </c>
      <c r="L194" t="s">
        <v>673</v>
      </c>
      <c r="M194" t="s">
        <v>673</v>
      </c>
      <c r="N194" t="s">
        <v>673</v>
      </c>
      <c r="O194" t="s">
        <v>673</v>
      </c>
      <c r="P194" t="s">
        <v>673</v>
      </c>
      <c r="Q194" t="s">
        <v>673</v>
      </c>
      <c r="R194" t="s">
        <v>673</v>
      </c>
      <c r="S194" t="s">
        <v>673</v>
      </c>
      <c r="T194" t="s">
        <v>673</v>
      </c>
      <c r="U194" t="s">
        <v>673</v>
      </c>
      <c r="V194">
        <v>0.1237</v>
      </c>
      <c r="W194">
        <v>0.11559999999999999</v>
      </c>
      <c r="X194">
        <v>0.1061</v>
      </c>
      <c r="Y194">
        <v>0.1105</v>
      </c>
      <c r="Z194">
        <v>6.0000000000000001E-3</v>
      </c>
      <c r="AA194">
        <v>8.0999999999999996E-3</v>
      </c>
      <c r="AB194">
        <v>1.46E-2</v>
      </c>
      <c r="AC194">
        <v>3.4500000000000003E-2</v>
      </c>
      <c r="AD194">
        <v>3.9399999999999998E-2</v>
      </c>
      <c r="AE194">
        <v>0.1003</v>
      </c>
      <c r="AF194">
        <v>8.4500000000000006E-2</v>
      </c>
      <c r="AG194">
        <v>3.9199999999999999E-2</v>
      </c>
      <c r="AH194">
        <v>6.0199999999999997E-2</v>
      </c>
      <c r="AI194">
        <v>1.6400000000000001E-2</v>
      </c>
      <c r="AJ194">
        <v>3.7499999999999999E-2</v>
      </c>
      <c r="AK194">
        <v>5.3900000000000003E-2</v>
      </c>
      <c r="AL194">
        <v>2.2599999999999999E-2</v>
      </c>
      <c r="AM194" t="s">
        <v>673</v>
      </c>
      <c r="AN194" t="s">
        <v>673</v>
      </c>
      <c r="AO194" t="s">
        <v>673</v>
      </c>
      <c r="AP194" t="s">
        <v>673</v>
      </c>
      <c r="AQ194" t="s">
        <v>673</v>
      </c>
      <c r="AR194" t="s">
        <v>673</v>
      </c>
      <c r="AS194" t="s">
        <v>673</v>
      </c>
      <c r="AT194" t="s">
        <v>673</v>
      </c>
      <c r="AU194" t="s">
        <v>673</v>
      </c>
      <c r="AV194" t="s">
        <v>673</v>
      </c>
    </row>
    <row r="195" spans="1:48" x14ac:dyDescent="0.25">
      <c r="A195" t="s">
        <v>302</v>
      </c>
      <c r="B195" t="s">
        <v>2</v>
      </c>
      <c r="C195" t="s">
        <v>302</v>
      </c>
      <c r="D195">
        <v>23240</v>
      </c>
      <c r="E195" t="s">
        <v>672</v>
      </c>
      <c r="F195" t="s">
        <v>117</v>
      </c>
      <c r="G195" t="s">
        <v>670</v>
      </c>
      <c r="H195" t="s">
        <v>670</v>
      </c>
      <c r="I195" t="s">
        <v>673</v>
      </c>
      <c r="J195" t="s">
        <v>673</v>
      </c>
      <c r="K195" t="s">
        <v>673</v>
      </c>
      <c r="L195" t="s">
        <v>673</v>
      </c>
      <c r="M195" t="s">
        <v>673</v>
      </c>
      <c r="N195">
        <v>0.106</v>
      </c>
      <c r="O195">
        <v>-0.1135</v>
      </c>
      <c r="P195">
        <v>-0.1573</v>
      </c>
      <c r="Q195">
        <v>-0.1842</v>
      </c>
      <c r="R195">
        <v>-1.4200000000000001E-2</v>
      </c>
      <c r="S195">
        <v>4.2000000000000003E-2</v>
      </c>
      <c r="T195" t="s">
        <v>673</v>
      </c>
      <c r="U195" t="s">
        <v>673</v>
      </c>
      <c r="V195" t="s">
        <v>673</v>
      </c>
      <c r="W195" t="s">
        <v>673</v>
      </c>
      <c r="X195" t="s">
        <v>673</v>
      </c>
      <c r="Y195" t="s">
        <v>673</v>
      </c>
      <c r="Z195" t="s">
        <v>673</v>
      </c>
      <c r="AA195" t="s">
        <v>673</v>
      </c>
      <c r="AB195" t="s">
        <v>673</v>
      </c>
      <c r="AC195">
        <v>-0.14860000000000001</v>
      </c>
      <c r="AD195">
        <v>-0.18079999999999999</v>
      </c>
      <c r="AE195" t="s">
        <v>673</v>
      </c>
      <c r="AF195" t="s">
        <v>673</v>
      </c>
      <c r="AG195" t="s">
        <v>673</v>
      </c>
      <c r="AH195" t="s">
        <v>673</v>
      </c>
      <c r="AI195">
        <v>0.28149999999999997</v>
      </c>
      <c r="AJ195">
        <v>0.25800000000000001</v>
      </c>
      <c r="AK195">
        <v>0.25729999999999997</v>
      </c>
      <c r="AL195">
        <v>0.1789</v>
      </c>
      <c r="AM195">
        <v>-1.17E-2</v>
      </c>
      <c r="AN195">
        <v>1.26E-2</v>
      </c>
      <c r="AO195">
        <v>4.4000000000000003E-3</v>
      </c>
      <c r="AP195">
        <v>-9.4000000000000004E-3</v>
      </c>
      <c r="AQ195">
        <v>-3.2800000000000003E-2</v>
      </c>
      <c r="AR195">
        <v>-6.5100000000000005E-2</v>
      </c>
      <c r="AS195">
        <v>-0.1021</v>
      </c>
      <c r="AT195">
        <v>1.8100000000000002E-2</v>
      </c>
      <c r="AU195">
        <v>1.6199999999999999E-2</v>
      </c>
      <c r="AV195">
        <v>2.0899999999999998E-2</v>
      </c>
    </row>
    <row r="196" spans="1:48" x14ac:dyDescent="0.25">
      <c r="A196" t="s">
        <v>303</v>
      </c>
      <c r="B196" t="s">
        <v>2</v>
      </c>
      <c r="C196" t="s">
        <v>303</v>
      </c>
      <c r="D196">
        <v>23380</v>
      </c>
      <c r="E196" t="s">
        <v>672</v>
      </c>
      <c r="F196" t="s">
        <v>117</v>
      </c>
      <c r="G196" t="s">
        <v>670</v>
      </c>
      <c r="H196" t="s">
        <v>670</v>
      </c>
      <c r="I196" t="s">
        <v>673</v>
      </c>
      <c r="J196" t="s">
        <v>673</v>
      </c>
      <c r="K196" t="s">
        <v>673</v>
      </c>
      <c r="L196" t="s">
        <v>673</v>
      </c>
      <c r="M196" t="s">
        <v>673</v>
      </c>
      <c r="N196" t="s">
        <v>673</v>
      </c>
      <c r="O196" t="s">
        <v>673</v>
      </c>
      <c r="P196" t="s">
        <v>673</v>
      </c>
      <c r="Q196" t="s">
        <v>673</v>
      </c>
      <c r="R196" t="s">
        <v>673</v>
      </c>
      <c r="S196" t="s">
        <v>673</v>
      </c>
      <c r="T196" t="s">
        <v>673</v>
      </c>
      <c r="U196" t="s">
        <v>673</v>
      </c>
      <c r="V196" t="s">
        <v>673</v>
      </c>
      <c r="W196" t="s">
        <v>673</v>
      </c>
      <c r="X196" t="s">
        <v>673</v>
      </c>
      <c r="Y196" t="s">
        <v>673</v>
      </c>
      <c r="Z196" t="s">
        <v>673</v>
      </c>
      <c r="AA196" t="s">
        <v>673</v>
      </c>
      <c r="AB196" t="s">
        <v>673</v>
      </c>
      <c r="AC196" t="s">
        <v>673</v>
      </c>
      <c r="AD196" t="s">
        <v>673</v>
      </c>
      <c r="AE196" t="s">
        <v>673</v>
      </c>
      <c r="AF196" t="s">
        <v>673</v>
      </c>
      <c r="AG196" t="s">
        <v>673</v>
      </c>
      <c r="AH196" t="s">
        <v>673</v>
      </c>
      <c r="AI196" t="s">
        <v>673</v>
      </c>
      <c r="AJ196" t="s">
        <v>673</v>
      </c>
      <c r="AK196" t="s">
        <v>673</v>
      </c>
      <c r="AL196" t="s">
        <v>673</v>
      </c>
      <c r="AM196" t="s">
        <v>673</v>
      </c>
      <c r="AN196" t="s">
        <v>673</v>
      </c>
      <c r="AO196" t="s">
        <v>673</v>
      </c>
      <c r="AP196" t="s">
        <v>673</v>
      </c>
      <c r="AQ196" t="s">
        <v>673</v>
      </c>
      <c r="AR196" t="s">
        <v>673</v>
      </c>
      <c r="AS196" t="s">
        <v>673</v>
      </c>
      <c r="AT196" t="s">
        <v>673</v>
      </c>
      <c r="AU196" t="s">
        <v>673</v>
      </c>
      <c r="AV196" t="s">
        <v>673</v>
      </c>
    </row>
    <row r="197" spans="1:48" x14ac:dyDescent="0.25">
      <c r="A197" t="s">
        <v>304</v>
      </c>
      <c r="B197" t="s">
        <v>2</v>
      </c>
      <c r="C197" t="s">
        <v>304</v>
      </c>
      <c r="D197">
        <v>23420</v>
      </c>
      <c r="E197" t="s">
        <v>672</v>
      </c>
      <c r="F197" t="s">
        <v>117</v>
      </c>
      <c r="G197" t="s">
        <v>670</v>
      </c>
      <c r="H197" t="s">
        <v>670</v>
      </c>
      <c r="I197">
        <v>5.1700000000000003E-2</v>
      </c>
      <c r="J197">
        <v>7.4899999999999994E-2</v>
      </c>
      <c r="K197">
        <v>7.8399999999999997E-2</v>
      </c>
      <c r="L197">
        <v>8.1600000000000006E-2</v>
      </c>
      <c r="M197">
        <v>7.4300000000000005E-2</v>
      </c>
      <c r="N197">
        <v>6.9199999999999998E-2</v>
      </c>
      <c r="O197">
        <v>6.1800000000000001E-2</v>
      </c>
      <c r="P197">
        <v>5.2499999999999998E-2</v>
      </c>
      <c r="Q197">
        <v>4.9799999999999997E-2</v>
      </c>
      <c r="R197">
        <v>4.3400000000000001E-2</v>
      </c>
      <c r="S197">
        <v>4.2000000000000003E-2</v>
      </c>
      <c r="T197">
        <v>4.2500000000000003E-2</v>
      </c>
      <c r="U197">
        <v>5.8700000000000002E-2</v>
      </c>
      <c r="V197">
        <v>5.5300000000000002E-2</v>
      </c>
      <c r="W197">
        <v>6.8699999999999997E-2</v>
      </c>
      <c r="X197">
        <v>7.1499999999999994E-2</v>
      </c>
      <c r="Y197">
        <v>6.2600000000000003E-2</v>
      </c>
      <c r="Z197">
        <v>6.4299999999999996E-2</v>
      </c>
      <c r="AA197">
        <v>5.1700000000000003E-2</v>
      </c>
      <c r="AB197">
        <v>8.3400000000000002E-2</v>
      </c>
      <c r="AC197">
        <v>9.8599999999999993E-2</v>
      </c>
      <c r="AD197">
        <v>0.12529999999999999</v>
      </c>
      <c r="AE197">
        <v>0.17460000000000001</v>
      </c>
      <c r="AF197">
        <v>0.16389999999999999</v>
      </c>
      <c r="AG197">
        <v>0.16470000000000001</v>
      </c>
      <c r="AH197">
        <v>0.15620000000000001</v>
      </c>
      <c r="AI197">
        <v>0.1273</v>
      </c>
      <c r="AJ197">
        <v>0.1003</v>
      </c>
      <c r="AK197">
        <v>7.3200000000000001E-2</v>
      </c>
      <c r="AL197">
        <v>6.08E-2</v>
      </c>
      <c r="AM197">
        <v>3.9899999999999998E-2</v>
      </c>
      <c r="AN197">
        <v>3.49E-2</v>
      </c>
      <c r="AO197">
        <v>3.8399999999999997E-2</v>
      </c>
      <c r="AP197">
        <v>2.76E-2</v>
      </c>
      <c r="AQ197">
        <v>2.9399999999999999E-2</v>
      </c>
      <c r="AR197">
        <v>2.1499999999999998E-2</v>
      </c>
      <c r="AS197">
        <v>1.38E-2</v>
      </c>
      <c r="AT197">
        <v>2.3800000000000002E-2</v>
      </c>
      <c r="AU197">
        <v>4.48E-2</v>
      </c>
      <c r="AV197">
        <v>4.8000000000000001E-2</v>
      </c>
    </row>
    <row r="198" spans="1:48" x14ac:dyDescent="0.25">
      <c r="A198" t="s">
        <v>305</v>
      </c>
      <c r="B198" t="s">
        <v>2</v>
      </c>
      <c r="C198" t="s">
        <v>305</v>
      </c>
      <c r="D198">
        <v>23460</v>
      </c>
      <c r="E198" t="s">
        <v>672</v>
      </c>
      <c r="F198" t="s">
        <v>117</v>
      </c>
      <c r="G198" t="s">
        <v>670</v>
      </c>
      <c r="H198" t="s">
        <v>670</v>
      </c>
      <c r="I198" t="s">
        <v>673</v>
      </c>
      <c r="J198" t="s">
        <v>673</v>
      </c>
      <c r="K198" t="s">
        <v>673</v>
      </c>
      <c r="L198" t="s">
        <v>673</v>
      </c>
      <c r="M198" t="s">
        <v>673</v>
      </c>
      <c r="N198" t="s">
        <v>673</v>
      </c>
      <c r="O198" t="s">
        <v>673</v>
      </c>
      <c r="P198" t="s">
        <v>673</v>
      </c>
      <c r="Q198" t="s">
        <v>673</v>
      </c>
      <c r="R198" t="s">
        <v>673</v>
      </c>
      <c r="S198" t="s">
        <v>673</v>
      </c>
      <c r="T198" t="s">
        <v>673</v>
      </c>
      <c r="U198" t="s">
        <v>673</v>
      </c>
      <c r="V198" t="s">
        <v>673</v>
      </c>
      <c r="W198" t="s">
        <v>673</v>
      </c>
      <c r="X198" t="s">
        <v>673</v>
      </c>
      <c r="Y198" t="s">
        <v>673</v>
      </c>
      <c r="Z198" t="s">
        <v>673</v>
      </c>
      <c r="AA198" t="s">
        <v>673</v>
      </c>
      <c r="AB198" t="s">
        <v>673</v>
      </c>
      <c r="AC198" t="s">
        <v>673</v>
      </c>
      <c r="AD198" t="s">
        <v>673</v>
      </c>
      <c r="AE198" t="s">
        <v>673</v>
      </c>
      <c r="AF198" t="s">
        <v>673</v>
      </c>
      <c r="AG198" t="s">
        <v>673</v>
      </c>
      <c r="AH198" t="s">
        <v>673</v>
      </c>
      <c r="AI198" t="s">
        <v>673</v>
      </c>
      <c r="AJ198" t="s">
        <v>673</v>
      </c>
      <c r="AK198" t="s">
        <v>673</v>
      </c>
      <c r="AL198" t="s">
        <v>673</v>
      </c>
      <c r="AM198" t="s">
        <v>673</v>
      </c>
      <c r="AN198" t="s">
        <v>673</v>
      </c>
      <c r="AO198" t="s">
        <v>673</v>
      </c>
      <c r="AP198" t="s">
        <v>673</v>
      </c>
      <c r="AQ198" t="s">
        <v>673</v>
      </c>
      <c r="AR198" t="s">
        <v>673</v>
      </c>
      <c r="AS198" t="s">
        <v>673</v>
      </c>
      <c r="AT198" t="s">
        <v>673</v>
      </c>
      <c r="AU198" t="s">
        <v>673</v>
      </c>
      <c r="AV198" t="s">
        <v>673</v>
      </c>
    </row>
    <row r="199" spans="1:48" x14ac:dyDescent="0.25">
      <c r="A199" t="s">
        <v>306</v>
      </c>
      <c r="B199" t="s">
        <v>2</v>
      </c>
      <c r="C199" t="s">
        <v>306</v>
      </c>
      <c r="D199">
        <v>23500</v>
      </c>
      <c r="E199" t="s">
        <v>672</v>
      </c>
      <c r="F199" t="s">
        <v>117</v>
      </c>
      <c r="G199" t="s">
        <v>670</v>
      </c>
      <c r="H199" t="s">
        <v>670</v>
      </c>
      <c r="I199" t="s">
        <v>673</v>
      </c>
      <c r="J199" t="s">
        <v>673</v>
      </c>
      <c r="K199" t="s">
        <v>673</v>
      </c>
      <c r="L199" t="s">
        <v>673</v>
      </c>
      <c r="M199" t="s">
        <v>673</v>
      </c>
      <c r="N199">
        <v>-0.22059999999999999</v>
      </c>
      <c r="O199" t="s">
        <v>673</v>
      </c>
      <c r="P199" t="s">
        <v>673</v>
      </c>
      <c r="Q199" t="s">
        <v>673</v>
      </c>
      <c r="R199" t="s">
        <v>673</v>
      </c>
      <c r="S199" t="s">
        <v>673</v>
      </c>
      <c r="T199" t="s">
        <v>673</v>
      </c>
      <c r="U199" t="s">
        <v>673</v>
      </c>
      <c r="V199" t="s">
        <v>673</v>
      </c>
      <c r="W199" t="s">
        <v>673</v>
      </c>
      <c r="X199" t="s">
        <v>673</v>
      </c>
      <c r="Y199" t="s">
        <v>673</v>
      </c>
      <c r="Z199" t="s">
        <v>673</v>
      </c>
      <c r="AA199" t="s">
        <v>673</v>
      </c>
      <c r="AB199" t="s">
        <v>673</v>
      </c>
      <c r="AC199" t="s">
        <v>673</v>
      </c>
      <c r="AD199" t="s">
        <v>673</v>
      </c>
      <c r="AE199" t="s">
        <v>673</v>
      </c>
      <c r="AF199" t="s">
        <v>673</v>
      </c>
      <c r="AG199" t="s">
        <v>673</v>
      </c>
      <c r="AH199" t="s">
        <v>673</v>
      </c>
      <c r="AI199" t="s">
        <v>673</v>
      </c>
      <c r="AJ199" t="s">
        <v>673</v>
      </c>
      <c r="AK199" t="s">
        <v>673</v>
      </c>
      <c r="AL199" t="s">
        <v>673</v>
      </c>
      <c r="AM199" t="s">
        <v>673</v>
      </c>
      <c r="AN199" t="s">
        <v>673</v>
      </c>
      <c r="AO199" t="s">
        <v>673</v>
      </c>
      <c r="AP199" t="s">
        <v>673</v>
      </c>
      <c r="AQ199" t="s">
        <v>673</v>
      </c>
      <c r="AR199" t="s">
        <v>673</v>
      </c>
      <c r="AS199" t="s">
        <v>673</v>
      </c>
      <c r="AT199" t="s">
        <v>673</v>
      </c>
      <c r="AU199" t="s">
        <v>673</v>
      </c>
      <c r="AV199" t="s">
        <v>673</v>
      </c>
    </row>
    <row r="200" spans="1:48" x14ac:dyDescent="0.25">
      <c r="A200" t="s">
        <v>307</v>
      </c>
      <c r="B200" t="s">
        <v>2</v>
      </c>
      <c r="C200" t="s">
        <v>307</v>
      </c>
      <c r="D200">
        <v>23540</v>
      </c>
      <c r="E200" t="s">
        <v>672</v>
      </c>
      <c r="F200" t="s">
        <v>117</v>
      </c>
      <c r="G200" t="s">
        <v>670</v>
      </c>
      <c r="H200" t="s">
        <v>670</v>
      </c>
      <c r="I200">
        <v>4.1300000000000003E-2</v>
      </c>
      <c r="J200">
        <v>3.2500000000000001E-2</v>
      </c>
      <c r="K200">
        <v>4.19E-2</v>
      </c>
      <c r="L200">
        <v>3.1899999999999998E-2</v>
      </c>
      <c r="M200">
        <v>5.0000000000000001E-4</v>
      </c>
      <c r="N200">
        <v>1.4800000000000001E-2</v>
      </c>
      <c r="O200">
        <v>1.32E-2</v>
      </c>
      <c r="P200">
        <v>3.0099999999999998E-2</v>
      </c>
      <c r="Q200">
        <v>6.3799999999999996E-2</v>
      </c>
      <c r="R200">
        <v>6.8099999999999994E-2</v>
      </c>
      <c r="S200">
        <v>7.9500000000000001E-2</v>
      </c>
      <c r="T200">
        <v>7.3300000000000004E-2</v>
      </c>
      <c r="U200">
        <v>4.2599999999999999E-2</v>
      </c>
      <c r="V200">
        <v>5.6899999999999999E-2</v>
      </c>
      <c r="W200">
        <v>6.2799999999999995E-2</v>
      </c>
      <c r="X200">
        <v>5.04E-2</v>
      </c>
      <c r="Y200">
        <v>7.7200000000000005E-2</v>
      </c>
      <c r="Z200">
        <v>4.4200000000000003E-2</v>
      </c>
      <c r="AA200">
        <v>1.77E-2</v>
      </c>
      <c r="AB200">
        <v>7.0000000000000001E-3</v>
      </c>
      <c r="AC200">
        <v>2.0500000000000001E-2</v>
      </c>
      <c r="AD200">
        <v>4.58E-2</v>
      </c>
      <c r="AE200">
        <v>0.1038</v>
      </c>
      <c r="AF200">
        <v>0.2006</v>
      </c>
      <c r="AG200">
        <v>0.2177</v>
      </c>
      <c r="AH200">
        <v>0.2203</v>
      </c>
      <c r="AI200">
        <v>0.17419999999999999</v>
      </c>
      <c r="AJ200">
        <v>9.6500000000000002E-2</v>
      </c>
      <c r="AK200">
        <v>6.7000000000000004E-2</v>
      </c>
      <c r="AL200">
        <v>6.6199999999999995E-2</v>
      </c>
      <c r="AM200">
        <v>3.8100000000000002E-2</v>
      </c>
      <c r="AN200">
        <v>1.83E-2</v>
      </c>
      <c r="AO200">
        <v>1.35E-2</v>
      </c>
      <c r="AP200">
        <v>-8.6999999999999994E-3</v>
      </c>
      <c r="AQ200">
        <v>1.3899999999999999E-2</v>
      </c>
      <c r="AR200">
        <v>4.0000000000000002E-4</v>
      </c>
      <c r="AS200">
        <v>4.1000000000000003E-3</v>
      </c>
      <c r="AT200">
        <v>1.8599999999999998E-2</v>
      </c>
      <c r="AU200">
        <v>2.0000000000000001E-4</v>
      </c>
      <c r="AV200">
        <v>1.4E-2</v>
      </c>
    </row>
    <row r="201" spans="1:48" x14ac:dyDescent="0.25">
      <c r="A201" t="s">
        <v>308</v>
      </c>
      <c r="B201" t="s">
        <v>2</v>
      </c>
      <c r="C201" t="s">
        <v>308</v>
      </c>
      <c r="D201">
        <v>23580</v>
      </c>
      <c r="E201" t="s">
        <v>672</v>
      </c>
      <c r="F201" t="s">
        <v>117</v>
      </c>
      <c r="G201" t="s">
        <v>670</v>
      </c>
      <c r="H201" t="s">
        <v>670</v>
      </c>
      <c r="I201">
        <v>9.5699999999999993E-2</v>
      </c>
      <c r="J201">
        <v>8.8700000000000001E-2</v>
      </c>
      <c r="K201">
        <v>3.7699999999999997E-2</v>
      </c>
      <c r="L201">
        <v>1.26E-2</v>
      </c>
      <c r="M201">
        <v>5.2699999999999997E-2</v>
      </c>
      <c r="N201">
        <v>7.4099999999999999E-2</v>
      </c>
      <c r="O201">
        <v>8.8700000000000001E-2</v>
      </c>
      <c r="P201">
        <v>6.6699999999999995E-2</v>
      </c>
      <c r="Q201">
        <v>1.38E-2</v>
      </c>
      <c r="R201">
        <v>-4.0000000000000001E-3</v>
      </c>
      <c r="S201">
        <v>-1.4E-2</v>
      </c>
      <c r="T201">
        <v>3.5099999999999999E-2</v>
      </c>
      <c r="U201">
        <v>3.04E-2</v>
      </c>
      <c r="V201">
        <v>1.9E-2</v>
      </c>
      <c r="W201">
        <v>7.0400000000000004E-2</v>
      </c>
      <c r="X201">
        <v>9.1899999999999996E-2</v>
      </c>
      <c r="Y201">
        <v>8.0799999999999997E-2</v>
      </c>
      <c r="Z201">
        <v>6.6500000000000004E-2</v>
      </c>
      <c r="AA201">
        <v>5.45E-2</v>
      </c>
      <c r="AB201">
        <v>3.8699999999999998E-2</v>
      </c>
      <c r="AC201">
        <v>8.4099999999999994E-2</v>
      </c>
      <c r="AD201">
        <v>0.17369999999999999</v>
      </c>
      <c r="AE201">
        <v>0.21759999999999999</v>
      </c>
      <c r="AF201">
        <v>0.2742</v>
      </c>
      <c r="AG201">
        <v>0.28599999999999998</v>
      </c>
      <c r="AH201">
        <v>0.21390000000000001</v>
      </c>
      <c r="AI201">
        <v>0.1537</v>
      </c>
      <c r="AJ201">
        <v>8.4199999999999997E-2</v>
      </c>
      <c r="AK201">
        <v>5.1799999999999999E-2</v>
      </c>
      <c r="AL201">
        <v>2.4400000000000002E-2</v>
      </c>
      <c r="AM201">
        <v>-1.8E-3</v>
      </c>
      <c r="AN201">
        <v>-1.6299999999999999E-2</v>
      </c>
      <c r="AO201">
        <v>-1.03E-2</v>
      </c>
      <c r="AP201">
        <v>-8.5000000000000006E-3</v>
      </c>
      <c r="AQ201">
        <v>-1.2800000000000001E-2</v>
      </c>
      <c r="AR201">
        <v>-4.4200000000000003E-2</v>
      </c>
      <c r="AS201">
        <v>-3.9199999999999999E-2</v>
      </c>
      <c r="AT201">
        <v>-3.8699999999999998E-2</v>
      </c>
      <c r="AU201">
        <v>-4.7699999999999999E-2</v>
      </c>
      <c r="AV201">
        <v>-1.9E-2</v>
      </c>
    </row>
    <row r="202" spans="1:48" x14ac:dyDescent="0.25">
      <c r="A202" t="s">
        <v>309</v>
      </c>
      <c r="B202" t="s">
        <v>2</v>
      </c>
      <c r="C202" t="s">
        <v>309</v>
      </c>
      <c r="D202">
        <v>23620</v>
      </c>
      <c r="E202" t="s">
        <v>672</v>
      </c>
      <c r="F202" t="s">
        <v>117</v>
      </c>
      <c r="G202" t="s">
        <v>670</v>
      </c>
      <c r="H202" t="s">
        <v>670</v>
      </c>
      <c r="I202" t="s">
        <v>673</v>
      </c>
      <c r="J202" t="s">
        <v>673</v>
      </c>
      <c r="K202" t="s">
        <v>673</v>
      </c>
      <c r="L202" t="s">
        <v>673</v>
      </c>
      <c r="M202" t="s">
        <v>673</v>
      </c>
      <c r="N202" t="s">
        <v>673</v>
      </c>
      <c r="O202" t="s">
        <v>673</v>
      </c>
      <c r="P202" t="s">
        <v>673</v>
      </c>
      <c r="Q202" t="s">
        <v>673</v>
      </c>
      <c r="R202" t="s">
        <v>673</v>
      </c>
      <c r="S202" t="s">
        <v>673</v>
      </c>
      <c r="T202" t="s">
        <v>673</v>
      </c>
      <c r="U202" t="s">
        <v>673</v>
      </c>
      <c r="V202" t="s">
        <v>673</v>
      </c>
      <c r="W202" t="s">
        <v>673</v>
      </c>
      <c r="X202" t="s">
        <v>673</v>
      </c>
      <c r="Y202" t="s">
        <v>673</v>
      </c>
      <c r="Z202" t="s">
        <v>673</v>
      </c>
      <c r="AA202" t="s">
        <v>673</v>
      </c>
      <c r="AB202" t="s">
        <v>673</v>
      </c>
      <c r="AC202" t="s">
        <v>673</v>
      </c>
      <c r="AD202" t="s">
        <v>673</v>
      </c>
      <c r="AE202" t="s">
        <v>673</v>
      </c>
      <c r="AF202" t="s">
        <v>673</v>
      </c>
      <c r="AG202" t="s">
        <v>673</v>
      </c>
      <c r="AH202" t="s">
        <v>673</v>
      </c>
      <c r="AI202" t="s">
        <v>673</v>
      </c>
      <c r="AJ202" t="s">
        <v>673</v>
      </c>
      <c r="AK202" t="s">
        <v>673</v>
      </c>
      <c r="AL202" t="s">
        <v>673</v>
      </c>
      <c r="AM202" t="s">
        <v>673</v>
      </c>
      <c r="AN202" t="s">
        <v>673</v>
      </c>
      <c r="AO202" t="s">
        <v>673</v>
      </c>
      <c r="AP202" t="s">
        <v>673</v>
      </c>
      <c r="AQ202" t="s">
        <v>673</v>
      </c>
      <c r="AR202" t="s">
        <v>673</v>
      </c>
      <c r="AS202" t="s">
        <v>673</v>
      </c>
      <c r="AT202" t="s">
        <v>673</v>
      </c>
      <c r="AU202" t="s">
        <v>673</v>
      </c>
      <c r="AV202" t="s">
        <v>673</v>
      </c>
    </row>
    <row r="203" spans="1:48" x14ac:dyDescent="0.25">
      <c r="A203" t="s">
        <v>310</v>
      </c>
      <c r="B203" t="s">
        <v>2</v>
      </c>
      <c r="C203" t="s">
        <v>310</v>
      </c>
      <c r="D203">
        <v>23940</v>
      </c>
      <c r="E203" t="s">
        <v>672</v>
      </c>
      <c r="F203" t="s">
        <v>117</v>
      </c>
      <c r="G203" t="s">
        <v>670</v>
      </c>
      <c r="H203" t="s">
        <v>670</v>
      </c>
      <c r="I203">
        <v>-0.1118</v>
      </c>
      <c r="J203">
        <v>-0.16869999999999999</v>
      </c>
      <c r="K203" t="s">
        <v>673</v>
      </c>
      <c r="L203" t="s">
        <v>673</v>
      </c>
      <c r="M203">
        <v>-5.67E-2</v>
      </c>
      <c r="N203">
        <v>-0.15959999999999999</v>
      </c>
      <c r="O203" t="s">
        <v>673</v>
      </c>
      <c r="P203" t="s">
        <v>673</v>
      </c>
      <c r="Q203">
        <v>-3.6999999999999998E-2</v>
      </c>
      <c r="R203">
        <v>0.15340000000000001</v>
      </c>
      <c r="S203">
        <v>9.5100000000000004E-2</v>
      </c>
      <c r="T203">
        <v>0.1099</v>
      </c>
      <c r="U203">
        <v>2.4400000000000002E-2</v>
      </c>
      <c r="V203">
        <v>3.2300000000000002E-2</v>
      </c>
      <c r="W203">
        <v>6.6000000000000003E-2</v>
      </c>
      <c r="X203">
        <v>4.36E-2</v>
      </c>
      <c r="Y203">
        <v>2.3800000000000002E-2</v>
      </c>
      <c r="Z203">
        <v>-2.7000000000000001E-3</v>
      </c>
      <c r="AA203">
        <v>-1.2699999999999999E-2</v>
      </c>
      <c r="AB203">
        <v>-2.0299999999999999E-2</v>
      </c>
      <c r="AC203">
        <v>-1.14E-2</v>
      </c>
      <c r="AD203">
        <v>6.9999999999999999E-4</v>
      </c>
      <c r="AE203">
        <v>5.9900000000000002E-2</v>
      </c>
      <c r="AF203">
        <v>9.64E-2</v>
      </c>
      <c r="AG203">
        <v>0.16450000000000001</v>
      </c>
      <c r="AH203">
        <v>0.19409999999999999</v>
      </c>
      <c r="AI203">
        <v>0.1706</v>
      </c>
      <c r="AJ203">
        <v>0.1832</v>
      </c>
      <c r="AK203">
        <v>0.1144</v>
      </c>
      <c r="AL203">
        <v>0.113</v>
      </c>
      <c r="AM203">
        <v>0.1031</v>
      </c>
      <c r="AN203">
        <v>9.5100000000000004E-2</v>
      </c>
      <c r="AO203">
        <v>9.06E-2</v>
      </c>
      <c r="AP203">
        <v>4.4200000000000003E-2</v>
      </c>
      <c r="AQ203">
        <v>5.3400000000000003E-2</v>
      </c>
      <c r="AR203">
        <v>4.1599999999999998E-2</v>
      </c>
      <c r="AS203">
        <v>2.7400000000000001E-2</v>
      </c>
      <c r="AT203">
        <v>1.03E-2</v>
      </c>
      <c r="AU203">
        <v>-2.1000000000000001E-2</v>
      </c>
      <c r="AV203">
        <v>1.6899999999999998E-2</v>
      </c>
    </row>
    <row r="204" spans="1:48" x14ac:dyDescent="0.25">
      <c r="A204" t="s">
        <v>311</v>
      </c>
      <c r="B204" t="s">
        <v>2</v>
      </c>
      <c r="C204" t="s">
        <v>311</v>
      </c>
      <c r="D204">
        <v>24020</v>
      </c>
      <c r="E204" t="s">
        <v>672</v>
      </c>
      <c r="F204" t="s">
        <v>117</v>
      </c>
      <c r="G204" t="s">
        <v>670</v>
      </c>
      <c r="H204" t="s">
        <v>670</v>
      </c>
      <c r="I204" t="s">
        <v>673</v>
      </c>
      <c r="J204" t="s">
        <v>673</v>
      </c>
      <c r="K204" t="s">
        <v>673</v>
      </c>
      <c r="L204" t="s">
        <v>673</v>
      </c>
      <c r="M204" t="s">
        <v>673</v>
      </c>
      <c r="N204" t="s">
        <v>673</v>
      </c>
      <c r="O204" t="s">
        <v>673</v>
      </c>
      <c r="P204">
        <v>0.1081</v>
      </c>
      <c r="Q204">
        <v>9.7600000000000006E-2</v>
      </c>
      <c r="R204">
        <v>6.8500000000000005E-2</v>
      </c>
      <c r="S204">
        <v>-8.6300000000000002E-2</v>
      </c>
      <c r="T204">
        <v>-0.14399999999999999</v>
      </c>
      <c r="U204">
        <v>-0.1318</v>
      </c>
      <c r="V204">
        <v>-0.1169</v>
      </c>
      <c r="W204">
        <v>3.32E-2</v>
      </c>
      <c r="X204">
        <v>8.6999999999999994E-3</v>
      </c>
      <c r="Y204">
        <v>1.0800000000000001E-2</v>
      </c>
      <c r="Z204">
        <v>1.09E-2</v>
      </c>
      <c r="AA204">
        <v>5.4000000000000003E-3</v>
      </c>
      <c r="AB204">
        <v>-7.6600000000000001E-2</v>
      </c>
      <c r="AC204">
        <v>-8.5599999999999996E-2</v>
      </c>
      <c r="AD204">
        <v>-7.6600000000000001E-2</v>
      </c>
      <c r="AE204">
        <v>-6.8199999999999997E-2</v>
      </c>
      <c r="AF204">
        <v>3.2899999999999999E-2</v>
      </c>
      <c r="AG204">
        <v>4.4600000000000001E-2</v>
      </c>
      <c r="AH204" t="s">
        <v>673</v>
      </c>
      <c r="AI204" t="s">
        <v>673</v>
      </c>
      <c r="AJ204" t="s">
        <v>673</v>
      </c>
      <c r="AK204" t="s">
        <v>673</v>
      </c>
      <c r="AL204" t="s">
        <v>673</v>
      </c>
      <c r="AM204" t="s">
        <v>673</v>
      </c>
      <c r="AN204" t="s">
        <v>673</v>
      </c>
      <c r="AO204" t="s">
        <v>673</v>
      </c>
      <c r="AP204" t="s">
        <v>673</v>
      </c>
      <c r="AQ204" t="s">
        <v>673</v>
      </c>
      <c r="AR204" t="s">
        <v>673</v>
      </c>
      <c r="AS204" t="s">
        <v>673</v>
      </c>
      <c r="AT204" t="s">
        <v>673</v>
      </c>
      <c r="AU204" t="s">
        <v>673</v>
      </c>
      <c r="AV204" t="s">
        <v>673</v>
      </c>
    </row>
    <row r="205" spans="1:48" x14ac:dyDescent="0.25">
      <c r="A205" t="s">
        <v>312</v>
      </c>
      <c r="B205" t="s">
        <v>2</v>
      </c>
      <c r="C205" t="s">
        <v>312</v>
      </c>
      <c r="D205">
        <v>24140</v>
      </c>
      <c r="E205" t="s">
        <v>672</v>
      </c>
      <c r="F205" t="s">
        <v>117</v>
      </c>
      <c r="G205" t="s">
        <v>670</v>
      </c>
      <c r="H205" t="s">
        <v>670</v>
      </c>
      <c r="I205">
        <v>3.9100000000000003E-2</v>
      </c>
      <c r="J205">
        <v>4.8000000000000001E-2</v>
      </c>
      <c r="K205">
        <v>8.9800000000000005E-2</v>
      </c>
      <c r="L205">
        <v>9.2499999999999999E-2</v>
      </c>
      <c r="M205">
        <v>5.8599999999999999E-2</v>
      </c>
      <c r="N205">
        <v>4.5600000000000002E-2</v>
      </c>
      <c r="O205">
        <v>1.1900000000000001E-2</v>
      </c>
      <c r="P205">
        <v>-1.7299999999999999E-2</v>
      </c>
      <c r="Q205">
        <v>4.2099999999999999E-2</v>
      </c>
      <c r="R205">
        <v>0.14810000000000001</v>
      </c>
      <c r="S205">
        <v>0.1507</v>
      </c>
      <c r="T205">
        <v>0.193</v>
      </c>
      <c r="U205">
        <v>0.13650000000000001</v>
      </c>
      <c r="V205">
        <v>1E-3</v>
      </c>
      <c r="W205">
        <v>1.2999999999999999E-3</v>
      </c>
      <c r="X205">
        <v>-1.4200000000000001E-2</v>
      </c>
      <c r="Y205">
        <v>-3.39E-2</v>
      </c>
      <c r="Z205">
        <v>-3.9899999999999998E-2</v>
      </c>
      <c r="AA205">
        <v>1.47E-2</v>
      </c>
      <c r="AB205">
        <v>1.4E-3</v>
      </c>
      <c r="AC205">
        <v>3.56E-2</v>
      </c>
      <c r="AD205">
        <v>9.8199999999999996E-2</v>
      </c>
      <c r="AE205">
        <v>8.77E-2</v>
      </c>
      <c r="AF205">
        <v>0.1023</v>
      </c>
      <c r="AG205">
        <v>8.5300000000000001E-2</v>
      </c>
      <c r="AH205">
        <v>8.7599999999999997E-2</v>
      </c>
      <c r="AI205">
        <v>6.6100000000000006E-2</v>
      </c>
      <c r="AJ205">
        <v>9.64E-2</v>
      </c>
      <c r="AK205">
        <v>0.1371</v>
      </c>
      <c r="AL205">
        <v>0.13059999999999999</v>
      </c>
      <c r="AM205">
        <v>0.1177</v>
      </c>
      <c r="AN205">
        <v>9.8500000000000004E-2</v>
      </c>
      <c r="AO205">
        <v>3.7699999999999997E-2</v>
      </c>
      <c r="AP205">
        <v>3.2000000000000002E-3</v>
      </c>
      <c r="AQ205">
        <v>-2.4199999999999999E-2</v>
      </c>
      <c r="AR205">
        <v>4.1999999999999997E-3</v>
      </c>
      <c r="AS205">
        <v>1.9400000000000001E-2</v>
      </c>
      <c r="AT205">
        <v>2.3099999999999999E-2</v>
      </c>
      <c r="AU205">
        <v>4.2000000000000003E-2</v>
      </c>
      <c r="AV205">
        <v>-1.4E-3</v>
      </c>
    </row>
    <row r="206" spans="1:48" x14ac:dyDescent="0.25">
      <c r="A206" t="s">
        <v>313</v>
      </c>
      <c r="B206" t="s">
        <v>2</v>
      </c>
      <c r="C206" t="s">
        <v>313</v>
      </c>
      <c r="D206">
        <v>24220</v>
      </c>
      <c r="E206" t="s">
        <v>672</v>
      </c>
      <c r="F206" t="s">
        <v>117</v>
      </c>
      <c r="G206" t="s">
        <v>670</v>
      </c>
      <c r="H206" t="s">
        <v>670</v>
      </c>
      <c r="I206">
        <v>5.0500000000000003E-2</v>
      </c>
      <c r="J206">
        <v>0.04</v>
      </c>
      <c r="K206">
        <v>-2.5899999999999999E-2</v>
      </c>
      <c r="L206">
        <v>-7.9299999999999995E-2</v>
      </c>
      <c r="M206">
        <v>1.01E-2</v>
      </c>
      <c r="N206">
        <v>1.26E-2</v>
      </c>
      <c r="O206">
        <v>5.9299999999999999E-2</v>
      </c>
      <c r="P206">
        <v>9.2499999999999999E-2</v>
      </c>
      <c r="Q206">
        <v>-9.1000000000000004E-3</v>
      </c>
      <c r="R206">
        <v>-2.1399999999999999E-2</v>
      </c>
      <c r="S206">
        <v>2.2000000000000001E-3</v>
      </c>
      <c r="T206">
        <v>7.0000000000000001E-3</v>
      </c>
      <c r="U206">
        <v>1.01E-2</v>
      </c>
      <c r="V206">
        <v>1.1900000000000001E-2</v>
      </c>
      <c r="W206">
        <v>3.3999999999999998E-3</v>
      </c>
      <c r="X206">
        <v>4.7000000000000002E-3</v>
      </c>
      <c r="Y206">
        <v>1.7299999999999999E-2</v>
      </c>
      <c r="Z206">
        <v>-6.4999999999999997E-3</v>
      </c>
      <c r="AA206">
        <v>3.1899999999999998E-2</v>
      </c>
      <c r="AB206">
        <v>2.29E-2</v>
      </c>
      <c r="AC206">
        <v>1.8700000000000001E-2</v>
      </c>
      <c r="AD206">
        <v>3.4200000000000001E-2</v>
      </c>
      <c r="AE206">
        <v>8.8999999999999999E-3</v>
      </c>
      <c r="AF206">
        <v>1.38E-2</v>
      </c>
      <c r="AG206">
        <v>1.8100000000000002E-2</v>
      </c>
      <c r="AH206">
        <v>3.5499999999999997E-2</v>
      </c>
      <c r="AI206">
        <v>4.8399999999999999E-2</v>
      </c>
      <c r="AJ206">
        <v>5.7500000000000002E-2</v>
      </c>
      <c r="AK206">
        <v>6.4199999999999993E-2</v>
      </c>
      <c r="AL206">
        <v>5.4699999999999999E-2</v>
      </c>
      <c r="AM206">
        <v>3.44E-2</v>
      </c>
      <c r="AN206">
        <v>5.3999999999999999E-2</v>
      </c>
      <c r="AO206">
        <v>5.3400000000000003E-2</v>
      </c>
      <c r="AP206">
        <v>6.13E-2</v>
      </c>
      <c r="AQ206">
        <v>8.0500000000000002E-2</v>
      </c>
      <c r="AR206">
        <v>8.1500000000000003E-2</v>
      </c>
      <c r="AS206">
        <v>9.3299999999999994E-2</v>
      </c>
      <c r="AT206">
        <v>9.8000000000000004E-2</v>
      </c>
      <c r="AU206">
        <v>0.1106</v>
      </c>
      <c r="AV206">
        <v>8.3400000000000002E-2</v>
      </c>
    </row>
    <row r="207" spans="1:48" x14ac:dyDescent="0.25">
      <c r="A207" t="s">
        <v>314</v>
      </c>
      <c r="B207" t="s">
        <v>2</v>
      </c>
      <c r="C207" t="s">
        <v>314</v>
      </c>
      <c r="D207">
        <v>24260</v>
      </c>
      <c r="E207" t="s">
        <v>672</v>
      </c>
      <c r="F207" t="s">
        <v>117</v>
      </c>
      <c r="G207" t="s">
        <v>670</v>
      </c>
      <c r="H207" t="s">
        <v>670</v>
      </c>
      <c r="I207" t="s">
        <v>673</v>
      </c>
      <c r="J207" t="s">
        <v>673</v>
      </c>
      <c r="K207" t="s">
        <v>673</v>
      </c>
      <c r="L207" t="s">
        <v>673</v>
      </c>
      <c r="M207" t="s">
        <v>673</v>
      </c>
      <c r="N207" t="s">
        <v>673</v>
      </c>
      <c r="O207" t="s">
        <v>673</v>
      </c>
      <c r="P207" t="s">
        <v>673</v>
      </c>
      <c r="Q207" t="s">
        <v>673</v>
      </c>
      <c r="R207" t="s">
        <v>673</v>
      </c>
      <c r="S207" t="s">
        <v>673</v>
      </c>
      <c r="T207" t="s">
        <v>673</v>
      </c>
      <c r="U207" t="s">
        <v>673</v>
      </c>
      <c r="V207" t="s">
        <v>673</v>
      </c>
      <c r="W207">
        <v>-0.12429999999999999</v>
      </c>
      <c r="X207">
        <v>-8.1199999999999994E-2</v>
      </c>
      <c r="Y207" t="s">
        <v>673</v>
      </c>
      <c r="Z207">
        <v>-4.0000000000000001E-3</v>
      </c>
      <c r="AA207">
        <v>2.2800000000000001E-2</v>
      </c>
      <c r="AB207">
        <v>1.52E-2</v>
      </c>
      <c r="AC207">
        <v>-1.77E-2</v>
      </c>
      <c r="AD207">
        <v>2.4899999999999999E-2</v>
      </c>
      <c r="AE207">
        <v>3.7699999999999997E-2</v>
      </c>
      <c r="AF207">
        <v>3.1600000000000003E-2</v>
      </c>
      <c r="AG207">
        <v>6.7900000000000002E-2</v>
      </c>
      <c r="AH207">
        <v>6.8400000000000002E-2</v>
      </c>
      <c r="AI207">
        <v>0.1099</v>
      </c>
      <c r="AJ207">
        <v>8.5999999999999993E-2</v>
      </c>
      <c r="AK207">
        <v>8.9300000000000004E-2</v>
      </c>
      <c r="AL207">
        <v>0.15859999999999999</v>
      </c>
      <c r="AM207">
        <v>0.1116</v>
      </c>
      <c r="AN207">
        <v>0.16289999999999999</v>
      </c>
      <c r="AO207">
        <v>0.22500000000000001</v>
      </c>
      <c r="AP207">
        <v>0.14099999999999999</v>
      </c>
      <c r="AQ207">
        <v>0.1429</v>
      </c>
      <c r="AR207">
        <v>0.127</v>
      </c>
      <c r="AS207">
        <v>3.0700000000000002E-2</v>
      </c>
      <c r="AT207">
        <v>3.9399999999999998E-2</v>
      </c>
      <c r="AU207">
        <v>3.6400000000000002E-2</v>
      </c>
      <c r="AV207">
        <v>5.3E-3</v>
      </c>
    </row>
    <row r="208" spans="1:48" x14ac:dyDescent="0.25">
      <c r="A208" t="s">
        <v>315</v>
      </c>
      <c r="B208" t="s">
        <v>2</v>
      </c>
      <c r="C208" t="s">
        <v>315</v>
      </c>
      <c r="D208">
        <v>24300</v>
      </c>
      <c r="E208" t="s">
        <v>672</v>
      </c>
      <c r="F208" t="s">
        <v>117</v>
      </c>
      <c r="G208" t="s">
        <v>670</v>
      </c>
      <c r="H208" t="s">
        <v>670</v>
      </c>
      <c r="I208" t="s">
        <v>673</v>
      </c>
      <c r="J208" t="s">
        <v>673</v>
      </c>
      <c r="K208" t="s">
        <v>673</v>
      </c>
      <c r="L208" t="s">
        <v>673</v>
      </c>
      <c r="M208" t="s">
        <v>673</v>
      </c>
      <c r="N208" t="s">
        <v>673</v>
      </c>
      <c r="O208" t="s">
        <v>673</v>
      </c>
      <c r="P208" t="s">
        <v>673</v>
      </c>
      <c r="Q208" t="s">
        <v>673</v>
      </c>
      <c r="R208" t="s">
        <v>673</v>
      </c>
      <c r="S208" t="s">
        <v>673</v>
      </c>
      <c r="T208" t="s">
        <v>673</v>
      </c>
      <c r="U208" t="s">
        <v>673</v>
      </c>
      <c r="V208" t="s">
        <v>673</v>
      </c>
      <c r="W208" t="s">
        <v>673</v>
      </c>
      <c r="X208" t="s">
        <v>673</v>
      </c>
      <c r="Y208" t="s">
        <v>673</v>
      </c>
      <c r="Z208" t="s">
        <v>673</v>
      </c>
      <c r="AA208" t="s">
        <v>673</v>
      </c>
      <c r="AB208" t="s">
        <v>673</v>
      </c>
      <c r="AC208" t="s">
        <v>673</v>
      </c>
      <c r="AD208" t="s">
        <v>673</v>
      </c>
      <c r="AE208" t="s">
        <v>673</v>
      </c>
      <c r="AF208" t="s">
        <v>673</v>
      </c>
      <c r="AG208" t="s">
        <v>673</v>
      </c>
      <c r="AH208" t="s">
        <v>673</v>
      </c>
      <c r="AI208" t="s">
        <v>673</v>
      </c>
      <c r="AJ208" t="s">
        <v>673</v>
      </c>
      <c r="AK208" t="s">
        <v>673</v>
      </c>
      <c r="AL208" t="s">
        <v>673</v>
      </c>
      <c r="AM208" t="s">
        <v>673</v>
      </c>
      <c r="AN208" t="s">
        <v>673</v>
      </c>
      <c r="AO208" t="s">
        <v>673</v>
      </c>
      <c r="AP208" t="s">
        <v>673</v>
      </c>
      <c r="AQ208" t="s">
        <v>673</v>
      </c>
      <c r="AR208">
        <v>9.8599999999999993E-2</v>
      </c>
      <c r="AS208">
        <v>8.5099999999999995E-2</v>
      </c>
      <c r="AT208">
        <v>0.1152</v>
      </c>
      <c r="AU208">
        <v>0.14649999999999999</v>
      </c>
      <c r="AV208">
        <v>7.5800000000000006E-2</v>
      </c>
    </row>
    <row r="209" spans="1:48" x14ac:dyDescent="0.25">
      <c r="A209" t="s">
        <v>6</v>
      </c>
      <c r="B209" t="s">
        <v>2</v>
      </c>
      <c r="C209" t="s">
        <v>6</v>
      </c>
      <c r="D209">
        <v>324340</v>
      </c>
      <c r="E209" t="s">
        <v>672</v>
      </c>
      <c r="F209" t="s">
        <v>117</v>
      </c>
      <c r="G209" t="s">
        <v>670</v>
      </c>
      <c r="H209" t="s">
        <v>670</v>
      </c>
      <c r="I209">
        <v>5.8999999999999997E-2</v>
      </c>
      <c r="J209">
        <v>7.7100000000000002E-2</v>
      </c>
      <c r="K209">
        <v>7.6999999999999999E-2</v>
      </c>
      <c r="L209">
        <v>6.8699999999999997E-2</v>
      </c>
      <c r="M209">
        <v>6.93E-2</v>
      </c>
      <c r="N209">
        <v>5.1799999999999999E-2</v>
      </c>
      <c r="O209">
        <v>5.1299999999999998E-2</v>
      </c>
      <c r="P209">
        <v>5.7799999999999997E-2</v>
      </c>
      <c r="Q209">
        <v>4.3700000000000003E-2</v>
      </c>
      <c r="R209">
        <v>4.4200000000000003E-2</v>
      </c>
      <c r="S209">
        <v>3.5799999999999998E-2</v>
      </c>
      <c r="T209">
        <v>3.95E-2</v>
      </c>
      <c r="U209">
        <v>4.7E-2</v>
      </c>
      <c r="V209">
        <v>4.9099999999999998E-2</v>
      </c>
      <c r="W209">
        <v>6.7400000000000002E-2</v>
      </c>
      <c r="X209">
        <v>5.79E-2</v>
      </c>
      <c r="Y209">
        <v>6.6699999999999995E-2</v>
      </c>
      <c r="Z209">
        <v>4.7899999999999998E-2</v>
      </c>
      <c r="AA209">
        <v>4.41E-2</v>
      </c>
      <c r="AB209">
        <v>7.6999999999999999E-2</v>
      </c>
      <c r="AC209">
        <v>7.1300000000000002E-2</v>
      </c>
      <c r="AD209">
        <v>0.1017</v>
      </c>
      <c r="AE209">
        <v>0.13039999999999999</v>
      </c>
      <c r="AF209">
        <v>0.1273</v>
      </c>
      <c r="AG209">
        <v>0.12759999999999999</v>
      </c>
      <c r="AH209">
        <v>0.1326</v>
      </c>
      <c r="AI209">
        <v>0.11749999999999999</v>
      </c>
      <c r="AJ209">
        <v>8.0100000000000005E-2</v>
      </c>
      <c r="AK209">
        <v>7.0999999999999994E-2</v>
      </c>
      <c r="AL209">
        <v>5.9700000000000003E-2</v>
      </c>
      <c r="AM209">
        <v>4.41E-2</v>
      </c>
      <c r="AN209">
        <v>5.1499999999999997E-2</v>
      </c>
      <c r="AO209">
        <v>5.6399999999999999E-2</v>
      </c>
      <c r="AP209">
        <v>4.7699999999999999E-2</v>
      </c>
      <c r="AQ209">
        <v>4.0300000000000002E-2</v>
      </c>
      <c r="AR209">
        <v>4.3499999999999997E-2</v>
      </c>
      <c r="AS209">
        <v>4.3999999999999997E-2</v>
      </c>
      <c r="AT209">
        <v>4.65E-2</v>
      </c>
      <c r="AU209">
        <v>4.6399999999999997E-2</v>
      </c>
      <c r="AV209">
        <v>3.5000000000000003E-2</v>
      </c>
    </row>
    <row r="210" spans="1:48" x14ac:dyDescent="0.25">
      <c r="A210" t="s">
        <v>316</v>
      </c>
      <c r="B210" t="s">
        <v>2</v>
      </c>
      <c r="C210" t="s">
        <v>316</v>
      </c>
      <c r="D210">
        <v>24420</v>
      </c>
      <c r="E210" t="s">
        <v>672</v>
      </c>
      <c r="F210" t="s">
        <v>117</v>
      </c>
      <c r="G210" t="s">
        <v>670</v>
      </c>
      <c r="H210" t="s">
        <v>670</v>
      </c>
      <c r="I210" t="s">
        <v>673</v>
      </c>
      <c r="J210" t="s">
        <v>673</v>
      </c>
      <c r="K210" t="s">
        <v>673</v>
      </c>
      <c r="L210" t="s">
        <v>673</v>
      </c>
      <c r="M210" t="s">
        <v>673</v>
      </c>
      <c r="N210" t="s">
        <v>673</v>
      </c>
      <c r="O210" t="s">
        <v>673</v>
      </c>
      <c r="P210" t="s">
        <v>673</v>
      </c>
      <c r="Q210" t="s">
        <v>673</v>
      </c>
      <c r="R210" t="s">
        <v>673</v>
      </c>
      <c r="S210" t="s">
        <v>673</v>
      </c>
      <c r="T210" t="s">
        <v>673</v>
      </c>
      <c r="U210" t="s">
        <v>673</v>
      </c>
      <c r="V210" t="s">
        <v>673</v>
      </c>
      <c r="W210" t="s">
        <v>673</v>
      </c>
      <c r="X210" t="s">
        <v>673</v>
      </c>
      <c r="Y210" t="s">
        <v>673</v>
      </c>
      <c r="Z210" t="s">
        <v>673</v>
      </c>
      <c r="AA210" t="s">
        <v>673</v>
      </c>
      <c r="AB210" t="s">
        <v>673</v>
      </c>
      <c r="AC210" t="s">
        <v>673</v>
      </c>
      <c r="AD210" t="s">
        <v>673</v>
      </c>
      <c r="AE210" t="s">
        <v>673</v>
      </c>
      <c r="AF210" t="s">
        <v>673</v>
      </c>
      <c r="AG210" t="s">
        <v>673</v>
      </c>
      <c r="AH210" t="s">
        <v>673</v>
      </c>
      <c r="AI210" t="s">
        <v>673</v>
      </c>
      <c r="AJ210" t="s">
        <v>673</v>
      </c>
      <c r="AK210" t="s">
        <v>673</v>
      </c>
      <c r="AL210" t="s">
        <v>673</v>
      </c>
      <c r="AM210" t="s">
        <v>673</v>
      </c>
      <c r="AN210" t="s">
        <v>673</v>
      </c>
      <c r="AO210" t="s">
        <v>673</v>
      </c>
      <c r="AP210" t="s">
        <v>673</v>
      </c>
      <c r="AQ210" t="s">
        <v>673</v>
      </c>
      <c r="AR210" t="s">
        <v>673</v>
      </c>
      <c r="AS210" t="s">
        <v>673</v>
      </c>
      <c r="AT210" t="s">
        <v>673</v>
      </c>
      <c r="AU210" t="s">
        <v>673</v>
      </c>
      <c r="AV210" t="s">
        <v>673</v>
      </c>
    </row>
    <row r="211" spans="1:48" x14ac:dyDescent="0.25">
      <c r="A211" t="s">
        <v>317</v>
      </c>
      <c r="B211" t="s">
        <v>2</v>
      </c>
      <c r="C211" t="s">
        <v>317</v>
      </c>
      <c r="D211">
        <v>24500</v>
      </c>
      <c r="E211" t="s">
        <v>672</v>
      </c>
      <c r="F211" t="s">
        <v>117</v>
      </c>
      <c r="G211" t="s">
        <v>670</v>
      </c>
      <c r="H211" t="s">
        <v>670</v>
      </c>
      <c r="I211" t="s">
        <v>673</v>
      </c>
      <c r="J211" t="s">
        <v>673</v>
      </c>
      <c r="K211" t="s">
        <v>673</v>
      </c>
      <c r="L211" t="s">
        <v>673</v>
      </c>
      <c r="M211" t="s">
        <v>673</v>
      </c>
      <c r="N211" t="s">
        <v>673</v>
      </c>
      <c r="O211" t="s">
        <v>673</v>
      </c>
      <c r="P211" t="s">
        <v>673</v>
      </c>
      <c r="Q211" t="s">
        <v>673</v>
      </c>
      <c r="R211" t="s">
        <v>673</v>
      </c>
      <c r="S211" t="s">
        <v>673</v>
      </c>
      <c r="T211" t="s">
        <v>673</v>
      </c>
      <c r="U211" t="s">
        <v>673</v>
      </c>
      <c r="V211" t="s">
        <v>673</v>
      </c>
      <c r="W211" t="s">
        <v>673</v>
      </c>
      <c r="X211" t="s">
        <v>673</v>
      </c>
      <c r="Y211" t="s">
        <v>673</v>
      </c>
      <c r="Z211" t="s">
        <v>673</v>
      </c>
      <c r="AA211" t="s">
        <v>673</v>
      </c>
      <c r="AB211" t="s">
        <v>673</v>
      </c>
      <c r="AC211" t="s">
        <v>673</v>
      </c>
      <c r="AD211" t="s">
        <v>673</v>
      </c>
      <c r="AE211" t="s">
        <v>673</v>
      </c>
      <c r="AF211" t="s">
        <v>673</v>
      </c>
      <c r="AG211" t="s">
        <v>673</v>
      </c>
      <c r="AH211" t="s">
        <v>673</v>
      </c>
      <c r="AI211" t="s">
        <v>673</v>
      </c>
      <c r="AJ211" t="s">
        <v>673</v>
      </c>
      <c r="AK211" t="s">
        <v>673</v>
      </c>
      <c r="AL211" t="s">
        <v>673</v>
      </c>
      <c r="AM211" t="s">
        <v>673</v>
      </c>
      <c r="AN211" t="s">
        <v>673</v>
      </c>
      <c r="AO211">
        <v>5.3400000000000003E-2</v>
      </c>
      <c r="AP211">
        <v>4.1399999999999999E-2</v>
      </c>
      <c r="AQ211">
        <v>3.7499999999999999E-2</v>
      </c>
      <c r="AR211">
        <v>0.1797</v>
      </c>
      <c r="AS211">
        <v>0.16789999999999999</v>
      </c>
      <c r="AT211">
        <v>9.8500000000000004E-2</v>
      </c>
      <c r="AU211">
        <v>0.10730000000000001</v>
      </c>
      <c r="AV211">
        <v>7.9200000000000007E-2</v>
      </c>
    </row>
    <row r="212" spans="1:48" x14ac:dyDescent="0.25">
      <c r="A212" t="s">
        <v>318</v>
      </c>
      <c r="B212" t="s">
        <v>2</v>
      </c>
      <c r="C212" t="s">
        <v>318</v>
      </c>
      <c r="D212">
        <v>24540</v>
      </c>
      <c r="E212" t="s">
        <v>672</v>
      </c>
      <c r="F212" t="s">
        <v>117</v>
      </c>
      <c r="G212" t="s">
        <v>670</v>
      </c>
      <c r="H212" t="s">
        <v>670</v>
      </c>
      <c r="I212">
        <v>3.7400000000000003E-2</v>
      </c>
      <c r="J212">
        <v>-1.1000000000000001E-3</v>
      </c>
      <c r="K212">
        <v>-3.2000000000000002E-3</v>
      </c>
      <c r="L212">
        <v>7.5600000000000001E-2</v>
      </c>
      <c r="M212">
        <v>5.1999999999999998E-2</v>
      </c>
      <c r="N212">
        <v>9.1700000000000004E-2</v>
      </c>
      <c r="O212">
        <v>0.13819999999999999</v>
      </c>
      <c r="P212">
        <v>6.0999999999999999E-2</v>
      </c>
      <c r="Q212">
        <v>6.6199999999999995E-2</v>
      </c>
      <c r="R212">
        <v>6.2399999999999997E-2</v>
      </c>
      <c r="S212">
        <v>4.24E-2</v>
      </c>
      <c r="T212">
        <v>4.53E-2</v>
      </c>
      <c r="U212">
        <v>5.5500000000000001E-2</v>
      </c>
      <c r="V212">
        <v>7.4800000000000005E-2</v>
      </c>
      <c r="W212">
        <v>9.1600000000000001E-2</v>
      </c>
      <c r="X212">
        <v>0.10290000000000001</v>
      </c>
      <c r="Y212">
        <v>8.9399999999999993E-2</v>
      </c>
      <c r="Z212">
        <v>4.8099999999999997E-2</v>
      </c>
      <c r="AA212">
        <v>1.2999999999999999E-2</v>
      </c>
      <c r="AB212">
        <v>7.6E-3</v>
      </c>
      <c r="AC212">
        <v>2.5499999999999998E-2</v>
      </c>
      <c r="AD212">
        <v>5.4800000000000001E-2</v>
      </c>
      <c r="AE212">
        <v>0.11020000000000001</v>
      </c>
      <c r="AF212">
        <v>0.13969999999999999</v>
      </c>
      <c r="AG212">
        <v>0.14960000000000001</v>
      </c>
      <c r="AH212">
        <v>0.14879999999999999</v>
      </c>
      <c r="AI212">
        <v>0.1139</v>
      </c>
      <c r="AJ212">
        <v>7.85E-2</v>
      </c>
      <c r="AK212">
        <v>4.6100000000000002E-2</v>
      </c>
      <c r="AL212">
        <v>1.9599999999999999E-2</v>
      </c>
      <c r="AM212">
        <v>1.6000000000000001E-3</v>
      </c>
      <c r="AN212">
        <v>1.67E-2</v>
      </c>
      <c r="AO212">
        <v>1.0699999999999999E-2</v>
      </c>
      <c r="AP212">
        <v>1.2200000000000001E-2</v>
      </c>
      <c r="AQ212">
        <v>1.6500000000000001E-2</v>
      </c>
      <c r="AR212">
        <v>-1.6199999999999999E-2</v>
      </c>
      <c r="AS212">
        <v>-1.6299999999999999E-2</v>
      </c>
      <c r="AT212">
        <v>1.12E-2</v>
      </c>
      <c r="AU212">
        <v>1.09E-2</v>
      </c>
      <c r="AV212">
        <v>-7.4999999999999997E-3</v>
      </c>
    </row>
    <row r="213" spans="1:48" x14ac:dyDescent="0.25">
      <c r="A213" t="s">
        <v>319</v>
      </c>
      <c r="B213" t="s">
        <v>2</v>
      </c>
      <c r="C213" t="s">
        <v>319</v>
      </c>
      <c r="D213">
        <v>24580</v>
      </c>
      <c r="E213" t="s">
        <v>672</v>
      </c>
      <c r="F213" t="s">
        <v>117</v>
      </c>
      <c r="G213" t="s">
        <v>670</v>
      </c>
      <c r="H213" t="s">
        <v>670</v>
      </c>
      <c r="I213">
        <v>0.10879999999999999</v>
      </c>
      <c r="J213">
        <v>1.2999999999999999E-2</v>
      </c>
      <c r="K213">
        <v>3.0099999999999998E-2</v>
      </c>
      <c r="L213">
        <v>7.2900000000000006E-2</v>
      </c>
      <c r="M213">
        <v>8.5400000000000004E-2</v>
      </c>
      <c r="N213">
        <v>9.2399999999999996E-2</v>
      </c>
      <c r="O213">
        <v>6.6600000000000006E-2</v>
      </c>
      <c r="P213">
        <v>3.8E-3</v>
      </c>
      <c r="Q213">
        <v>2.4799999999999999E-2</v>
      </c>
      <c r="R213">
        <v>4.7500000000000001E-2</v>
      </c>
      <c r="S213">
        <v>3.61E-2</v>
      </c>
      <c r="T213">
        <v>4.1300000000000003E-2</v>
      </c>
      <c r="U213">
        <v>4.8399999999999999E-2</v>
      </c>
      <c r="V213">
        <v>6.2799999999999995E-2</v>
      </c>
      <c r="W213">
        <v>7.5499999999999998E-2</v>
      </c>
      <c r="X213">
        <v>7.0000000000000007E-2</v>
      </c>
      <c r="Y213">
        <v>3.5099999999999999E-2</v>
      </c>
      <c r="Z213">
        <v>1.6299999999999999E-2</v>
      </c>
      <c r="AA213">
        <v>-1.8100000000000002E-2</v>
      </c>
      <c r="AB213">
        <v>-3.8800000000000001E-2</v>
      </c>
      <c r="AC213">
        <v>-6.4999999999999997E-3</v>
      </c>
      <c r="AD213">
        <v>5.5100000000000003E-2</v>
      </c>
      <c r="AE213">
        <v>0.1027</v>
      </c>
      <c r="AF213">
        <v>0.1449</v>
      </c>
      <c r="AG213">
        <v>0.155</v>
      </c>
      <c r="AH213">
        <v>0.1037</v>
      </c>
      <c r="AI213">
        <v>8.8300000000000003E-2</v>
      </c>
      <c r="AJ213">
        <v>5.9299999999999999E-2</v>
      </c>
      <c r="AK213">
        <v>3.3500000000000002E-2</v>
      </c>
      <c r="AL213">
        <v>2.12E-2</v>
      </c>
      <c r="AM213">
        <v>0.11310000000000001</v>
      </c>
      <c r="AN213">
        <v>9.7900000000000001E-2</v>
      </c>
      <c r="AO213">
        <v>7.8899999999999998E-2</v>
      </c>
      <c r="AP213">
        <v>0.2</v>
      </c>
      <c r="AQ213">
        <v>0.1186</v>
      </c>
      <c r="AR213">
        <v>0.16839999999999999</v>
      </c>
      <c r="AS213">
        <v>0.21429999999999999</v>
      </c>
      <c r="AT213">
        <v>9.5600000000000004E-2</v>
      </c>
      <c r="AU213">
        <v>7.9299999999999995E-2</v>
      </c>
      <c r="AV213">
        <v>4.3299999999999998E-2</v>
      </c>
    </row>
    <row r="214" spans="1:48" x14ac:dyDescent="0.25">
      <c r="A214" t="s">
        <v>320</v>
      </c>
      <c r="B214" t="s">
        <v>2</v>
      </c>
      <c r="C214" t="s">
        <v>320</v>
      </c>
      <c r="D214">
        <v>324660</v>
      </c>
      <c r="E214" t="s">
        <v>672</v>
      </c>
      <c r="F214" t="s">
        <v>117</v>
      </c>
      <c r="G214" t="s">
        <v>670</v>
      </c>
      <c r="H214" t="s">
        <v>670</v>
      </c>
      <c r="I214">
        <v>4.6800000000000001E-2</v>
      </c>
      <c r="J214">
        <v>4.4999999999999998E-2</v>
      </c>
      <c r="K214">
        <v>4.5199999999999997E-2</v>
      </c>
      <c r="L214">
        <v>4.7E-2</v>
      </c>
      <c r="M214">
        <v>3.6200000000000003E-2</v>
      </c>
      <c r="N214">
        <v>5.1499999999999997E-2</v>
      </c>
      <c r="O214">
        <v>4.4999999999999998E-2</v>
      </c>
      <c r="P214">
        <v>3.3099999999999997E-2</v>
      </c>
      <c r="Q214">
        <v>4.2599999999999999E-2</v>
      </c>
      <c r="R214">
        <v>4.1599999999999998E-2</v>
      </c>
      <c r="S214">
        <v>4.8099999999999997E-2</v>
      </c>
      <c r="T214">
        <v>6.1400000000000003E-2</v>
      </c>
      <c r="U214">
        <v>6.9099999999999995E-2</v>
      </c>
      <c r="V214">
        <v>6.5299999999999997E-2</v>
      </c>
      <c r="W214">
        <v>7.3999999999999996E-2</v>
      </c>
      <c r="X214">
        <v>6.9800000000000001E-2</v>
      </c>
      <c r="Y214">
        <v>5.1499999999999997E-2</v>
      </c>
      <c r="Z214">
        <v>4.07E-2</v>
      </c>
      <c r="AA214">
        <v>3.9899999999999998E-2</v>
      </c>
      <c r="AB214">
        <v>5.62E-2</v>
      </c>
      <c r="AC214">
        <v>7.0000000000000007E-2</v>
      </c>
      <c r="AD214">
        <v>0.1031</v>
      </c>
      <c r="AE214">
        <v>0.14810000000000001</v>
      </c>
      <c r="AF214">
        <v>0.18890000000000001</v>
      </c>
      <c r="AG214">
        <v>0.1986</v>
      </c>
      <c r="AH214">
        <v>0.20080000000000001</v>
      </c>
      <c r="AI214">
        <v>0.153</v>
      </c>
      <c r="AJ214">
        <v>8.6599999999999996E-2</v>
      </c>
      <c r="AK214">
        <v>5.9499999999999997E-2</v>
      </c>
      <c r="AL214">
        <v>2.4299999999999999E-2</v>
      </c>
      <c r="AM214">
        <v>1.04E-2</v>
      </c>
      <c r="AN214">
        <v>1.2E-2</v>
      </c>
      <c r="AO214">
        <v>2.1499999999999998E-2</v>
      </c>
      <c r="AP214">
        <v>3.7600000000000001E-2</v>
      </c>
      <c r="AQ214">
        <v>2.76E-2</v>
      </c>
      <c r="AR214">
        <v>1.8200000000000001E-2</v>
      </c>
      <c r="AS214">
        <v>1.0999999999999999E-2</v>
      </c>
      <c r="AT214">
        <v>-1.8E-3</v>
      </c>
      <c r="AU214">
        <v>1.6000000000000001E-3</v>
      </c>
      <c r="AV214">
        <v>3.8E-3</v>
      </c>
    </row>
    <row r="215" spans="1:48" x14ac:dyDescent="0.25">
      <c r="A215" t="s">
        <v>321</v>
      </c>
      <c r="B215" t="s">
        <v>2</v>
      </c>
      <c r="C215" t="s">
        <v>321</v>
      </c>
      <c r="D215">
        <v>24700</v>
      </c>
      <c r="E215" t="s">
        <v>672</v>
      </c>
      <c r="F215" t="s">
        <v>117</v>
      </c>
      <c r="G215" t="s">
        <v>670</v>
      </c>
      <c r="H215" t="s">
        <v>670</v>
      </c>
      <c r="I215" t="s">
        <v>673</v>
      </c>
      <c r="J215" t="s">
        <v>673</v>
      </c>
      <c r="K215" t="s">
        <v>673</v>
      </c>
      <c r="L215" t="s">
        <v>673</v>
      </c>
      <c r="M215" t="s">
        <v>673</v>
      </c>
      <c r="N215" t="s">
        <v>673</v>
      </c>
      <c r="O215" t="s">
        <v>673</v>
      </c>
      <c r="P215" t="s">
        <v>673</v>
      </c>
      <c r="Q215" t="s">
        <v>673</v>
      </c>
      <c r="R215" t="s">
        <v>673</v>
      </c>
      <c r="S215" t="s">
        <v>673</v>
      </c>
      <c r="T215" t="s">
        <v>673</v>
      </c>
      <c r="U215" t="s">
        <v>673</v>
      </c>
      <c r="V215" t="s">
        <v>673</v>
      </c>
      <c r="W215" t="s">
        <v>673</v>
      </c>
      <c r="X215" t="s">
        <v>673</v>
      </c>
      <c r="Y215" t="s">
        <v>673</v>
      </c>
      <c r="Z215" t="s">
        <v>673</v>
      </c>
      <c r="AA215" t="s">
        <v>673</v>
      </c>
      <c r="AB215" t="s">
        <v>673</v>
      </c>
      <c r="AC215" t="s">
        <v>673</v>
      </c>
      <c r="AD215" t="s">
        <v>673</v>
      </c>
      <c r="AE215" t="s">
        <v>673</v>
      </c>
      <c r="AF215" t="s">
        <v>673</v>
      </c>
      <c r="AG215" t="s">
        <v>673</v>
      </c>
      <c r="AH215" t="s">
        <v>673</v>
      </c>
      <c r="AI215" t="s">
        <v>673</v>
      </c>
      <c r="AJ215" t="s">
        <v>673</v>
      </c>
      <c r="AK215" t="s">
        <v>673</v>
      </c>
      <c r="AL215" t="s">
        <v>673</v>
      </c>
      <c r="AM215" t="s">
        <v>673</v>
      </c>
      <c r="AN215" t="s">
        <v>673</v>
      </c>
      <c r="AO215" t="s">
        <v>673</v>
      </c>
      <c r="AP215" t="s">
        <v>673</v>
      </c>
      <c r="AQ215" t="s">
        <v>673</v>
      </c>
      <c r="AR215" t="s">
        <v>673</v>
      </c>
      <c r="AS215" t="s">
        <v>673</v>
      </c>
      <c r="AT215" t="s">
        <v>673</v>
      </c>
      <c r="AU215" t="s">
        <v>673</v>
      </c>
      <c r="AV215" t="s">
        <v>673</v>
      </c>
    </row>
    <row r="216" spans="1:48" x14ac:dyDescent="0.25">
      <c r="A216" t="s">
        <v>322</v>
      </c>
      <c r="B216" t="s">
        <v>2</v>
      </c>
      <c r="C216" t="s">
        <v>322</v>
      </c>
      <c r="D216">
        <v>24740</v>
      </c>
      <c r="E216" t="s">
        <v>672</v>
      </c>
      <c r="F216" t="s">
        <v>117</v>
      </c>
      <c r="G216" t="s">
        <v>670</v>
      </c>
      <c r="H216" t="s">
        <v>670</v>
      </c>
      <c r="I216" t="s">
        <v>673</v>
      </c>
      <c r="J216" t="s">
        <v>673</v>
      </c>
      <c r="K216" t="s">
        <v>673</v>
      </c>
      <c r="L216">
        <v>9.7000000000000003E-3</v>
      </c>
      <c r="M216">
        <v>2.6499999999999999E-2</v>
      </c>
      <c r="N216">
        <v>9.5600000000000004E-2</v>
      </c>
      <c r="O216">
        <v>-8.0199999999999994E-2</v>
      </c>
      <c r="P216">
        <v>1.7000000000000001E-2</v>
      </c>
      <c r="Q216">
        <v>-1.11E-2</v>
      </c>
      <c r="R216">
        <v>-1.6899999999999998E-2</v>
      </c>
      <c r="S216">
        <v>9.9000000000000008E-3</v>
      </c>
      <c r="T216">
        <v>7.1999999999999998E-3</v>
      </c>
      <c r="U216">
        <v>2.4199999999999999E-2</v>
      </c>
      <c r="V216">
        <v>3.1600000000000003E-2</v>
      </c>
      <c r="W216">
        <v>2.9000000000000001E-2</v>
      </c>
      <c r="X216">
        <v>3.6299999999999999E-2</v>
      </c>
      <c r="Y216">
        <v>3.4799999999999998E-2</v>
      </c>
      <c r="Z216">
        <v>1.6500000000000001E-2</v>
      </c>
      <c r="AA216">
        <v>-1.9E-3</v>
      </c>
      <c r="AB216">
        <v>-1.15E-2</v>
      </c>
      <c r="AC216">
        <v>-7.9000000000000008E-3</v>
      </c>
      <c r="AD216">
        <v>1.9199999999999998E-2</v>
      </c>
      <c r="AE216">
        <v>7.0199999999999999E-2</v>
      </c>
      <c r="AF216">
        <v>0.115</v>
      </c>
      <c r="AG216">
        <v>0.1154</v>
      </c>
      <c r="AH216">
        <v>9.1999999999999998E-2</v>
      </c>
      <c r="AI216">
        <v>6.9900000000000004E-2</v>
      </c>
      <c r="AJ216">
        <v>4.1799999999999997E-2</v>
      </c>
      <c r="AK216">
        <v>5.0700000000000002E-2</v>
      </c>
      <c r="AL216">
        <v>4.1300000000000003E-2</v>
      </c>
      <c r="AM216">
        <v>4.8000000000000001E-2</v>
      </c>
      <c r="AN216">
        <v>4.07E-2</v>
      </c>
      <c r="AO216">
        <v>1.9699999999999999E-2</v>
      </c>
      <c r="AP216">
        <v>3.5999999999999997E-2</v>
      </c>
      <c r="AQ216">
        <v>3.4099999999999998E-2</v>
      </c>
      <c r="AR216">
        <v>4.8599999999999997E-2</v>
      </c>
      <c r="AS216">
        <v>4.5900000000000003E-2</v>
      </c>
      <c r="AT216">
        <v>5.6099999999999997E-2</v>
      </c>
      <c r="AU216">
        <v>5.3900000000000003E-2</v>
      </c>
      <c r="AV216">
        <v>3.0200000000000001E-2</v>
      </c>
    </row>
    <row r="217" spans="1:48" x14ac:dyDescent="0.25">
      <c r="A217" t="s">
        <v>323</v>
      </c>
      <c r="B217" t="s">
        <v>2</v>
      </c>
      <c r="C217" t="s">
        <v>323</v>
      </c>
      <c r="D217">
        <v>24780</v>
      </c>
      <c r="E217" t="s">
        <v>672</v>
      </c>
      <c r="F217" t="s">
        <v>117</v>
      </c>
      <c r="G217" t="s">
        <v>670</v>
      </c>
      <c r="H217" t="s">
        <v>670</v>
      </c>
      <c r="I217">
        <v>7.9699999999999993E-2</v>
      </c>
      <c r="J217">
        <v>7.0499999999999993E-2</v>
      </c>
      <c r="K217">
        <v>6.2600000000000003E-2</v>
      </c>
      <c r="L217">
        <v>1.84E-2</v>
      </c>
      <c r="M217">
        <v>2.8899999999999999E-2</v>
      </c>
      <c r="N217">
        <v>1.11E-2</v>
      </c>
      <c r="O217">
        <v>-9.7999999999999997E-3</v>
      </c>
      <c r="P217">
        <v>1.61E-2</v>
      </c>
      <c r="Q217">
        <v>1.12E-2</v>
      </c>
      <c r="R217">
        <v>3.7900000000000003E-2</v>
      </c>
      <c r="S217">
        <v>1.7600000000000001E-2</v>
      </c>
      <c r="T217">
        <v>6.7999999999999996E-3</v>
      </c>
      <c r="U217">
        <v>6.1000000000000004E-3</v>
      </c>
      <c r="V217">
        <v>4.4299999999999999E-2</v>
      </c>
      <c r="W217">
        <v>7.9200000000000007E-2</v>
      </c>
      <c r="X217">
        <v>8.7300000000000003E-2</v>
      </c>
      <c r="Y217">
        <v>6.2399999999999997E-2</v>
      </c>
      <c r="Z217">
        <v>1.7600000000000001E-2</v>
      </c>
      <c r="AA217">
        <v>5.0000000000000001E-4</v>
      </c>
      <c r="AB217">
        <v>1.6899999999999998E-2</v>
      </c>
      <c r="AC217">
        <v>3.9800000000000002E-2</v>
      </c>
      <c r="AD217">
        <v>6.4799999999999996E-2</v>
      </c>
      <c r="AE217">
        <v>0.1019</v>
      </c>
      <c r="AF217">
        <v>0.14829999999999999</v>
      </c>
      <c r="AG217">
        <v>0.17280000000000001</v>
      </c>
      <c r="AH217">
        <v>0.18060000000000001</v>
      </c>
      <c r="AI217">
        <v>0.17249999999999999</v>
      </c>
      <c r="AJ217">
        <v>0.1535</v>
      </c>
      <c r="AK217">
        <v>0.1326</v>
      </c>
      <c r="AL217">
        <v>8.72E-2</v>
      </c>
      <c r="AM217">
        <v>7.0699999999999999E-2</v>
      </c>
      <c r="AN217">
        <v>4.7E-2</v>
      </c>
      <c r="AO217">
        <v>3.5299999999999998E-2</v>
      </c>
      <c r="AP217">
        <v>4.7100000000000003E-2</v>
      </c>
      <c r="AQ217">
        <v>5.4699999999999999E-2</v>
      </c>
      <c r="AR217">
        <v>3.9600000000000003E-2</v>
      </c>
      <c r="AS217">
        <v>3.9300000000000002E-2</v>
      </c>
      <c r="AT217">
        <v>2.64E-2</v>
      </c>
      <c r="AU217">
        <v>3.8199999999999998E-2</v>
      </c>
      <c r="AV217">
        <v>4.5499999999999999E-2</v>
      </c>
    </row>
    <row r="218" spans="1:48" x14ac:dyDescent="0.25">
      <c r="A218" t="s">
        <v>41</v>
      </c>
      <c r="B218" t="s">
        <v>2</v>
      </c>
      <c r="C218" t="s">
        <v>41</v>
      </c>
      <c r="D218">
        <v>224860</v>
      </c>
      <c r="E218" t="s">
        <v>672</v>
      </c>
      <c r="F218" t="s">
        <v>117</v>
      </c>
      <c r="G218" t="s">
        <v>670</v>
      </c>
      <c r="H218" t="s">
        <v>670</v>
      </c>
      <c r="I218">
        <v>5.8599999999999999E-2</v>
      </c>
      <c r="J218">
        <v>5.3199999999999997E-2</v>
      </c>
      <c r="K218">
        <v>3.1800000000000002E-2</v>
      </c>
      <c r="L218">
        <v>3.2599999999999997E-2</v>
      </c>
      <c r="M218">
        <v>2.8500000000000001E-2</v>
      </c>
      <c r="N218">
        <v>2.9499999999999998E-2</v>
      </c>
      <c r="O218">
        <v>3.85E-2</v>
      </c>
      <c r="P218">
        <v>2.5600000000000001E-2</v>
      </c>
      <c r="Q218">
        <v>4.4499999999999998E-2</v>
      </c>
      <c r="R218">
        <v>4.07E-2</v>
      </c>
      <c r="S218">
        <v>6.1800000000000001E-2</v>
      </c>
      <c r="T218">
        <v>7.4999999999999997E-2</v>
      </c>
      <c r="U218">
        <v>6.2300000000000001E-2</v>
      </c>
      <c r="V218">
        <v>6.6699999999999995E-2</v>
      </c>
      <c r="W218">
        <v>4.4499999999999998E-2</v>
      </c>
      <c r="X218">
        <v>3.9699999999999999E-2</v>
      </c>
      <c r="Y218">
        <v>3.56E-2</v>
      </c>
      <c r="Z218">
        <v>-1E-3</v>
      </c>
      <c r="AA218">
        <v>2.5000000000000001E-3</v>
      </c>
      <c r="AB218">
        <v>1.6899999999999998E-2</v>
      </c>
      <c r="AC218">
        <v>2.6100000000000002E-2</v>
      </c>
      <c r="AD218">
        <v>8.14E-2</v>
      </c>
      <c r="AE218">
        <v>0.14360000000000001</v>
      </c>
      <c r="AF218">
        <v>0.16830000000000001</v>
      </c>
      <c r="AG218">
        <v>0.1802</v>
      </c>
      <c r="AH218">
        <v>0.191</v>
      </c>
      <c r="AI218">
        <v>0.14960000000000001</v>
      </c>
      <c r="AJ218">
        <v>0.13150000000000001</v>
      </c>
      <c r="AK218">
        <v>9.9599999999999994E-2</v>
      </c>
      <c r="AL218">
        <v>5.7000000000000002E-2</v>
      </c>
      <c r="AM218">
        <v>2.46E-2</v>
      </c>
      <c r="AN218">
        <v>7.1000000000000004E-3</v>
      </c>
      <c r="AO218">
        <v>-1.2999999999999999E-3</v>
      </c>
      <c r="AP218">
        <v>-2.8999999999999998E-3</v>
      </c>
      <c r="AQ218">
        <v>3.0000000000000001E-3</v>
      </c>
      <c r="AR218">
        <v>8.3000000000000001E-3</v>
      </c>
      <c r="AS218">
        <v>3.7999999999999999E-2</v>
      </c>
      <c r="AT218">
        <v>3.8699999999999998E-2</v>
      </c>
      <c r="AU218">
        <v>2.9100000000000001E-2</v>
      </c>
      <c r="AV218">
        <v>1.2800000000000001E-2</v>
      </c>
    </row>
    <row r="219" spans="1:48" x14ac:dyDescent="0.25">
      <c r="A219" t="s">
        <v>324</v>
      </c>
      <c r="B219" t="s">
        <v>2</v>
      </c>
      <c r="C219" t="s">
        <v>324</v>
      </c>
      <c r="D219">
        <v>24940</v>
      </c>
      <c r="E219" t="s">
        <v>672</v>
      </c>
      <c r="F219" t="s">
        <v>117</v>
      </c>
      <c r="G219" t="s">
        <v>670</v>
      </c>
      <c r="H219" t="s">
        <v>670</v>
      </c>
      <c r="I219" t="s">
        <v>673</v>
      </c>
      <c r="J219" t="s">
        <v>673</v>
      </c>
      <c r="K219" t="s">
        <v>673</v>
      </c>
      <c r="L219" t="s">
        <v>673</v>
      </c>
      <c r="M219" t="s">
        <v>673</v>
      </c>
      <c r="N219" t="s">
        <v>673</v>
      </c>
      <c r="O219" t="s">
        <v>673</v>
      </c>
      <c r="P219" t="s">
        <v>673</v>
      </c>
      <c r="Q219" t="s">
        <v>673</v>
      </c>
      <c r="R219" t="s">
        <v>673</v>
      </c>
      <c r="S219" t="s">
        <v>673</v>
      </c>
      <c r="T219" t="s">
        <v>673</v>
      </c>
      <c r="U219" t="s">
        <v>673</v>
      </c>
      <c r="V219" t="s">
        <v>673</v>
      </c>
      <c r="W219" t="s">
        <v>673</v>
      </c>
      <c r="X219" t="s">
        <v>673</v>
      </c>
      <c r="Y219" t="s">
        <v>673</v>
      </c>
      <c r="Z219" t="s">
        <v>673</v>
      </c>
      <c r="AA219" t="s">
        <v>673</v>
      </c>
      <c r="AB219" t="s">
        <v>673</v>
      </c>
      <c r="AC219" t="s">
        <v>673</v>
      </c>
      <c r="AD219" t="s">
        <v>673</v>
      </c>
      <c r="AE219" t="s">
        <v>673</v>
      </c>
      <c r="AF219" t="s">
        <v>673</v>
      </c>
      <c r="AG219" t="s">
        <v>673</v>
      </c>
      <c r="AH219" t="s">
        <v>673</v>
      </c>
      <c r="AI219" t="s">
        <v>673</v>
      </c>
      <c r="AJ219" t="s">
        <v>673</v>
      </c>
      <c r="AK219" t="s">
        <v>673</v>
      </c>
      <c r="AL219" t="s">
        <v>673</v>
      </c>
      <c r="AM219" t="s">
        <v>673</v>
      </c>
      <c r="AN219" t="s">
        <v>673</v>
      </c>
      <c r="AO219" t="s">
        <v>673</v>
      </c>
      <c r="AP219" t="s">
        <v>673</v>
      </c>
      <c r="AQ219" t="s">
        <v>673</v>
      </c>
      <c r="AR219" t="s">
        <v>673</v>
      </c>
      <c r="AS219" t="s">
        <v>673</v>
      </c>
      <c r="AT219" t="s">
        <v>673</v>
      </c>
      <c r="AU219" t="s">
        <v>673</v>
      </c>
      <c r="AV219" t="s">
        <v>673</v>
      </c>
    </row>
    <row r="220" spans="1:48" x14ac:dyDescent="0.25">
      <c r="A220" t="s">
        <v>325</v>
      </c>
      <c r="B220" t="s">
        <v>2</v>
      </c>
      <c r="C220" t="s">
        <v>325</v>
      </c>
      <c r="D220">
        <v>25060</v>
      </c>
      <c r="E220" t="s">
        <v>672</v>
      </c>
      <c r="F220" t="s">
        <v>117</v>
      </c>
      <c r="G220" t="s">
        <v>670</v>
      </c>
      <c r="H220" t="s">
        <v>670</v>
      </c>
      <c r="I220">
        <v>5.1000000000000004E-3</v>
      </c>
      <c r="J220">
        <v>7.4000000000000003E-3</v>
      </c>
      <c r="K220">
        <v>2.7400000000000001E-2</v>
      </c>
      <c r="L220">
        <v>3.4599999999999999E-2</v>
      </c>
      <c r="M220">
        <v>3.3099999999999997E-2</v>
      </c>
      <c r="N220">
        <v>3.1800000000000002E-2</v>
      </c>
      <c r="O220">
        <v>2.4400000000000002E-2</v>
      </c>
      <c r="P220">
        <v>1.6799999999999999E-2</v>
      </c>
      <c r="Q220">
        <v>3.3000000000000002E-2</v>
      </c>
      <c r="R220">
        <v>4.4400000000000002E-2</v>
      </c>
      <c r="S220">
        <v>2.7099999999999999E-2</v>
      </c>
      <c r="T220">
        <v>3.7199999999999997E-2</v>
      </c>
      <c r="U220">
        <v>3.09E-2</v>
      </c>
      <c r="V220">
        <v>4.2599999999999999E-2</v>
      </c>
      <c r="W220">
        <v>6.3899999999999998E-2</v>
      </c>
      <c r="X220">
        <v>5.5100000000000003E-2</v>
      </c>
      <c r="Y220">
        <v>4.5699999999999998E-2</v>
      </c>
      <c r="Z220">
        <v>3.0200000000000001E-2</v>
      </c>
      <c r="AA220">
        <v>1.67E-2</v>
      </c>
      <c r="AB220">
        <v>3.2800000000000003E-2</v>
      </c>
      <c r="AC220">
        <v>4.0099999999999997E-2</v>
      </c>
      <c r="AD220">
        <v>4.2000000000000003E-2</v>
      </c>
      <c r="AE220">
        <v>8.6400000000000005E-2</v>
      </c>
      <c r="AF220">
        <v>0.1057</v>
      </c>
      <c r="AG220">
        <v>0.10970000000000001</v>
      </c>
      <c r="AH220">
        <v>0.12670000000000001</v>
      </c>
      <c r="AI220">
        <v>0.15679999999999999</v>
      </c>
      <c r="AJ220">
        <v>0.1588</v>
      </c>
      <c r="AK220">
        <v>0.13830000000000001</v>
      </c>
      <c r="AL220">
        <v>0.1191</v>
      </c>
      <c r="AM220">
        <v>7.5300000000000006E-2</v>
      </c>
      <c r="AN220">
        <v>4.58E-2</v>
      </c>
      <c r="AO220">
        <v>4.0800000000000003E-2</v>
      </c>
      <c r="AP220">
        <v>4.4699999999999997E-2</v>
      </c>
      <c r="AQ220">
        <v>3.3599999999999998E-2</v>
      </c>
      <c r="AR220">
        <v>2.24E-2</v>
      </c>
      <c r="AS220">
        <v>4.1599999999999998E-2</v>
      </c>
      <c r="AT220">
        <v>4.3799999999999999E-2</v>
      </c>
      <c r="AU220">
        <v>4.4699999999999997E-2</v>
      </c>
      <c r="AV220">
        <v>5.8700000000000002E-2</v>
      </c>
    </row>
    <row r="221" spans="1:48" x14ac:dyDescent="0.25">
      <c r="A221" t="s">
        <v>326</v>
      </c>
      <c r="B221" t="s">
        <v>2</v>
      </c>
      <c r="C221" t="s">
        <v>326</v>
      </c>
      <c r="D221">
        <v>25100</v>
      </c>
      <c r="E221" t="s">
        <v>672</v>
      </c>
      <c r="F221" t="s">
        <v>117</v>
      </c>
      <c r="G221" t="s">
        <v>670</v>
      </c>
      <c r="H221" t="s">
        <v>670</v>
      </c>
      <c r="I221" t="s">
        <v>673</v>
      </c>
      <c r="J221" t="s">
        <v>673</v>
      </c>
      <c r="K221" t="s">
        <v>673</v>
      </c>
      <c r="L221" t="s">
        <v>673</v>
      </c>
      <c r="M221" t="s">
        <v>673</v>
      </c>
      <c r="N221" t="s">
        <v>673</v>
      </c>
      <c r="O221" t="s">
        <v>673</v>
      </c>
      <c r="P221" t="s">
        <v>673</v>
      </c>
      <c r="Q221" t="s">
        <v>673</v>
      </c>
      <c r="R221" t="s">
        <v>673</v>
      </c>
      <c r="S221" t="s">
        <v>673</v>
      </c>
      <c r="T221" t="s">
        <v>673</v>
      </c>
      <c r="U221" t="s">
        <v>673</v>
      </c>
      <c r="V221" t="s">
        <v>673</v>
      </c>
      <c r="W221" t="s">
        <v>673</v>
      </c>
      <c r="X221" t="s">
        <v>673</v>
      </c>
      <c r="Y221" t="s">
        <v>673</v>
      </c>
      <c r="Z221" t="s">
        <v>673</v>
      </c>
      <c r="AA221" t="s">
        <v>673</v>
      </c>
      <c r="AB221" t="s">
        <v>673</v>
      </c>
      <c r="AC221" t="s">
        <v>673</v>
      </c>
      <c r="AD221" t="s">
        <v>673</v>
      </c>
      <c r="AE221" t="s">
        <v>673</v>
      </c>
      <c r="AF221" t="s">
        <v>673</v>
      </c>
      <c r="AG221" t="s">
        <v>673</v>
      </c>
      <c r="AH221" t="s">
        <v>673</v>
      </c>
      <c r="AI221" t="s">
        <v>673</v>
      </c>
      <c r="AJ221" t="s">
        <v>673</v>
      </c>
      <c r="AK221" t="s">
        <v>673</v>
      </c>
      <c r="AL221" t="s">
        <v>673</v>
      </c>
      <c r="AM221" t="s">
        <v>673</v>
      </c>
      <c r="AN221" t="s">
        <v>673</v>
      </c>
      <c r="AO221" t="s">
        <v>673</v>
      </c>
      <c r="AP221" t="s">
        <v>673</v>
      </c>
      <c r="AQ221" t="s">
        <v>673</v>
      </c>
      <c r="AR221" t="s">
        <v>673</v>
      </c>
      <c r="AS221" t="s">
        <v>673</v>
      </c>
      <c r="AT221" t="s">
        <v>673</v>
      </c>
      <c r="AU221" t="s">
        <v>673</v>
      </c>
      <c r="AV221" t="s">
        <v>673</v>
      </c>
    </row>
    <row r="222" spans="1:48" x14ac:dyDescent="0.25">
      <c r="A222" t="s">
        <v>327</v>
      </c>
      <c r="B222" t="s">
        <v>2</v>
      </c>
      <c r="C222" t="s">
        <v>327</v>
      </c>
      <c r="D222">
        <v>25180</v>
      </c>
      <c r="E222" t="s">
        <v>672</v>
      </c>
      <c r="F222" t="s">
        <v>117</v>
      </c>
      <c r="G222" t="s">
        <v>670</v>
      </c>
      <c r="H222" t="s">
        <v>670</v>
      </c>
      <c r="I222">
        <v>2.6100000000000002E-2</v>
      </c>
      <c r="J222">
        <v>1.5299999999999999E-2</v>
      </c>
      <c r="K222">
        <v>1.8100000000000002E-2</v>
      </c>
      <c r="L222">
        <v>3.6200000000000003E-2</v>
      </c>
      <c r="M222">
        <v>4.1000000000000002E-2</v>
      </c>
      <c r="N222">
        <v>1.1900000000000001E-2</v>
      </c>
      <c r="O222">
        <v>6.1999999999999998E-3</v>
      </c>
      <c r="P222">
        <v>-1.43E-2</v>
      </c>
      <c r="Q222">
        <v>-4.8999999999999998E-3</v>
      </c>
      <c r="R222">
        <v>3.3700000000000001E-2</v>
      </c>
      <c r="S222">
        <v>3.9699999999999999E-2</v>
      </c>
      <c r="T222">
        <v>7.0999999999999994E-2</v>
      </c>
      <c r="U222">
        <v>6.3100000000000003E-2</v>
      </c>
      <c r="V222">
        <v>3.1800000000000002E-2</v>
      </c>
      <c r="W222">
        <v>3.73E-2</v>
      </c>
      <c r="X222">
        <v>6.6E-3</v>
      </c>
      <c r="Y222">
        <v>6.4000000000000003E-3</v>
      </c>
      <c r="Z222">
        <v>2.46E-2</v>
      </c>
      <c r="AA222">
        <v>2.98E-2</v>
      </c>
      <c r="AB222">
        <v>5.4100000000000002E-2</v>
      </c>
      <c r="AC222">
        <v>6.3200000000000006E-2</v>
      </c>
      <c r="AD222">
        <v>7.2599999999999998E-2</v>
      </c>
      <c r="AE222">
        <v>8.8599999999999998E-2</v>
      </c>
      <c r="AF222">
        <v>8.0100000000000005E-2</v>
      </c>
      <c r="AG222">
        <v>0.11749999999999999</v>
      </c>
      <c r="AH222">
        <v>0.14319999999999999</v>
      </c>
      <c r="AI222">
        <v>0.1414</v>
      </c>
      <c r="AJ222">
        <v>0.13850000000000001</v>
      </c>
      <c r="AK222">
        <v>7.8600000000000003E-2</v>
      </c>
      <c r="AL222">
        <v>5.79E-2</v>
      </c>
      <c r="AM222">
        <v>1.9400000000000001E-2</v>
      </c>
      <c r="AN222">
        <v>1.34E-2</v>
      </c>
      <c r="AO222">
        <v>2.8500000000000001E-2</v>
      </c>
      <c r="AP222">
        <v>4.7100000000000003E-2</v>
      </c>
      <c r="AQ222">
        <v>7.2800000000000004E-2</v>
      </c>
      <c r="AR222">
        <v>6.7799999999999999E-2</v>
      </c>
      <c r="AS222">
        <v>5.45E-2</v>
      </c>
      <c r="AT222">
        <v>3.2800000000000003E-2</v>
      </c>
      <c r="AU222">
        <v>3.3099999999999997E-2</v>
      </c>
      <c r="AV222">
        <v>3.7900000000000003E-2</v>
      </c>
    </row>
    <row r="223" spans="1:48" x14ac:dyDescent="0.25">
      <c r="A223" t="s">
        <v>328</v>
      </c>
      <c r="B223" t="s">
        <v>2</v>
      </c>
      <c r="C223" t="s">
        <v>328</v>
      </c>
      <c r="D223">
        <v>25200</v>
      </c>
      <c r="E223" t="s">
        <v>672</v>
      </c>
      <c r="F223" t="s">
        <v>117</v>
      </c>
      <c r="G223" t="s">
        <v>670</v>
      </c>
      <c r="H223" t="s">
        <v>670</v>
      </c>
      <c r="I223" t="s">
        <v>673</v>
      </c>
      <c r="J223" t="s">
        <v>673</v>
      </c>
      <c r="K223" t="s">
        <v>673</v>
      </c>
      <c r="L223" t="s">
        <v>673</v>
      </c>
      <c r="M223" t="s">
        <v>673</v>
      </c>
      <c r="N223" t="s">
        <v>673</v>
      </c>
      <c r="O223" t="s">
        <v>673</v>
      </c>
      <c r="P223" t="s">
        <v>673</v>
      </c>
      <c r="Q223" t="s">
        <v>673</v>
      </c>
      <c r="R223" t="s">
        <v>673</v>
      </c>
      <c r="S223" t="s">
        <v>673</v>
      </c>
      <c r="T223" t="s">
        <v>673</v>
      </c>
      <c r="U223" t="s">
        <v>673</v>
      </c>
      <c r="V223" t="s">
        <v>673</v>
      </c>
      <c r="W223" t="s">
        <v>673</v>
      </c>
      <c r="X223" t="s">
        <v>673</v>
      </c>
      <c r="Y223" t="s">
        <v>673</v>
      </c>
      <c r="Z223" t="s">
        <v>673</v>
      </c>
      <c r="AA223" t="s">
        <v>673</v>
      </c>
      <c r="AB223" t="s">
        <v>673</v>
      </c>
      <c r="AC223" t="s">
        <v>673</v>
      </c>
      <c r="AD223" t="s">
        <v>673</v>
      </c>
      <c r="AE223" t="s">
        <v>673</v>
      </c>
      <c r="AF223" t="s">
        <v>673</v>
      </c>
      <c r="AG223" t="s">
        <v>673</v>
      </c>
      <c r="AH223" t="s">
        <v>673</v>
      </c>
      <c r="AI223" t="s">
        <v>673</v>
      </c>
      <c r="AJ223" t="s">
        <v>673</v>
      </c>
      <c r="AK223" t="s">
        <v>673</v>
      </c>
      <c r="AL223" t="s">
        <v>673</v>
      </c>
      <c r="AM223" t="s">
        <v>673</v>
      </c>
      <c r="AN223" t="s">
        <v>673</v>
      </c>
      <c r="AO223" t="s">
        <v>673</v>
      </c>
      <c r="AP223" t="s">
        <v>673</v>
      </c>
      <c r="AQ223" t="s">
        <v>673</v>
      </c>
      <c r="AR223" t="s">
        <v>673</v>
      </c>
      <c r="AS223" t="s">
        <v>673</v>
      </c>
      <c r="AT223" t="s">
        <v>673</v>
      </c>
      <c r="AU223" t="s">
        <v>673</v>
      </c>
      <c r="AV223" t="s">
        <v>673</v>
      </c>
    </row>
    <row r="224" spans="1:48" x14ac:dyDescent="0.25">
      <c r="A224" t="s">
        <v>329</v>
      </c>
      <c r="B224" t="s">
        <v>2</v>
      </c>
      <c r="C224" t="s">
        <v>329</v>
      </c>
      <c r="D224">
        <v>25220</v>
      </c>
      <c r="E224" t="s">
        <v>672</v>
      </c>
      <c r="F224" t="s">
        <v>117</v>
      </c>
      <c r="G224" t="s">
        <v>670</v>
      </c>
      <c r="H224" t="s">
        <v>670</v>
      </c>
      <c r="I224" t="s">
        <v>673</v>
      </c>
      <c r="J224">
        <v>-2.2499999999999999E-2</v>
      </c>
      <c r="K224" t="s">
        <v>673</v>
      </c>
      <c r="L224" t="s">
        <v>673</v>
      </c>
      <c r="M224" t="s">
        <v>673</v>
      </c>
      <c r="N224">
        <v>-1.21E-2</v>
      </c>
      <c r="O224">
        <v>-1.9900000000000001E-2</v>
      </c>
      <c r="P224">
        <v>6.2899999999999998E-2</v>
      </c>
      <c r="Q224">
        <v>5.8700000000000002E-2</v>
      </c>
      <c r="R224">
        <v>3.6400000000000002E-2</v>
      </c>
      <c r="S224">
        <v>3.7999999999999999E-2</v>
      </c>
      <c r="T224">
        <v>2.5499999999999998E-2</v>
      </c>
      <c r="U224">
        <v>4.5999999999999999E-2</v>
      </c>
      <c r="V224">
        <v>1.95E-2</v>
      </c>
      <c r="W224">
        <v>2.52E-2</v>
      </c>
      <c r="X224">
        <v>4.53E-2</v>
      </c>
      <c r="Y224">
        <v>1.9E-3</v>
      </c>
      <c r="Z224">
        <v>8.0999999999999996E-3</v>
      </c>
      <c r="AA224">
        <v>9.7000000000000003E-3</v>
      </c>
      <c r="AB224">
        <v>0.13400000000000001</v>
      </c>
      <c r="AC224">
        <v>0.16800000000000001</v>
      </c>
      <c r="AD224">
        <v>0.25719999999999998</v>
      </c>
      <c r="AE224">
        <v>0.39610000000000001</v>
      </c>
      <c r="AF224">
        <v>0.19819999999999999</v>
      </c>
      <c r="AG224">
        <v>0.1434</v>
      </c>
      <c r="AH224">
        <v>0.10920000000000001</v>
      </c>
      <c r="AI224">
        <v>-1.12E-2</v>
      </c>
      <c r="AJ224">
        <v>-4.5199999999999997E-2</v>
      </c>
      <c r="AK224">
        <v>-1.8E-3</v>
      </c>
      <c r="AL224">
        <v>-1.1000000000000001E-3</v>
      </c>
      <c r="AM224">
        <v>0.01</v>
      </c>
      <c r="AN224">
        <v>-1.1599999999999999E-2</v>
      </c>
      <c r="AO224">
        <v>-1.32E-2</v>
      </c>
      <c r="AP224">
        <v>1.11E-2</v>
      </c>
      <c r="AQ224">
        <v>1.49E-2</v>
      </c>
      <c r="AR224">
        <v>0.1013</v>
      </c>
      <c r="AS224">
        <v>7.1300000000000002E-2</v>
      </c>
      <c r="AT224">
        <v>7.0000000000000007E-2</v>
      </c>
      <c r="AU224">
        <v>4.5400000000000003E-2</v>
      </c>
      <c r="AV224">
        <v>1.6799999999999999E-2</v>
      </c>
    </row>
    <row r="225" spans="1:48" x14ac:dyDescent="0.25">
      <c r="A225" t="s">
        <v>330</v>
      </c>
      <c r="B225" t="s">
        <v>2</v>
      </c>
      <c r="C225" t="s">
        <v>330</v>
      </c>
      <c r="D225">
        <v>25260</v>
      </c>
      <c r="E225" t="s">
        <v>672</v>
      </c>
      <c r="F225" t="s">
        <v>117</v>
      </c>
      <c r="G225" t="s">
        <v>670</v>
      </c>
      <c r="H225" t="s">
        <v>670</v>
      </c>
      <c r="I225" t="s">
        <v>673</v>
      </c>
      <c r="J225" t="s">
        <v>673</v>
      </c>
      <c r="K225" t="s">
        <v>673</v>
      </c>
      <c r="L225" t="s">
        <v>673</v>
      </c>
      <c r="M225" t="s">
        <v>673</v>
      </c>
      <c r="N225">
        <v>-8.0799999999999997E-2</v>
      </c>
      <c r="O225">
        <v>-0.1298</v>
      </c>
      <c r="P225">
        <v>-3.0200000000000001E-2</v>
      </c>
      <c r="Q225">
        <v>-2.2000000000000001E-3</v>
      </c>
      <c r="R225">
        <v>5.2900000000000003E-2</v>
      </c>
      <c r="S225">
        <v>6.5500000000000003E-2</v>
      </c>
      <c r="T225">
        <v>5.4100000000000002E-2</v>
      </c>
      <c r="U225">
        <v>4.8500000000000001E-2</v>
      </c>
      <c r="V225">
        <v>4.6600000000000003E-2</v>
      </c>
      <c r="W225">
        <v>0.1027</v>
      </c>
      <c r="X225">
        <v>0.12130000000000001</v>
      </c>
      <c r="Y225">
        <v>0.11840000000000001</v>
      </c>
      <c r="Z225">
        <v>7.22E-2</v>
      </c>
      <c r="AA225">
        <v>5.0999999999999997E-2</v>
      </c>
      <c r="AB225">
        <v>0.1089</v>
      </c>
      <c r="AC225">
        <v>0.16400000000000001</v>
      </c>
      <c r="AD225">
        <v>0.19950000000000001</v>
      </c>
      <c r="AE225">
        <v>0.21879999999999999</v>
      </c>
      <c r="AF225">
        <v>0.1191</v>
      </c>
      <c r="AG225">
        <v>6.6799999999999998E-2</v>
      </c>
      <c r="AH225">
        <v>7.3599999999999999E-2</v>
      </c>
      <c r="AI225">
        <v>3.1899999999999998E-2</v>
      </c>
      <c r="AJ225">
        <v>5.4899999999999997E-2</v>
      </c>
      <c r="AK225">
        <v>2.5499999999999998E-2</v>
      </c>
      <c r="AL225">
        <v>-6.4999999999999997E-3</v>
      </c>
      <c r="AM225">
        <v>-2.3800000000000002E-2</v>
      </c>
      <c r="AN225">
        <v>4.3E-3</v>
      </c>
      <c r="AO225">
        <v>2.3699999999999999E-2</v>
      </c>
      <c r="AP225">
        <v>1.0500000000000001E-2</v>
      </c>
      <c r="AQ225">
        <v>-1.2999999999999999E-3</v>
      </c>
      <c r="AR225">
        <v>-2.7900000000000001E-2</v>
      </c>
      <c r="AS225">
        <v>2.3E-3</v>
      </c>
      <c r="AT225">
        <v>8.9999999999999993E-3</v>
      </c>
      <c r="AU225">
        <v>1.3100000000000001E-2</v>
      </c>
      <c r="AV225">
        <v>5.0799999999999998E-2</v>
      </c>
    </row>
    <row r="226" spans="1:48" x14ac:dyDescent="0.25">
      <c r="A226" t="s">
        <v>331</v>
      </c>
      <c r="B226" t="s">
        <v>2</v>
      </c>
      <c r="C226" t="s">
        <v>331</v>
      </c>
      <c r="D226">
        <v>25420</v>
      </c>
      <c r="E226" t="s">
        <v>672</v>
      </c>
      <c r="F226" t="s">
        <v>117</v>
      </c>
      <c r="G226" t="s">
        <v>670</v>
      </c>
      <c r="H226" t="s">
        <v>670</v>
      </c>
      <c r="I226">
        <v>2.35E-2</v>
      </c>
      <c r="J226">
        <v>5.2699999999999997E-2</v>
      </c>
      <c r="K226">
        <v>2.92E-2</v>
      </c>
      <c r="L226">
        <v>2.5000000000000001E-2</v>
      </c>
      <c r="M226">
        <v>3.1399999999999997E-2</v>
      </c>
      <c r="N226">
        <v>2.2000000000000001E-3</v>
      </c>
      <c r="O226">
        <v>1.46E-2</v>
      </c>
      <c r="P226">
        <v>1.4200000000000001E-2</v>
      </c>
      <c r="Q226">
        <v>2.24E-2</v>
      </c>
      <c r="R226">
        <v>1.7399999999999999E-2</v>
      </c>
      <c r="S226">
        <v>4.2099999999999999E-2</v>
      </c>
      <c r="T226">
        <v>3.73E-2</v>
      </c>
      <c r="U226">
        <v>3.0800000000000001E-2</v>
      </c>
      <c r="V226">
        <v>4.4699999999999997E-2</v>
      </c>
      <c r="W226">
        <v>3.78E-2</v>
      </c>
      <c r="X226">
        <v>4.2799999999999998E-2</v>
      </c>
      <c r="Y226">
        <v>4.7800000000000002E-2</v>
      </c>
      <c r="Z226">
        <v>3.1099999999999999E-2</v>
      </c>
      <c r="AA226">
        <v>4.02E-2</v>
      </c>
      <c r="AB226">
        <v>6.0100000000000001E-2</v>
      </c>
      <c r="AC226">
        <v>5.2699999999999997E-2</v>
      </c>
      <c r="AD226">
        <v>6.1699999999999998E-2</v>
      </c>
      <c r="AE226">
        <v>6.7500000000000004E-2</v>
      </c>
      <c r="AF226">
        <v>8.5500000000000007E-2</v>
      </c>
      <c r="AG226">
        <v>0.107</v>
      </c>
      <c r="AH226">
        <v>0.11550000000000001</v>
      </c>
      <c r="AI226">
        <v>0.1084</v>
      </c>
      <c r="AJ226">
        <v>7.9600000000000004E-2</v>
      </c>
      <c r="AK226">
        <v>5.57E-2</v>
      </c>
      <c r="AL226">
        <v>4.02E-2</v>
      </c>
      <c r="AM226">
        <v>2.8400000000000002E-2</v>
      </c>
      <c r="AN226">
        <v>2.4799999999999999E-2</v>
      </c>
      <c r="AO226">
        <v>2.7099999999999999E-2</v>
      </c>
      <c r="AP226">
        <v>3.1199999999999999E-2</v>
      </c>
      <c r="AQ226">
        <v>3.1899999999999998E-2</v>
      </c>
      <c r="AR226">
        <v>4.5499999999999999E-2</v>
      </c>
      <c r="AS226">
        <v>5.1900000000000002E-2</v>
      </c>
      <c r="AT226">
        <v>5.2499999999999998E-2</v>
      </c>
      <c r="AU226">
        <v>5.3199999999999997E-2</v>
      </c>
      <c r="AV226">
        <v>4.2099999999999999E-2</v>
      </c>
    </row>
    <row r="227" spans="1:48" x14ac:dyDescent="0.25">
      <c r="A227" t="s">
        <v>332</v>
      </c>
      <c r="B227" t="s">
        <v>2</v>
      </c>
      <c r="C227" t="s">
        <v>332</v>
      </c>
      <c r="D227">
        <v>25460</v>
      </c>
      <c r="E227" t="s">
        <v>672</v>
      </c>
      <c r="F227" t="s">
        <v>117</v>
      </c>
      <c r="G227" t="s">
        <v>670</v>
      </c>
      <c r="H227" t="s">
        <v>670</v>
      </c>
      <c r="I227" t="s">
        <v>673</v>
      </c>
      <c r="J227" t="s">
        <v>673</v>
      </c>
      <c r="K227" t="s">
        <v>673</v>
      </c>
      <c r="L227" t="s">
        <v>673</v>
      </c>
      <c r="M227" t="s">
        <v>673</v>
      </c>
      <c r="N227" t="s">
        <v>673</v>
      </c>
      <c r="O227" t="s">
        <v>673</v>
      </c>
      <c r="P227" t="s">
        <v>673</v>
      </c>
      <c r="Q227" t="s">
        <v>673</v>
      </c>
      <c r="R227" t="s">
        <v>673</v>
      </c>
      <c r="S227" t="s">
        <v>673</v>
      </c>
      <c r="T227" t="s">
        <v>673</v>
      </c>
      <c r="U227" t="s">
        <v>673</v>
      </c>
      <c r="V227" t="s">
        <v>673</v>
      </c>
      <c r="W227" t="s">
        <v>673</v>
      </c>
      <c r="X227" t="s">
        <v>673</v>
      </c>
      <c r="Y227" t="s">
        <v>673</v>
      </c>
      <c r="Z227" t="s">
        <v>673</v>
      </c>
      <c r="AA227" t="s">
        <v>673</v>
      </c>
      <c r="AB227" t="s">
        <v>673</v>
      </c>
      <c r="AC227" t="s">
        <v>673</v>
      </c>
      <c r="AD227" t="s">
        <v>673</v>
      </c>
      <c r="AE227" t="s">
        <v>673</v>
      </c>
      <c r="AF227" t="s">
        <v>673</v>
      </c>
      <c r="AG227" t="s">
        <v>673</v>
      </c>
      <c r="AH227" t="s">
        <v>673</v>
      </c>
      <c r="AI227" t="s">
        <v>673</v>
      </c>
      <c r="AJ227" t="s">
        <v>673</v>
      </c>
      <c r="AK227" t="s">
        <v>673</v>
      </c>
      <c r="AL227" t="s">
        <v>673</v>
      </c>
      <c r="AM227" t="s">
        <v>673</v>
      </c>
      <c r="AN227" t="s">
        <v>673</v>
      </c>
      <c r="AO227" t="s">
        <v>673</v>
      </c>
      <c r="AP227" t="s">
        <v>673</v>
      </c>
      <c r="AQ227" t="s">
        <v>673</v>
      </c>
      <c r="AR227" t="s">
        <v>673</v>
      </c>
      <c r="AS227" t="s">
        <v>673</v>
      </c>
      <c r="AT227" t="s">
        <v>673</v>
      </c>
      <c r="AU227" t="s">
        <v>673</v>
      </c>
      <c r="AV227" t="s">
        <v>673</v>
      </c>
    </row>
    <row r="228" spans="1:48" x14ac:dyDescent="0.25">
      <c r="A228" t="s">
        <v>333</v>
      </c>
      <c r="B228" t="s">
        <v>2</v>
      </c>
      <c r="C228" t="s">
        <v>333</v>
      </c>
      <c r="D228">
        <v>25500</v>
      </c>
      <c r="E228" t="s">
        <v>672</v>
      </c>
      <c r="F228" t="s">
        <v>117</v>
      </c>
      <c r="G228" t="s">
        <v>670</v>
      </c>
      <c r="H228" t="s">
        <v>670</v>
      </c>
      <c r="I228">
        <v>0.1525</v>
      </c>
      <c r="J228">
        <v>0.1729</v>
      </c>
      <c r="K228">
        <v>0.15529999999999999</v>
      </c>
      <c r="L228">
        <v>4.5900000000000003E-2</v>
      </c>
      <c r="M228">
        <v>9.2100000000000001E-2</v>
      </c>
      <c r="N228">
        <v>0.1084</v>
      </c>
      <c r="O228">
        <v>7.8899999999999998E-2</v>
      </c>
      <c r="P228">
        <v>8.2000000000000003E-2</v>
      </c>
      <c r="Q228">
        <v>2.52E-2</v>
      </c>
      <c r="R228">
        <v>-1.0800000000000001E-2</v>
      </c>
      <c r="S228">
        <v>3.2899999999999999E-2</v>
      </c>
      <c r="T228">
        <v>3.8899999999999997E-2</v>
      </c>
      <c r="U228">
        <v>4.0599999999999997E-2</v>
      </c>
      <c r="V228">
        <v>4.8000000000000001E-2</v>
      </c>
      <c r="W228">
        <v>6.4299999999999996E-2</v>
      </c>
      <c r="X228">
        <v>5.7500000000000002E-2</v>
      </c>
      <c r="Y228">
        <v>5.6099999999999997E-2</v>
      </c>
      <c r="Z228">
        <v>4.5400000000000003E-2</v>
      </c>
      <c r="AA228">
        <v>5.7999999999999996E-3</v>
      </c>
      <c r="AB228">
        <v>7.7000000000000002E-3</v>
      </c>
      <c r="AC228">
        <v>2.9399999999999999E-2</v>
      </c>
      <c r="AD228">
        <v>4.6800000000000001E-2</v>
      </c>
      <c r="AE228">
        <v>6.5299999999999997E-2</v>
      </c>
      <c r="AF228">
        <v>6.4600000000000005E-2</v>
      </c>
      <c r="AG228">
        <v>7.3899999999999993E-2</v>
      </c>
      <c r="AH228">
        <v>0.13880000000000001</v>
      </c>
      <c r="AI228">
        <v>0.15939999999999999</v>
      </c>
      <c r="AJ228">
        <v>0.18079999999999999</v>
      </c>
      <c r="AK228">
        <v>0.1532</v>
      </c>
      <c r="AL228">
        <v>9.3600000000000003E-2</v>
      </c>
      <c r="AM228">
        <v>9.4500000000000001E-2</v>
      </c>
      <c r="AN228">
        <v>0.12620000000000001</v>
      </c>
      <c r="AO228">
        <v>0.14649999999999999</v>
      </c>
      <c r="AP228">
        <v>0.1431</v>
      </c>
      <c r="AQ228">
        <v>0.14680000000000001</v>
      </c>
      <c r="AR228">
        <v>7.1900000000000006E-2</v>
      </c>
      <c r="AS228">
        <v>4.3900000000000002E-2</v>
      </c>
      <c r="AT228">
        <v>4.1099999999999998E-2</v>
      </c>
      <c r="AU228">
        <v>-1.5800000000000002E-2</v>
      </c>
      <c r="AV228">
        <v>3.4599999999999999E-2</v>
      </c>
    </row>
    <row r="229" spans="1:48" x14ac:dyDescent="0.25">
      <c r="A229" t="s">
        <v>334</v>
      </c>
      <c r="B229" t="s">
        <v>2</v>
      </c>
      <c r="C229" t="s">
        <v>334</v>
      </c>
      <c r="D229">
        <v>25540</v>
      </c>
      <c r="E229" t="s">
        <v>672</v>
      </c>
      <c r="F229" t="s">
        <v>117</v>
      </c>
      <c r="G229" t="s">
        <v>670</v>
      </c>
      <c r="H229" t="s">
        <v>670</v>
      </c>
      <c r="I229">
        <v>1.7500000000000002E-2</v>
      </c>
      <c r="J229">
        <v>8.8999999999999999E-3</v>
      </c>
      <c r="K229">
        <v>4.1999999999999997E-3</v>
      </c>
      <c r="L229">
        <v>9.2999999999999992E-3</v>
      </c>
      <c r="M229">
        <v>0.03</v>
      </c>
      <c r="N229">
        <v>2.76E-2</v>
      </c>
      <c r="O229">
        <v>3.0499999999999999E-2</v>
      </c>
      <c r="P229">
        <v>4.4600000000000001E-2</v>
      </c>
      <c r="Q229">
        <v>2.1999999999999999E-2</v>
      </c>
      <c r="R229">
        <v>1.4999999999999999E-2</v>
      </c>
      <c r="S229">
        <v>3.4799999999999998E-2</v>
      </c>
      <c r="T229">
        <v>3.5499999999999997E-2</v>
      </c>
      <c r="U229">
        <v>5.0099999999999999E-2</v>
      </c>
      <c r="V229">
        <v>5.1400000000000001E-2</v>
      </c>
      <c r="W229">
        <v>4.2500000000000003E-2</v>
      </c>
      <c r="X229">
        <v>3.3500000000000002E-2</v>
      </c>
      <c r="Y229">
        <v>3.3000000000000002E-2</v>
      </c>
      <c r="Z229">
        <v>2.3300000000000001E-2</v>
      </c>
      <c r="AA229">
        <v>1.9699999999999999E-2</v>
      </c>
      <c r="AB229">
        <v>3.6700000000000003E-2</v>
      </c>
      <c r="AC229">
        <v>2.76E-2</v>
      </c>
      <c r="AD229">
        <v>5.1900000000000002E-2</v>
      </c>
      <c r="AE229">
        <v>0.1024</v>
      </c>
      <c r="AF229">
        <v>9.3899999999999997E-2</v>
      </c>
      <c r="AG229">
        <v>0.10730000000000001</v>
      </c>
      <c r="AH229">
        <v>0.1111</v>
      </c>
      <c r="AI229">
        <v>0.1021</v>
      </c>
      <c r="AJ229">
        <v>9.2999999999999999E-2</v>
      </c>
      <c r="AK229">
        <v>8.6800000000000002E-2</v>
      </c>
      <c r="AL229">
        <v>7.9299999999999995E-2</v>
      </c>
      <c r="AM229">
        <v>5.4899999999999997E-2</v>
      </c>
      <c r="AN229">
        <v>5.8700000000000002E-2</v>
      </c>
      <c r="AO229">
        <v>6.1100000000000002E-2</v>
      </c>
      <c r="AP229">
        <v>5.6899999999999999E-2</v>
      </c>
      <c r="AQ229">
        <v>5.9299999999999999E-2</v>
      </c>
      <c r="AR229">
        <v>5.0099999999999999E-2</v>
      </c>
      <c r="AS229">
        <v>4.9799999999999997E-2</v>
      </c>
      <c r="AT229">
        <v>5.2999999999999999E-2</v>
      </c>
      <c r="AU229">
        <v>3.6499999999999998E-2</v>
      </c>
      <c r="AV229">
        <v>3.0300000000000001E-2</v>
      </c>
    </row>
    <row r="230" spans="1:48" x14ac:dyDescent="0.25">
      <c r="A230" t="s">
        <v>335</v>
      </c>
      <c r="B230" t="s">
        <v>2</v>
      </c>
      <c r="C230" t="s">
        <v>335</v>
      </c>
      <c r="D230">
        <v>25620</v>
      </c>
      <c r="E230" t="s">
        <v>672</v>
      </c>
      <c r="F230" t="s">
        <v>117</v>
      </c>
      <c r="G230" t="s">
        <v>670</v>
      </c>
      <c r="H230" t="s">
        <v>670</v>
      </c>
      <c r="I230">
        <v>5.2499999999999998E-2</v>
      </c>
      <c r="J230">
        <v>4.0500000000000001E-2</v>
      </c>
      <c r="K230">
        <v>-4.3799999999999999E-2</v>
      </c>
      <c r="L230">
        <v>-1.46E-2</v>
      </c>
      <c r="M230">
        <v>-2.1600000000000001E-2</v>
      </c>
      <c r="N230">
        <v>-4.4699999999999997E-2</v>
      </c>
      <c r="O230">
        <v>1.47E-2</v>
      </c>
      <c r="P230">
        <v>8.3999999999999995E-3</v>
      </c>
      <c r="Q230">
        <v>9.1000000000000004E-3</v>
      </c>
      <c r="R230">
        <v>2.1100000000000001E-2</v>
      </c>
      <c r="S230">
        <v>2.2599999999999999E-2</v>
      </c>
      <c r="T230">
        <v>1.61E-2</v>
      </c>
      <c r="U230">
        <v>2.3999999999999998E-3</v>
      </c>
      <c r="V230">
        <v>2.1000000000000001E-2</v>
      </c>
      <c r="W230">
        <v>3.8999999999999998E-3</v>
      </c>
      <c r="X230">
        <v>-2.0000000000000001E-4</v>
      </c>
      <c r="Y230">
        <v>2.0299999999999999E-2</v>
      </c>
      <c r="Z230">
        <v>1.4200000000000001E-2</v>
      </c>
      <c r="AA230">
        <v>9.4600000000000004E-2</v>
      </c>
      <c r="AB230">
        <v>9.5899999999999999E-2</v>
      </c>
      <c r="AC230">
        <v>9.5500000000000002E-2</v>
      </c>
      <c r="AD230">
        <v>0.11600000000000001</v>
      </c>
      <c r="AE230">
        <v>8.2699999999999996E-2</v>
      </c>
      <c r="AF230">
        <v>9.8500000000000004E-2</v>
      </c>
      <c r="AG230">
        <v>8.4099999999999994E-2</v>
      </c>
      <c r="AH230">
        <v>0.1133</v>
      </c>
      <c r="AI230">
        <v>0.1096</v>
      </c>
      <c r="AJ230">
        <v>0.13439999999999999</v>
      </c>
      <c r="AK230">
        <v>0.13070000000000001</v>
      </c>
      <c r="AL230">
        <v>0.12230000000000001</v>
      </c>
      <c r="AM230">
        <v>5.8900000000000001E-2</v>
      </c>
      <c r="AN230">
        <v>3.2599999999999997E-2</v>
      </c>
      <c r="AO230">
        <v>6.1199999999999997E-2</v>
      </c>
      <c r="AP230">
        <v>0.03</v>
      </c>
      <c r="AQ230">
        <v>8.0199999999999994E-2</v>
      </c>
      <c r="AR230">
        <v>6.7900000000000002E-2</v>
      </c>
      <c r="AS230">
        <v>4.5199999999999997E-2</v>
      </c>
      <c r="AT230">
        <v>1.04E-2</v>
      </c>
      <c r="AU230">
        <v>6.9999999999999999E-4</v>
      </c>
      <c r="AV230">
        <v>-6.1999999999999998E-3</v>
      </c>
    </row>
    <row r="231" spans="1:48" x14ac:dyDescent="0.25">
      <c r="A231" t="s">
        <v>336</v>
      </c>
      <c r="B231" t="s">
        <v>2</v>
      </c>
      <c r="C231" t="s">
        <v>336</v>
      </c>
      <c r="D231">
        <v>25700</v>
      </c>
      <c r="E231" t="s">
        <v>672</v>
      </c>
      <c r="F231" t="s">
        <v>117</v>
      </c>
      <c r="G231" t="s">
        <v>670</v>
      </c>
      <c r="H231" t="s">
        <v>670</v>
      </c>
      <c r="I231" t="s">
        <v>673</v>
      </c>
      <c r="J231" t="s">
        <v>673</v>
      </c>
      <c r="K231" t="s">
        <v>673</v>
      </c>
      <c r="L231" t="s">
        <v>673</v>
      </c>
      <c r="M231" t="s">
        <v>673</v>
      </c>
      <c r="N231" t="s">
        <v>673</v>
      </c>
      <c r="O231" t="s">
        <v>673</v>
      </c>
      <c r="P231" t="s">
        <v>673</v>
      </c>
      <c r="Q231" t="s">
        <v>673</v>
      </c>
      <c r="R231" t="s">
        <v>673</v>
      </c>
      <c r="S231" t="s">
        <v>673</v>
      </c>
      <c r="T231" t="s">
        <v>673</v>
      </c>
      <c r="U231" t="s">
        <v>673</v>
      </c>
      <c r="V231" t="s">
        <v>673</v>
      </c>
      <c r="W231" t="s">
        <v>673</v>
      </c>
      <c r="X231" t="s">
        <v>673</v>
      </c>
      <c r="Y231" t="s">
        <v>673</v>
      </c>
      <c r="Z231" t="s">
        <v>673</v>
      </c>
      <c r="AA231" t="s">
        <v>673</v>
      </c>
      <c r="AB231" t="s">
        <v>673</v>
      </c>
      <c r="AC231" t="s">
        <v>673</v>
      </c>
      <c r="AD231" t="s">
        <v>673</v>
      </c>
      <c r="AE231" t="s">
        <v>673</v>
      </c>
      <c r="AF231" t="s">
        <v>673</v>
      </c>
      <c r="AG231" t="s">
        <v>673</v>
      </c>
      <c r="AH231" t="s">
        <v>673</v>
      </c>
      <c r="AI231" t="s">
        <v>673</v>
      </c>
      <c r="AJ231" t="s">
        <v>673</v>
      </c>
      <c r="AK231" t="s">
        <v>673</v>
      </c>
      <c r="AL231" t="s">
        <v>673</v>
      </c>
      <c r="AM231" t="s">
        <v>673</v>
      </c>
      <c r="AN231" t="s">
        <v>673</v>
      </c>
      <c r="AO231" t="s">
        <v>673</v>
      </c>
      <c r="AP231" t="s">
        <v>673</v>
      </c>
      <c r="AQ231" t="s">
        <v>673</v>
      </c>
      <c r="AR231" t="s">
        <v>673</v>
      </c>
      <c r="AS231" t="s">
        <v>673</v>
      </c>
      <c r="AT231" t="s">
        <v>673</v>
      </c>
      <c r="AU231" t="s">
        <v>673</v>
      </c>
      <c r="AV231" t="s">
        <v>673</v>
      </c>
    </row>
    <row r="232" spans="1:48" x14ac:dyDescent="0.25">
      <c r="A232" t="s">
        <v>337</v>
      </c>
      <c r="B232" t="s">
        <v>2</v>
      </c>
      <c r="C232" t="s">
        <v>337</v>
      </c>
      <c r="D232">
        <v>25720</v>
      </c>
      <c r="E232" t="s">
        <v>672</v>
      </c>
      <c r="F232" t="s">
        <v>117</v>
      </c>
      <c r="G232" t="s">
        <v>670</v>
      </c>
      <c r="H232" t="s">
        <v>670</v>
      </c>
      <c r="I232" t="s">
        <v>673</v>
      </c>
      <c r="J232" t="s">
        <v>673</v>
      </c>
      <c r="K232" t="s">
        <v>673</v>
      </c>
      <c r="L232" t="s">
        <v>673</v>
      </c>
      <c r="M232" t="s">
        <v>673</v>
      </c>
      <c r="N232" t="s">
        <v>673</v>
      </c>
      <c r="O232" t="s">
        <v>673</v>
      </c>
      <c r="P232" t="s">
        <v>673</v>
      </c>
      <c r="Q232" t="s">
        <v>673</v>
      </c>
      <c r="R232" t="s">
        <v>673</v>
      </c>
      <c r="S232" t="s">
        <v>673</v>
      </c>
      <c r="T232" t="s">
        <v>673</v>
      </c>
      <c r="U232" t="s">
        <v>673</v>
      </c>
      <c r="V232" t="s">
        <v>673</v>
      </c>
      <c r="W232" t="s">
        <v>673</v>
      </c>
      <c r="X232" t="s">
        <v>673</v>
      </c>
      <c r="Y232" t="s">
        <v>673</v>
      </c>
      <c r="Z232" t="s">
        <v>673</v>
      </c>
      <c r="AA232" t="s">
        <v>673</v>
      </c>
      <c r="AB232" t="s">
        <v>673</v>
      </c>
      <c r="AC232" t="s">
        <v>673</v>
      </c>
      <c r="AD232" t="s">
        <v>673</v>
      </c>
      <c r="AE232" t="s">
        <v>673</v>
      </c>
      <c r="AF232" t="s">
        <v>673</v>
      </c>
      <c r="AG232">
        <v>0.12379999999999999</v>
      </c>
      <c r="AH232">
        <v>0.187</v>
      </c>
      <c r="AI232">
        <v>0.20519999999999999</v>
      </c>
      <c r="AJ232">
        <v>0.23119999999999999</v>
      </c>
      <c r="AK232">
        <v>0.1769</v>
      </c>
      <c r="AL232">
        <v>0.1163</v>
      </c>
      <c r="AM232">
        <v>6.1499999999999999E-2</v>
      </c>
      <c r="AN232">
        <v>8.2100000000000006E-2</v>
      </c>
      <c r="AO232">
        <v>0.1003</v>
      </c>
      <c r="AP232">
        <v>5.7700000000000001E-2</v>
      </c>
      <c r="AQ232">
        <v>2.1999999999999999E-2</v>
      </c>
      <c r="AR232">
        <v>-2.0199999999999999E-2</v>
      </c>
      <c r="AS232">
        <v>-7.0800000000000002E-2</v>
      </c>
      <c r="AT232">
        <v>-7.6399999999999996E-2</v>
      </c>
      <c r="AU232">
        <v>-6.2600000000000003E-2</v>
      </c>
      <c r="AV232">
        <v>-7.3800000000000004E-2</v>
      </c>
    </row>
    <row r="233" spans="1:48" x14ac:dyDescent="0.25">
      <c r="A233" t="s">
        <v>338</v>
      </c>
      <c r="B233" t="s">
        <v>2</v>
      </c>
      <c r="C233" t="s">
        <v>338</v>
      </c>
      <c r="D233">
        <v>25740</v>
      </c>
      <c r="E233" t="s">
        <v>672</v>
      </c>
      <c r="F233" t="s">
        <v>117</v>
      </c>
      <c r="G233" t="s">
        <v>670</v>
      </c>
      <c r="H233" t="s">
        <v>670</v>
      </c>
      <c r="I233" t="s">
        <v>673</v>
      </c>
      <c r="J233" t="s">
        <v>673</v>
      </c>
      <c r="K233" t="s">
        <v>673</v>
      </c>
      <c r="L233" t="s">
        <v>673</v>
      </c>
      <c r="M233" t="s">
        <v>673</v>
      </c>
      <c r="N233" t="s">
        <v>673</v>
      </c>
      <c r="O233">
        <v>0.21540000000000001</v>
      </c>
      <c r="P233">
        <v>0.18920000000000001</v>
      </c>
      <c r="Q233">
        <v>7.6799999999999993E-2</v>
      </c>
      <c r="R233">
        <v>5.0000000000000001E-3</v>
      </c>
      <c r="S233">
        <v>-6.25E-2</v>
      </c>
      <c r="T233">
        <v>-4.4299999999999999E-2</v>
      </c>
      <c r="U233">
        <v>-8.5000000000000006E-3</v>
      </c>
      <c r="V233">
        <v>3.15E-2</v>
      </c>
      <c r="W233">
        <v>3.09E-2</v>
      </c>
      <c r="X233">
        <v>5.4899999999999997E-2</v>
      </c>
      <c r="Y233">
        <v>0.11360000000000001</v>
      </c>
      <c r="Z233">
        <v>0.14119999999999999</v>
      </c>
      <c r="AA233">
        <v>0.15490000000000001</v>
      </c>
      <c r="AB233">
        <v>0.19719999999999999</v>
      </c>
      <c r="AC233">
        <v>0.31080000000000002</v>
      </c>
      <c r="AD233">
        <v>0.39340000000000003</v>
      </c>
      <c r="AE233">
        <v>0.43490000000000001</v>
      </c>
      <c r="AF233">
        <v>0.39760000000000001</v>
      </c>
      <c r="AG233">
        <v>0.19270000000000001</v>
      </c>
      <c r="AH233">
        <v>0.11310000000000001</v>
      </c>
      <c r="AI233">
        <v>0.1608</v>
      </c>
      <c r="AJ233">
        <v>0.11609999999999999</v>
      </c>
      <c r="AK233">
        <v>0.112</v>
      </c>
      <c r="AL233">
        <v>0.1002</v>
      </c>
      <c r="AM233">
        <v>3.2000000000000002E-3</v>
      </c>
      <c r="AN233">
        <v>-6.7000000000000004E-2</v>
      </c>
      <c r="AO233">
        <v>-7.6799999999999993E-2</v>
      </c>
      <c r="AP233">
        <v>5.9999999999999995E-4</v>
      </c>
      <c r="AQ233">
        <v>3.9300000000000002E-2</v>
      </c>
      <c r="AR233">
        <v>5.6099999999999997E-2</v>
      </c>
      <c r="AS233">
        <v>6.0299999999999999E-2</v>
      </c>
      <c r="AT233">
        <v>-2.2200000000000001E-2</v>
      </c>
      <c r="AU233">
        <v>-3.4799999999999998E-2</v>
      </c>
      <c r="AV233">
        <v>-2.8199999999999999E-2</v>
      </c>
    </row>
    <row r="234" spans="1:48" x14ac:dyDescent="0.25">
      <c r="A234" t="s">
        <v>339</v>
      </c>
      <c r="B234" t="s">
        <v>2</v>
      </c>
      <c r="C234" t="s">
        <v>339</v>
      </c>
      <c r="D234">
        <v>25775</v>
      </c>
      <c r="E234" t="s">
        <v>672</v>
      </c>
      <c r="F234" t="s">
        <v>117</v>
      </c>
      <c r="G234" t="s">
        <v>670</v>
      </c>
      <c r="H234" t="s">
        <v>670</v>
      </c>
      <c r="I234">
        <v>-3.1199999999999999E-2</v>
      </c>
      <c r="J234">
        <v>2.2000000000000001E-3</v>
      </c>
      <c r="K234">
        <v>-4.2700000000000002E-2</v>
      </c>
      <c r="L234" t="s">
        <v>673</v>
      </c>
      <c r="M234">
        <v>6.8099999999999994E-2</v>
      </c>
      <c r="N234">
        <v>7.0900000000000005E-2</v>
      </c>
      <c r="O234">
        <v>0.10199999999999999</v>
      </c>
      <c r="P234">
        <v>2.2800000000000001E-2</v>
      </c>
      <c r="Q234">
        <v>3.5000000000000001E-3</v>
      </c>
      <c r="R234">
        <v>-1.8E-3</v>
      </c>
      <c r="S234">
        <v>1.9300000000000001E-2</v>
      </c>
      <c r="T234">
        <v>2.5100000000000001E-2</v>
      </c>
      <c r="U234">
        <v>2.3699999999999999E-2</v>
      </c>
      <c r="V234">
        <v>3.6999999999999998E-2</v>
      </c>
      <c r="W234">
        <v>5.74E-2</v>
      </c>
      <c r="X234">
        <v>6.54E-2</v>
      </c>
      <c r="Y234">
        <v>5.1700000000000003E-2</v>
      </c>
      <c r="Z234">
        <v>1.38E-2</v>
      </c>
      <c r="AA234">
        <v>1.8E-3</v>
      </c>
      <c r="AB234">
        <v>2.7799999999999998E-2</v>
      </c>
      <c r="AC234">
        <v>2.9999999999999997E-4</v>
      </c>
      <c r="AD234" t="s">
        <v>673</v>
      </c>
      <c r="AE234" t="s">
        <v>673</v>
      </c>
      <c r="AF234" t="s">
        <v>673</v>
      </c>
      <c r="AG234" t="s">
        <v>673</v>
      </c>
      <c r="AH234" t="s">
        <v>673</v>
      </c>
      <c r="AI234" t="s">
        <v>673</v>
      </c>
      <c r="AJ234" t="s">
        <v>673</v>
      </c>
      <c r="AK234" t="s">
        <v>673</v>
      </c>
      <c r="AL234" t="s">
        <v>673</v>
      </c>
      <c r="AM234" t="s">
        <v>673</v>
      </c>
      <c r="AN234" t="s">
        <v>673</v>
      </c>
      <c r="AO234" t="s">
        <v>673</v>
      </c>
      <c r="AP234" t="s">
        <v>673</v>
      </c>
      <c r="AQ234" t="s">
        <v>673</v>
      </c>
      <c r="AR234" t="s">
        <v>673</v>
      </c>
      <c r="AS234" t="s">
        <v>673</v>
      </c>
      <c r="AT234" t="s">
        <v>673</v>
      </c>
      <c r="AU234" t="s">
        <v>673</v>
      </c>
      <c r="AV234" t="s">
        <v>673</v>
      </c>
    </row>
    <row r="235" spans="1:48" x14ac:dyDescent="0.25">
      <c r="A235" t="s">
        <v>340</v>
      </c>
      <c r="B235" t="s">
        <v>2</v>
      </c>
      <c r="C235" t="s">
        <v>340</v>
      </c>
      <c r="D235">
        <v>25780</v>
      </c>
      <c r="E235" t="s">
        <v>672</v>
      </c>
      <c r="F235" t="s">
        <v>117</v>
      </c>
      <c r="G235" t="s">
        <v>670</v>
      </c>
      <c r="H235" t="s">
        <v>670</v>
      </c>
      <c r="I235" t="s">
        <v>673</v>
      </c>
      <c r="J235" t="s">
        <v>673</v>
      </c>
      <c r="K235" t="s">
        <v>673</v>
      </c>
      <c r="L235" t="s">
        <v>673</v>
      </c>
      <c r="M235" t="s">
        <v>673</v>
      </c>
      <c r="N235" t="s">
        <v>673</v>
      </c>
      <c r="O235" t="s">
        <v>673</v>
      </c>
      <c r="P235" t="s">
        <v>673</v>
      </c>
      <c r="Q235" t="s">
        <v>673</v>
      </c>
      <c r="R235" t="s">
        <v>673</v>
      </c>
      <c r="S235" t="s">
        <v>673</v>
      </c>
      <c r="T235" t="s">
        <v>673</v>
      </c>
      <c r="U235" t="s">
        <v>673</v>
      </c>
      <c r="V235" t="s">
        <v>673</v>
      </c>
      <c r="W235" t="s">
        <v>673</v>
      </c>
      <c r="X235" t="s">
        <v>673</v>
      </c>
      <c r="Y235" t="s">
        <v>673</v>
      </c>
      <c r="Z235" t="s">
        <v>673</v>
      </c>
      <c r="AA235" t="s">
        <v>673</v>
      </c>
      <c r="AB235" t="s">
        <v>673</v>
      </c>
      <c r="AC235" t="s">
        <v>673</v>
      </c>
      <c r="AD235" t="s">
        <v>673</v>
      </c>
      <c r="AE235" t="s">
        <v>673</v>
      </c>
      <c r="AF235" t="s">
        <v>673</v>
      </c>
      <c r="AG235" t="s">
        <v>673</v>
      </c>
      <c r="AH235" t="s">
        <v>673</v>
      </c>
      <c r="AI235" t="s">
        <v>673</v>
      </c>
      <c r="AJ235" t="s">
        <v>673</v>
      </c>
      <c r="AK235" t="s">
        <v>673</v>
      </c>
      <c r="AL235" t="s">
        <v>673</v>
      </c>
      <c r="AM235" t="s">
        <v>673</v>
      </c>
      <c r="AN235" t="s">
        <v>673</v>
      </c>
      <c r="AO235" t="s">
        <v>673</v>
      </c>
      <c r="AP235" t="s">
        <v>673</v>
      </c>
      <c r="AQ235" t="s">
        <v>673</v>
      </c>
      <c r="AR235" t="s">
        <v>673</v>
      </c>
      <c r="AS235" t="s">
        <v>673</v>
      </c>
      <c r="AT235" t="s">
        <v>673</v>
      </c>
      <c r="AU235" t="s">
        <v>673</v>
      </c>
      <c r="AV235" t="s">
        <v>673</v>
      </c>
    </row>
    <row r="236" spans="1:48" x14ac:dyDescent="0.25">
      <c r="A236" t="s">
        <v>341</v>
      </c>
      <c r="B236" t="s">
        <v>2</v>
      </c>
      <c r="C236" t="s">
        <v>341</v>
      </c>
      <c r="D236">
        <v>25840</v>
      </c>
      <c r="E236" t="s">
        <v>672</v>
      </c>
      <c r="F236" t="s">
        <v>117</v>
      </c>
      <c r="G236" t="s">
        <v>670</v>
      </c>
      <c r="H236" t="s">
        <v>670</v>
      </c>
      <c r="I236" t="s">
        <v>673</v>
      </c>
      <c r="J236" t="s">
        <v>673</v>
      </c>
      <c r="K236" t="s">
        <v>673</v>
      </c>
      <c r="L236" t="s">
        <v>673</v>
      </c>
      <c r="M236" t="s">
        <v>673</v>
      </c>
      <c r="N236" t="s">
        <v>673</v>
      </c>
      <c r="O236" t="s">
        <v>673</v>
      </c>
      <c r="P236" t="s">
        <v>673</v>
      </c>
      <c r="Q236" t="s">
        <v>673</v>
      </c>
      <c r="R236" t="s">
        <v>673</v>
      </c>
      <c r="S236" t="s">
        <v>673</v>
      </c>
      <c r="T236" t="s">
        <v>673</v>
      </c>
      <c r="U236" t="s">
        <v>673</v>
      </c>
      <c r="V236" t="s">
        <v>673</v>
      </c>
      <c r="W236" t="s">
        <v>673</v>
      </c>
      <c r="X236" t="s">
        <v>673</v>
      </c>
      <c r="Y236" t="s">
        <v>673</v>
      </c>
      <c r="Z236" t="s">
        <v>673</v>
      </c>
      <c r="AA236" t="s">
        <v>673</v>
      </c>
      <c r="AB236" t="s">
        <v>673</v>
      </c>
      <c r="AC236" t="s">
        <v>673</v>
      </c>
      <c r="AD236" t="s">
        <v>673</v>
      </c>
      <c r="AE236" t="s">
        <v>673</v>
      </c>
      <c r="AF236" t="s">
        <v>673</v>
      </c>
      <c r="AG236">
        <v>0.39650000000000002</v>
      </c>
      <c r="AH236">
        <v>0.53510000000000002</v>
      </c>
      <c r="AI236">
        <v>0.53680000000000005</v>
      </c>
      <c r="AJ236">
        <v>0.1595</v>
      </c>
      <c r="AK236">
        <v>0.17369999999999999</v>
      </c>
      <c r="AL236">
        <v>4.0800000000000003E-2</v>
      </c>
      <c r="AM236">
        <v>-5.3900000000000003E-2</v>
      </c>
      <c r="AN236">
        <v>-5.0700000000000002E-2</v>
      </c>
      <c r="AO236">
        <v>-8.1299999999999997E-2</v>
      </c>
      <c r="AP236">
        <v>-6.1100000000000002E-2</v>
      </c>
      <c r="AQ236">
        <v>1.29E-2</v>
      </c>
      <c r="AR236">
        <v>1.8499999999999999E-2</v>
      </c>
      <c r="AS236">
        <v>7.7999999999999996E-3</v>
      </c>
      <c r="AT236">
        <v>8.8800000000000004E-2</v>
      </c>
      <c r="AU236">
        <v>5.2299999999999999E-2</v>
      </c>
      <c r="AV236">
        <v>5.7000000000000002E-2</v>
      </c>
    </row>
    <row r="237" spans="1:48" x14ac:dyDescent="0.25">
      <c r="A237" t="s">
        <v>342</v>
      </c>
      <c r="B237" t="s">
        <v>2</v>
      </c>
      <c r="C237" t="s">
        <v>342</v>
      </c>
      <c r="D237">
        <v>25860</v>
      </c>
      <c r="E237" t="s">
        <v>672</v>
      </c>
      <c r="F237" t="s">
        <v>117</v>
      </c>
      <c r="G237" t="s">
        <v>670</v>
      </c>
      <c r="H237" t="s">
        <v>670</v>
      </c>
      <c r="I237">
        <v>4.6100000000000002E-2</v>
      </c>
      <c r="J237">
        <v>1.72E-2</v>
      </c>
      <c r="K237">
        <v>3.73E-2</v>
      </c>
      <c r="L237">
        <v>8.4900000000000003E-2</v>
      </c>
      <c r="M237">
        <v>8.1299999999999997E-2</v>
      </c>
      <c r="N237">
        <v>9.4899999999999998E-2</v>
      </c>
      <c r="O237">
        <v>9.3100000000000002E-2</v>
      </c>
      <c r="P237">
        <v>9.5999999999999992E-3</v>
      </c>
      <c r="Q237">
        <v>3.5299999999999998E-2</v>
      </c>
      <c r="R237">
        <v>4.2799999999999998E-2</v>
      </c>
      <c r="S237">
        <v>2.9700000000000001E-2</v>
      </c>
      <c r="T237">
        <v>7.4700000000000003E-2</v>
      </c>
      <c r="U237">
        <v>6.6799999999999998E-2</v>
      </c>
      <c r="V237">
        <v>5.5E-2</v>
      </c>
      <c r="W237">
        <v>6.8599999999999994E-2</v>
      </c>
      <c r="X237">
        <v>5.04E-2</v>
      </c>
      <c r="Y237">
        <v>1.46E-2</v>
      </c>
      <c r="Z237">
        <v>9.7999999999999997E-3</v>
      </c>
      <c r="AA237">
        <v>1.78E-2</v>
      </c>
      <c r="AB237">
        <v>3.4000000000000002E-2</v>
      </c>
      <c r="AC237">
        <v>9.8500000000000004E-2</v>
      </c>
      <c r="AD237">
        <v>0.12559999999999999</v>
      </c>
      <c r="AE237">
        <v>0.17560000000000001</v>
      </c>
      <c r="AF237">
        <v>0.20580000000000001</v>
      </c>
      <c r="AG237">
        <v>0.2356</v>
      </c>
      <c r="AH237">
        <v>0.21820000000000001</v>
      </c>
      <c r="AI237">
        <v>0.1711</v>
      </c>
      <c r="AJ237">
        <v>0.1532</v>
      </c>
      <c r="AK237">
        <v>4.2999999999999997E-2</v>
      </c>
      <c r="AL237">
        <v>9.1999999999999998E-3</v>
      </c>
      <c r="AM237">
        <v>1.7299999999999999E-2</v>
      </c>
      <c r="AN237">
        <v>4.0000000000000002E-4</v>
      </c>
      <c r="AO237">
        <v>3.8100000000000002E-2</v>
      </c>
      <c r="AP237">
        <v>2.3900000000000001E-2</v>
      </c>
      <c r="AQ237">
        <v>4.0000000000000002E-4</v>
      </c>
      <c r="AR237">
        <v>7.1400000000000005E-2</v>
      </c>
      <c r="AS237">
        <v>0.1133</v>
      </c>
      <c r="AT237">
        <v>0.16220000000000001</v>
      </c>
      <c r="AU237">
        <v>0.1192</v>
      </c>
      <c r="AV237">
        <v>5.4399999999999997E-2</v>
      </c>
    </row>
    <row r="238" spans="1:48" x14ac:dyDescent="0.25">
      <c r="A238" t="s">
        <v>343</v>
      </c>
      <c r="B238" t="s">
        <v>2</v>
      </c>
      <c r="C238" t="s">
        <v>343</v>
      </c>
      <c r="D238">
        <v>25940</v>
      </c>
      <c r="E238" t="s">
        <v>672</v>
      </c>
      <c r="F238" t="s">
        <v>117</v>
      </c>
      <c r="G238" t="s">
        <v>670</v>
      </c>
      <c r="H238" t="s">
        <v>670</v>
      </c>
      <c r="I238">
        <v>8.5000000000000006E-2</v>
      </c>
      <c r="J238">
        <v>7.3099999999999998E-2</v>
      </c>
      <c r="K238">
        <v>4.41E-2</v>
      </c>
      <c r="L238">
        <v>3.3599999999999998E-2</v>
      </c>
      <c r="M238">
        <v>2.2599999999999999E-2</v>
      </c>
      <c r="N238">
        <v>1.89E-2</v>
      </c>
      <c r="O238">
        <v>7.2400000000000006E-2</v>
      </c>
      <c r="P238">
        <v>4.9799999999999997E-2</v>
      </c>
      <c r="Q238">
        <v>3.7499999999999999E-2</v>
      </c>
      <c r="R238">
        <v>1.77E-2</v>
      </c>
      <c r="S238">
        <v>-3.27E-2</v>
      </c>
      <c r="T238">
        <v>-1.7299999999999999E-2</v>
      </c>
      <c r="U238">
        <v>8.9999999999999998E-4</v>
      </c>
      <c r="V238">
        <v>0.04</v>
      </c>
      <c r="W238">
        <v>6.8599999999999994E-2</v>
      </c>
      <c r="X238">
        <v>8.2699999999999996E-2</v>
      </c>
      <c r="Y238">
        <v>7.1199999999999999E-2</v>
      </c>
      <c r="Z238">
        <v>2.1499999999999998E-2</v>
      </c>
      <c r="AA238">
        <v>2.9399999999999999E-2</v>
      </c>
      <c r="AB238">
        <v>3.1099999999999999E-2</v>
      </c>
      <c r="AC238">
        <v>5.1400000000000001E-2</v>
      </c>
      <c r="AD238">
        <v>0.187</v>
      </c>
      <c r="AE238">
        <v>0.254</v>
      </c>
      <c r="AF238">
        <v>0.35170000000000001</v>
      </c>
      <c r="AG238">
        <v>0.36149999999999999</v>
      </c>
      <c r="AH238">
        <v>0.2747</v>
      </c>
      <c r="AI238">
        <v>0.18990000000000001</v>
      </c>
      <c r="AJ238">
        <v>6.4600000000000005E-2</v>
      </c>
      <c r="AK238">
        <v>3.2399999999999998E-2</v>
      </c>
      <c r="AL238">
        <v>2.3800000000000002E-2</v>
      </c>
      <c r="AM238">
        <v>-8.9999999999999998E-4</v>
      </c>
      <c r="AN238">
        <v>7.1000000000000004E-3</v>
      </c>
      <c r="AO238">
        <v>1.9E-2</v>
      </c>
      <c r="AP238">
        <v>-3.1899999999999998E-2</v>
      </c>
      <c r="AQ238">
        <v>-2.2200000000000001E-2</v>
      </c>
      <c r="AR238">
        <v>-2.0199999999999999E-2</v>
      </c>
      <c r="AS238">
        <v>-5.7799999999999997E-2</v>
      </c>
      <c r="AT238">
        <v>-2.5499999999999998E-2</v>
      </c>
      <c r="AU238">
        <v>-3.78E-2</v>
      </c>
      <c r="AV238">
        <v>-3.7999999999999999E-2</v>
      </c>
    </row>
    <row r="239" spans="1:48" x14ac:dyDescent="0.25">
      <c r="A239" t="s">
        <v>344</v>
      </c>
      <c r="B239" t="s">
        <v>2</v>
      </c>
      <c r="C239" t="s">
        <v>344</v>
      </c>
      <c r="D239">
        <v>25980</v>
      </c>
      <c r="E239" t="s">
        <v>672</v>
      </c>
      <c r="F239" t="s">
        <v>117</v>
      </c>
      <c r="G239" t="s">
        <v>670</v>
      </c>
      <c r="H239" t="s">
        <v>670</v>
      </c>
      <c r="I239">
        <v>-6.9999999999999999E-4</v>
      </c>
      <c r="J239">
        <v>-5.3699999999999998E-2</v>
      </c>
      <c r="K239">
        <v>-6.8400000000000002E-2</v>
      </c>
      <c r="L239">
        <v>-5.8999999999999997E-2</v>
      </c>
      <c r="M239">
        <v>-2.3999999999999998E-3</v>
      </c>
      <c r="N239">
        <v>6.3299999999999995E-2</v>
      </c>
      <c r="O239">
        <v>3.7499999999999999E-2</v>
      </c>
      <c r="P239">
        <v>3.8999999999999998E-3</v>
      </c>
      <c r="Q239">
        <v>2.2499999999999999E-2</v>
      </c>
      <c r="R239">
        <v>1.21E-2</v>
      </c>
      <c r="S239">
        <v>4.2900000000000001E-2</v>
      </c>
      <c r="T239">
        <v>0.13150000000000001</v>
      </c>
      <c r="U239">
        <v>0.12640000000000001</v>
      </c>
      <c r="V239">
        <v>5.0200000000000002E-2</v>
      </c>
      <c r="W239">
        <v>2.47E-2</v>
      </c>
      <c r="X239">
        <v>-4.48E-2</v>
      </c>
      <c r="Y239">
        <v>-6.8599999999999994E-2</v>
      </c>
      <c r="Z239">
        <v>6.7000000000000002E-3</v>
      </c>
      <c r="AA239">
        <v>-6.0000000000000001E-3</v>
      </c>
      <c r="AB239">
        <v>8.9999999999999993E-3</v>
      </c>
      <c r="AC239">
        <v>2.3199999999999998E-2</v>
      </c>
      <c r="AD239">
        <v>6.5000000000000002E-2</v>
      </c>
      <c r="AE239">
        <v>6.93E-2</v>
      </c>
      <c r="AF239">
        <v>5.6899999999999999E-2</v>
      </c>
      <c r="AG239">
        <v>7.3099999999999998E-2</v>
      </c>
      <c r="AH239">
        <v>3.7400000000000003E-2</v>
      </c>
      <c r="AI239">
        <v>9.0700000000000003E-2</v>
      </c>
      <c r="AJ239">
        <v>0.15540000000000001</v>
      </c>
      <c r="AK239">
        <v>0.15609999999999999</v>
      </c>
      <c r="AL239">
        <v>0.12670000000000001</v>
      </c>
      <c r="AM239">
        <v>6.9800000000000001E-2</v>
      </c>
      <c r="AN239">
        <v>-0.01</v>
      </c>
      <c r="AO239">
        <v>2.7699999999999999E-2</v>
      </c>
      <c r="AP239">
        <v>8.0699999999999994E-2</v>
      </c>
      <c r="AQ239">
        <v>0.12180000000000001</v>
      </c>
      <c r="AR239">
        <v>0.15010000000000001</v>
      </c>
      <c r="AS239">
        <v>7.6200000000000004E-2</v>
      </c>
      <c r="AT239">
        <v>-4.8999999999999998E-3</v>
      </c>
      <c r="AU239">
        <v>5.5800000000000002E-2</v>
      </c>
      <c r="AV239">
        <v>4.58E-2</v>
      </c>
    </row>
    <row r="240" spans="1:48" x14ac:dyDescent="0.25">
      <c r="A240" t="s">
        <v>345</v>
      </c>
      <c r="B240" t="s">
        <v>2</v>
      </c>
      <c r="C240" t="s">
        <v>345</v>
      </c>
      <c r="D240">
        <v>26020</v>
      </c>
      <c r="E240" t="s">
        <v>672</v>
      </c>
      <c r="F240" t="s">
        <v>117</v>
      </c>
      <c r="G240" t="s">
        <v>670</v>
      </c>
      <c r="H240" t="s">
        <v>670</v>
      </c>
      <c r="I240">
        <v>-0.1411</v>
      </c>
      <c r="J240">
        <v>-0.1467</v>
      </c>
      <c r="K240">
        <v>-0.15160000000000001</v>
      </c>
      <c r="L240">
        <v>-0.1341</v>
      </c>
      <c r="M240">
        <v>-0.02</v>
      </c>
      <c r="N240">
        <v>1E-3</v>
      </c>
      <c r="O240">
        <v>3.5000000000000003E-2</v>
      </c>
      <c r="P240">
        <v>4.3400000000000001E-2</v>
      </c>
      <c r="Q240">
        <v>4.8000000000000001E-2</v>
      </c>
      <c r="R240">
        <v>6.6699999999999995E-2</v>
      </c>
      <c r="S240">
        <v>0.1132</v>
      </c>
      <c r="T240">
        <v>0.1724</v>
      </c>
      <c r="U240">
        <v>0.18129999999999999</v>
      </c>
      <c r="V240">
        <v>0.21560000000000001</v>
      </c>
      <c r="W240">
        <v>0.15820000000000001</v>
      </c>
      <c r="X240">
        <v>0.11020000000000001</v>
      </c>
      <c r="Y240">
        <v>0.1062</v>
      </c>
      <c r="Z240">
        <v>-8.0999999999999996E-3</v>
      </c>
      <c r="AA240">
        <v>-0.08</v>
      </c>
      <c r="AB240">
        <v>-9.01E-2</v>
      </c>
      <c r="AC240" t="s">
        <v>673</v>
      </c>
      <c r="AD240" t="s">
        <v>673</v>
      </c>
      <c r="AE240">
        <v>-3.5299999999999998E-2</v>
      </c>
      <c r="AF240">
        <v>-3.1099999999999999E-2</v>
      </c>
      <c r="AG240">
        <v>0.14019999999999999</v>
      </c>
      <c r="AH240">
        <v>0.1457</v>
      </c>
      <c r="AI240">
        <v>9.4399999999999998E-2</v>
      </c>
      <c r="AJ240">
        <v>9.7600000000000006E-2</v>
      </c>
      <c r="AK240">
        <v>0.10589999999999999</v>
      </c>
      <c r="AL240">
        <v>7.2499999999999995E-2</v>
      </c>
      <c r="AM240">
        <v>5.7099999999999998E-2</v>
      </c>
      <c r="AN240">
        <v>5.2400000000000002E-2</v>
      </c>
      <c r="AO240">
        <v>4.3299999999999998E-2</v>
      </c>
      <c r="AP240">
        <v>6.9400000000000003E-2</v>
      </c>
      <c r="AQ240">
        <v>0.111</v>
      </c>
      <c r="AR240">
        <v>0.1641</v>
      </c>
      <c r="AS240">
        <v>0.17119999999999999</v>
      </c>
      <c r="AT240">
        <v>0.17150000000000001</v>
      </c>
      <c r="AU240">
        <v>6.6600000000000006E-2</v>
      </c>
      <c r="AV240">
        <v>1.44E-2</v>
      </c>
    </row>
    <row r="241" spans="1:48" x14ac:dyDescent="0.25">
      <c r="A241" t="s">
        <v>346</v>
      </c>
      <c r="B241" t="s">
        <v>2</v>
      </c>
      <c r="C241" t="s">
        <v>346</v>
      </c>
      <c r="D241">
        <v>26300</v>
      </c>
      <c r="E241" t="s">
        <v>672</v>
      </c>
      <c r="F241" t="s">
        <v>117</v>
      </c>
      <c r="G241" t="s">
        <v>670</v>
      </c>
      <c r="H241" t="s">
        <v>670</v>
      </c>
      <c r="I241">
        <v>2.6599999999999999E-2</v>
      </c>
      <c r="J241">
        <v>4.2200000000000001E-2</v>
      </c>
      <c r="K241">
        <v>6.4799999999999996E-2</v>
      </c>
      <c r="L241">
        <v>0.11849999999999999</v>
      </c>
      <c r="M241">
        <v>0.1263</v>
      </c>
      <c r="N241">
        <v>9.5899999999999999E-2</v>
      </c>
      <c r="O241">
        <v>7.9200000000000007E-2</v>
      </c>
      <c r="P241">
        <v>3.3999999999999998E-3</v>
      </c>
      <c r="Q241">
        <v>-6.4999999999999997E-3</v>
      </c>
      <c r="R241">
        <v>1.3299999999999999E-2</v>
      </c>
      <c r="S241">
        <v>1.2500000000000001E-2</v>
      </c>
      <c r="T241">
        <v>1.47E-2</v>
      </c>
      <c r="U241">
        <v>2.29E-2</v>
      </c>
      <c r="V241">
        <v>1.35E-2</v>
      </c>
      <c r="W241">
        <v>1.4800000000000001E-2</v>
      </c>
      <c r="X241">
        <v>0.03</v>
      </c>
      <c r="Y241">
        <v>2.01E-2</v>
      </c>
      <c r="Z241">
        <v>2.1700000000000001E-2</v>
      </c>
      <c r="AA241">
        <v>2.01E-2</v>
      </c>
      <c r="AB241">
        <v>1.9E-3</v>
      </c>
      <c r="AC241">
        <v>2.3300000000000001E-2</v>
      </c>
      <c r="AD241">
        <v>3.2399999999999998E-2</v>
      </c>
      <c r="AE241">
        <v>3.2899999999999999E-2</v>
      </c>
      <c r="AF241">
        <v>5.8200000000000002E-2</v>
      </c>
      <c r="AG241">
        <v>0.10290000000000001</v>
      </c>
      <c r="AH241">
        <v>0.14879999999999999</v>
      </c>
      <c r="AI241">
        <v>0.25640000000000002</v>
      </c>
      <c r="AJ241">
        <v>0.23649999999999999</v>
      </c>
      <c r="AK241">
        <v>0.1565</v>
      </c>
      <c r="AL241">
        <v>0.12989999999999999</v>
      </c>
      <c r="AM241">
        <v>1.72E-2</v>
      </c>
      <c r="AN241">
        <v>2.5899999999999999E-2</v>
      </c>
      <c r="AO241">
        <v>4.7899999999999998E-2</v>
      </c>
      <c r="AP241">
        <v>2.9600000000000001E-2</v>
      </c>
      <c r="AQ241">
        <v>5.8400000000000001E-2</v>
      </c>
      <c r="AR241">
        <v>3.6900000000000002E-2</v>
      </c>
      <c r="AS241">
        <v>4.0000000000000001E-3</v>
      </c>
      <c r="AT241">
        <v>2.6499999999999999E-2</v>
      </c>
      <c r="AU241">
        <v>5.4100000000000002E-2</v>
      </c>
      <c r="AV241">
        <v>6.7900000000000002E-2</v>
      </c>
    </row>
    <row r="242" spans="1:48" x14ac:dyDescent="0.25">
      <c r="A242" t="s">
        <v>347</v>
      </c>
      <c r="B242" t="s">
        <v>2</v>
      </c>
      <c r="C242" t="s">
        <v>347</v>
      </c>
      <c r="D242">
        <v>26380</v>
      </c>
      <c r="E242" t="s">
        <v>672</v>
      </c>
      <c r="F242" t="s">
        <v>117</v>
      </c>
      <c r="G242" t="s">
        <v>670</v>
      </c>
      <c r="H242" t="s">
        <v>670</v>
      </c>
      <c r="I242">
        <v>-5.8900000000000001E-2</v>
      </c>
      <c r="J242">
        <v>-5.4600000000000003E-2</v>
      </c>
      <c r="K242">
        <v>-1.7299999999999999E-2</v>
      </c>
      <c r="L242">
        <v>7.1499999999999994E-2</v>
      </c>
      <c r="M242">
        <v>5.8700000000000002E-2</v>
      </c>
      <c r="N242">
        <v>6.4199999999999993E-2</v>
      </c>
      <c r="O242">
        <v>5.5E-2</v>
      </c>
      <c r="P242">
        <v>-1.14E-2</v>
      </c>
      <c r="Q242">
        <v>2.1299999999999999E-2</v>
      </c>
      <c r="R242">
        <v>2.6499999999999999E-2</v>
      </c>
      <c r="S242">
        <v>4.6699999999999998E-2</v>
      </c>
      <c r="T242">
        <v>4.3400000000000001E-2</v>
      </c>
      <c r="U242">
        <v>-2.64E-2</v>
      </c>
      <c r="V242">
        <v>-6.5699999999999995E-2</v>
      </c>
      <c r="W242">
        <v>-3.1E-2</v>
      </c>
      <c r="X242">
        <v>-3.2099999999999997E-2</v>
      </c>
      <c r="Y242">
        <v>-8.0000000000000004E-4</v>
      </c>
      <c r="Z242">
        <v>3.85E-2</v>
      </c>
      <c r="AA242">
        <v>5.1999999999999998E-2</v>
      </c>
      <c r="AB242">
        <v>9.6000000000000002E-2</v>
      </c>
      <c r="AC242">
        <v>5.7200000000000001E-2</v>
      </c>
      <c r="AD242">
        <v>7.0400000000000004E-2</v>
      </c>
      <c r="AE242">
        <v>4.65E-2</v>
      </c>
      <c r="AF242">
        <v>-3.7499999999999999E-2</v>
      </c>
      <c r="AG242">
        <v>7.8E-2</v>
      </c>
      <c r="AH242">
        <v>9.5000000000000001E-2</v>
      </c>
      <c r="AI242">
        <v>0.1222</v>
      </c>
      <c r="AJ242">
        <v>0.1618</v>
      </c>
      <c r="AK242">
        <v>0.14610000000000001</v>
      </c>
      <c r="AL242">
        <v>0.1188</v>
      </c>
      <c r="AM242">
        <v>6.3100000000000003E-2</v>
      </c>
      <c r="AN242">
        <v>9.7100000000000006E-2</v>
      </c>
      <c r="AO242">
        <v>4.8300000000000003E-2</v>
      </c>
      <c r="AP242">
        <v>2.2100000000000002E-2</v>
      </c>
      <c r="AQ242">
        <v>-1.23E-2</v>
      </c>
      <c r="AR242">
        <v>4.8999999999999998E-3</v>
      </c>
      <c r="AS242">
        <v>1.2E-2</v>
      </c>
      <c r="AT242">
        <v>9.3799999999999994E-2</v>
      </c>
      <c r="AU242">
        <v>0.12939999999999999</v>
      </c>
      <c r="AV242">
        <v>8.8800000000000004E-2</v>
      </c>
    </row>
    <row r="243" spans="1:48" x14ac:dyDescent="0.25">
      <c r="A243" t="s">
        <v>32</v>
      </c>
      <c r="B243" t="s">
        <v>2</v>
      </c>
      <c r="C243" t="s">
        <v>32</v>
      </c>
      <c r="D243">
        <v>26420</v>
      </c>
      <c r="E243" t="s">
        <v>672</v>
      </c>
      <c r="F243" t="s">
        <v>117</v>
      </c>
      <c r="G243" t="s">
        <v>670</v>
      </c>
      <c r="H243" t="s">
        <v>670</v>
      </c>
      <c r="I243">
        <v>3.8600000000000002E-2</v>
      </c>
      <c r="J243">
        <v>2.0799999999999999E-2</v>
      </c>
      <c r="K243">
        <v>8.5000000000000006E-3</v>
      </c>
      <c r="L243">
        <v>-4.1999999999999997E-3</v>
      </c>
      <c r="M243">
        <v>-5.0000000000000001E-4</v>
      </c>
      <c r="N243">
        <v>5.9999999999999995E-4</v>
      </c>
      <c r="O243">
        <v>1.0999999999999999E-2</v>
      </c>
      <c r="P243">
        <v>6.3E-2</v>
      </c>
      <c r="Q243">
        <v>6.8099999999999994E-2</v>
      </c>
      <c r="R243">
        <v>7.6200000000000004E-2</v>
      </c>
      <c r="S243">
        <v>6.7799999999999999E-2</v>
      </c>
      <c r="T243">
        <v>2.3E-2</v>
      </c>
      <c r="U243">
        <v>1.67E-2</v>
      </c>
      <c r="V243">
        <v>1.18E-2</v>
      </c>
      <c r="W243">
        <v>2.12E-2</v>
      </c>
      <c r="X243">
        <v>1.8499999999999999E-2</v>
      </c>
      <c r="Y243">
        <v>1.9400000000000001E-2</v>
      </c>
      <c r="Z243">
        <v>-2.2000000000000001E-3</v>
      </c>
      <c r="AA243">
        <v>-2.1299999999999999E-2</v>
      </c>
      <c r="AB243">
        <v>-2.2599999999999999E-2</v>
      </c>
      <c r="AC243">
        <v>-2.7900000000000001E-2</v>
      </c>
      <c r="AD243">
        <v>2.1999999999999999E-2</v>
      </c>
      <c r="AE243">
        <v>9.3600000000000003E-2</v>
      </c>
      <c r="AF243">
        <v>0.13250000000000001</v>
      </c>
      <c r="AG243">
        <v>0.15429999999999999</v>
      </c>
      <c r="AH243">
        <v>0.14149999999999999</v>
      </c>
      <c r="AI243">
        <v>9.8500000000000004E-2</v>
      </c>
      <c r="AJ243">
        <v>7.2800000000000004E-2</v>
      </c>
      <c r="AK243">
        <v>5.9900000000000002E-2</v>
      </c>
      <c r="AL243">
        <v>4.5600000000000002E-2</v>
      </c>
      <c r="AM243">
        <v>2.7799999999999998E-2</v>
      </c>
      <c r="AN243">
        <v>1.77E-2</v>
      </c>
      <c r="AO243">
        <v>7.6E-3</v>
      </c>
      <c r="AP243">
        <v>1E-4</v>
      </c>
      <c r="AQ243">
        <v>-2.8999999999999998E-3</v>
      </c>
      <c r="AR243">
        <v>-8.0000000000000004E-4</v>
      </c>
      <c r="AS243">
        <v>-1.1999999999999999E-3</v>
      </c>
      <c r="AT243">
        <v>4.1999999999999997E-3</v>
      </c>
      <c r="AU243">
        <v>4.0000000000000001E-3</v>
      </c>
      <c r="AV243">
        <v>2.5000000000000001E-3</v>
      </c>
    </row>
    <row r="244" spans="1:48" x14ac:dyDescent="0.25">
      <c r="A244" t="s">
        <v>348</v>
      </c>
      <c r="B244" t="s">
        <v>2</v>
      </c>
      <c r="C244" t="s">
        <v>348</v>
      </c>
      <c r="D244">
        <v>26580</v>
      </c>
      <c r="E244" t="s">
        <v>672</v>
      </c>
      <c r="F244" t="s">
        <v>117</v>
      </c>
      <c r="G244" t="s">
        <v>670</v>
      </c>
      <c r="H244" t="s">
        <v>670</v>
      </c>
      <c r="I244">
        <v>3.6200000000000003E-2</v>
      </c>
      <c r="J244">
        <v>1.14E-2</v>
      </c>
      <c r="K244">
        <v>3.3300000000000003E-2</v>
      </c>
      <c r="L244">
        <v>3.1099999999999999E-2</v>
      </c>
      <c r="M244">
        <v>6.3899999999999998E-2</v>
      </c>
      <c r="N244">
        <v>3.4299999999999997E-2</v>
      </c>
      <c r="O244">
        <v>-1.3299999999999999E-2</v>
      </c>
      <c r="P244">
        <v>1.6000000000000001E-3</v>
      </c>
      <c r="Q244">
        <v>-3.1399999999999997E-2</v>
      </c>
      <c r="R244">
        <v>-5.0700000000000002E-2</v>
      </c>
      <c r="S244">
        <v>-1.7399999999999999E-2</v>
      </c>
      <c r="T244">
        <v>-4.7999999999999996E-3</v>
      </c>
      <c r="U244">
        <v>-2.1999999999999999E-2</v>
      </c>
      <c r="V244">
        <v>2.58E-2</v>
      </c>
      <c r="W244">
        <v>-1.61E-2</v>
      </c>
      <c r="X244">
        <v>-4.7600000000000003E-2</v>
      </c>
      <c r="Y244">
        <v>-4.19E-2</v>
      </c>
      <c r="Z244">
        <v>3.8999999999999998E-3</v>
      </c>
      <c r="AA244">
        <v>5.3600000000000002E-2</v>
      </c>
      <c r="AB244">
        <v>8.1299999999999997E-2</v>
      </c>
      <c r="AC244">
        <v>7.8200000000000006E-2</v>
      </c>
      <c r="AD244">
        <v>1.21E-2</v>
      </c>
      <c r="AE244">
        <v>4.0599999999999997E-2</v>
      </c>
      <c r="AF244">
        <v>0.1275</v>
      </c>
      <c r="AG244">
        <v>0.13969999999999999</v>
      </c>
      <c r="AH244">
        <v>0.16209999999999999</v>
      </c>
      <c r="AI244">
        <v>9.2899999999999996E-2</v>
      </c>
      <c r="AJ244">
        <v>1.23E-2</v>
      </c>
      <c r="AK244">
        <v>1.2699999999999999E-2</v>
      </c>
      <c r="AL244">
        <v>7.0099999999999996E-2</v>
      </c>
      <c r="AM244">
        <v>0.1154</v>
      </c>
      <c r="AN244">
        <v>0.11119999999999999</v>
      </c>
      <c r="AO244">
        <v>9.7000000000000003E-2</v>
      </c>
      <c r="AP244">
        <v>2.7799999999999998E-2</v>
      </c>
      <c r="AQ244">
        <v>2.9000000000000001E-2</v>
      </c>
      <c r="AR244">
        <v>5.0700000000000002E-2</v>
      </c>
      <c r="AS244">
        <v>6.4899999999999999E-2</v>
      </c>
      <c r="AT244" t="s">
        <v>673</v>
      </c>
      <c r="AU244" t="s">
        <v>673</v>
      </c>
      <c r="AV244" t="s">
        <v>673</v>
      </c>
    </row>
    <row r="245" spans="1:48" x14ac:dyDescent="0.25">
      <c r="A245" t="s">
        <v>349</v>
      </c>
      <c r="B245" t="s">
        <v>2</v>
      </c>
      <c r="C245" t="s">
        <v>349</v>
      </c>
      <c r="D245">
        <v>26620</v>
      </c>
      <c r="E245" t="s">
        <v>672</v>
      </c>
      <c r="F245" t="s">
        <v>117</v>
      </c>
      <c r="G245" t="s">
        <v>670</v>
      </c>
      <c r="H245" t="s">
        <v>670</v>
      </c>
      <c r="I245">
        <v>3.4599999999999999E-2</v>
      </c>
      <c r="J245">
        <v>4.3799999999999999E-2</v>
      </c>
      <c r="K245">
        <v>2.7300000000000001E-2</v>
      </c>
      <c r="L245">
        <v>2.5700000000000001E-2</v>
      </c>
      <c r="M245">
        <v>2.1399999999999999E-2</v>
      </c>
      <c r="N245">
        <v>2.6200000000000001E-2</v>
      </c>
      <c r="O245">
        <v>5.7500000000000002E-2</v>
      </c>
      <c r="P245">
        <v>0.06</v>
      </c>
      <c r="Q245">
        <v>6.6500000000000004E-2</v>
      </c>
      <c r="R245">
        <v>6.3100000000000003E-2</v>
      </c>
      <c r="S245">
        <v>7.7299999999999994E-2</v>
      </c>
      <c r="T245">
        <v>8.77E-2</v>
      </c>
      <c r="U245">
        <v>6.54E-2</v>
      </c>
      <c r="V245">
        <v>7.3599999999999999E-2</v>
      </c>
      <c r="W245">
        <v>6.3200000000000006E-2</v>
      </c>
      <c r="X245">
        <v>6.9599999999999995E-2</v>
      </c>
      <c r="Y245">
        <v>9.9699999999999997E-2</v>
      </c>
      <c r="Z245">
        <v>7.3499999999999996E-2</v>
      </c>
      <c r="AA245">
        <v>6.83E-2</v>
      </c>
      <c r="AB245">
        <v>7.7700000000000005E-2</v>
      </c>
      <c r="AC245">
        <v>6.0600000000000001E-2</v>
      </c>
      <c r="AD245">
        <v>8.8400000000000006E-2</v>
      </c>
      <c r="AE245">
        <v>0.13059999999999999</v>
      </c>
      <c r="AF245">
        <v>0.13689999999999999</v>
      </c>
      <c r="AG245">
        <v>0.17219999999999999</v>
      </c>
      <c r="AH245">
        <v>0.1666</v>
      </c>
      <c r="AI245">
        <v>0.12690000000000001</v>
      </c>
      <c r="AJ245">
        <v>9.6299999999999997E-2</v>
      </c>
      <c r="AK245">
        <v>6.1499999999999999E-2</v>
      </c>
      <c r="AL245">
        <v>3.9699999999999999E-2</v>
      </c>
      <c r="AM245">
        <v>7.0000000000000001E-3</v>
      </c>
      <c r="AN245">
        <v>8.3999999999999995E-3</v>
      </c>
      <c r="AO245">
        <v>-8.6999999999999994E-3</v>
      </c>
      <c r="AP245">
        <v>-1.6E-2</v>
      </c>
      <c r="AQ245">
        <v>-2.58E-2</v>
      </c>
      <c r="AR245">
        <v>-3.1800000000000002E-2</v>
      </c>
      <c r="AS245">
        <v>-2.0299999999999999E-2</v>
      </c>
      <c r="AT245">
        <v>-2.8999999999999998E-3</v>
      </c>
      <c r="AU245">
        <v>8.6999999999999994E-3</v>
      </c>
      <c r="AV245">
        <v>-5.3E-3</v>
      </c>
    </row>
    <row r="246" spans="1:48" x14ac:dyDescent="0.25">
      <c r="A246" t="s">
        <v>350</v>
      </c>
      <c r="B246" t="s">
        <v>2</v>
      </c>
      <c r="C246" t="s">
        <v>350</v>
      </c>
      <c r="D246">
        <v>26660</v>
      </c>
      <c r="E246" t="s">
        <v>672</v>
      </c>
      <c r="F246" t="s">
        <v>117</v>
      </c>
      <c r="G246" t="s">
        <v>670</v>
      </c>
      <c r="H246" t="s">
        <v>670</v>
      </c>
      <c r="I246">
        <v>6.4600000000000005E-2</v>
      </c>
      <c r="J246">
        <v>6.2300000000000001E-2</v>
      </c>
      <c r="K246">
        <v>6.54E-2</v>
      </c>
      <c r="L246">
        <v>6.3200000000000006E-2</v>
      </c>
      <c r="M246">
        <v>4.53E-2</v>
      </c>
      <c r="N246">
        <v>3.4200000000000001E-2</v>
      </c>
      <c r="O246">
        <v>3.7199999999999997E-2</v>
      </c>
      <c r="P246">
        <v>1.24E-2</v>
      </c>
      <c r="Q246">
        <v>3.8999999999999998E-3</v>
      </c>
      <c r="R246">
        <v>-6.0000000000000001E-3</v>
      </c>
      <c r="S246">
        <v>-2.9000000000000001E-2</v>
      </c>
      <c r="T246">
        <v>5.1000000000000004E-3</v>
      </c>
      <c r="U246">
        <v>1.3100000000000001E-2</v>
      </c>
      <c r="V246">
        <v>1.14E-2</v>
      </c>
      <c r="W246">
        <v>9.9000000000000008E-3</v>
      </c>
      <c r="X246">
        <v>-9.4999999999999998E-3</v>
      </c>
      <c r="Y246">
        <v>4.4000000000000003E-3</v>
      </c>
      <c r="Z246">
        <v>1.2500000000000001E-2</v>
      </c>
      <c r="AA246">
        <v>5.3E-3</v>
      </c>
      <c r="AB246">
        <v>3.3999999999999998E-3</v>
      </c>
      <c r="AC246">
        <v>5.9999999999999995E-4</v>
      </c>
      <c r="AD246">
        <v>3.7000000000000002E-3</v>
      </c>
      <c r="AE246">
        <v>5.3699999999999998E-2</v>
      </c>
      <c r="AF246">
        <v>7.0199999999999999E-2</v>
      </c>
      <c r="AG246">
        <v>7.9200000000000007E-2</v>
      </c>
      <c r="AH246">
        <v>9.2799999999999994E-2</v>
      </c>
      <c r="AI246">
        <v>7.8600000000000003E-2</v>
      </c>
      <c r="AJ246">
        <v>6.2799999999999995E-2</v>
      </c>
      <c r="AK246">
        <v>7.8899999999999998E-2</v>
      </c>
      <c r="AL246">
        <v>6.5100000000000005E-2</v>
      </c>
      <c r="AM246">
        <v>3.6799999999999999E-2</v>
      </c>
      <c r="AN246">
        <v>3.73E-2</v>
      </c>
      <c r="AO246">
        <v>1.29E-2</v>
      </c>
      <c r="AP246">
        <v>3.8E-3</v>
      </c>
      <c r="AQ246">
        <v>7.8100000000000003E-2</v>
      </c>
      <c r="AR246">
        <v>7.7399999999999997E-2</v>
      </c>
      <c r="AS246">
        <v>4.9799999999999997E-2</v>
      </c>
      <c r="AT246">
        <v>0.15090000000000001</v>
      </c>
      <c r="AU246">
        <v>9.11E-2</v>
      </c>
      <c r="AV246">
        <v>5.8000000000000003E-2</v>
      </c>
    </row>
    <row r="247" spans="1:48" x14ac:dyDescent="0.25">
      <c r="A247" t="s">
        <v>351</v>
      </c>
      <c r="B247" t="s">
        <v>2</v>
      </c>
      <c r="C247" t="s">
        <v>351</v>
      </c>
      <c r="D247">
        <v>26740</v>
      </c>
      <c r="E247" t="s">
        <v>672</v>
      </c>
      <c r="F247" t="s">
        <v>117</v>
      </c>
      <c r="G247" t="s">
        <v>670</v>
      </c>
      <c r="H247" t="s">
        <v>670</v>
      </c>
      <c r="I247" t="s">
        <v>673</v>
      </c>
      <c r="J247" t="s">
        <v>673</v>
      </c>
      <c r="K247" t="s">
        <v>673</v>
      </c>
      <c r="L247" t="s">
        <v>673</v>
      </c>
      <c r="M247" t="s">
        <v>673</v>
      </c>
      <c r="N247" t="s">
        <v>673</v>
      </c>
      <c r="O247" t="s">
        <v>673</v>
      </c>
      <c r="P247" t="s">
        <v>673</v>
      </c>
      <c r="Q247" t="s">
        <v>673</v>
      </c>
      <c r="R247" t="s">
        <v>673</v>
      </c>
      <c r="S247" t="s">
        <v>673</v>
      </c>
      <c r="T247" t="s">
        <v>673</v>
      </c>
      <c r="U247" t="s">
        <v>673</v>
      </c>
      <c r="V247" t="s">
        <v>673</v>
      </c>
      <c r="W247" t="s">
        <v>673</v>
      </c>
      <c r="X247" t="s">
        <v>673</v>
      </c>
      <c r="Y247" t="s">
        <v>673</v>
      </c>
      <c r="Z247" t="s">
        <v>673</v>
      </c>
      <c r="AA247" t="s">
        <v>673</v>
      </c>
      <c r="AB247" t="s">
        <v>673</v>
      </c>
      <c r="AC247" t="s">
        <v>673</v>
      </c>
      <c r="AD247" t="s">
        <v>673</v>
      </c>
      <c r="AE247" t="s">
        <v>673</v>
      </c>
      <c r="AF247" t="s">
        <v>673</v>
      </c>
      <c r="AG247" t="s">
        <v>673</v>
      </c>
      <c r="AH247" t="s">
        <v>673</v>
      </c>
      <c r="AI247" t="s">
        <v>673</v>
      </c>
      <c r="AJ247" t="s">
        <v>673</v>
      </c>
      <c r="AK247" t="s">
        <v>673</v>
      </c>
      <c r="AL247" t="s">
        <v>673</v>
      </c>
      <c r="AM247">
        <v>-0.12740000000000001</v>
      </c>
      <c r="AN247">
        <v>-0.14849999999999999</v>
      </c>
      <c r="AO247">
        <v>-0.15759999999999999</v>
      </c>
      <c r="AP247">
        <v>-0.14810000000000001</v>
      </c>
      <c r="AQ247">
        <v>1.7999999999999999E-2</v>
      </c>
      <c r="AR247">
        <v>1.83E-2</v>
      </c>
      <c r="AS247">
        <v>3.7699999999999997E-2</v>
      </c>
      <c r="AT247">
        <v>6.3399999999999998E-2</v>
      </c>
      <c r="AU247">
        <v>3.8300000000000001E-2</v>
      </c>
      <c r="AV247">
        <v>2.63E-2</v>
      </c>
    </row>
    <row r="248" spans="1:48" x14ac:dyDescent="0.25">
      <c r="A248" t="s">
        <v>352</v>
      </c>
      <c r="B248" t="s">
        <v>2</v>
      </c>
      <c r="C248" t="s">
        <v>352</v>
      </c>
      <c r="D248">
        <v>26780</v>
      </c>
      <c r="E248" t="s">
        <v>672</v>
      </c>
      <c r="F248" t="s">
        <v>117</v>
      </c>
      <c r="G248" t="s">
        <v>670</v>
      </c>
      <c r="H248" t="s">
        <v>670</v>
      </c>
      <c r="I248" t="s">
        <v>673</v>
      </c>
      <c r="J248" t="s">
        <v>673</v>
      </c>
      <c r="K248" t="s">
        <v>673</v>
      </c>
      <c r="L248" t="s">
        <v>673</v>
      </c>
      <c r="M248" t="s">
        <v>673</v>
      </c>
      <c r="N248" t="s">
        <v>673</v>
      </c>
      <c r="O248" t="s">
        <v>673</v>
      </c>
      <c r="P248" t="s">
        <v>673</v>
      </c>
      <c r="Q248" t="s">
        <v>673</v>
      </c>
      <c r="R248" t="s">
        <v>673</v>
      </c>
      <c r="S248" t="s">
        <v>673</v>
      </c>
      <c r="T248" t="s">
        <v>673</v>
      </c>
      <c r="U248" t="s">
        <v>673</v>
      </c>
      <c r="V248" t="s">
        <v>673</v>
      </c>
      <c r="W248" t="s">
        <v>673</v>
      </c>
      <c r="X248" t="s">
        <v>673</v>
      </c>
      <c r="Y248" t="s">
        <v>673</v>
      </c>
      <c r="Z248" t="s">
        <v>673</v>
      </c>
      <c r="AA248" t="s">
        <v>673</v>
      </c>
      <c r="AB248" t="s">
        <v>673</v>
      </c>
      <c r="AC248" t="s">
        <v>673</v>
      </c>
      <c r="AD248" t="s">
        <v>673</v>
      </c>
      <c r="AE248" t="s">
        <v>673</v>
      </c>
      <c r="AF248" t="s">
        <v>673</v>
      </c>
      <c r="AG248" t="s">
        <v>673</v>
      </c>
      <c r="AH248" t="s">
        <v>673</v>
      </c>
      <c r="AI248" t="s">
        <v>673</v>
      </c>
      <c r="AJ248" t="s">
        <v>673</v>
      </c>
      <c r="AK248" t="s">
        <v>673</v>
      </c>
      <c r="AL248" t="s">
        <v>673</v>
      </c>
      <c r="AM248" t="s">
        <v>673</v>
      </c>
      <c r="AN248" t="s">
        <v>673</v>
      </c>
      <c r="AO248" t="s">
        <v>673</v>
      </c>
      <c r="AP248" t="s">
        <v>673</v>
      </c>
      <c r="AQ248" t="s">
        <v>673</v>
      </c>
      <c r="AR248" t="s">
        <v>673</v>
      </c>
      <c r="AS248" t="s">
        <v>673</v>
      </c>
      <c r="AT248" t="s">
        <v>673</v>
      </c>
      <c r="AU248" t="s">
        <v>673</v>
      </c>
      <c r="AV248" t="s">
        <v>673</v>
      </c>
    </row>
    <row r="249" spans="1:48" x14ac:dyDescent="0.25">
      <c r="A249" t="s">
        <v>353</v>
      </c>
      <c r="B249" t="s">
        <v>2</v>
      </c>
      <c r="C249" t="s">
        <v>353</v>
      </c>
      <c r="D249">
        <v>26820</v>
      </c>
      <c r="E249" t="s">
        <v>672</v>
      </c>
      <c r="F249" t="s">
        <v>117</v>
      </c>
      <c r="G249" t="s">
        <v>670</v>
      </c>
      <c r="H249" t="s">
        <v>670</v>
      </c>
      <c r="I249" t="s">
        <v>673</v>
      </c>
      <c r="J249" t="s">
        <v>673</v>
      </c>
      <c r="K249" t="s">
        <v>673</v>
      </c>
      <c r="L249" t="s">
        <v>673</v>
      </c>
      <c r="M249" t="s">
        <v>673</v>
      </c>
      <c r="N249" t="s">
        <v>673</v>
      </c>
      <c r="O249" t="s">
        <v>673</v>
      </c>
      <c r="P249" t="s">
        <v>673</v>
      </c>
      <c r="Q249" t="s">
        <v>673</v>
      </c>
      <c r="R249" t="s">
        <v>673</v>
      </c>
      <c r="S249" t="s">
        <v>673</v>
      </c>
      <c r="T249" t="s">
        <v>673</v>
      </c>
      <c r="U249" t="s">
        <v>673</v>
      </c>
      <c r="V249" t="s">
        <v>673</v>
      </c>
      <c r="W249" t="s">
        <v>673</v>
      </c>
      <c r="X249" t="s">
        <v>673</v>
      </c>
      <c r="Y249" t="s">
        <v>673</v>
      </c>
      <c r="Z249" t="s">
        <v>673</v>
      </c>
      <c r="AA249" t="s">
        <v>673</v>
      </c>
      <c r="AB249" t="s">
        <v>673</v>
      </c>
      <c r="AC249" t="s">
        <v>673</v>
      </c>
      <c r="AD249" t="s">
        <v>673</v>
      </c>
      <c r="AE249" t="s">
        <v>673</v>
      </c>
      <c r="AF249" t="s">
        <v>673</v>
      </c>
      <c r="AG249" t="s">
        <v>673</v>
      </c>
      <c r="AH249" t="s">
        <v>673</v>
      </c>
      <c r="AI249" t="s">
        <v>673</v>
      </c>
      <c r="AJ249" t="s">
        <v>673</v>
      </c>
      <c r="AK249" t="s">
        <v>673</v>
      </c>
      <c r="AL249">
        <v>1.7899999999999999E-2</v>
      </c>
      <c r="AM249">
        <v>-6.8999999999999999E-3</v>
      </c>
      <c r="AN249">
        <v>-8.0199999999999994E-2</v>
      </c>
      <c r="AO249">
        <v>-6.9000000000000006E-2</v>
      </c>
      <c r="AP249">
        <v>-4.5400000000000003E-2</v>
      </c>
      <c r="AQ249">
        <v>-4.2900000000000001E-2</v>
      </c>
      <c r="AR249">
        <v>1E-4</v>
      </c>
      <c r="AS249">
        <v>-3.8699999999999998E-2</v>
      </c>
      <c r="AT249">
        <v>1.37E-2</v>
      </c>
      <c r="AU249">
        <v>-2.41E-2</v>
      </c>
      <c r="AV249">
        <v>5.0000000000000001E-3</v>
      </c>
    </row>
    <row r="250" spans="1:48" x14ac:dyDescent="0.25">
      <c r="A250" t="s">
        <v>354</v>
      </c>
      <c r="B250" t="s">
        <v>2</v>
      </c>
      <c r="C250" t="s">
        <v>354</v>
      </c>
      <c r="D250">
        <v>26860</v>
      </c>
      <c r="E250" t="s">
        <v>672</v>
      </c>
      <c r="F250" t="s">
        <v>117</v>
      </c>
      <c r="G250" t="s">
        <v>670</v>
      </c>
      <c r="H250" t="s">
        <v>670</v>
      </c>
      <c r="I250" t="s">
        <v>673</v>
      </c>
      <c r="J250" t="s">
        <v>673</v>
      </c>
      <c r="K250" t="s">
        <v>673</v>
      </c>
      <c r="L250" t="s">
        <v>673</v>
      </c>
      <c r="M250" t="s">
        <v>673</v>
      </c>
      <c r="N250" t="s">
        <v>673</v>
      </c>
      <c r="O250" t="s">
        <v>673</v>
      </c>
      <c r="P250" t="s">
        <v>673</v>
      </c>
      <c r="Q250" t="s">
        <v>673</v>
      </c>
      <c r="R250" t="s">
        <v>673</v>
      </c>
      <c r="S250" t="s">
        <v>673</v>
      </c>
      <c r="T250" t="s">
        <v>673</v>
      </c>
      <c r="U250" t="s">
        <v>673</v>
      </c>
      <c r="V250" t="s">
        <v>673</v>
      </c>
      <c r="W250" t="s">
        <v>673</v>
      </c>
      <c r="X250" t="s">
        <v>673</v>
      </c>
      <c r="Y250" t="s">
        <v>673</v>
      </c>
      <c r="Z250" t="s">
        <v>673</v>
      </c>
      <c r="AA250" t="s">
        <v>673</v>
      </c>
      <c r="AB250" t="s">
        <v>673</v>
      </c>
      <c r="AC250" t="s">
        <v>673</v>
      </c>
      <c r="AD250" t="s">
        <v>673</v>
      </c>
      <c r="AE250" t="s">
        <v>673</v>
      </c>
      <c r="AF250" t="s">
        <v>673</v>
      </c>
      <c r="AG250" t="s">
        <v>673</v>
      </c>
      <c r="AH250" t="s">
        <v>673</v>
      </c>
      <c r="AI250" t="s">
        <v>673</v>
      </c>
      <c r="AJ250" t="s">
        <v>673</v>
      </c>
      <c r="AK250" t="s">
        <v>673</v>
      </c>
      <c r="AL250" t="s">
        <v>673</v>
      </c>
      <c r="AM250" t="s">
        <v>673</v>
      </c>
      <c r="AN250" t="s">
        <v>673</v>
      </c>
      <c r="AO250" t="s">
        <v>673</v>
      </c>
      <c r="AP250" t="s">
        <v>673</v>
      </c>
      <c r="AQ250" t="s">
        <v>673</v>
      </c>
      <c r="AR250" t="s">
        <v>673</v>
      </c>
      <c r="AS250" t="s">
        <v>673</v>
      </c>
      <c r="AT250" t="s">
        <v>673</v>
      </c>
      <c r="AU250" t="s">
        <v>673</v>
      </c>
      <c r="AV250" t="s">
        <v>673</v>
      </c>
    </row>
    <row r="251" spans="1:48" x14ac:dyDescent="0.25">
      <c r="A251" t="s">
        <v>29</v>
      </c>
      <c r="B251" t="s">
        <v>2</v>
      </c>
      <c r="C251" t="s">
        <v>29</v>
      </c>
      <c r="D251">
        <v>226900</v>
      </c>
      <c r="E251" t="s">
        <v>672</v>
      </c>
      <c r="F251" t="s">
        <v>117</v>
      </c>
      <c r="G251" t="s">
        <v>670</v>
      </c>
      <c r="H251" t="s">
        <v>670</v>
      </c>
      <c r="I251">
        <v>3.3000000000000002E-2</v>
      </c>
      <c r="J251">
        <v>4.1300000000000003E-2</v>
      </c>
      <c r="K251">
        <v>4.7300000000000002E-2</v>
      </c>
      <c r="L251">
        <v>4.1099999999999998E-2</v>
      </c>
      <c r="M251">
        <v>4.2500000000000003E-2</v>
      </c>
      <c r="N251">
        <v>4.3999999999999997E-2</v>
      </c>
      <c r="O251">
        <v>4.3999999999999997E-2</v>
      </c>
      <c r="P251">
        <v>4.4200000000000003E-2</v>
      </c>
      <c r="Q251">
        <v>4.6899999999999997E-2</v>
      </c>
      <c r="R251">
        <v>4.4600000000000001E-2</v>
      </c>
      <c r="S251">
        <v>5.1700000000000003E-2</v>
      </c>
      <c r="T251">
        <v>5.0099999999999999E-2</v>
      </c>
      <c r="U251">
        <v>3.95E-2</v>
      </c>
      <c r="V251">
        <v>4.58E-2</v>
      </c>
      <c r="W251">
        <v>4.87E-2</v>
      </c>
      <c r="X251">
        <v>4.7600000000000003E-2</v>
      </c>
      <c r="Y251">
        <v>5.4399999999999997E-2</v>
      </c>
      <c r="Z251">
        <v>3.1699999999999999E-2</v>
      </c>
      <c r="AA251">
        <v>2.1700000000000001E-2</v>
      </c>
      <c r="AB251">
        <v>2.9399999999999999E-2</v>
      </c>
      <c r="AC251">
        <v>2.9600000000000001E-2</v>
      </c>
      <c r="AD251">
        <v>6.5600000000000006E-2</v>
      </c>
      <c r="AE251">
        <v>0.11559999999999999</v>
      </c>
      <c r="AF251">
        <v>0.1399</v>
      </c>
      <c r="AG251">
        <v>0.15629999999999999</v>
      </c>
      <c r="AH251">
        <v>0.1663</v>
      </c>
      <c r="AI251">
        <v>0.1454</v>
      </c>
      <c r="AJ251">
        <v>0.1158</v>
      </c>
      <c r="AK251">
        <v>9.9699999999999997E-2</v>
      </c>
      <c r="AL251">
        <v>7.0999999999999994E-2</v>
      </c>
      <c r="AM251">
        <v>3.9699999999999999E-2</v>
      </c>
      <c r="AN251">
        <v>3.73E-2</v>
      </c>
      <c r="AO251">
        <v>3.32E-2</v>
      </c>
      <c r="AP251">
        <v>3.1199999999999999E-2</v>
      </c>
      <c r="AQ251">
        <v>3.04E-2</v>
      </c>
      <c r="AR251">
        <v>3.0200000000000001E-2</v>
      </c>
      <c r="AS251">
        <v>2.75E-2</v>
      </c>
      <c r="AT251">
        <v>2.0899999999999998E-2</v>
      </c>
      <c r="AU251">
        <v>2.1600000000000001E-2</v>
      </c>
      <c r="AV251">
        <v>1.23E-2</v>
      </c>
    </row>
    <row r="252" spans="1:48" x14ac:dyDescent="0.25">
      <c r="A252" t="s">
        <v>355</v>
      </c>
      <c r="B252" t="s">
        <v>2</v>
      </c>
      <c r="C252" t="s">
        <v>355</v>
      </c>
      <c r="D252">
        <v>26980</v>
      </c>
      <c r="E252" t="s">
        <v>672</v>
      </c>
      <c r="F252" t="s">
        <v>117</v>
      </c>
      <c r="G252" t="s">
        <v>670</v>
      </c>
      <c r="H252" t="s">
        <v>670</v>
      </c>
      <c r="I252">
        <v>9.6299999999999997E-2</v>
      </c>
      <c r="J252">
        <v>5.45E-2</v>
      </c>
      <c r="K252">
        <v>3.73E-2</v>
      </c>
      <c r="L252">
        <v>-4.8999999999999998E-3</v>
      </c>
      <c r="M252">
        <v>-9.1999999999999998E-3</v>
      </c>
      <c r="N252">
        <v>2.3400000000000001E-2</v>
      </c>
      <c r="O252">
        <v>4.8800000000000003E-2</v>
      </c>
      <c r="P252">
        <v>7.4200000000000002E-2</v>
      </c>
      <c r="Q252">
        <v>6.5799999999999997E-2</v>
      </c>
      <c r="R252">
        <v>4.4900000000000002E-2</v>
      </c>
      <c r="S252">
        <v>1.21E-2</v>
      </c>
      <c r="T252">
        <v>6.4799999999999996E-2</v>
      </c>
      <c r="U252">
        <v>2.6700000000000002E-2</v>
      </c>
      <c r="V252">
        <v>1.9E-2</v>
      </c>
      <c r="W252">
        <v>4.3900000000000002E-2</v>
      </c>
      <c r="X252">
        <v>-1.7500000000000002E-2</v>
      </c>
      <c r="Y252">
        <v>7.3099999999999998E-2</v>
      </c>
      <c r="Z252">
        <v>6.1600000000000002E-2</v>
      </c>
      <c r="AA252">
        <v>7.1099999999999997E-2</v>
      </c>
      <c r="AB252">
        <v>7.2900000000000006E-2</v>
      </c>
      <c r="AC252">
        <v>2.2800000000000001E-2</v>
      </c>
      <c r="AD252">
        <v>3.0099999999999998E-2</v>
      </c>
      <c r="AE252">
        <v>1.4500000000000001E-2</v>
      </c>
      <c r="AF252">
        <v>1.5699999999999999E-2</v>
      </c>
      <c r="AG252">
        <v>5.1200000000000002E-2</v>
      </c>
      <c r="AH252">
        <v>6.4000000000000001E-2</v>
      </c>
      <c r="AI252">
        <v>7.8100000000000003E-2</v>
      </c>
      <c r="AJ252">
        <v>8.8300000000000003E-2</v>
      </c>
      <c r="AK252">
        <v>4.9399999999999999E-2</v>
      </c>
      <c r="AL252">
        <v>1.4500000000000001E-2</v>
      </c>
      <c r="AM252">
        <v>4.4000000000000003E-3</v>
      </c>
      <c r="AN252">
        <v>-1.6799999999999999E-2</v>
      </c>
      <c r="AO252">
        <v>-1.49E-2</v>
      </c>
      <c r="AP252">
        <v>1.24E-2</v>
      </c>
      <c r="AQ252">
        <v>2.3900000000000001E-2</v>
      </c>
      <c r="AR252">
        <v>4.9500000000000002E-2</v>
      </c>
      <c r="AS252">
        <v>5.5500000000000001E-2</v>
      </c>
      <c r="AT252">
        <v>5.2200000000000003E-2</v>
      </c>
      <c r="AU252">
        <v>2.3199999999999998E-2</v>
      </c>
      <c r="AV252">
        <v>1.4200000000000001E-2</v>
      </c>
    </row>
    <row r="253" spans="1:48" x14ac:dyDescent="0.25">
      <c r="A253" t="s">
        <v>356</v>
      </c>
      <c r="B253" t="s">
        <v>2</v>
      </c>
      <c r="C253" t="s">
        <v>356</v>
      </c>
      <c r="D253">
        <v>27020</v>
      </c>
      <c r="E253" t="s">
        <v>672</v>
      </c>
      <c r="F253" t="s">
        <v>117</v>
      </c>
      <c r="G253" t="s">
        <v>670</v>
      </c>
      <c r="H253" t="s">
        <v>670</v>
      </c>
      <c r="I253" t="s">
        <v>673</v>
      </c>
      <c r="J253" t="s">
        <v>673</v>
      </c>
      <c r="K253" t="s">
        <v>673</v>
      </c>
      <c r="L253" t="s">
        <v>673</v>
      </c>
      <c r="M253" t="s">
        <v>673</v>
      </c>
      <c r="N253" t="s">
        <v>673</v>
      </c>
      <c r="O253" t="s">
        <v>673</v>
      </c>
      <c r="P253" t="s">
        <v>673</v>
      </c>
      <c r="Q253" t="s">
        <v>673</v>
      </c>
      <c r="R253" t="s">
        <v>673</v>
      </c>
      <c r="S253" t="s">
        <v>673</v>
      </c>
      <c r="T253" t="s">
        <v>673</v>
      </c>
      <c r="U253" t="s">
        <v>673</v>
      </c>
      <c r="V253" t="s">
        <v>673</v>
      </c>
      <c r="W253" t="s">
        <v>673</v>
      </c>
      <c r="X253" t="s">
        <v>673</v>
      </c>
      <c r="Y253" t="s">
        <v>673</v>
      </c>
      <c r="Z253" t="s">
        <v>673</v>
      </c>
      <c r="AA253" t="s">
        <v>673</v>
      </c>
      <c r="AB253" t="s">
        <v>673</v>
      </c>
      <c r="AC253" t="s">
        <v>673</v>
      </c>
      <c r="AD253" t="s">
        <v>673</v>
      </c>
      <c r="AE253" t="s">
        <v>673</v>
      </c>
      <c r="AF253" t="s">
        <v>673</v>
      </c>
      <c r="AG253" t="s">
        <v>673</v>
      </c>
      <c r="AH253" t="s">
        <v>673</v>
      </c>
      <c r="AI253" t="s">
        <v>673</v>
      </c>
      <c r="AJ253" t="s">
        <v>673</v>
      </c>
      <c r="AK253" t="s">
        <v>673</v>
      </c>
      <c r="AL253" t="s">
        <v>673</v>
      </c>
      <c r="AM253" t="s">
        <v>673</v>
      </c>
      <c r="AN253" t="s">
        <v>673</v>
      </c>
      <c r="AO253" t="s">
        <v>673</v>
      </c>
      <c r="AP253" t="s">
        <v>673</v>
      </c>
      <c r="AQ253" t="s">
        <v>673</v>
      </c>
      <c r="AR253" t="s">
        <v>673</v>
      </c>
      <c r="AS253" t="s">
        <v>673</v>
      </c>
      <c r="AT253" t="s">
        <v>673</v>
      </c>
      <c r="AU253" t="s">
        <v>673</v>
      </c>
      <c r="AV253" t="s">
        <v>673</v>
      </c>
    </row>
    <row r="254" spans="1:48" x14ac:dyDescent="0.25">
      <c r="A254" t="s">
        <v>357</v>
      </c>
      <c r="B254" t="s">
        <v>2</v>
      </c>
      <c r="C254" t="s">
        <v>357</v>
      </c>
      <c r="D254">
        <v>27060</v>
      </c>
      <c r="E254" t="s">
        <v>672</v>
      </c>
      <c r="F254" t="s">
        <v>117</v>
      </c>
      <c r="G254" t="s">
        <v>670</v>
      </c>
      <c r="H254" t="s">
        <v>670</v>
      </c>
      <c r="I254" t="s">
        <v>673</v>
      </c>
      <c r="J254" t="s">
        <v>673</v>
      </c>
      <c r="K254" t="s">
        <v>673</v>
      </c>
      <c r="L254">
        <v>-0.09</v>
      </c>
      <c r="M254">
        <v>-8.8900000000000007E-2</v>
      </c>
      <c r="N254">
        <v>-7.8899999999999998E-2</v>
      </c>
      <c r="O254">
        <v>-5.33E-2</v>
      </c>
      <c r="P254">
        <v>3.2800000000000003E-2</v>
      </c>
      <c r="Q254">
        <v>1.1599999999999999E-2</v>
      </c>
      <c r="R254">
        <v>1.4E-3</v>
      </c>
      <c r="S254">
        <v>-6.0000000000000001E-3</v>
      </c>
      <c r="T254">
        <v>-1.6400000000000001E-2</v>
      </c>
      <c r="U254">
        <v>2.3999999999999998E-3</v>
      </c>
      <c r="V254">
        <v>-6.8999999999999999E-3</v>
      </c>
      <c r="W254">
        <v>-6.6600000000000006E-2</v>
      </c>
      <c r="X254">
        <v>0.125</v>
      </c>
      <c r="Y254">
        <v>9.0999999999999998E-2</v>
      </c>
      <c r="Z254">
        <v>0.13009999999999999</v>
      </c>
      <c r="AA254">
        <v>0.2165</v>
      </c>
      <c r="AB254">
        <v>6.3799999999999996E-2</v>
      </c>
      <c r="AC254">
        <v>0.10780000000000001</v>
      </c>
      <c r="AD254">
        <v>0.10879999999999999</v>
      </c>
      <c r="AE254">
        <v>0.127</v>
      </c>
      <c r="AF254">
        <v>0.1055</v>
      </c>
      <c r="AG254">
        <v>0.1197</v>
      </c>
      <c r="AH254">
        <v>0.1966</v>
      </c>
      <c r="AI254">
        <v>0.2051</v>
      </c>
      <c r="AJ254">
        <v>0.17949999999999999</v>
      </c>
      <c r="AK254">
        <v>0.1268</v>
      </c>
      <c r="AL254">
        <v>4.5100000000000001E-2</v>
      </c>
      <c r="AM254">
        <v>1.83E-2</v>
      </c>
      <c r="AN254">
        <v>7.2900000000000006E-2</v>
      </c>
      <c r="AO254">
        <v>0.1104</v>
      </c>
      <c r="AP254">
        <v>0.13320000000000001</v>
      </c>
      <c r="AQ254">
        <v>0.14360000000000001</v>
      </c>
      <c r="AR254">
        <v>7.0599999999999996E-2</v>
      </c>
      <c r="AS254">
        <v>4.0599999999999997E-2</v>
      </c>
      <c r="AT254">
        <v>-4.8999999999999998E-3</v>
      </c>
      <c r="AU254">
        <v>-3.0999999999999999E-3</v>
      </c>
      <c r="AV254">
        <v>7.1000000000000004E-3</v>
      </c>
    </row>
    <row r="255" spans="1:48" x14ac:dyDescent="0.25">
      <c r="A255" t="s">
        <v>358</v>
      </c>
      <c r="B255" t="s">
        <v>2</v>
      </c>
      <c r="C255" t="s">
        <v>358</v>
      </c>
      <c r="D255">
        <v>27100</v>
      </c>
      <c r="E255" t="s">
        <v>672</v>
      </c>
      <c r="F255" t="s">
        <v>117</v>
      </c>
      <c r="G255" t="s">
        <v>670</v>
      </c>
      <c r="H255" t="s">
        <v>670</v>
      </c>
      <c r="I255">
        <v>0.1661</v>
      </c>
      <c r="J255">
        <v>0.1472</v>
      </c>
      <c r="K255">
        <v>-4.7300000000000002E-2</v>
      </c>
      <c r="L255">
        <v>-9.3299999999999994E-2</v>
      </c>
      <c r="M255">
        <v>-0.10100000000000001</v>
      </c>
      <c r="N255">
        <v>-0.1148</v>
      </c>
      <c r="O255">
        <v>-4.5199999999999997E-2</v>
      </c>
      <c r="P255">
        <v>-1.7299999999999999E-2</v>
      </c>
      <c r="Q255">
        <v>3.73E-2</v>
      </c>
      <c r="R255">
        <v>4.24E-2</v>
      </c>
      <c r="S255">
        <v>4.9399999999999999E-2</v>
      </c>
      <c r="T255">
        <v>4.5999999999999999E-2</v>
      </c>
      <c r="U255">
        <v>3.2099999999999997E-2</v>
      </c>
      <c r="V255">
        <v>3.1699999999999999E-2</v>
      </c>
      <c r="W255">
        <v>2.5000000000000001E-2</v>
      </c>
      <c r="X255">
        <v>2.0199999999999999E-2</v>
      </c>
      <c r="Y255">
        <v>3.6200000000000003E-2</v>
      </c>
      <c r="Z255">
        <v>5.8000000000000003E-2</v>
      </c>
      <c r="AA255">
        <v>7.2499999999999995E-2</v>
      </c>
      <c r="AB255">
        <v>0.1321</v>
      </c>
      <c r="AC255">
        <v>0.1331</v>
      </c>
      <c r="AD255">
        <v>0.15529999999999999</v>
      </c>
      <c r="AE255">
        <v>0.16919999999999999</v>
      </c>
      <c r="AF255">
        <v>9.4399999999999998E-2</v>
      </c>
      <c r="AG255">
        <v>5.0900000000000001E-2</v>
      </c>
      <c r="AH255">
        <v>2.9700000000000001E-2</v>
      </c>
      <c r="AI255">
        <v>5.4800000000000001E-2</v>
      </c>
      <c r="AJ255">
        <v>7.8E-2</v>
      </c>
      <c r="AK255">
        <v>0.1203</v>
      </c>
      <c r="AL255">
        <v>0.11799999999999999</v>
      </c>
      <c r="AM255">
        <v>4.2799999999999998E-2</v>
      </c>
      <c r="AN255">
        <v>6.0400000000000002E-2</v>
      </c>
      <c r="AO255">
        <v>8.14E-2</v>
      </c>
      <c r="AP255">
        <v>0.06</v>
      </c>
      <c r="AQ255">
        <v>4.4999999999999998E-2</v>
      </c>
      <c r="AR255">
        <v>2.1000000000000001E-2</v>
      </c>
      <c r="AS255">
        <v>-1.37E-2</v>
      </c>
      <c r="AT255">
        <v>2.0299999999999999E-2</v>
      </c>
      <c r="AU255">
        <v>4.3400000000000001E-2</v>
      </c>
      <c r="AV255">
        <v>4.7899999999999998E-2</v>
      </c>
    </row>
    <row r="256" spans="1:48" x14ac:dyDescent="0.25">
      <c r="A256" t="s">
        <v>359</v>
      </c>
      <c r="B256" t="s">
        <v>2</v>
      </c>
      <c r="C256" t="s">
        <v>359</v>
      </c>
      <c r="D256">
        <v>27140</v>
      </c>
      <c r="E256" t="s">
        <v>672</v>
      </c>
      <c r="F256" t="s">
        <v>117</v>
      </c>
      <c r="G256" t="s">
        <v>670</v>
      </c>
      <c r="H256" t="s">
        <v>670</v>
      </c>
      <c r="I256">
        <v>3.5900000000000001E-2</v>
      </c>
      <c r="J256">
        <v>4.5699999999999998E-2</v>
      </c>
      <c r="K256">
        <v>3.5299999999999998E-2</v>
      </c>
      <c r="L256">
        <v>2.69E-2</v>
      </c>
      <c r="M256">
        <v>1.2E-2</v>
      </c>
      <c r="N256">
        <v>-3.5999999999999999E-3</v>
      </c>
      <c r="O256">
        <v>1.5E-3</v>
      </c>
      <c r="P256">
        <v>1.5E-3</v>
      </c>
      <c r="Q256">
        <v>1.4200000000000001E-2</v>
      </c>
      <c r="R256">
        <v>1.0500000000000001E-2</v>
      </c>
      <c r="S256">
        <v>2.3099999999999999E-2</v>
      </c>
      <c r="T256">
        <v>2.7799999999999998E-2</v>
      </c>
      <c r="U256">
        <v>2.9000000000000001E-2</v>
      </c>
      <c r="V256">
        <v>4.6600000000000003E-2</v>
      </c>
      <c r="W256">
        <v>4.3900000000000002E-2</v>
      </c>
      <c r="X256">
        <v>6.2300000000000001E-2</v>
      </c>
      <c r="Y256">
        <v>6.1400000000000003E-2</v>
      </c>
      <c r="Z256">
        <v>4.1200000000000001E-2</v>
      </c>
      <c r="AA256">
        <v>4.7199999999999999E-2</v>
      </c>
      <c r="AB256">
        <v>4.1799999999999997E-2</v>
      </c>
      <c r="AC256">
        <v>3.4299999999999997E-2</v>
      </c>
      <c r="AD256">
        <v>6.7799999999999999E-2</v>
      </c>
      <c r="AE256">
        <v>0.08</v>
      </c>
      <c r="AF256">
        <v>8.7999999999999995E-2</v>
      </c>
      <c r="AG256">
        <v>0.10150000000000001</v>
      </c>
      <c r="AH256">
        <v>0.10059999999999999</v>
      </c>
      <c r="AI256">
        <v>9.6699999999999994E-2</v>
      </c>
      <c r="AJ256">
        <v>8.6699999999999999E-2</v>
      </c>
      <c r="AK256">
        <v>8.14E-2</v>
      </c>
      <c r="AL256">
        <v>8.1299999999999997E-2</v>
      </c>
      <c r="AM256">
        <v>6.5100000000000005E-2</v>
      </c>
      <c r="AN256">
        <v>3.7699999999999997E-2</v>
      </c>
      <c r="AO256">
        <v>2.3699999999999999E-2</v>
      </c>
      <c r="AP256">
        <v>1.7100000000000001E-2</v>
      </c>
      <c r="AQ256">
        <v>1.2699999999999999E-2</v>
      </c>
      <c r="AR256">
        <v>2.92E-2</v>
      </c>
      <c r="AS256">
        <v>3.3599999999999998E-2</v>
      </c>
      <c r="AT256">
        <v>4.1300000000000003E-2</v>
      </c>
      <c r="AU256">
        <v>5.8400000000000001E-2</v>
      </c>
      <c r="AV256">
        <v>6.1199999999999997E-2</v>
      </c>
    </row>
    <row r="257" spans="1:48" x14ac:dyDescent="0.25">
      <c r="A257" t="s">
        <v>360</v>
      </c>
      <c r="B257" t="s">
        <v>2</v>
      </c>
      <c r="C257" t="s">
        <v>360</v>
      </c>
      <c r="D257">
        <v>27180</v>
      </c>
      <c r="E257" t="s">
        <v>672</v>
      </c>
      <c r="F257" t="s">
        <v>117</v>
      </c>
      <c r="G257" t="s">
        <v>670</v>
      </c>
      <c r="H257" t="s">
        <v>670</v>
      </c>
      <c r="I257">
        <v>0.1033</v>
      </c>
      <c r="J257">
        <v>1.6299999999999999E-2</v>
      </c>
      <c r="K257">
        <v>9.4999999999999998E-3</v>
      </c>
      <c r="L257">
        <v>3.1600000000000003E-2</v>
      </c>
      <c r="M257">
        <v>-1.0999999999999999E-2</v>
      </c>
      <c r="N257">
        <v>2.47E-2</v>
      </c>
      <c r="O257">
        <v>3.1399999999999997E-2</v>
      </c>
      <c r="P257">
        <v>2.3800000000000002E-2</v>
      </c>
      <c r="Q257">
        <v>3.3799999999999997E-2</v>
      </c>
      <c r="R257">
        <v>4.4000000000000003E-3</v>
      </c>
      <c r="S257">
        <v>-4.4999999999999997E-3</v>
      </c>
      <c r="T257">
        <v>1.9800000000000002E-2</v>
      </c>
      <c r="U257">
        <v>1.95E-2</v>
      </c>
      <c r="V257">
        <v>2.24E-2</v>
      </c>
      <c r="W257">
        <v>1.6500000000000001E-2</v>
      </c>
      <c r="X257">
        <v>9.9000000000000008E-3</v>
      </c>
      <c r="Y257">
        <v>2.58E-2</v>
      </c>
      <c r="Z257">
        <v>5.2499999999999998E-2</v>
      </c>
      <c r="AA257">
        <v>6.4600000000000005E-2</v>
      </c>
      <c r="AB257">
        <v>8.0399999999999999E-2</v>
      </c>
      <c r="AC257">
        <v>7.5200000000000003E-2</v>
      </c>
      <c r="AD257">
        <v>7.8600000000000003E-2</v>
      </c>
      <c r="AE257">
        <v>0.1022</v>
      </c>
      <c r="AF257">
        <v>0.13439999999999999</v>
      </c>
      <c r="AG257">
        <v>0.159</v>
      </c>
      <c r="AH257">
        <v>0.1709</v>
      </c>
      <c r="AI257">
        <v>0.13639999999999999</v>
      </c>
      <c r="AJ257">
        <v>4.9000000000000002E-2</v>
      </c>
      <c r="AK257">
        <v>5.2999999999999999E-2</v>
      </c>
      <c r="AL257">
        <v>4.2200000000000001E-2</v>
      </c>
      <c r="AM257">
        <v>4.2700000000000002E-2</v>
      </c>
      <c r="AN257">
        <v>6.6500000000000004E-2</v>
      </c>
      <c r="AO257">
        <v>2.3900000000000001E-2</v>
      </c>
      <c r="AP257">
        <v>0.02</v>
      </c>
      <c r="AQ257">
        <v>1.46E-2</v>
      </c>
      <c r="AR257">
        <v>3.4700000000000002E-2</v>
      </c>
      <c r="AS257">
        <v>4.6800000000000001E-2</v>
      </c>
      <c r="AT257">
        <v>3.5499999999999997E-2</v>
      </c>
      <c r="AU257">
        <v>4.5600000000000002E-2</v>
      </c>
      <c r="AV257">
        <v>1.67E-2</v>
      </c>
    </row>
    <row r="258" spans="1:48" x14ac:dyDescent="0.25">
      <c r="A258" t="s">
        <v>23</v>
      </c>
      <c r="B258" t="s">
        <v>2</v>
      </c>
      <c r="C258" t="s">
        <v>23</v>
      </c>
      <c r="D258">
        <v>27260</v>
      </c>
      <c r="E258" t="s">
        <v>672</v>
      </c>
      <c r="F258" t="s">
        <v>117</v>
      </c>
      <c r="G258" t="s">
        <v>670</v>
      </c>
      <c r="H258" t="s">
        <v>670</v>
      </c>
      <c r="I258">
        <v>6.3500000000000001E-2</v>
      </c>
      <c r="J258">
        <v>5.1999999999999998E-2</v>
      </c>
      <c r="K258">
        <v>4.6800000000000001E-2</v>
      </c>
      <c r="L258">
        <v>4.9500000000000002E-2</v>
      </c>
      <c r="M258">
        <v>4.7100000000000003E-2</v>
      </c>
      <c r="N258">
        <v>5.33E-2</v>
      </c>
      <c r="O258">
        <v>5.8700000000000002E-2</v>
      </c>
      <c r="P258">
        <v>6.7699999999999996E-2</v>
      </c>
      <c r="Q258">
        <v>6.3299999999999995E-2</v>
      </c>
      <c r="R258">
        <v>6.54E-2</v>
      </c>
      <c r="S258">
        <v>6.9000000000000006E-2</v>
      </c>
      <c r="T258">
        <v>6.0600000000000001E-2</v>
      </c>
      <c r="U258">
        <v>6.3899999999999998E-2</v>
      </c>
      <c r="V258">
        <v>4.65E-2</v>
      </c>
      <c r="W258">
        <v>3.9100000000000003E-2</v>
      </c>
      <c r="X258">
        <v>4.5699999999999998E-2</v>
      </c>
      <c r="Y258">
        <v>5.2499999999999998E-2</v>
      </c>
      <c r="Z258">
        <v>3.6299999999999999E-2</v>
      </c>
      <c r="AA258">
        <v>3.8100000000000002E-2</v>
      </c>
      <c r="AB258">
        <v>4.65E-2</v>
      </c>
      <c r="AC258">
        <v>4.7E-2</v>
      </c>
      <c r="AD258">
        <v>0.122</v>
      </c>
      <c r="AE258">
        <v>0.2135</v>
      </c>
      <c r="AF258">
        <v>0.25359999999999999</v>
      </c>
      <c r="AG258">
        <v>0.25659999999999999</v>
      </c>
      <c r="AH258">
        <v>0.223</v>
      </c>
      <c r="AI258">
        <v>0.127</v>
      </c>
      <c r="AJ258">
        <v>6.0400000000000002E-2</v>
      </c>
      <c r="AK258">
        <v>3.7600000000000001E-2</v>
      </c>
      <c r="AL258">
        <v>5.5999999999999999E-3</v>
      </c>
      <c r="AM258">
        <v>-2.7300000000000001E-2</v>
      </c>
      <c r="AN258">
        <v>-3.7400000000000003E-2</v>
      </c>
      <c r="AO258">
        <v>-3.27E-2</v>
      </c>
      <c r="AP258">
        <v>-4.1599999999999998E-2</v>
      </c>
      <c r="AQ258">
        <v>-3.44E-2</v>
      </c>
      <c r="AR258">
        <v>-2.1499999999999998E-2</v>
      </c>
      <c r="AS258">
        <v>-2.06E-2</v>
      </c>
      <c r="AT258">
        <v>-6.0000000000000001E-3</v>
      </c>
      <c r="AU258">
        <v>-2.2000000000000001E-3</v>
      </c>
      <c r="AV258">
        <v>-4.0000000000000001E-3</v>
      </c>
    </row>
    <row r="259" spans="1:48" x14ac:dyDescent="0.25">
      <c r="A259" t="s">
        <v>361</v>
      </c>
      <c r="B259" t="s">
        <v>2</v>
      </c>
      <c r="C259" t="s">
        <v>361</v>
      </c>
      <c r="D259">
        <v>27340</v>
      </c>
      <c r="E259" t="s">
        <v>672</v>
      </c>
      <c r="F259" t="s">
        <v>117</v>
      </c>
      <c r="G259" t="s">
        <v>670</v>
      </c>
      <c r="H259" t="s">
        <v>670</v>
      </c>
      <c r="I259">
        <v>2.1899999999999999E-2</v>
      </c>
      <c r="J259">
        <v>3.2399999999999998E-2</v>
      </c>
      <c r="K259">
        <v>2.18E-2</v>
      </c>
      <c r="L259">
        <v>2.1899999999999999E-2</v>
      </c>
      <c r="M259">
        <v>2.2599999999999999E-2</v>
      </c>
      <c r="N259">
        <v>3.3700000000000001E-2</v>
      </c>
      <c r="O259">
        <v>3.5999999999999997E-2</v>
      </c>
      <c r="P259">
        <v>3.8399999999999997E-2</v>
      </c>
      <c r="Q259">
        <v>2.2599999999999999E-2</v>
      </c>
      <c r="R259">
        <v>5.8999999999999999E-3</v>
      </c>
      <c r="S259">
        <v>4.02E-2</v>
      </c>
      <c r="T259">
        <v>0.107</v>
      </c>
      <c r="U259">
        <v>0.1416</v>
      </c>
      <c r="V259">
        <v>0.1056</v>
      </c>
      <c r="W259">
        <v>0.1731</v>
      </c>
      <c r="X259">
        <v>5.8900000000000001E-2</v>
      </c>
      <c r="Y259">
        <v>7.6999999999999999E-2</v>
      </c>
      <c r="Z259">
        <v>7.9899999999999999E-2</v>
      </c>
      <c r="AA259">
        <v>1.7299999999999999E-2</v>
      </c>
      <c r="AB259">
        <v>9.4E-2</v>
      </c>
      <c r="AC259">
        <v>4.6800000000000001E-2</v>
      </c>
      <c r="AD259">
        <v>0.11700000000000001</v>
      </c>
      <c r="AE259">
        <v>0.14050000000000001</v>
      </c>
      <c r="AF259">
        <v>0.1265</v>
      </c>
      <c r="AG259">
        <v>0.13270000000000001</v>
      </c>
      <c r="AH259">
        <v>0.1265</v>
      </c>
      <c r="AI259">
        <v>0.14119999999999999</v>
      </c>
      <c r="AJ259">
        <v>0.15029999999999999</v>
      </c>
      <c r="AK259">
        <v>0.14610000000000001</v>
      </c>
      <c r="AL259">
        <v>0.126</v>
      </c>
      <c r="AM259">
        <v>6.7400000000000002E-2</v>
      </c>
      <c r="AN259">
        <v>2.4E-2</v>
      </c>
      <c r="AO259">
        <v>-1.41E-2</v>
      </c>
      <c r="AP259">
        <v>-3.3399999999999999E-2</v>
      </c>
      <c r="AQ259">
        <v>-4.82E-2</v>
      </c>
      <c r="AR259">
        <v>-3.7100000000000001E-2</v>
      </c>
      <c r="AS259">
        <v>1.0999999999999999E-2</v>
      </c>
      <c r="AT259">
        <v>3.0700000000000002E-2</v>
      </c>
      <c r="AU259">
        <v>7.3099999999999998E-2</v>
      </c>
      <c r="AV259">
        <v>8.0600000000000005E-2</v>
      </c>
    </row>
    <row r="260" spans="1:48" x14ac:dyDescent="0.25">
      <c r="A260" t="s">
        <v>362</v>
      </c>
      <c r="B260" t="s">
        <v>2</v>
      </c>
      <c r="C260" t="s">
        <v>362</v>
      </c>
      <c r="D260">
        <v>27380</v>
      </c>
      <c r="E260" t="s">
        <v>672</v>
      </c>
      <c r="F260" t="s">
        <v>117</v>
      </c>
      <c r="G260" t="s">
        <v>670</v>
      </c>
      <c r="H260" t="s">
        <v>670</v>
      </c>
      <c r="I260" t="s">
        <v>673</v>
      </c>
      <c r="J260" t="s">
        <v>673</v>
      </c>
      <c r="K260" t="s">
        <v>673</v>
      </c>
      <c r="L260" t="s">
        <v>673</v>
      </c>
      <c r="M260" t="s">
        <v>673</v>
      </c>
      <c r="N260" t="s">
        <v>673</v>
      </c>
      <c r="O260" t="s">
        <v>673</v>
      </c>
      <c r="P260" t="s">
        <v>673</v>
      </c>
      <c r="Q260" t="s">
        <v>673</v>
      </c>
      <c r="R260" t="s">
        <v>673</v>
      </c>
      <c r="S260" t="s">
        <v>673</v>
      </c>
      <c r="T260" t="s">
        <v>673</v>
      </c>
      <c r="U260" t="s">
        <v>673</v>
      </c>
      <c r="V260" t="s">
        <v>673</v>
      </c>
      <c r="W260" t="s">
        <v>673</v>
      </c>
      <c r="X260" t="s">
        <v>673</v>
      </c>
      <c r="Y260" t="s">
        <v>673</v>
      </c>
      <c r="Z260" t="s">
        <v>673</v>
      </c>
      <c r="AA260" t="s">
        <v>673</v>
      </c>
      <c r="AB260" t="s">
        <v>673</v>
      </c>
      <c r="AC260" t="s">
        <v>673</v>
      </c>
      <c r="AD260" t="s">
        <v>673</v>
      </c>
      <c r="AE260" t="s">
        <v>673</v>
      </c>
      <c r="AF260" t="s">
        <v>673</v>
      </c>
      <c r="AG260" t="s">
        <v>673</v>
      </c>
      <c r="AH260" t="s">
        <v>673</v>
      </c>
      <c r="AI260" t="s">
        <v>673</v>
      </c>
      <c r="AJ260" t="s">
        <v>673</v>
      </c>
      <c r="AK260" t="s">
        <v>673</v>
      </c>
      <c r="AL260" t="s">
        <v>673</v>
      </c>
      <c r="AM260" t="s">
        <v>673</v>
      </c>
      <c r="AN260" t="s">
        <v>673</v>
      </c>
      <c r="AO260" t="s">
        <v>673</v>
      </c>
      <c r="AP260" t="s">
        <v>673</v>
      </c>
      <c r="AQ260" t="s">
        <v>673</v>
      </c>
      <c r="AR260" t="s">
        <v>673</v>
      </c>
      <c r="AS260" t="s">
        <v>673</v>
      </c>
      <c r="AT260" t="s">
        <v>673</v>
      </c>
      <c r="AU260" t="s">
        <v>673</v>
      </c>
      <c r="AV260" t="s">
        <v>673</v>
      </c>
    </row>
    <row r="261" spans="1:48" x14ac:dyDescent="0.25">
      <c r="A261" t="s">
        <v>363</v>
      </c>
      <c r="B261" t="s">
        <v>2</v>
      </c>
      <c r="C261" t="s">
        <v>363</v>
      </c>
      <c r="D261">
        <v>27220</v>
      </c>
      <c r="E261" t="s">
        <v>672</v>
      </c>
      <c r="F261" t="s">
        <v>117</v>
      </c>
      <c r="G261" t="s">
        <v>670</v>
      </c>
      <c r="H261" t="s">
        <v>670</v>
      </c>
      <c r="I261" t="s">
        <v>673</v>
      </c>
      <c r="J261" t="s">
        <v>673</v>
      </c>
      <c r="K261" t="s">
        <v>673</v>
      </c>
      <c r="L261" t="s">
        <v>673</v>
      </c>
      <c r="M261" t="s">
        <v>673</v>
      </c>
      <c r="N261">
        <v>6.3200000000000006E-2</v>
      </c>
      <c r="O261">
        <v>4.2599999999999999E-2</v>
      </c>
      <c r="P261">
        <v>5.4100000000000002E-2</v>
      </c>
      <c r="Q261">
        <v>0.10199999999999999</v>
      </c>
      <c r="R261">
        <v>0.1096</v>
      </c>
      <c r="S261">
        <v>0.13769999999999999</v>
      </c>
      <c r="T261">
        <v>0.13850000000000001</v>
      </c>
      <c r="U261">
        <v>6.3200000000000006E-2</v>
      </c>
      <c r="V261">
        <v>7.2300000000000003E-2</v>
      </c>
      <c r="W261">
        <v>7.0099999999999996E-2</v>
      </c>
      <c r="X261">
        <v>0.02</v>
      </c>
      <c r="Y261">
        <v>3.8999999999999998E-3</v>
      </c>
      <c r="Z261">
        <v>-4.4600000000000001E-2</v>
      </c>
      <c r="AA261">
        <v>-7.9200000000000007E-2</v>
      </c>
      <c r="AB261">
        <v>-3.8E-3</v>
      </c>
      <c r="AC261">
        <v>9.5200000000000007E-2</v>
      </c>
      <c r="AD261">
        <v>0.14130000000000001</v>
      </c>
      <c r="AE261">
        <v>0.16880000000000001</v>
      </c>
      <c r="AF261">
        <v>0.12280000000000001</v>
      </c>
      <c r="AG261">
        <v>5.21E-2</v>
      </c>
      <c r="AH261" t="s">
        <v>673</v>
      </c>
      <c r="AI261" t="s">
        <v>673</v>
      </c>
      <c r="AJ261" t="s">
        <v>673</v>
      </c>
      <c r="AK261" t="s">
        <v>673</v>
      </c>
      <c r="AL261" t="s">
        <v>673</v>
      </c>
      <c r="AM261" t="s">
        <v>673</v>
      </c>
      <c r="AN261" t="s">
        <v>673</v>
      </c>
      <c r="AO261" t="s">
        <v>673</v>
      </c>
      <c r="AP261">
        <v>0.15590000000000001</v>
      </c>
      <c r="AQ261">
        <v>0.14979999999999999</v>
      </c>
      <c r="AR261">
        <v>0.16950000000000001</v>
      </c>
      <c r="AS261">
        <v>0.14349999999999999</v>
      </c>
      <c r="AT261">
        <v>5.0299999999999997E-2</v>
      </c>
      <c r="AU261">
        <v>4.2700000000000002E-2</v>
      </c>
      <c r="AV261">
        <v>-1.41E-2</v>
      </c>
    </row>
    <row r="262" spans="1:48" x14ac:dyDescent="0.25">
      <c r="A262" t="s">
        <v>364</v>
      </c>
      <c r="B262" t="s">
        <v>2</v>
      </c>
      <c r="C262" t="s">
        <v>364</v>
      </c>
      <c r="D262">
        <v>27420</v>
      </c>
      <c r="E262" t="s">
        <v>672</v>
      </c>
      <c r="F262" t="s">
        <v>117</v>
      </c>
      <c r="G262" t="s">
        <v>670</v>
      </c>
      <c r="H262" t="s">
        <v>670</v>
      </c>
      <c r="I262" t="s">
        <v>673</v>
      </c>
      <c r="J262" t="s">
        <v>673</v>
      </c>
      <c r="K262" t="s">
        <v>673</v>
      </c>
      <c r="L262" t="s">
        <v>673</v>
      </c>
      <c r="M262" t="s">
        <v>673</v>
      </c>
      <c r="N262" t="s">
        <v>673</v>
      </c>
      <c r="O262" t="s">
        <v>673</v>
      </c>
      <c r="P262" t="s">
        <v>673</v>
      </c>
      <c r="Q262" t="s">
        <v>673</v>
      </c>
      <c r="R262" t="s">
        <v>673</v>
      </c>
      <c r="S262" t="s">
        <v>673</v>
      </c>
      <c r="T262" t="s">
        <v>673</v>
      </c>
      <c r="U262" t="s">
        <v>673</v>
      </c>
      <c r="V262" t="s">
        <v>673</v>
      </c>
      <c r="W262" t="s">
        <v>673</v>
      </c>
      <c r="X262" t="s">
        <v>673</v>
      </c>
      <c r="Y262" t="s">
        <v>673</v>
      </c>
      <c r="Z262" t="s">
        <v>673</v>
      </c>
      <c r="AA262" t="s">
        <v>673</v>
      </c>
      <c r="AB262" t="s">
        <v>673</v>
      </c>
      <c r="AC262" t="s">
        <v>673</v>
      </c>
      <c r="AD262" t="s">
        <v>673</v>
      </c>
      <c r="AE262" t="s">
        <v>673</v>
      </c>
      <c r="AF262" t="s">
        <v>673</v>
      </c>
      <c r="AG262" t="s">
        <v>673</v>
      </c>
      <c r="AH262" t="s">
        <v>673</v>
      </c>
      <c r="AI262" t="s">
        <v>673</v>
      </c>
      <c r="AJ262" t="s">
        <v>673</v>
      </c>
      <c r="AK262" t="s">
        <v>673</v>
      </c>
      <c r="AL262" t="s">
        <v>673</v>
      </c>
      <c r="AM262" t="s">
        <v>673</v>
      </c>
      <c r="AN262" t="s">
        <v>673</v>
      </c>
      <c r="AO262" t="s">
        <v>673</v>
      </c>
      <c r="AP262" t="s">
        <v>673</v>
      </c>
      <c r="AQ262" t="s">
        <v>673</v>
      </c>
      <c r="AR262" t="s">
        <v>673</v>
      </c>
      <c r="AS262" t="s">
        <v>673</v>
      </c>
      <c r="AT262" t="s">
        <v>673</v>
      </c>
      <c r="AU262" t="s">
        <v>673</v>
      </c>
      <c r="AV262" t="s">
        <v>673</v>
      </c>
    </row>
    <row r="263" spans="1:48" x14ac:dyDescent="0.25">
      <c r="A263" t="s">
        <v>365</v>
      </c>
      <c r="B263" t="s">
        <v>2</v>
      </c>
      <c r="C263" t="s">
        <v>365</v>
      </c>
      <c r="D263">
        <v>27500</v>
      </c>
      <c r="E263" t="s">
        <v>672</v>
      </c>
      <c r="F263" t="s">
        <v>117</v>
      </c>
      <c r="G263" t="s">
        <v>670</v>
      </c>
      <c r="H263" t="s">
        <v>670</v>
      </c>
      <c r="I263" t="s">
        <v>673</v>
      </c>
      <c r="J263" t="s">
        <v>673</v>
      </c>
      <c r="K263" t="s">
        <v>673</v>
      </c>
      <c r="L263" t="s">
        <v>673</v>
      </c>
      <c r="M263" t="s">
        <v>673</v>
      </c>
      <c r="N263" t="s">
        <v>673</v>
      </c>
      <c r="O263" t="s">
        <v>673</v>
      </c>
      <c r="P263">
        <v>2.9399999999999999E-2</v>
      </c>
      <c r="Q263">
        <v>4.0099999999999997E-2</v>
      </c>
      <c r="R263">
        <v>4.5199999999999997E-2</v>
      </c>
      <c r="S263">
        <v>3.3700000000000001E-2</v>
      </c>
      <c r="T263">
        <v>3.5299999999999998E-2</v>
      </c>
      <c r="U263">
        <v>2.07E-2</v>
      </c>
      <c r="V263">
        <v>8.6E-3</v>
      </c>
      <c r="W263" t="s">
        <v>673</v>
      </c>
      <c r="X263" t="s">
        <v>673</v>
      </c>
      <c r="Y263" t="s">
        <v>673</v>
      </c>
      <c r="Z263" t="s">
        <v>673</v>
      </c>
      <c r="AA263" t="s">
        <v>673</v>
      </c>
      <c r="AB263" t="s">
        <v>673</v>
      </c>
      <c r="AC263" t="s">
        <v>673</v>
      </c>
      <c r="AD263" t="s">
        <v>673</v>
      </c>
      <c r="AE263" t="s">
        <v>673</v>
      </c>
      <c r="AF263">
        <v>0.21909999999999999</v>
      </c>
      <c r="AG263" t="s">
        <v>673</v>
      </c>
      <c r="AH263" t="s">
        <v>673</v>
      </c>
      <c r="AI263">
        <v>0.36459999999999998</v>
      </c>
      <c r="AJ263" t="s">
        <v>673</v>
      </c>
      <c r="AK263" t="s">
        <v>673</v>
      </c>
      <c r="AL263">
        <v>-3.0999999999999999E-3</v>
      </c>
      <c r="AM263">
        <v>8.0699999999999994E-2</v>
      </c>
      <c r="AN263">
        <v>3.8100000000000002E-2</v>
      </c>
      <c r="AO263">
        <v>4.0599999999999997E-2</v>
      </c>
      <c r="AP263">
        <v>0.1492</v>
      </c>
      <c r="AQ263">
        <v>9.0999999999999998E-2</v>
      </c>
      <c r="AR263">
        <v>4.07E-2</v>
      </c>
      <c r="AS263">
        <v>5.2900000000000003E-2</v>
      </c>
      <c r="AT263">
        <v>6.0199999999999997E-2</v>
      </c>
      <c r="AU263">
        <v>2.0799999999999999E-2</v>
      </c>
      <c r="AV263">
        <v>0.1221</v>
      </c>
    </row>
    <row r="264" spans="1:48" x14ac:dyDescent="0.25">
      <c r="A264" t="s">
        <v>366</v>
      </c>
      <c r="B264" t="s">
        <v>2</v>
      </c>
      <c r="C264" t="s">
        <v>366</v>
      </c>
      <c r="D264">
        <v>27620</v>
      </c>
      <c r="E264" t="s">
        <v>672</v>
      </c>
      <c r="F264" t="s">
        <v>117</v>
      </c>
      <c r="G264" t="s">
        <v>670</v>
      </c>
      <c r="H264" t="s">
        <v>670</v>
      </c>
      <c r="I264" t="s">
        <v>673</v>
      </c>
      <c r="J264" t="s">
        <v>673</v>
      </c>
      <c r="K264" t="s">
        <v>673</v>
      </c>
      <c r="L264" t="s">
        <v>673</v>
      </c>
      <c r="M264" t="s">
        <v>673</v>
      </c>
      <c r="N264" t="s">
        <v>673</v>
      </c>
      <c r="O264" t="s">
        <v>673</v>
      </c>
      <c r="P264" t="s">
        <v>673</v>
      </c>
      <c r="Q264" t="s">
        <v>673</v>
      </c>
      <c r="R264" t="s">
        <v>673</v>
      </c>
      <c r="S264" t="s">
        <v>673</v>
      </c>
      <c r="T264" t="s">
        <v>673</v>
      </c>
      <c r="U264" t="s">
        <v>673</v>
      </c>
      <c r="V264" t="s">
        <v>673</v>
      </c>
      <c r="W264" t="s">
        <v>673</v>
      </c>
      <c r="X264" t="s">
        <v>673</v>
      </c>
      <c r="Y264" t="s">
        <v>673</v>
      </c>
      <c r="Z264" t="s">
        <v>673</v>
      </c>
      <c r="AA264" t="s">
        <v>673</v>
      </c>
      <c r="AB264" t="s">
        <v>673</v>
      </c>
      <c r="AC264" t="s">
        <v>673</v>
      </c>
      <c r="AD264" t="s">
        <v>673</v>
      </c>
      <c r="AE264" t="s">
        <v>673</v>
      </c>
      <c r="AF264" t="s">
        <v>673</v>
      </c>
      <c r="AG264" t="s">
        <v>673</v>
      </c>
      <c r="AH264" t="s">
        <v>673</v>
      </c>
      <c r="AI264" t="s">
        <v>673</v>
      </c>
      <c r="AJ264" t="s">
        <v>673</v>
      </c>
      <c r="AK264" t="s">
        <v>673</v>
      </c>
      <c r="AL264" t="s">
        <v>673</v>
      </c>
      <c r="AM264" t="s">
        <v>673</v>
      </c>
      <c r="AN264" t="s">
        <v>673</v>
      </c>
      <c r="AO264" t="s">
        <v>673</v>
      </c>
      <c r="AP264" t="s">
        <v>673</v>
      </c>
      <c r="AQ264" t="s">
        <v>673</v>
      </c>
      <c r="AR264" t="s">
        <v>673</v>
      </c>
      <c r="AS264" t="s">
        <v>673</v>
      </c>
      <c r="AT264" t="s">
        <v>673</v>
      </c>
      <c r="AU264" t="s">
        <v>673</v>
      </c>
      <c r="AV264" t="s">
        <v>673</v>
      </c>
    </row>
    <row r="265" spans="1:48" x14ac:dyDescent="0.25">
      <c r="A265" t="s">
        <v>367</v>
      </c>
      <c r="B265" t="s">
        <v>2</v>
      </c>
      <c r="C265" t="s">
        <v>367</v>
      </c>
      <c r="D265">
        <v>27600</v>
      </c>
      <c r="E265" t="s">
        <v>672</v>
      </c>
      <c r="F265" t="s">
        <v>117</v>
      </c>
      <c r="G265" t="s">
        <v>670</v>
      </c>
      <c r="H265" t="s">
        <v>670</v>
      </c>
      <c r="I265" t="s">
        <v>673</v>
      </c>
      <c r="J265" t="s">
        <v>673</v>
      </c>
      <c r="K265" t="s">
        <v>673</v>
      </c>
      <c r="L265" t="s">
        <v>673</v>
      </c>
      <c r="M265" t="s">
        <v>673</v>
      </c>
      <c r="N265" t="s">
        <v>673</v>
      </c>
      <c r="O265" t="s">
        <v>673</v>
      </c>
      <c r="P265" t="s">
        <v>673</v>
      </c>
      <c r="Q265" t="s">
        <v>673</v>
      </c>
      <c r="R265" t="s">
        <v>673</v>
      </c>
      <c r="S265" t="s">
        <v>673</v>
      </c>
      <c r="T265" t="s">
        <v>673</v>
      </c>
      <c r="U265" t="s">
        <v>673</v>
      </c>
      <c r="V265" t="s">
        <v>673</v>
      </c>
      <c r="W265" t="s">
        <v>673</v>
      </c>
      <c r="X265" t="s">
        <v>673</v>
      </c>
      <c r="Y265" t="s">
        <v>673</v>
      </c>
      <c r="Z265" t="s">
        <v>673</v>
      </c>
      <c r="AA265" t="s">
        <v>673</v>
      </c>
      <c r="AB265" t="s">
        <v>673</v>
      </c>
      <c r="AC265" t="s">
        <v>673</v>
      </c>
      <c r="AD265" t="s">
        <v>673</v>
      </c>
      <c r="AE265" t="s">
        <v>673</v>
      </c>
      <c r="AF265" t="s">
        <v>673</v>
      </c>
      <c r="AG265" t="s">
        <v>673</v>
      </c>
      <c r="AH265" t="s">
        <v>673</v>
      </c>
      <c r="AI265" t="s">
        <v>673</v>
      </c>
      <c r="AJ265" t="s">
        <v>673</v>
      </c>
      <c r="AK265" t="s">
        <v>673</v>
      </c>
      <c r="AL265" t="s">
        <v>673</v>
      </c>
      <c r="AM265" t="s">
        <v>673</v>
      </c>
      <c r="AN265">
        <v>-2.8999999999999998E-3</v>
      </c>
      <c r="AO265">
        <v>4.4499999999999998E-2</v>
      </c>
      <c r="AP265">
        <v>-2.3199999999999998E-2</v>
      </c>
      <c r="AQ265">
        <v>2.6700000000000002E-2</v>
      </c>
      <c r="AR265">
        <v>3.39E-2</v>
      </c>
      <c r="AS265">
        <v>5.0000000000000001E-3</v>
      </c>
      <c r="AT265">
        <v>5.5899999999999998E-2</v>
      </c>
      <c r="AU265">
        <v>8.6E-3</v>
      </c>
      <c r="AV265">
        <v>-3.73E-2</v>
      </c>
    </row>
    <row r="266" spans="1:48" x14ac:dyDescent="0.25">
      <c r="A266" t="s">
        <v>368</v>
      </c>
      <c r="B266" t="s">
        <v>2</v>
      </c>
      <c r="C266" t="s">
        <v>368</v>
      </c>
      <c r="D266">
        <v>227740</v>
      </c>
      <c r="E266" t="s">
        <v>672</v>
      </c>
      <c r="F266" t="s">
        <v>117</v>
      </c>
      <c r="G266" t="s">
        <v>670</v>
      </c>
      <c r="H266" t="s">
        <v>670</v>
      </c>
      <c r="I266">
        <v>6.8500000000000005E-2</v>
      </c>
      <c r="J266">
        <v>8.0199999999999994E-2</v>
      </c>
      <c r="K266">
        <v>3.7999999999999999E-2</v>
      </c>
      <c r="L266">
        <v>-3.0000000000000001E-3</v>
      </c>
      <c r="M266">
        <v>2.3E-3</v>
      </c>
      <c r="N266">
        <v>-5.5999999999999999E-3</v>
      </c>
      <c r="O266">
        <v>4.0000000000000002E-4</v>
      </c>
      <c r="P266">
        <v>4.53E-2</v>
      </c>
      <c r="Q266">
        <v>3.7400000000000003E-2</v>
      </c>
      <c r="R266">
        <v>1.15E-2</v>
      </c>
      <c r="S266">
        <v>2.8199999999999999E-2</v>
      </c>
      <c r="T266">
        <v>7.7000000000000002E-3</v>
      </c>
      <c r="U266">
        <v>3.6400000000000002E-2</v>
      </c>
      <c r="V266">
        <v>6.5100000000000005E-2</v>
      </c>
      <c r="W266">
        <v>6.2700000000000006E-2</v>
      </c>
      <c r="X266">
        <v>4.4699999999999997E-2</v>
      </c>
      <c r="Y266">
        <v>2.2499999999999999E-2</v>
      </c>
      <c r="Z266">
        <v>1.7999999999999999E-2</v>
      </c>
      <c r="AA266">
        <v>3.4799999999999998E-2</v>
      </c>
      <c r="AB266">
        <v>7.4499999999999997E-2</v>
      </c>
      <c r="AC266">
        <v>9.1399999999999995E-2</v>
      </c>
      <c r="AD266">
        <v>0.1003</v>
      </c>
      <c r="AE266">
        <v>9.3299999999999994E-2</v>
      </c>
      <c r="AF266">
        <v>0.12039999999999999</v>
      </c>
      <c r="AG266">
        <v>0.17730000000000001</v>
      </c>
      <c r="AH266">
        <v>0.2286</v>
      </c>
      <c r="AI266">
        <v>0.25800000000000001</v>
      </c>
      <c r="AJ266">
        <v>0.1825</v>
      </c>
      <c r="AK266">
        <v>0.11169999999999999</v>
      </c>
      <c r="AL266">
        <v>1.9400000000000001E-2</v>
      </c>
      <c r="AM266">
        <v>-5.1999999999999998E-3</v>
      </c>
      <c r="AN266">
        <v>3.6900000000000002E-2</v>
      </c>
      <c r="AO266">
        <v>5.9499999999999997E-2</v>
      </c>
      <c r="AP266">
        <v>4.1700000000000001E-2</v>
      </c>
      <c r="AQ266">
        <v>8.8999999999999999E-3</v>
      </c>
      <c r="AR266">
        <v>-4.3E-3</v>
      </c>
      <c r="AS266">
        <v>1.7899999999999999E-2</v>
      </c>
      <c r="AT266">
        <v>6.2E-2</v>
      </c>
      <c r="AU266">
        <v>6.83E-2</v>
      </c>
      <c r="AV266">
        <v>3.9E-2</v>
      </c>
    </row>
    <row r="267" spans="1:48" x14ac:dyDescent="0.25">
      <c r="A267" t="s">
        <v>369</v>
      </c>
      <c r="B267" t="s">
        <v>2</v>
      </c>
      <c r="C267" t="s">
        <v>369</v>
      </c>
      <c r="D267">
        <v>27780</v>
      </c>
      <c r="E267" t="s">
        <v>672</v>
      </c>
      <c r="F267" t="s">
        <v>117</v>
      </c>
      <c r="G267" t="s">
        <v>670</v>
      </c>
      <c r="H267" t="s">
        <v>670</v>
      </c>
      <c r="I267" t="s">
        <v>673</v>
      </c>
      <c r="J267" t="s">
        <v>673</v>
      </c>
      <c r="K267" t="s">
        <v>673</v>
      </c>
      <c r="L267" t="s">
        <v>673</v>
      </c>
      <c r="M267" t="s">
        <v>673</v>
      </c>
      <c r="N267" t="s">
        <v>673</v>
      </c>
      <c r="O267" t="s">
        <v>673</v>
      </c>
      <c r="P267" t="s">
        <v>673</v>
      </c>
      <c r="Q267" t="s">
        <v>673</v>
      </c>
      <c r="R267" t="s">
        <v>673</v>
      </c>
      <c r="S267" t="s">
        <v>673</v>
      </c>
      <c r="T267" t="s">
        <v>673</v>
      </c>
      <c r="U267" t="s">
        <v>673</v>
      </c>
      <c r="V267" t="s">
        <v>673</v>
      </c>
      <c r="W267" t="s">
        <v>673</v>
      </c>
      <c r="X267" t="s">
        <v>673</v>
      </c>
      <c r="Y267" t="s">
        <v>673</v>
      </c>
      <c r="Z267" t="s">
        <v>673</v>
      </c>
      <c r="AA267" t="s">
        <v>673</v>
      </c>
      <c r="AB267" t="s">
        <v>673</v>
      </c>
      <c r="AC267" t="s">
        <v>673</v>
      </c>
      <c r="AD267" t="s">
        <v>673</v>
      </c>
      <c r="AE267" t="s">
        <v>673</v>
      </c>
      <c r="AF267" t="s">
        <v>673</v>
      </c>
      <c r="AG267" t="s">
        <v>673</v>
      </c>
      <c r="AH267" t="s">
        <v>673</v>
      </c>
      <c r="AI267" t="s">
        <v>673</v>
      </c>
      <c r="AJ267" t="s">
        <v>673</v>
      </c>
      <c r="AK267" t="s">
        <v>673</v>
      </c>
      <c r="AL267" t="s">
        <v>673</v>
      </c>
      <c r="AM267" t="s">
        <v>673</v>
      </c>
      <c r="AN267" t="s">
        <v>673</v>
      </c>
      <c r="AO267" t="s">
        <v>673</v>
      </c>
      <c r="AP267" t="s">
        <v>673</v>
      </c>
      <c r="AQ267" t="s">
        <v>673</v>
      </c>
      <c r="AR267" t="s">
        <v>673</v>
      </c>
      <c r="AS267" t="s">
        <v>673</v>
      </c>
      <c r="AT267" t="s">
        <v>673</v>
      </c>
      <c r="AU267" t="s">
        <v>673</v>
      </c>
      <c r="AV267" t="s">
        <v>673</v>
      </c>
    </row>
    <row r="268" spans="1:48" x14ac:dyDescent="0.25">
      <c r="A268" t="s">
        <v>370</v>
      </c>
      <c r="B268" t="s">
        <v>2</v>
      </c>
      <c r="C268" t="s">
        <v>370</v>
      </c>
      <c r="D268">
        <v>27860</v>
      </c>
      <c r="E268" t="s">
        <v>672</v>
      </c>
      <c r="F268" t="s">
        <v>117</v>
      </c>
      <c r="G268" t="s">
        <v>670</v>
      </c>
      <c r="H268" t="s">
        <v>670</v>
      </c>
      <c r="I268">
        <v>7.3099999999999998E-2</v>
      </c>
      <c r="J268">
        <v>6.2600000000000003E-2</v>
      </c>
      <c r="K268">
        <v>4.7300000000000002E-2</v>
      </c>
      <c r="L268">
        <v>2.4299999999999999E-2</v>
      </c>
      <c r="M268">
        <v>-3.4799999999999998E-2</v>
      </c>
      <c r="N268">
        <v>-2.35E-2</v>
      </c>
      <c r="O268">
        <v>-1.5299999999999999E-2</v>
      </c>
      <c r="P268">
        <v>-1.8800000000000001E-2</v>
      </c>
      <c r="Q268">
        <v>-1.3899999999999999E-2</v>
      </c>
      <c r="R268">
        <v>1.47E-2</v>
      </c>
      <c r="S268">
        <v>3.0800000000000001E-2</v>
      </c>
      <c r="T268">
        <v>5.6500000000000002E-2</v>
      </c>
      <c r="U268">
        <v>6.9199999999999998E-2</v>
      </c>
      <c r="V268">
        <v>2.9600000000000001E-2</v>
      </c>
      <c r="W268">
        <v>6.3500000000000001E-2</v>
      </c>
      <c r="X268">
        <v>4.5999999999999999E-2</v>
      </c>
      <c r="Y268">
        <v>1.7899999999999999E-2</v>
      </c>
      <c r="Z268">
        <v>1.5100000000000001E-2</v>
      </c>
      <c r="AA268">
        <v>1.21E-2</v>
      </c>
      <c r="AB268">
        <v>1.5100000000000001E-2</v>
      </c>
      <c r="AC268">
        <v>4.48E-2</v>
      </c>
      <c r="AD268">
        <v>6.6500000000000004E-2</v>
      </c>
      <c r="AE268">
        <v>7.4999999999999997E-2</v>
      </c>
      <c r="AF268">
        <v>7.2700000000000001E-2</v>
      </c>
      <c r="AG268">
        <v>5.2400000000000002E-2</v>
      </c>
      <c r="AH268">
        <v>6.3700000000000007E-2</v>
      </c>
      <c r="AI268">
        <v>0.1401</v>
      </c>
      <c r="AJ268">
        <v>0.1847</v>
      </c>
      <c r="AK268">
        <v>0.20019999999999999</v>
      </c>
      <c r="AL268">
        <v>0.18629999999999999</v>
      </c>
      <c r="AM268">
        <v>7.6499999999999999E-2</v>
      </c>
      <c r="AN268">
        <v>3.49E-2</v>
      </c>
      <c r="AO268">
        <v>2.4500000000000001E-2</v>
      </c>
      <c r="AP268">
        <v>7.3700000000000002E-2</v>
      </c>
      <c r="AQ268">
        <v>8.0799999999999997E-2</v>
      </c>
      <c r="AR268">
        <v>3.3000000000000002E-2</v>
      </c>
      <c r="AS268">
        <v>2.7699999999999999E-2</v>
      </c>
      <c r="AT268">
        <v>1.7899999999999999E-2</v>
      </c>
      <c r="AU268">
        <v>6.8999999999999999E-3</v>
      </c>
      <c r="AV268">
        <v>4.87E-2</v>
      </c>
    </row>
    <row r="269" spans="1:48" x14ac:dyDescent="0.25">
      <c r="A269" t="s">
        <v>371</v>
      </c>
      <c r="B269" t="s">
        <v>2</v>
      </c>
      <c r="C269" t="s">
        <v>371</v>
      </c>
      <c r="D269">
        <v>27900</v>
      </c>
      <c r="E269" t="s">
        <v>672</v>
      </c>
      <c r="F269" t="s">
        <v>117</v>
      </c>
      <c r="G269" t="s">
        <v>670</v>
      </c>
      <c r="H269" t="s">
        <v>670</v>
      </c>
      <c r="I269" t="s">
        <v>673</v>
      </c>
      <c r="J269" t="s">
        <v>673</v>
      </c>
      <c r="K269" t="s">
        <v>673</v>
      </c>
      <c r="L269" t="s">
        <v>673</v>
      </c>
      <c r="M269" t="s">
        <v>673</v>
      </c>
      <c r="N269" t="s">
        <v>673</v>
      </c>
      <c r="O269">
        <v>6.4000000000000003E-3</v>
      </c>
      <c r="P269">
        <v>1.4200000000000001E-2</v>
      </c>
      <c r="Q269">
        <v>3.2500000000000001E-2</v>
      </c>
      <c r="R269">
        <v>9.7999999999999997E-3</v>
      </c>
      <c r="S269">
        <v>1.6199999999999999E-2</v>
      </c>
      <c r="T269">
        <v>1.35E-2</v>
      </c>
      <c r="U269">
        <v>2.81E-2</v>
      </c>
      <c r="V269">
        <v>3.1699999999999999E-2</v>
      </c>
      <c r="W269">
        <v>2.8899999999999999E-2</v>
      </c>
      <c r="X269">
        <v>4.7699999999999999E-2</v>
      </c>
      <c r="Y269">
        <v>4.5400000000000003E-2</v>
      </c>
      <c r="Z269">
        <v>3.8399999999999997E-2</v>
      </c>
      <c r="AA269">
        <v>5.0599999999999999E-2</v>
      </c>
      <c r="AB269">
        <v>3.5200000000000002E-2</v>
      </c>
      <c r="AC269">
        <v>3.2800000000000003E-2</v>
      </c>
      <c r="AD269">
        <v>2.87E-2</v>
      </c>
      <c r="AE269">
        <v>3.2099999999999997E-2</v>
      </c>
      <c r="AF269">
        <v>2.7699999999999999E-2</v>
      </c>
      <c r="AG269">
        <v>3.44E-2</v>
      </c>
      <c r="AH269">
        <v>5.0799999999999998E-2</v>
      </c>
      <c r="AI269">
        <v>4.1300000000000003E-2</v>
      </c>
      <c r="AJ269">
        <v>6.4199999999999993E-2</v>
      </c>
      <c r="AK269">
        <v>7.0699999999999999E-2</v>
      </c>
      <c r="AL269">
        <v>7.6600000000000001E-2</v>
      </c>
      <c r="AM269">
        <v>9.5000000000000001E-2</v>
      </c>
      <c r="AN269">
        <v>7.85E-2</v>
      </c>
      <c r="AO269">
        <v>8.4199999999999997E-2</v>
      </c>
      <c r="AP269">
        <v>7.7200000000000005E-2</v>
      </c>
      <c r="AQ269">
        <v>5.5300000000000002E-2</v>
      </c>
      <c r="AR269">
        <v>5.8299999999999998E-2</v>
      </c>
      <c r="AS269">
        <v>3.7100000000000001E-2</v>
      </c>
      <c r="AT269">
        <v>1.5299999999999999E-2</v>
      </c>
      <c r="AU269">
        <v>0.10299999999999999</v>
      </c>
      <c r="AV269">
        <v>0.1153</v>
      </c>
    </row>
    <row r="270" spans="1:48" x14ac:dyDescent="0.25">
      <c r="A270" t="s">
        <v>372</v>
      </c>
      <c r="B270" t="s">
        <v>2</v>
      </c>
      <c r="C270" t="s">
        <v>372</v>
      </c>
      <c r="D270">
        <v>27940</v>
      </c>
      <c r="E270" t="s">
        <v>672</v>
      </c>
      <c r="F270" t="s">
        <v>117</v>
      </c>
      <c r="G270" t="s">
        <v>670</v>
      </c>
      <c r="H270" t="s">
        <v>670</v>
      </c>
      <c r="I270" t="s">
        <v>673</v>
      </c>
      <c r="J270" t="s">
        <v>673</v>
      </c>
      <c r="K270" t="s">
        <v>673</v>
      </c>
      <c r="L270" t="s">
        <v>673</v>
      </c>
      <c r="M270" t="s">
        <v>673</v>
      </c>
      <c r="N270" t="s">
        <v>673</v>
      </c>
      <c r="O270" t="s">
        <v>673</v>
      </c>
      <c r="P270" t="s">
        <v>673</v>
      </c>
      <c r="Q270" t="s">
        <v>673</v>
      </c>
      <c r="R270" t="s">
        <v>673</v>
      </c>
      <c r="S270" t="s">
        <v>673</v>
      </c>
      <c r="T270" t="s">
        <v>673</v>
      </c>
      <c r="U270" t="s">
        <v>673</v>
      </c>
      <c r="V270" t="s">
        <v>673</v>
      </c>
      <c r="W270" t="s">
        <v>673</v>
      </c>
      <c r="X270" t="s">
        <v>673</v>
      </c>
      <c r="Y270" t="s">
        <v>673</v>
      </c>
      <c r="Z270" t="s">
        <v>673</v>
      </c>
      <c r="AA270" t="s">
        <v>673</v>
      </c>
      <c r="AB270" t="s">
        <v>673</v>
      </c>
      <c r="AC270" t="s">
        <v>673</v>
      </c>
      <c r="AD270" t="s">
        <v>673</v>
      </c>
      <c r="AE270" t="s">
        <v>673</v>
      </c>
      <c r="AF270" t="s">
        <v>673</v>
      </c>
      <c r="AG270" t="s">
        <v>673</v>
      </c>
      <c r="AH270" t="s">
        <v>673</v>
      </c>
      <c r="AI270" t="s">
        <v>673</v>
      </c>
      <c r="AJ270" t="s">
        <v>673</v>
      </c>
      <c r="AK270" t="s">
        <v>673</v>
      </c>
      <c r="AL270" t="s">
        <v>673</v>
      </c>
      <c r="AM270" t="s">
        <v>673</v>
      </c>
      <c r="AN270" t="s">
        <v>673</v>
      </c>
      <c r="AO270" t="s">
        <v>673</v>
      </c>
      <c r="AP270" t="s">
        <v>673</v>
      </c>
      <c r="AQ270" t="s">
        <v>673</v>
      </c>
      <c r="AR270" t="s">
        <v>673</v>
      </c>
      <c r="AS270" t="s">
        <v>673</v>
      </c>
      <c r="AT270" t="s">
        <v>673</v>
      </c>
      <c r="AU270" t="s">
        <v>673</v>
      </c>
      <c r="AV270" t="s">
        <v>673</v>
      </c>
    </row>
    <row r="271" spans="1:48" x14ac:dyDescent="0.25">
      <c r="A271" t="s">
        <v>373</v>
      </c>
      <c r="B271" t="s">
        <v>2</v>
      </c>
      <c r="C271" t="s">
        <v>373</v>
      </c>
      <c r="D271">
        <v>27980</v>
      </c>
      <c r="E271" t="s">
        <v>672</v>
      </c>
      <c r="F271" t="s">
        <v>117</v>
      </c>
      <c r="G271" t="s">
        <v>670</v>
      </c>
      <c r="H271" t="s">
        <v>670</v>
      </c>
      <c r="I271">
        <v>7.46E-2</v>
      </c>
      <c r="J271">
        <v>4.8399999999999999E-2</v>
      </c>
      <c r="K271">
        <v>8.3900000000000002E-2</v>
      </c>
      <c r="L271">
        <v>6.8999999999999999E-3</v>
      </c>
      <c r="M271">
        <v>-2.9999999999999997E-4</v>
      </c>
      <c r="N271">
        <v>2.24E-2</v>
      </c>
      <c r="O271">
        <v>4.1999999999999997E-3</v>
      </c>
      <c r="P271">
        <v>7.4200000000000002E-2</v>
      </c>
      <c r="Q271">
        <v>4.2700000000000002E-2</v>
      </c>
      <c r="R271">
        <v>5.3800000000000001E-2</v>
      </c>
      <c r="S271">
        <v>3.3300000000000003E-2</v>
      </c>
      <c r="T271">
        <v>3.9199999999999999E-2</v>
      </c>
      <c r="U271">
        <v>5.4899999999999997E-2</v>
      </c>
      <c r="V271">
        <v>4.3200000000000002E-2</v>
      </c>
      <c r="W271">
        <v>9.5799999999999996E-2</v>
      </c>
      <c r="X271">
        <v>0.1106</v>
      </c>
      <c r="Y271">
        <v>6.4399999999999999E-2</v>
      </c>
      <c r="Z271">
        <v>3.27E-2</v>
      </c>
      <c r="AA271">
        <v>-4.5400000000000003E-2</v>
      </c>
      <c r="AB271">
        <v>-0.1016</v>
      </c>
      <c r="AC271">
        <v>-9.4700000000000006E-2</v>
      </c>
      <c r="AD271">
        <v>-3.0599999999999999E-2</v>
      </c>
      <c r="AE271">
        <v>0.11799999999999999</v>
      </c>
      <c r="AF271">
        <v>0.18190000000000001</v>
      </c>
      <c r="AG271">
        <v>0.2346</v>
      </c>
      <c r="AH271">
        <v>0.2248</v>
      </c>
      <c r="AI271">
        <v>7.9299999999999995E-2</v>
      </c>
      <c r="AJ271" t="s">
        <v>673</v>
      </c>
      <c r="AK271" t="s">
        <v>673</v>
      </c>
      <c r="AL271" t="s">
        <v>673</v>
      </c>
      <c r="AM271" t="s">
        <v>673</v>
      </c>
      <c r="AN271" t="s">
        <v>673</v>
      </c>
      <c r="AO271" t="s">
        <v>673</v>
      </c>
      <c r="AP271" t="s">
        <v>673</v>
      </c>
      <c r="AQ271" t="s">
        <v>673</v>
      </c>
      <c r="AR271" t="s">
        <v>673</v>
      </c>
      <c r="AS271" t="s">
        <v>673</v>
      </c>
      <c r="AT271" t="s">
        <v>673</v>
      </c>
      <c r="AU271" t="s">
        <v>673</v>
      </c>
      <c r="AV271" t="s">
        <v>673</v>
      </c>
    </row>
    <row r="272" spans="1:48" x14ac:dyDescent="0.25">
      <c r="A272" t="s">
        <v>374</v>
      </c>
      <c r="B272" t="s">
        <v>2</v>
      </c>
      <c r="C272" t="s">
        <v>374</v>
      </c>
      <c r="D272">
        <v>228020</v>
      </c>
      <c r="E272" t="s">
        <v>672</v>
      </c>
      <c r="F272" t="s">
        <v>117</v>
      </c>
      <c r="G272" t="s">
        <v>670</v>
      </c>
      <c r="H272" t="s">
        <v>670</v>
      </c>
      <c r="I272">
        <v>4.9700000000000001E-2</v>
      </c>
      <c r="J272">
        <v>1.8700000000000001E-2</v>
      </c>
      <c r="K272">
        <v>1.67E-2</v>
      </c>
      <c r="L272">
        <v>2.6499999999999999E-2</v>
      </c>
      <c r="M272">
        <v>5.3600000000000002E-2</v>
      </c>
      <c r="N272">
        <v>3.8800000000000001E-2</v>
      </c>
      <c r="O272">
        <v>3.4099999999999998E-2</v>
      </c>
      <c r="P272">
        <v>2.1899999999999999E-2</v>
      </c>
      <c r="Q272">
        <v>2.5499999999999998E-2</v>
      </c>
      <c r="R272">
        <v>2.5899999999999999E-2</v>
      </c>
      <c r="S272">
        <v>3.15E-2</v>
      </c>
      <c r="T272">
        <v>1.1599999999999999E-2</v>
      </c>
      <c r="U272">
        <v>3.0999999999999999E-3</v>
      </c>
      <c r="V272">
        <v>1.14E-2</v>
      </c>
      <c r="W272">
        <v>1.6500000000000001E-2</v>
      </c>
      <c r="X272">
        <v>3.9399999999999998E-2</v>
      </c>
      <c r="Y272">
        <v>5.5300000000000002E-2</v>
      </c>
      <c r="Z272">
        <v>5.0299999999999997E-2</v>
      </c>
      <c r="AA272">
        <v>6.4399999999999999E-2</v>
      </c>
      <c r="AB272">
        <v>6.8400000000000002E-2</v>
      </c>
      <c r="AC272">
        <v>8.8499999999999995E-2</v>
      </c>
      <c r="AD272">
        <v>0.1399</v>
      </c>
      <c r="AE272">
        <v>0.16209999999999999</v>
      </c>
      <c r="AF272">
        <v>0.1913</v>
      </c>
      <c r="AG272">
        <v>0.14990000000000001</v>
      </c>
      <c r="AH272">
        <v>0.1469</v>
      </c>
      <c r="AI272">
        <v>0.13789999999999999</v>
      </c>
      <c r="AJ272">
        <v>6.9500000000000006E-2</v>
      </c>
      <c r="AK272">
        <v>4.6899999999999997E-2</v>
      </c>
      <c r="AL272">
        <v>-1.6999999999999999E-3</v>
      </c>
      <c r="AM272">
        <v>-3.1E-2</v>
      </c>
      <c r="AN272">
        <v>2.8999999999999998E-3</v>
      </c>
      <c r="AO272">
        <v>3.7699999999999997E-2</v>
      </c>
      <c r="AP272">
        <v>3.9E-2</v>
      </c>
      <c r="AQ272">
        <v>5.2699999999999997E-2</v>
      </c>
      <c r="AR272">
        <v>5.3900000000000003E-2</v>
      </c>
      <c r="AS272">
        <v>3.5499999999999997E-2</v>
      </c>
      <c r="AT272">
        <v>4.8099999999999997E-2</v>
      </c>
      <c r="AU272">
        <v>4.8899999999999999E-2</v>
      </c>
      <c r="AV272">
        <v>5.1700000000000003E-2</v>
      </c>
    </row>
    <row r="273" spans="1:48" x14ac:dyDescent="0.25">
      <c r="A273" t="s">
        <v>375</v>
      </c>
      <c r="B273" t="s">
        <v>2</v>
      </c>
      <c r="C273" t="s">
        <v>375</v>
      </c>
      <c r="D273">
        <v>28060</v>
      </c>
      <c r="E273" t="s">
        <v>672</v>
      </c>
      <c r="F273" t="s">
        <v>117</v>
      </c>
      <c r="G273" t="s">
        <v>670</v>
      </c>
      <c r="H273" t="s">
        <v>670</v>
      </c>
      <c r="I273" t="s">
        <v>673</v>
      </c>
      <c r="J273" t="s">
        <v>673</v>
      </c>
      <c r="K273" t="s">
        <v>673</v>
      </c>
      <c r="L273" t="s">
        <v>673</v>
      </c>
      <c r="M273" t="s">
        <v>673</v>
      </c>
      <c r="N273" t="s">
        <v>673</v>
      </c>
      <c r="O273" t="s">
        <v>673</v>
      </c>
      <c r="P273" t="s">
        <v>673</v>
      </c>
      <c r="Q273" t="s">
        <v>673</v>
      </c>
      <c r="R273" t="s">
        <v>673</v>
      </c>
      <c r="S273" t="s">
        <v>673</v>
      </c>
      <c r="T273" t="s">
        <v>673</v>
      </c>
      <c r="U273" t="s">
        <v>673</v>
      </c>
      <c r="V273" t="s">
        <v>673</v>
      </c>
      <c r="W273" t="s">
        <v>673</v>
      </c>
      <c r="X273" t="s">
        <v>673</v>
      </c>
      <c r="Y273" t="s">
        <v>673</v>
      </c>
      <c r="Z273" t="s">
        <v>673</v>
      </c>
      <c r="AA273" t="s">
        <v>673</v>
      </c>
      <c r="AB273" t="s">
        <v>673</v>
      </c>
      <c r="AC273" t="s">
        <v>673</v>
      </c>
      <c r="AD273" t="s">
        <v>673</v>
      </c>
      <c r="AE273" t="s">
        <v>673</v>
      </c>
      <c r="AF273" t="s">
        <v>673</v>
      </c>
      <c r="AG273" t="s">
        <v>673</v>
      </c>
      <c r="AH273" t="s">
        <v>673</v>
      </c>
      <c r="AI273" t="s">
        <v>673</v>
      </c>
      <c r="AJ273" t="s">
        <v>673</v>
      </c>
      <c r="AK273" t="s">
        <v>673</v>
      </c>
      <c r="AL273">
        <v>1.11E-2</v>
      </c>
      <c r="AM273">
        <v>5.8999999999999999E-3</v>
      </c>
      <c r="AN273">
        <v>-9.5699999999999993E-2</v>
      </c>
      <c r="AO273">
        <v>-0.1201</v>
      </c>
      <c r="AP273">
        <v>9.9000000000000008E-3</v>
      </c>
      <c r="AQ273">
        <v>1.2500000000000001E-2</v>
      </c>
      <c r="AR273">
        <v>9.0899999999999995E-2</v>
      </c>
      <c r="AS273">
        <v>9.4600000000000004E-2</v>
      </c>
      <c r="AT273">
        <v>3.7600000000000001E-2</v>
      </c>
      <c r="AU273">
        <v>7.7999999999999996E-3</v>
      </c>
      <c r="AV273">
        <v>4.7800000000000002E-2</v>
      </c>
    </row>
    <row r="274" spans="1:48" x14ac:dyDescent="0.25">
      <c r="A274" t="s">
        <v>13</v>
      </c>
      <c r="B274" t="s">
        <v>2</v>
      </c>
      <c r="C274" t="s">
        <v>13</v>
      </c>
      <c r="D274">
        <v>28140</v>
      </c>
      <c r="E274" t="s">
        <v>672</v>
      </c>
      <c r="F274" t="s">
        <v>117</v>
      </c>
      <c r="G274" t="s">
        <v>670</v>
      </c>
      <c r="H274" t="s">
        <v>670</v>
      </c>
      <c r="I274">
        <v>5.3499999999999999E-2</v>
      </c>
      <c r="J274">
        <v>6.2199999999999998E-2</v>
      </c>
      <c r="K274">
        <v>5.3199999999999997E-2</v>
      </c>
      <c r="L274">
        <v>5.4600000000000003E-2</v>
      </c>
      <c r="M274">
        <v>5.1799999999999999E-2</v>
      </c>
      <c r="N274">
        <v>3.6900000000000002E-2</v>
      </c>
      <c r="O274">
        <v>3.04E-2</v>
      </c>
      <c r="P274">
        <v>3.1199999999999999E-2</v>
      </c>
      <c r="Q274">
        <v>3.0099999999999998E-2</v>
      </c>
      <c r="R274">
        <v>2.63E-2</v>
      </c>
      <c r="S274">
        <v>3.7199999999999997E-2</v>
      </c>
      <c r="T274">
        <v>2.3800000000000002E-2</v>
      </c>
      <c r="U274">
        <v>2.64E-2</v>
      </c>
      <c r="V274">
        <v>3.85E-2</v>
      </c>
      <c r="W274">
        <v>3.7100000000000001E-2</v>
      </c>
      <c r="X274">
        <v>4.2500000000000003E-2</v>
      </c>
      <c r="Y274">
        <v>4.6800000000000001E-2</v>
      </c>
      <c r="Z274">
        <v>2.1000000000000001E-2</v>
      </c>
      <c r="AA274">
        <v>1.67E-2</v>
      </c>
      <c r="AB274">
        <v>2.1399999999999999E-2</v>
      </c>
      <c r="AC274">
        <v>1.04E-2</v>
      </c>
      <c r="AD274">
        <v>4.99E-2</v>
      </c>
      <c r="AE274">
        <v>0.1046</v>
      </c>
      <c r="AF274">
        <v>0.1192</v>
      </c>
      <c r="AG274">
        <v>0.14050000000000001</v>
      </c>
      <c r="AH274">
        <v>0.1409</v>
      </c>
      <c r="AI274">
        <v>0.1171</v>
      </c>
      <c r="AJ274">
        <v>0.10340000000000001</v>
      </c>
      <c r="AK274">
        <v>8.4199999999999997E-2</v>
      </c>
      <c r="AL274">
        <v>6.54E-2</v>
      </c>
      <c r="AM274">
        <v>5.16E-2</v>
      </c>
      <c r="AN274">
        <v>4.7300000000000002E-2</v>
      </c>
      <c r="AO274">
        <v>4.3299999999999998E-2</v>
      </c>
      <c r="AP274">
        <v>4.6600000000000003E-2</v>
      </c>
      <c r="AQ274">
        <v>4.5100000000000001E-2</v>
      </c>
      <c r="AR274">
        <v>4.2099999999999999E-2</v>
      </c>
      <c r="AS274">
        <v>4.82E-2</v>
      </c>
      <c r="AT274">
        <v>5.0299999999999997E-2</v>
      </c>
      <c r="AU274">
        <v>3.6799999999999999E-2</v>
      </c>
      <c r="AV274">
        <v>2.5499999999999998E-2</v>
      </c>
    </row>
    <row r="275" spans="1:48" x14ac:dyDescent="0.25">
      <c r="A275" t="s">
        <v>376</v>
      </c>
      <c r="B275" t="s">
        <v>2</v>
      </c>
      <c r="C275" t="s">
        <v>376</v>
      </c>
      <c r="D275">
        <v>28260</v>
      </c>
      <c r="E275" t="s">
        <v>672</v>
      </c>
      <c r="F275" t="s">
        <v>117</v>
      </c>
      <c r="G275" t="s">
        <v>670</v>
      </c>
      <c r="H275" t="s">
        <v>670</v>
      </c>
      <c r="I275" t="s">
        <v>673</v>
      </c>
      <c r="J275" t="s">
        <v>673</v>
      </c>
      <c r="K275" t="s">
        <v>673</v>
      </c>
      <c r="L275" t="s">
        <v>673</v>
      </c>
      <c r="M275" t="s">
        <v>673</v>
      </c>
      <c r="N275" t="s">
        <v>673</v>
      </c>
      <c r="O275" t="s">
        <v>673</v>
      </c>
      <c r="P275" t="s">
        <v>673</v>
      </c>
      <c r="Q275" t="s">
        <v>673</v>
      </c>
      <c r="R275" t="s">
        <v>673</v>
      </c>
      <c r="S275" t="s">
        <v>673</v>
      </c>
      <c r="T275" t="s">
        <v>673</v>
      </c>
      <c r="U275" t="s">
        <v>673</v>
      </c>
      <c r="V275" t="s">
        <v>673</v>
      </c>
      <c r="W275" t="s">
        <v>673</v>
      </c>
      <c r="X275" t="s">
        <v>673</v>
      </c>
      <c r="Y275" t="s">
        <v>673</v>
      </c>
      <c r="Z275" t="s">
        <v>673</v>
      </c>
      <c r="AA275" t="s">
        <v>673</v>
      </c>
      <c r="AB275" t="s">
        <v>673</v>
      </c>
      <c r="AC275" t="s">
        <v>673</v>
      </c>
      <c r="AD275" t="s">
        <v>673</v>
      </c>
      <c r="AE275" t="s">
        <v>673</v>
      </c>
      <c r="AF275" t="s">
        <v>673</v>
      </c>
      <c r="AG275" t="s">
        <v>673</v>
      </c>
      <c r="AH275" t="s">
        <v>673</v>
      </c>
      <c r="AI275" t="s">
        <v>673</v>
      </c>
      <c r="AJ275" t="s">
        <v>673</v>
      </c>
      <c r="AK275" t="s">
        <v>673</v>
      </c>
      <c r="AL275" t="s">
        <v>673</v>
      </c>
      <c r="AM275" t="s">
        <v>673</v>
      </c>
      <c r="AN275" t="s">
        <v>673</v>
      </c>
      <c r="AO275" t="s">
        <v>673</v>
      </c>
      <c r="AP275" t="s">
        <v>673</v>
      </c>
      <c r="AQ275" t="s">
        <v>673</v>
      </c>
      <c r="AR275" t="s">
        <v>673</v>
      </c>
      <c r="AS275" t="s">
        <v>673</v>
      </c>
      <c r="AT275" t="s">
        <v>673</v>
      </c>
      <c r="AU275" t="s">
        <v>673</v>
      </c>
      <c r="AV275" t="s">
        <v>673</v>
      </c>
    </row>
    <row r="276" spans="1:48" x14ac:dyDescent="0.25">
      <c r="A276" t="s">
        <v>377</v>
      </c>
      <c r="B276" t="s">
        <v>2</v>
      </c>
      <c r="C276" t="s">
        <v>377</v>
      </c>
      <c r="D276">
        <v>28300</v>
      </c>
      <c r="E276" t="s">
        <v>672</v>
      </c>
      <c r="F276" t="s">
        <v>117</v>
      </c>
      <c r="G276" t="s">
        <v>670</v>
      </c>
      <c r="H276" t="s">
        <v>670</v>
      </c>
      <c r="I276">
        <v>-0.15720000000000001</v>
      </c>
      <c r="J276">
        <v>0.10199999999999999</v>
      </c>
      <c r="K276">
        <v>4.99E-2</v>
      </c>
      <c r="L276">
        <v>2.24E-2</v>
      </c>
      <c r="M276">
        <v>0.23139999999999999</v>
      </c>
      <c r="N276">
        <v>5.2299999999999999E-2</v>
      </c>
      <c r="O276">
        <v>4.41E-2</v>
      </c>
      <c r="P276">
        <v>1.4999999999999999E-2</v>
      </c>
      <c r="Q276">
        <v>-5.4999999999999997E-3</v>
      </c>
      <c r="R276">
        <v>1.17E-2</v>
      </c>
      <c r="S276">
        <v>4.7399999999999998E-2</v>
      </c>
      <c r="T276">
        <v>5.57E-2</v>
      </c>
      <c r="U276">
        <v>5.6500000000000002E-2</v>
      </c>
      <c r="V276">
        <v>6.4699999999999994E-2</v>
      </c>
      <c r="W276">
        <v>4.0899999999999999E-2</v>
      </c>
      <c r="X276">
        <v>2.7E-2</v>
      </c>
      <c r="Y276">
        <v>2.5399999999999999E-2</v>
      </c>
      <c r="Z276">
        <v>1.89E-2</v>
      </c>
      <c r="AA276">
        <v>3.3000000000000002E-2</v>
      </c>
      <c r="AB276">
        <v>6.4199999999999993E-2</v>
      </c>
      <c r="AC276">
        <v>7.7799999999999994E-2</v>
      </c>
      <c r="AD276">
        <v>6.7400000000000002E-2</v>
      </c>
      <c r="AE276">
        <v>5.96E-2</v>
      </c>
      <c r="AF276">
        <v>4.5100000000000001E-2</v>
      </c>
      <c r="AG276">
        <v>6.3700000000000007E-2</v>
      </c>
      <c r="AH276">
        <v>7.6600000000000001E-2</v>
      </c>
      <c r="AI276" t="s">
        <v>673</v>
      </c>
      <c r="AJ276" t="s">
        <v>673</v>
      </c>
      <c r="AK276" t="s">
        <v>673</v>
      </c>
      <c r="AL276" t="s">
        <v>673</v>
      </c>
      <c r="AM276" t="s">
        <v>673</v>
      </c>
      <c r="AN276" t="s">
        <v>673</v>
      </c>
      <c r="AO276" t="s">
        <v>673</v>
      </c>
      <c r="AP276" t="s">
        <v>673</v>
      </c>
      <c r="AQ276" t="s">
        <v>673</v>
      </c>
      <c r="AR276" t="s">
        <v>673</v>
      </c>
      <c r="AS276" t="s">
        <v>673</v>
      </c>
      <c r="AT276" t="s">
        <v>673</v>
      </c>
      <c r="AU276" t="s">
        <v>673</v>
      </c>
      <c r="AV276">
        <v>7.4999999999999997E-2</v>
      </c>
    </row>
    <row r="277" spans="1:48" x14ac:dyDescent="0.25">
      <c r="A277" t="s">
        <v>378</v>
      </c>
      <c r="B277" t="s">
        <v>2</v>
      </c>
      <c r="C277" t="s">
        <v>378</v>
      </c>
      <c r="D277">
        <v>28420</v>
      </c>
      <c r="E277" t="s">
        <v>672</v>
      </c>
      <c r="F277" t="s">
        <v>117</v>
      </c>
      <c r="G277" t="s">
        <v>670</v>
      </c>
      <c r="H277" t="s">
        <v>670</v>
      </c>
      <c r="I277">
        <v>0.03</v>
      </c>
      <c r="J277">
        <v>9.2999999999999992E-3</v>
      </c>
      <c r="K277">
        <v>2.3599999999999999E-2</v>
      </c>
      <c r="L277">
        <v>1.7100000000000001E-2</v>
      </c>
      <c r="M277">
        <v>3.4599999999999999E-2</v>
      </c>
      <c r="N277">
        <v>5.2200000000000003E-2</v>
      </c>
      <c r="O277">
        <v>3.09E-2</v>
      </c>
      <c r="P277">
        <v>4.5100000000000001E-2</v>
      </c>
      <c r="Q277">
        <v>3.5999999999999997E-2</v>
      </c>
      <c r="R277">
        <v>1.12E-2</v>
      </c>
      <c r="S277">
        <v>2.1899999999999999E-2</v>
      </c>
      <c r="T277">
        <v>3.3500000000000002E-2</v>
      </c>
      <c r="U277">
        <v>3.1099999999999999E-2</v>
      </c>
      <c r="V277">
        <v>3.8399999999999997E-2</v>
      </c>
      <c r="W277">
        <v>2.1499999999999998E-2</v>
      </c>
      <c r="X277">
        <v>1.3899999999999999E-2</v>
      </c>
      <c r="Y277">
        <v>2.64E-2</v>
      </c>
      <c r="Z277">
        <v>7.1000000000000004E-3</v>
      </c>
      <c r="AA277">
        <v>4.1000000000000002E-2</v>
      </c>
      <c r="AB277">
        <v>7.0000000000000007E-2</v>
      </c>
      <c r="AC277">
        <v>8.3299999999999999E-2</v>
      </c>
      <c r="AD277">
        <v>0.14319999999999999</v>
      </c>
      <c r="AE277">
        <v>0.1663</v>
      </c>
      <c r="AF277">
        <v>0.19700000000000001</v>
      </c>
      <c r="AG277">
        <v>0.17780000000000001</v>
      </c>
      <c r="AH277">
        <v>0.13300000000000001</v>
      </c>
      <c r="AI277">
        <v>8.7900000000000006E-2</v>
      </c>
      <c r="AJ277">
        <v>3.5200000000000002E-2</v>
      </c>
      <c r="AK277">
        <v>2.9899999999999999E-2</v>
      </c>
      <c r="AL277">
        <v>3.49E-2</v>
      </c>
      <c r="AM277">
        <v>2.7E-2</v>
      </c>
      <c r="AN277">
        <v>2.8000000000000001E-2</v>
      </c>
      <c r="AO277">
        <v>4.24E-2</v>
      </c>
      <c r="AP277">
        <v>3.3099999999999997E-2</v>
      </c>
      <c r="AQ277">
        <v>3.5099999999999999E-2</v>
      </c>
      <c r="AR277">
        <v>2.75E-2</v>
      </c>
      <c r="AS277">
        <v>2.0400000000000001E-2</v>
      </c>
      <c r="AT277">
        <v>1.9699999999999999E-2</v>
      </c>
      <c r="AU277">
        <v>2.1999999999999999E-2</v>
      </c>
      <c r="AV277">
        <v>2.0000000000000001E-4</v>
      </c>
    </row>
    <row r="278" spans="1:48" x14ac:dyDescent="0.25">
      <c r="A278" t="s">
        <v>379</v>
      </c>
      <c r="B278" t="s">
        <v>2</v>
      </c>
      <c r="C278" t="s">
        <v>379</v>
      </c>
      <c r="D278">
        <v>28500</v>
      </c>
      <c r="E278" t="s">
        <v>672</v>
      </c>
      <c r="F278" t="s">
        <v>117</v>
      </c>
      <c r="G278" t="s">
        <v>670</v>
      </c>
      <c r="H278" t="s">
        <v>670</v>
      </c>
      <c r="I278" t="s">
        <v>673</v>
      </c>
      <c r="J278" t="s">
        <v>673</v>
      </c>
      <c r="K278" t="s">
        <v>673</v>
      </c>
      <c r="L278" t="s">
        <v>673</v>
      </c>
      <c r="M278" t="s">
        <v>673</v>
      </c>
      <c r="N278" t="s">
        <v>673</v>
      </c>
      <c r="O278" t="s">
        <v>673</v>
      </c>
      <c r="P278" t="s">
        <v>673</v>
      </c>
      <c r="Q278" t="s">
        <v>673</v>
      </c>
      <c r="R278" t="s">
        <v>673</v>
      </c>
      <c r="S278" t="s">
        <v>673</v>
      </c>
      <c r="T278" t="s">
        <v>673</v>
      </c>
      <c r="U278" t="s">
        <v>673</v>
      </c>
      <c r="V278" t="s">
        <v>673</v>
      </c>
      <c r="W278" t="s">
        <v>673</v>
      </c>
      <c r="X278" t="s">
        <v>673</v>
      </c>
      <c r="Y278" t="s">
        <v>673</v>
      </c>
      <c r="Z278" t="s">
        <v>673</v>
      </c>
      <c r="AA278" t="s">
        <v>673</v>
      </c>
      <c r="AB278" t="s">
        <v>673</v>
      </c>
      <c r="AC278" t="s">
        <v>673</v>
      </c>
      <c r="AD278" t="s">
        <v>673</v>
      </c>
      <c r="AE278" t="s">
        <v>673</v>
      </c>
      <c r="AF278" t="s">
        <v>673</v>
      </c>
      <c r="AG278" t="s">
        <v>673</v>
      </c>
      <c r="AH278" t="s">
        <v>673</v>
      </c>
      <c r="AI278" t="s">
        <v>673</v>
      </c>
      <c r="AJ278" t="s">
        <v>673</v>
      </c>
      <c r="AK278" t="s">
        <v>673</v>
      </c>
      <c r="AL278" t="s">
        <v>673</v>
      </c>
      <c r="AM278">
        <v>4.0300000000000002E-2</v>
      </c>
      <c r="AN278">
        <v>3.09E-2</v>
      </c>
      <c r="AO278">
        <v>7.1000000000000004E-3</v>
      </c>
      <c r="AP278">
        <v>-3.1899999999999998E-2</v>
      </c>
      <c r="AQ278">
        <v>-4.1000000000000002E-2</v>
      </c>
      <c r="AR278">
        <v>-4.1000000000000002E-2</v>
      </c>
      <c r="AS278">
        <v>-2.9399999999999999E-2</v>
      </c>
      <c r="AT278">
        <v>-1.5E-3</v>
      </c>
      <c r="AU278" t="s">
        <v>673</v>
      </c>
      <c r="AV278" t="s">
        <v>673</v>
      </c>
    </row>
    <row r="279" spans="1:48" x14ac:dyDescent="0.25">
      <c r="A279" t="s">
        <v>380</v>
      </c>
      <c r="B279" t="s">
        <v>2</v>
      </c>
      <c r="C279" t="s">
        <v>380</v>
      </c>
      <c r="D279">
        <v>28580</v>
      </c>
      <c r="E279" t="s">
        <v>672</v>
      </c>
      <c r="F279" t="s">
        <v>117</v>
      </c>
      <c r="G279" t="s">
        <v>670</v>
      </c>
      <c r="H279" t="s">
        <v>670</v>
      </c>
      <c r="I279">
        <v>-4.7100000000000003E-2</v>
      </c>
      <c r="J279">
        <v>-0.1082</v>
      </c>
      <c r="K279">
        <v>7.5999999999999998E-2</v>
      </c>
      <c r="L279">
        <v>4.2000000000000003E-2</v>
      </c>
      <c r="M279">
        <v>2.1899999999999999E-2</v>
      </c>
      <c r="N279">
        <v>0.23980000000000001</v>
      </c>
      <c r="O279">
        <v>0.23699999999999999</v>
      </c>
      <c r="P279">
        <v>0.16719999999999999</v>
      </c>
      <c r="Q279" t="s">
        <v>673</v>
      </c>
      <c r="R279" t="s">
        <v>673</v>
      </c>
      <c r="S279" t="s">
        <v>673</v>
      </c>
      <c r="T279" t="s">
        <v>673</v>
      </c>
      <c r="U279">
        <v>9.7600000000000006E-2</v>
      </c>
      <c r="V279">
        <v>0.1205</v>
      </c>
      <c r="W279">
        <v>4.9599999999999998E-2</v>
      </c>
      <c r="X279">
        <v>0.1139</v>
      </c>
      <c r="Y279">
        <v>6.0299999999999999E-2</v>
      </c>
      <c r="Z279">
        <v>-0.01</v>
      </c>
      <c r="AA279">
        <v>-1.5E-3</v>
      </c>
      <c r="AB279">
        <v>-0.1048</v>
      </c>
      <c r="AC279">
        <v>-0.1128</v>
      </c>
      <c r="AD279">
        <v>-3.78E-2</v>
      </c>
      <c r="AE279">
        <v>0.10680000000000001</v>
      </c>
      <c r="AF279">
        <v>0.2117</v>
      </c>
      <c r="AG279">
        <v>0.19650000000000001</v>
      </c>
      <c r="AH279">
        <v>0.2888</v>
      </c>
      <c r="AI279">
        <v>0.25059999999999999</v>
      </c>
      <c r="AJ279">
        <v>0.1857</v>
      </c>
      <c r="AK279">
        <v>0.19389999999999999</v>
      </c>
      <c r="AL279">
        <v>0.10059999999999999</v>
      </c>
      <c r="AM279">
        <v>-1.46E-2</v>
      </c>
      <c r="AN279">
        <v>-6.7000000000000002E-3</v>
      </c>
      <c r="AO279">
        <v>-2.7300000000000001E-2</v>
      </c>
      <c r="AP279">
        <v>-6.8000000000000005E-2</v>
      </c>
      <c r="AQ279">
        <v>-3.5999999999999999E-3</v>
      </c>
      <c r="AR279">
        <v>1.7899999999999999E-2</v>
      </c>
      <c r="AS279">
        <v>1.78E-2</v>
      </c>
      <c r="AT279">
        <v>4.41E-2</v>
      </c>
      <c r="AU279">
        <v>-1.7000000000000001E-2</v>
      </c>
      <c r="AV279">
        <v>-4.8500000000000001E-2</v>
      </c>
    </row>
    <row r="280" spans="1:48" x14ac:dyDescent="0.25">
      <c r="A280" t="s">
        <v>381</v>
      </c>
      <c r="B280" t="s">
        <v>2</v>
      </c>
      <c r="C280" t="s">
        <v>381</v>
      </c>
      <c r="D280">
        <v>28620</v>
      </c>
      <c r="E280" t="s">
        <v>672</v>
      </c>
      <c r="F280" t="s">
        <v>117</v>
      </c>
      <c r="G280" t="s">
        <v>670</v>
      </c>
      <c r="H280" t="s">
        <v>670</v>
      </c>
      <c r="I280" t="s">
        <v>673</v>
      </c>
      <c r="J280" t="s">
        <v>673</v>
      </c>
      <c r="K280" t="s">
        <v>673</v>
      </c>
      <c r="L280" t="s">
        <v>673</v>
      </c>
      <c r="M280" t="s">
        <v>673</v>
      </c>
      <c r="N280" t="s">
        <v>673</v>
      </c>
      <c r="O280" t="s">
        <v>673</v>
      </c>
      <c r="P280" t="s">
        <v>673</v>
      </c>
      <c r="Q280" t="s">
        <v>673</v>
      </c>
      <c r="R280" t="s">
        <v>673</v>
      </c>
      <c r="S280" t="s">
        <v>673</v>
      </c>
      <c r="T280" t="s">
        <v>673</v>
      </c>
      <c r="U280" t="s">
        <v>673</v>
      </c>
      <c r="V280" t="s">
        <v>673</v>
      </c>
      <c r="W280" t="s">
        <v>673</v>
      </c>
      <c r="X280" t="s">
        <v>673</v>
      </c>
      <c r="Y280" t="s">
        <v>673</v>
      </c>
      <c r="Z280" t="s">
        <v>673</v>
      </c>
      <c r="AA280" t="s">
        <v>673</v>
      </c>
      <c r="AB280" t="s">
        <v>673</v>
      </c>
      <c r="AC280" t="s">
        <v>673</v>
      </c>
      <c r="AD280" t="s">
        <v>673</v>
      </c>
      <c r="AE280" t="s">
        <v>673</v>
      </c>
      <c r="AF280" t="s">
        <v>673</v>
      </c>
      <c r="AG280" t="s">
        <v>673</v>
      </c>
      <c r="AH280" t="s">
        <v>673</v>
      </c>
      <c r="AI280" t="s">
        <v>673</v>
      </c>
      <c r="AJ280" t="s">
        <v>673</v>
      </c>
      <c r="AK280" t="s">
        <v>673</v>
      </c>
      <c r="AL280" t="s">
        <v>673</v>
      </c>
      <c r="AM280" t="s">
        <v>673</v>
      </c>
      <c r="AN280" t="s">
        <v>673</v>
      </c>
      <c r="AO280" t="s">
        <v>673</v>
      </c>
      <c r="AP280" t="s">
        <v>673</v>
      </c>
      <c r="AQ280" t="s">
        <v>673</v>
      </c>
      <c r="AR280" t="s">
        <v>673</v>
      </c>
      <c r="AS280" t="s">
        <v>673</v>
      </c>
      <c r="AT280" t="s">
        <v>673</v>
      </c>
      <c r="AU280" t="s">
        <v>673</v>
      </c>
      <c r="AV280" t="s">
        <v>673</v>
      </c>
    </row>
    <row r="281" spans="1:48" x14ac:dyDescent="0.25">
      <c r="A281" t="s">
        <v>382</v>
      </c>
      <c r="B281" t="s">
        <v>2</v>
      </c>
      <c r="C281" t="s">
        <v>382</v>
      </c>
      <c r="D281">
        <v>28660</v>
      </c>
      <c r="E281" t="s">
        <v>672</v>
      </c>
      <c r="F281" t="s">
        <v>117</v>
      </c>
      <c r="G281" t="s">
        <v>670</v>
      </c>
      <c r="H281" t="s">
        <v>670</v>
      </c>
      <c r="I281">
        <v>5.5999999999999999E-3</v>
      </c>
      <c r="J281">
        <v>-1.5800000000000002E-2</v>
      </c>
      <c r="K281">
        <v>-2.7099999999999999E-2</v>
      </c>
      <c r="L281">
        <v>8.0999999999999996E-3</v>
      </c>
      <c r="M281">
        <v>-9.1000000000000004E-3</v>
      </c>
      <c r="N281">
        <v>-2.3999999999999998E-3</v>
      </c>
      <c r="O281">
        <v>1.7000000000000001E-2</v>
      </c>
      <c r="P281">
        <v>5.7000000000000002E-3</v>
      </c>
      <c r="Q281">
        <v>4.7199999999999999E-2</v>
      </c>
      <c r="R281">
        <v>2.5399999999999999E-2</v>
      </c>
      <c r="S281">
        <v>5.16E-2</v>
      </c>
      <c r="T281">
        <v>5.5100000000000003E-2</v>
      </c>
      <c r="U281">
        <v>3.4500000000000003E-2</v>
      </c>
      <c r="V281">
        <v>7.1599999999999997E-2</v>
      </c>
      <c r="W281">
        <v>4.99E-2</v>
      </c>
      <c r="X281">
        <v>5.62E-2</v>
      </c>
      <c r="Y281">
        <v>3.0099999999999998E-2</v>
      </c>
      <c r="Z281">
        <v>1.8700000000000001E-2</v>
      </c>
      <c r="AA281">
        <v>4.4499999999999998E-2</v>
      </c>
      <c r="AB281">
        <v>6.2300000000000001E-2</v>
      </c>
      <c r="AC281">
        <v>8.4699999999999998E-2</v>
      </c>
      <c r="AD281">
        <v>9.1899999999999996E-2</v>
      </c>
      <c r="AE281">
        <v>0.1113</v>
      </c>
      <c r="AF281">
        <v>0.11119999999999999</v>
      </c>
      <c r="AG281">
        <v>0.13109999999999999</v>
      </c>
      <c r="AH281">
        <v>0.1694</v>
      </c>
      <c r="AI281">
        <v>0.1673</v>
      </c>
      <c r="AJ281">
        <v>0.1447</v>
      </c>
      <c r="AK281">
        <v>9.2299999999999993E-2</v>
      </c>
      <c r="AL281">
        <v>6.6000000000000003E-2</v>
      </c>
      <c r="AM281">
        <v>3.1199999999999999E-2</v>
      </c>
      <c r="AN281">
        <v>3.7100000000000001E-2</v>
      </c>
      <c r="AO281">
        <v>4.8399999999999999E-2</v>
      </c>
      <c r="AP281">
        <v>1.35E-2</v>
      </c>
      <c r="AQ281">
        <v>-1.34E-2</v>
      </c>
      <c r="AR281">
        <v>-3.0700000000000002E-2</v>
      </c>
      <c r="AS281">
        <v>-1.5699999999999999E-2</v>
      </c>
      <c r="AT281">
        <v>7.7000000000000002E-3</v>
      </c>
      <c r="AU281">
        <v>2.64E-2</v>
      </c>
      <c r="AV281">
        <v>-2.0999999999999999E-3</v>
      </c>
    </row>
    <row r="282" spans="1:48" x14ac:dyDescent="0.25">
      <c r="A282" t="s">
        <v>383</v>
      </c>
      <c r="B282" t="s">
        <v>2</v>
      </c>
      <c r="C282" t="s">
        <v>383</v>
      </c>
      <c r="D282">
        <v>28680</v>
      </c>
      <c r="E282" t="s">
        <v>672</v>
      </c>
      <c r="F282" t="s">
        <v>117</v>
      </c>
      <c r="G282" t="s">
        <v>670</v>
      </c>
      <c r="H282" t="s">
        <v>670</v>
      </c>
      <c r="I282" t="s">
        <v>673</v>
      </c>
      <c r="J282" t="s">
        <v>673</v>
      </c>
      <c r="K282" t="s">
        <v>673</v>
      </c>
      <c r="L282" t="s">
        <v>673</v>
      </c>
      <c r="M282" t="s">
        <v>673</v>
      </c>
      <c r="N282">
        <v>0.4546</v>
      </c>
      <c r="O282" t="s">
        <v>673</v>
      </c>
      <c r="P282">
        <v>-0.12609999999999999</v>
      </c>
      <c r="Q282">
        <v>-0.24379999999999999</v>
      </c>
      <c r="R282">
        <v>-7.7000000000000002E-3</v>
      </c>
      <c r="S282">
        <v>5.33E-2</v>
      </c>
      <c r="T282">
        <v>8.6800000000000002E-2</v>
      </c>
      <c r="U282">
        <v>0.15740000000000001</v>
      </c>
      <c r="V282">
        <v>9.1300000000000006E-2</v>
      </c>
      <c r="W282">
        <v>3.1600000000000003E-2</v>
      </c>
      <c r="X282">
        <v>2.46E-2</v>
      </c>
      <c r="Y282">
        <v>2.2100000000000002E-2</v>
      </c>
      <c r="Z282">
        <v>2.01E-2</v>
      </c>
      <c r="AA282">
        <v>0.1186</v>
      </c>
      <c r="AB282">
        <v>0.11840000000000001</v>
      </c>
      <c r="AC282">
        <v>0.1368</v>
      </c>
      <c r="AD282">
        <v>0.30370000000000003</v>
      </c>
      <c r="AE282">
        <v>0.22839999999999999</v>
      </c>
      <c r="AF282">
        <v>0.33950000000000002</v>
      </c>
      <c r="AG282">
        <v>0.32290000000000002</v>
      </c>
      <c r="AH282">
        <v>0.18840000000000001</v>
      </c>
      <c r="AI282">
        <v>0.27010000000000001</v>
      </c>
      <c r="AJ282">
        <v>0.12720000000000001</v>
      </c>
      <c r="AK282">
        <v>8.9399999999999993E-2</v>
      </c>
      <c r="AL282">
        <v>6.1000000000000004E-3</v>
      </c>
      <c r="AM282">
        <v>-0.115</v>
      </c>
      <c r="AN282">
        <v>-0.10059999999999999</v>
      </c>
      <c r="AO282">
        <v>-4.2500000000000003E-2</v>
      </c>
      <c r="AP282">
        <v>1.4800000000000001E-2</v>
      </c>
      <c r="AQ282">
        <v>6.3100000000000003E-2</v>
      </c>
      <c r="AR282">
        <v>8.4199999999999997E-2</v>
      </c>
      <c r="AS282">
        <v>-2.7300000000000001E-2</v>
      </c>
      <c r="AT282">
        <v>1.6299999999999999E-2</v>
      </c>
      <c r="AU282">
        <v>7.4200000000000002E-2</v>
      </c>
      <c r="AV282">
        <v>-7.9000000000000008E-3</v>
      </c>
    </row>
    <row r="283" spans="1:48" x14ac:dyDescent="0.25">
      <c r="A283" t="s">
        <v>384</v>
      </c>
      <c r="B283" t="s">
        <v>2</v>
      </c>
      <c r="C283" t="s">
        <v>384</v>
      </c>
      <c r="D283">
        <v>28740</v>
      </c>
      <c r="E283" t="s">
        <v>672</v>
      </c>
      <c r="F283" t="s">
        <v>117</v>
      </c>
      <c r="G283" t="s">
        <v>670</v>
      </c>
      <c r="H283" t="s">
        <v>670</v>
      </c>
      <c r="I283" t="s">
        <v>673</v>
      </c>
      <c r="J283" t="s">
        <v>673</v>
      </c>
      <c r="K283">
        <v>6.7299999999999999E-2</v>
      </c>
      <c r="L283">
        <v>-1E-3</v>
      </c>
      <c r="M283">
        <v>-4.2299999999999997E-2</v>
      </c>
      <c r="N283">
        <v>-0.1241</v>
      </c>
      <c r="O283">
        <v>2.5999999999999999E-3</v>
      </c>
      <c r="P283">
        <v>3.4299999999999997E-2</v>
      </c>
      <c r="Q283">
        <v>-3.2899999999999999E-2</v>
      </c>
      <c r="R283">
        <v>-2.8899999999999999E-2</v>
      </c>
      <c r="S283">
        <v>-1.34E-2</v>
      </c>
      <c r="T283">
        <v>1.5100000000000001E-2</v>
      </c>
      <c r="U283">
        <v>3.5099999999999999E-2</v>
      </c>
      <c r="V283">
        <v>3.6600000000000001E-2</v>
      </c>
      <c r="W283">
        <v>0.14510000000000001</v>
      </c>
      <c r="X283">
        <v>0.1268</v>
      </c>
      <c r="Y283">
        <v>0.1384</v>
      </c>
      <c r="Z283">
        <v>0.12609999999999999</v>
      </c>
      <c r="AA283">
        <v>2.87E-2</v>
      </c>
      <c r="AB283">
        <v>6.7599999999999993E-2</v>
      </c>
      <c r="AC283">
        <v>5.6800000000000003E-2</v>
      </c>
      <c r="AD283">
        <v>0.19359999999999999</v>
      </c>
      <c r="AE283">
        <v>0.21360000000000001</v>
      </c>
      <c r="AF283">
        <v>0.19270000000000001</v>
      </c>
      <c r="AG283">
        <v>0.1978</v>
      </c>
      <c r="AH283">
        <v>4.3700000000000003E-2</v>
      </c>
      <c r="AI283">
        <v>3.5299999999999998E-2</v>
      </c>
      <c r="AJ283">
        <v>2.1100000000000001E-2</v>
      </c>
      <c r="AK283">
        <v>4.4000000000000003E-3</v>
      </c>
      <c r="AL283">
        <v>-4.8000000000000001E-2</v>
      </c>
      <c r="AM283">
        <v>-1.1999999999999999E-3</v>
      </c>
      <c r="AN283">
        <v>-1.7600000000000001E-2</v>
      </c>
      <c r="AO283">
        <v>-3.6900000000000002E-2</v>
      </c>
      <c r="AP283">
        <v>4.41E-2</v>
      </c>
      <c r="AQ283">
        <v>-4.7999999999999996E-3</v>
      </c>
      <c r="AR283">
        <v>1.0699999999999999E-2</v>
      </c>
      <c r="AS283">
        <v>5.7799999999999997E-2</v>
      </c>
      <c r="AT283">
        <v>0.12620000000000001</v>
      </c>
      <c r="AU283">
        <v>0.11210000000000001</v>
      </c>
      <c r="AV283">
        <v>9.5299999999999996E-2</v>
      </c>
    </row>
    <row r="284" spans="1:48" x14ac:dyDescent="0.25">
      <c r="A284" t="s">
        <v>385</v>
      </c>
      <c r="B284" t="s">
        <v>2</v>
      </c>
      <c r="C284" t="s">
        <v>385</v>
      </c>
      <c r="D284">
        <v>28780</v>
      </c>
      <c r="E284" t="s">
        <v>672</v>
      </c>
      <c r="F284" t="s">
        <v>117</v>
      </c>
      <c r="G284" t="s">
        <v>670</v>
      </c>
      <c r="H284" t="s">
        <v>670</v>
      </c>
      <c r="I284" t="s">
        <v>673</v>
      </c>
      <c r="J284" t="s">
        <v>673</v>
      </c>
      <c r="K284" t="s">
        <v>673</v>
      </c>
      <c r="L284">
        <v>0.21379999999999999</v>
      </c>
      <c r="M284">
        <v>0.25729999999999997</v>
      </c>
      <c r="N284">
        <v>0.32490000000000002</v>
      </c>
      <c r="O284" t="s">
        <v>673</v>
      </c>
      <c r="P284">
        <v>-0.1173</v>
      </c>
      <c r="Q284">
        <v>-7.5499999999999998E-2</v>
      </c>
      <c r="R284">
        <v>4.3299999999999998E-2</v>
      </c>
      <c r="S284">
        <v>3.3099999999999997E-2</v>
      </c>
      <c r="T284">
        <v>4.8000000000000001E-2</v>
      </c>
      <c r="U284">
        <v>3.6299999999999999E-2</v>
      </c>
      <c r="V284">
        <v>5.4699999999999999E-2</v>
      </c>
      <c r="W284">
        <v>3.8399999999999997E-2</v>
      </c>
      <c r="X284">
        <v>2.12E-2</v>
      </c>
      <c r="Y284">
        <v>1.5299999999999999E-2</v>
      </c>
      <c r="Z284">
        <v>-1.2E-2</v>
      </c>
      <c r="AA284">
        <v>-1.14E-2</v>
      </c>
      <c r="AB284">
        <v>-1.47E-2</v>
      </c>
      <c r="AC284">
        <v>3.5099999999999999E-2</v>
      </c>
      <c r="AD284">
        <v>0.1208</v>
      </c>
      <c r="AE284">
        <v>9.5100000000000004E-2</v>
      </c>
      <c r="AF284">
        <v>7.7899999999999997E-2</v>
      </c>
      <c r="AG284">
        <v>5.5100000000000003E-2</v>
      </c>
      <c r="AH284">
        <v>-1.52E-2</v>
      </c>
      <c r="AI284">
        <v>5.7999999999999996E-3</v>
      </c>
      <c r="AJ284">
        <v>3.2800000000000003E-2</v>
      </c>
      <c r="AK284">
        <v>-2.8299999999999999E-2</v>
      </c>
      <c r="AL284">
        <v>-2.3199999999999998E-2</v>
      </c>
      <c r="AM284">
        <v>1.2699999999999999E-2</v>
      </c>
      <c r="AN284">
        <v>1.0699999999999999E-2</v>
      </c>
      <c r="AO284">
        <v>6.3500000000000001E-2</v>
      </c>
      <c r="AP284">
        <v>8.3000000000000004E-2</v>
      </c>
      <c r="AQ284">
        <v>1.8700000000000001E-2</v>
      </c>
      <c r="AR284">
        <v>-2.3699999999999999E-2</v>
      </c>
      <c r="AS284">
        <v>-3.2500000000000001E-2</v>
      </c>
      <c r="AT284">
        <v>8.0000000000000002E-3</v>
      </c>
      <c r="AU284">
        <v>0.01</v>
      </c>
      <c r="AV284">
        <v>6.7799999999999999E-2</v>
      </c>
    </row>
    <row r="285" spans="1:48" x14ac:dyDescent="0.25">
      <c r="A285" t="s">
        <v>386</v>
      </c>
      <c r="B285" t="s">
        <v>2</v>
      </c>
      <c r="C285" t="s">
        <v>386</v>
      </c>
      <c r="D285">
        <v>28940</v>
      </c>
      <c r="E285" t="s">
        <v>672</v>
      </c>
      <c r="F285" t="s">
        <v>117</v>
      </c>
      <c r="G285" t="s">
        <v>670</v>
      </c>
      <c r="H285" t="s">
        <v>670</v>
      </c>
      <c r="I285">
        <v>4.5100000000000001E-2</v>
      </c>
      <c r="J285">
        <v>5.1799999999999999E-2</v>
      </c>
      <c r="K285">
        <v>4.1200000000000001E-2</v>
      </c>
      <c r="L285">
        <v>5.4800000000000001E-2</v>
      </c>
      <c r="M285">
        <v>5.3199999999999997E-2</v>
      </c>
      <c r="N285">
        <v>5.0700000000000002E-2</v>
      </c>
      <c r="O285">
        <v>0.05</v>
      </c>
      <c r="P285">
        <v>3.1899999999999998E-2</v>
      </c>
      <c r="Q285">
        <v>5.45E-2</v>
      </c>
      <c r="R285">
        <v>6.7599999999999993E-2</v>
      </c>
      <c r="S285">
        <v>7.3800000000000004E-2</v>
      </c>
      <c r="T285">
        <v>5.7799999999999997E-2</v>
      </c>
      <c r="U285">
        <v>1.9699999999999999E-2</v>
      </c>
      <c r="V285">
        <v>2.3699999999999999E-2</v>
      </c>
      <c r="W285">
        <v>3.9899999999999998E-2</v>
      </c>
      <c r="X285">
        <v>4.9700000000000001E-2</v>
      </c>
      <c r="Y285">
        <v>6.3299999999999995E-2</v>
      </c>
      <c r="Z285">
        <v>4.0399999999999998E-2</v>
      </c>
      <c r="AA285">
        <v>2.58E-2</v>
      </c>
      <c r="AB285">
        <v>5.0299999999999997E-2</v>
      </c>
      <c r="AC285">
        <v>6.8900000000000003E-2</v>
      </c>
      <c r="AD285">
        <v>9.4899999999999998E-2</v>
      </c>
      <c r="AE285">
        <v>0.14949999999999999</v>
      </c>
      <c r="AF285">
        <v>0.1883</v>
      </c>
      <c r="AG285">
        <v>0.1978</v>
      </c>
      <c r="AH285">
        <v>0.23330000000000001</v>
      </c>
      <c r="AI285">
        <v>0.25019999999999998</v>
      </c>
      <c r="AJ285">
        <v>0.19520000000000001</v>
      </c>
      <c r="AK285">
        <v>0.1676</v>
      </c>
      <c r="AL285">
        <v>0.1298</v>
      </c>
      <c r="AM285">
        <v>6.13E-2</v>
      </c>
      <c r="AN285">
        <v>4.6399999999999997E-2</v>
      </c>
      <c r="AO285">
        <v>3.5000000000000003E-2</v>
      </c>
      <c r="AP285">
        <v>2.8899999999999999E-2</v>
      </c>
      <c r="AQ285">
        <v>2.53E-2</v>
      </c>
      <c r="AR285">
        <v>1.9800000000000002E-2</v>
      </c>
      <c r="AS285">
        <v>1.5800000000000002E-2</v>
      </c>
      <c r="AT285">
        <v>1.5900000000000001E-2</v>
      </c>
      <c r="AU285">
        <v>1.1999999999999999E-3</v>
      </c>
      <c r="AV285">
        <v>-6.6E-3</v>
      </c>
    </row>
    <row r="286" spans="1:48" x14ac:dyDescent="0.25">
      <c r="A286" t="s">
        <v>387</v>
      </c>
      <c r="B286" t="s">
        <v>2</v>
      </c>
      <c r="C286" t="s">
        <v>387</v>
      </c>
      <c r="D286">
        <v>29020</v>
      </c>
      <c r="E286" t="s">
        <v>672</v>
      </c>
      <c r="F286" t="s">
        <v>117</v>
      </c>
      <c r="G286" t="s">
        <v>670</v>
      </c>
      <c r="H286" t="s">
        <v>670</v>
      </c>
      <c r="I286">
        <v>0.1517</v>
      </c>
      <c r="J286">
        <v>0.1111</v>
      </c>
      <c r="K286">
        <v>2.8500000000000001E-2</v>
      </c>
      <c r="L286">
        <v>3.5099999999999999E-2</v>
      </c>
      <c r="M286">
        <v>2.69E-2</v>
      </c>
      <c r="N286">
        <v>1.7600000000000001E-2</v>
      </c>
      <c r="O286">
        <v>2.0199999999999999E-2</v>
      </c>
      <c r="P286">
        <v>1.77E-2</v>
      </c>
      <c r="Q286">
        <v>2.2499999999999999E-2</v>
      </c>
      <c r="R286">
        <v>2.5499999999999998E-2</v>
      </c>
      <c r="S286">
        <v>2.6499999999999999E-2</v>
      </c>
      <c r="T286">
        <v>2.0199999999999999E-2</v>
      </c>
      <c r="U286">
        <v>2.7400000000000001E-2</v>
      </c>
      <c r="V286">
        <v>4.41E-2</v>
      </c>
      <c r="W286">
        <v>4.58E-2</v>
      </c>
      <c r="X286">
        <v>2.3900000000000001E-2</v>
      </c>
      <c r="Y286">
        <v>2.5700000000000001E-2</v>
      </c>
      <c r="Z286">
        <v>1.32E-2</v>
      </c>
      <c r="AA286">
        <v>1.06E-2</v>
      </c>
      <c r="AB286">
        <v>7.0800000000000002E-2</v>
      </c>
      <c r="AC286">
        <v>7.8100000000000003E-2</v>
      </c>
      <c r="AD286">
        <v>8.9899999999999994E-2</v>
      </c>
      <c r="AE286">
        <v>0.12479999999999999</v>
      </c>
      <c r="AF286">
        <v>9.1700000000000004E-2</v>
      </c>
      <c r="AG286">
        <v>9.2200000000000004E-2</v>
      </c>
      <c r="AH286">
        <v>9.2999999999999999E-2</v>
      </c>
      <c r="AI286">
        <v>8.4500000000000006E-2</v>
      </c>
      <c r="AJ286">
        <v>0.1017</v>
      </c>
      <c r="AK286">
        <v>0.1</v>
      </c>
      <c r="AL286">
        <v>0.1017</v>
      </c>
      <c r="AM286">
        <v>8.4699999999999998E-2</v>
      </c>
      <c r="AN286">
        <v>0.11409999999999999</v>
      </c>
      <c r="AO286">
        <v>0.1168</v>
      </c>
      <c r="AP286">
        <v>0.1384</v>
      </c>
      <c r="AQ286">
        <v>0.13850000000000001</v>
      </c>
      <c r="AR286">
        <v>5.8999999999999997E-2</v>
      </c>
      <c r="AS286">
        <v>2.6700000000000002E-2</v>
      </c>
      <c r="AT286">
        <v>-1.66E-2</v>
      </c>
      <c r="AU286">
        <v>-3.3E-3</v>
      </c>
      <c r="AV286">
        <v>1.2200000000000001E-2</v>
      </c>
    </row>
    <row r="287" spans="1:48" x14ac:dyDescent="0.25">
      <c r="A287" t="s">
        <v>388</v>
      </c>
      <c r="B287" t="s">
        <v>2</v>
      </c>
      <c r="C287" t="s">
        <v>388</v>
      </c>
      <c r="D287">
        <v>29100</v>
      </c>
      <c r="E287" t="s">
        <v>672</v>
      </c>
      <c r="F287" t="s">
        <v>117</v>
      </c>
      <c r="G287" t="s">
        <v>670</v>
      </c>
      <c r="H287" t="s">
        <v>670</v>
      </c>
      <c r="I287" t="s">
        <v>673</v>
      </c>
      <c r="J287" t="s">
        <v>673</v>
      </c>
      <c r="K287" t="s">
        <v>673</v>
      </c>
      <c r="L287" t="s">
        <v>673</v>
      </c>
      <c r="M287" t="s">
        <v>673</v>
      </c>
      <c r="N287" t="s">
        <v>673</v>
      </c>
      <c r="O287" t="s">
        <v>673</v>
      </c>
      <c r="P287" t="s">
        <v>673</v>
      </c>
      <c r="Q287" t="s">
        <v>673</v>
      </c>
      <c r="R287" t="s">
        <v>673</v>
      </c>
      <c r="S287" t="s">
        <v>673</v>
      </c>
      <c r="T287" t="s">
        <v>673</v>
      </c>
      <c r="U287">
        <v>-0.30170000000000002</v>
      </c>
      <c r="V287">
        <v>-0.25490000000000002</v>
      </c>
      <c r="W287">
        <v>-0.18920000000000001</v>
      </c>
      <c r="X287">
        <v>-9.6199999999999994E-2</v>
      </c>
      <c r="Y287">
        <v>8.7099999999999997E-2</v>
      </c>
      <c r="Z287">
        <v>-3.8999999999999998E-3</v>
      </c>
      <c r="AA287">
        <v>-6.5199999999999994E-2</v>
      </c>
      <c r="AB287">
        <v>-7.7399999999999997E-2</v>
      </c>
      <c r="AC287">
        <v>-9.9400000000000002E-2</v>
      </c>
      <c r="AD287">
        <v>-4.9500000000000002E-2</v>
      </c>
      <c r="AE287">
        <v>7.4000000000000003E-3</v>
      </c>
      <c r="AF287">
        <v>-0.12820000000000001</v>
      </c>
      <c r="AG287">
        <v>-0.1133</v>
      </c>
      <c r="AH287">
        <v>-7.0000000000000001E-3</v>
      </c>
      <c r="AI287">
        <v>-1.9900000000000001E-2</v>
      </c>
      <c r="AJ287">
        <v>0.16239999999999999</v>
      </c>
      <c r="AK287">
        <v>0.14799999999999999</v>
      </c>
      <c r="AL287">
        <v>3.15E-2</v>
      </c>
      <c r="AM287">
        <v>4.7800000000000002E-2</v>
      </c>
      <c r="AN287">
        <v>0.1069</v>
      </c>
      <c r="AO287">
        <v>0.1202</v>
      </c>
      <c r="AP287">
        <v>0.1169</v>
      </c>
      <c r="AQ287">
        <v>0.10580000000000001</v>
      </c>
      <c r="AR287">
        <v>3.2800000000000003E-2</v>
      </c>
      <c r="AS287">
        <v>3.7400000000000003E-2</v>
      </c>
      <c r="AT287">
        <v>0.16189999999999999</v>
      </c>
      <c r="AU287">
        <v>0.1232</v>
      </c>
      <c r="AV287">
        <v>9.2499999999999999E-2</v>
      </c>
    </row>
    <row r="288" spans="1:48" x14ac:dyDescent="0.25">
      <c r="A288" t="s">
        <v>389</v>
      </c>
      <c r="B288" t="s">
        <v>2</v>
      </c>
      <c r="C288" t="s">
        <v>389</v>
      </c>
      <c r="D288">
        <v>229180</v>
      </c>
      <c r="E288" t="s">
        <v>672</v>
      </c>
      <c r="F288" t="s">
        <v>117</v>
      </c>
      <c r="G288" t="s">
        <v>670</v>
      </c>
      <c r="H288" t="s">
        <v>670</v>
      </c>
      <c r="I288">
        <v>-3.0099999999999998E-2</v>
      </c>
      <c r="J288">
        <v>-3.09E-2</v>
      </c>
      <c r="K288">
        <v>-4.4499999999999998E-2</v>
      </c>
      <c r="L288">
        <v>-4.0300000000000002E-2</v>
      </c>
      <c r="M288">
        <v>-4.3499999999999997E-2</v>
      </c>
      <c r="N288">
        <v>-4.9799999999999997E-2</v>
      </c>
      <c r="O288">
        <v>-3.0000000000000001E-3</v>
      </c>
      <c r="P288">
        <v>9.7000000000000003E-3</v>
      </c>
      <c r="Q288">
        <v>4.1500000000000002E-2</v>
      </c>
      <c r="R288">
        <v>5.3999999999999999E-2</v>
      </c>
      <c r="S288">
        <v>2.1899999999999999E-2</v>
      </c>
      <c r="T288">
        <v>2.0199999999999999E-2</v>
      </c>
      <c r="U288">
        <v>7.7999999999999996E-3</v>
      </c>
      <c r="V288">
        <v>2.5600000000000001E-2</v>
      </c>
      <c r="W288">
        <v>1.9E-2</v>
      </c>
      <c r="X288">
        <v>1.2999999999999999E-2</v>
      </c>
      <c r="Y288">
        <v>1.3899999999999999E-2</v>
      </c>
      <c r="Z288">
        <v>-1.6400000000000001E-2</v>
      </c>
      <c r="AA288">
        <v>4.5999999999999999E-3</v>
      </c>
      <c r="AB288">
        <v>4.3400000000000001E-2</v>
      </c>
      <c r="AC288">
        <v>5.7599999999999998E-2</v>
      </c>
      <c r="AD288">
        <v>0.10680000000000001</v>
      </c>
      <c r="AE288">
        <v>0.1424</v>
      </c>
      <c r="AF288">
        <v>0.14560000000000001</v>
      </c>
      <c r="AG288">
        <v>0.12939999999999999</v>
      </c>
      <c r="AH288">
        <v>0.13100000000000001</v>
      </c>
      <c r="AI288">
        <v>8.5199999999999998E-2</v>
      </c>
      <c r="AJ288">
        <v>2.2700000000000001E-2</v>
      </c>
      <c r="AK288">
        <v>3.0599999999999999E-2</v>
      </c>
      <c r="AL288">
        <v>2.6599999999999999E-2</v>
      </c>
      <c r="AM288">
        <v>2.7400000000000001E-2</v>
      </c>
      <c r="AN288">
        <v>5.4600000000000003E-2</v>
      </c>
      <c r="AO288">
        <v>2.86E-2</v>
      </c>
      <c r="AP288">
        <v>2.0999999999999999E-3</v>
      </c>
      <c r="AQ288">
        <v>8.9999999999999998E-4</v>
      </c>
      <c r="AR288">
        <v>-8.6E-3</v>
      </c>
      <c r="AS288">
        <v>1.77E-2</v>
      </c>
      <c r="AT288">
        <v>3.56E-2</v>
      </c>
      <c r="AU288">
        <v>3.7699999999999997E-2</v>
      </c>
      <c r="AV288">
        <v>3.9899999999999998E-2</v>
      </c>
    </row>
    <row r="289" spans="1:48" x14ac:dyDescent="0.25">
      <c r="A289" t="s">
        <v>390</v>
      </c>
      <c r="B289" t="s">
        <v>2</v>
      </c>
      <c r="C289" t="s">
        <v>390</v>
      </c>
      <c r="D289">
        <v>29200</v>
      </c>
      <c r="E289" t="s">
        <v>672</v>
      </c>
      <c r="F289" t="s">
        <v>117</v>
      </c>
      <c r="G289" t="s">
        <v>670</v>
      </c>
      <c r="H289" t="s">
        <v>670</v>
      </c>
      <c r="I289">
        <v>4.1599999999999998E-2</v>
      </c>
      <c r="J289">
        <v>2.1700000000000001E-2</v>
      </c>
      <c r="K289">
        <v>8.1100000000000005E-2</v>
      </c>
      <c r="L289">
        <v>0.1009</v>
      </c>
      <c r="M289">
        <v>6.1499999999999999E-2</v>
      </c>
      <c r="N289">
        <v>8.4900000000000003E-2</v>
      </c>
      <c r="O289">
        <v>6.9599999999999995E-2</v>
      </c>
      <c r="P289">
        <v>4.2999999999999997E-2</v>
      </c>
      <c r="Q289">
        <v>5.3900000000000003E-2</v>
      </c>
      <c r="R289">
        <v>4.2200000000000001E-2</v>
      </c>
      <c r="S289">
        <v>3.1800000000000002E-2</v>
      </c>
      <c r="T289">
        <v>4.2599999999999999E-2</v>
      </c>
      <c r="U289">
        <v>4.7600000000000003E-2</v>
      </c>
      <c r="V289">
        <v>3.7699999999999997E-2</v>
      </c>
      <c r="W289">
        <v>3.8100000000000002E-2</v>
      </c>
      <c r="X289">
        <v>2.4E-2</v>
      </c>
      <c r="Y289">
        <v>1.2500000000000001E-2</v>
      </c>
      <c r="Z289">
        <v>2.18E-2</v>
      </c>
      <c r="AA289">
        <v>2.06E-2</v>
      </c>
      <c r="AB289">
        <v>1.23E-2</v>
      </c>
      <c r="AC289">
        <v>1.8700000000000001E-2</v>
      </c>
      <c r="AD289">
        <v>4.36E-2</v>
      </c>
      <c r="AE289">
        <v>8.1299999999999997E-2</v>
      </c>
      <c r="AF289">
        <v>0.12139999999999999</v>
      </c>
      <c r="AG289">
        <v>0.12379999999999999</v>
      </c>
      <c r="AH289">
        <v>0.13289999999999999</v>
      </c>
      <c r="AI289">
        <v>0.15609999999999999</v>
      </c>
      <c r="AJ289">
        <v>0.15409999999999999</v>
      </c>
      <c r="AK289">
        <v>0.1258</v>
      </c>
      <c r="AL289">
        <v>9.3899999999999997E-2</v>
      </c>
      <c r="AM289">
        <v>0.1009</v>
      </c>
      <c r="AN289">
        <v>8.5400000000000004E-2</v>
      </c>
      <c r="AO289">
        <v>0.107</v>
      </c>
      <c r="AP289">
        <v>0.1008</v>
      </c>
      <c r="AQ289">
        <v>6.4000000000000001E-2</v>
      </c>
      <c r="AR289">
        <v>6.3500000000000001E-2</v>
      </c>
      <c r="AS289">
        <v>5.0900000000000001E-2</v>
      </c>
      <c r="AT289">
        <v>4.9700000000000001E-2</v>
      </c>
      <c r="AU289">
        <v>-6.7000000000000002E-3</v>
      </c>
      <c r="AV289">
        <v>-1.4999999999999999E-2</v>
      </c>
    </row>
    <row r="290" spans="1:48" x14ac:dyDescent="0.25">
      <c r="A290" t="s">
        <v>391</v>
      </c>
      <c r="B290" t="s">
        <v>2</v>
      </c>
      <c r="C290" t="s">
        <v>391</v>
      </c>
      <c r="D290">
        <v>29300</v>
      </c>
      <c r="E290" t="s">
        <v>672</v>
      </c>
      <c r="F290" t="s">
        <v>117</v>
      </c>
      <c r="G290" t="s">
        <v>670</v>
      </c>
      <c r="H290" t="s">
        <v>670</v>
      </c>
      <c r="I290">
        <v>8.2900000000000001E-2</v>
      </c>
      <c r="J290">
        <v>0.106</v>
      </c>
      <c r="K290">
        <v>5.6099999999999997E-2</v>
      </c>
      <c r="L290">
        <v>3.0700000000000002E-2</v>
      </c>
      <c r="M290">
        <v>3.4799999999999998E-2</v>
      </c>
      <c r="N290">
        <v>-2.5100000000000001E-2</v>
      </c>
      <c r="O290">
        <v>-5.1999999999999998E-3</v>
      </c>
      <c r="P290">
        <v>3.2000000000000002E-3</v>
      </c>
      <c r="Q290">
        <v>-2.3599999999999999E-2</v>
      </c>
      <c r="R290">
        <v>-2.0999999999999999E-3</v>
      </c>
      <c r="S290">
        <v>-1.04E-2</v>
      </c>
      <c r="T290">
        <v>1.23E-2</v>
      </c>
      <c r="U290">
        <v>2.1999999999999999E-2</v>
      </c>
      <c r="V290">
        <v>3.9100000000000003E-2</v>
      </c>
      <c r="W290">
        <v>6.3899999999999998E-2</v>
      </c>
      <c r="X290">
        <v>4.5900000000000003E-2</v>
      </c>
      <c r="Y290">
        <v>6.0699999999999997E-2</v>
      </c>
      <c r="Z290">
        <v>5.2900000000000003E-2</v>
      </c>
      <c r="AA290">
        <v>8.1299999999999997E-2</v>
      </c>
      <c r="AB290">
        <v>9.8500000000000004E-2</v>
      </c>
      <c r="AC290">
        <v>0.1265</v>
      </c>
      <c r="AD290">
        <v>0.20660000000000001</v>
      </c>
      <c r="AE290">
        <v>0.248</v>
      </c>
      <c r="AF290">
        <v>0.23169999999999999</v>
      </c>
      <c r="AG290">
        <v>0.23519999999999999</v>
      </c>
      <c r="AH290">
        <v>0.2059</v>
      </c>
      <c r="AI290">
        <v>0.15409999999999999</v>
      </c>
      <c r="AJ290">
        <v>0.14369999999999999</v>
      </c>
      <c r="AK290">
        <v>0.12859999999999999</v>
      </c>
      <c r="AL290">
        <v>5.7099999999999998E-2</v>
      </c>
      <c r="AM290">
        <v>1.38E-2</v>
      </c>
      <c r="AN290">
        <v>-9.1999999999999998E-3</v>
      </c>
      <c r="AO290">
        <v>-2.5000000000000001E-3</v>
      </c>
      <c r="AP290">
        <v>2.0999999999999999E-3</v>
      </c>
      <c r="AQ290">
        <v>-1.1000000000000001E-3</v>
      </c>
      <c r="AR290">
        <v>-1.37E-2</v>
      </c>
      <c r="AS290">
        <v>-3.49E-2</v>
      </c>
      <c r="AT290">
        <v>-6.8099999999999994E-2</v>
      </c>
      <c r="AU290">
        <v>-8.7900000000000006E-2</v>
      </c>
      <c r="AV290">
        <v>-5.2499999999999998E-2</v>
      </c>
    </row>
    <row r="291" spans="1:48" x14ac:dyDescent="0.25">
      <c r="A291" t="s">
        <v>392</v>
      </c>
      <c r="B291" t="s">
        <v>2</v>
      </c>
      <c r="C291" t="s">
        <v>392</v>
      </c>
      <c r="D291">
        <v>29340</v>
      </c>
      <c r="E291" t="s">
        <v>672</v>
      </c>
      <c r="F291" t="s">
        <v>117</v>
      </c>
      <c r="G291" t="s">
        <v>670</v>
      </c>
      <c r="H291" t="s">
        <v>670</v>
      </c>
      <c r="I291">
        <v>-8.0000000000000002E-3</v>
      </c>
      <c r="J291">
        <v>-1.1999999999999999E-3</v>
      </c>
      <c r="K291">
        <v>-1.9199999999999998E-2</v>
      </c>
      <c r="L291">
        <v>4.8599999999999997E-2</v>
      </c>
      <c r="M291">
        <v>3.3599999999999998E-2</v>
      </c>
      <c r="N291">
        <v>0.1119</v>
      </c>
      <c r="O291">
        <v>0.17580000000000001</v>
      </c>
      <c r="P291">
        <v>9.8699999999999996E-2</v>
      </c>
      <c r="Q291">
        <v>5.5300000000000002E-2</v>
      </c>
      <c r="R291">
        <v>3.7999999999999999E-2</v>
      </c>
      <c r="S291">
        <v>-3.0200000000000001E-2</v>
      </c>
      <c r="T291">
        <v>-3.9899999999999998E-2</v>
      </c>
      <c r="U291">
        <v>-2.01E-2</v>
      </c>
      <c r="V291">
        <v>-3.3500000000000002E-2</v>
      </c>
      <c r="W291">
        <v>-4.7199999999999999E-2</v>
      </c>
      <c r="X291">
        <v>-8.1500000000000003E-2</v>
      </c>
      <c r="Y291">
        <v>-7.6600000000000001E-2</v>
      </c>
      <c r="Z291">
        <v>-8.8999999999999996E-2</v>
      </c>
      <c r="AA291">
        <v>-8.2699999999999996E-2</v>
      </c>
      <c r="AB291">
        <v>4.0800000000000003E-2</v>
      </c>
      <c r="AC291">
        <v>0.19350000000000001</v>
      </c>
      <c r="AD291">
        <v>0.30520000000000003</v>
      </c>
      <c r="AE291">
        <v>0.29530000000000001</v>
      </c>
      <c r="AF291">
        <v>0.23499999999999999</v>
      </c>
      <c r="AG291">
        <v>0.1008</v>
      </c>
      <c r="AH291">
        <v>-6.5100000000000005E-2</v>
      </c>
      <c r="AI291">
        <v>-0.1008</v>
      </c>
      <c r="AJ291">
        <v>-0.15770000000000001</v>
      </c>
      <c r="AK291">
        <v>-0.1595</v>
      </c>
      <c r="AL291">
        <v>-6.9699999999999998E-2</v>
      </c>
      <c r="AM291">
        <v>-2.1700000000000001E-2</v>
      </c>
      <c r="AN291">
        <v>3.2099999999999997E-2</v>
      </c>
      <c r="AO291">
        <v>2.3599999999999999E-2</v>
      </c>
      <c r="AP291">
        <v>-1.0200000000000001E-2</v>
      </c>
      <c r="AQ291">
        <v>-2.8E-3</v>
      </c>
      <c r="AR291">
        <v>-8.2000000000000007E-3</v>
      </c>
      <c r="AS291">
        <v>3.1699999999999999E-2</v>
      </c>
      <c r="AT291">
        <v>8.2400000000000001E-2</v>
      </c>
      <c r="AU291">
        <v>0.1108</v>
      </c>
      <c r="AV291">
        <v>0.14810000000000001</v>
      </c>
    </row>
    <row r="292" spans="1:48" x14ac:dyDescent="0.25">
      <c r="A292" t="s">
        <v>393</v>
      </c>
      <c r="B292" t="s">
        <v>2</v>
      </c>
      <c r="C292" t="s">
        <v>393</v>
      </c>
      <c r="D292">
        <v>29380</v>
      </c>
      <c r="E292" t="s">
        <v>672</v>
      </c>
      <c r="F292" t="s">
        <v>117</v>
      </c>
      <c r="G292" t="s">
        <v>670</v>
      </c>
      <c r="H292" t="s">
        <v>670</v>
      </c>
      <c r="I292" t="s">
        <v>673</v>
      </c>
      <c r="J292" t="s">
        <v>673</v>
      </c>
      <c r="K292" t="s">
        <v>673</v>
      </c>
      <c r="L292" t="s">
        <v>673</v>
      </c>
      <c r="M292" t="s">
        <v>673</v>
      </c>
      <c r="N292" t="s">
        <v>673</v>
      </c>
      <c r="O292" t="s">
        <v>673</v>
      </c>
      <c r="P292" t="s">
        <v>673</v>
      </c>
      <c r="Q292" t="s">
        <v>673</v>
      </c>
      <c r="R292" t="s">
        <v>673</v>
      </c>
      <c r="S292" t="s">
        <v>673</v>
      </c>
      <c r="T292" t="s">
        <v>673</v>
      </c>
      <c r="U292" t="s">
        <v>673</v>
      </c>
      <c r="V292" t="s">
        <v>673</v>
      </c>
      <c r="W292" t="s">
        <v>673</v>
      </c>
      <c r="X292" t="s">
        <v>673</v>
      </c>
      <c r="Y292" t="s">
        <v>673</v>
      </c>
      <c r="Z292" t="s">
        <v>673</v>
      </c>
      <c r="AA292" t="s">
        <v>673</v>
      </c>
      <c r="AB292" t="s">
        <v>673</v>
      </c>
      <c r="AC292" t="s">
        <v>673</v>
      </c>
      <c r="AD292" t="s">
        <v>673</v>
      </c>
      <c r="AE292" t="s">
        <v>673</v>
      </c>
      <c r="AF292" t="s">
        <v>673</v>
      </c>
      <c r="AG292" t="s">
        <v>673</v>
      </c>
      <c r="AH292" t="s">
        <v>673</v>
      </c>
      <c r="AI292" t="s">
        <v>673</v>
      </c>
      <c r="AJ292" t="s">
        <v>673</v>
      </c>
      <c r="AK292" t="s">
        <v>673</v>
      </c>
      <c r="AL292" t="s">
        <v>673</v>
      </c>
      <c r="AM292" t="s">
        <v>673</v>
      </c>
      <c r="AN292" t="s">
        <v>673</v>
      </c>
      <c r="AO292" t="s">
        <v>673</v>
      </c>
      <c r="AP292" t="s">
        <v>673</v>
      </c>
      <c r="AQ292" t="s">
        <v>673</v>
      </c>
      <c r="AR292" t="s">
        <v>673</v>
      </c>
      <c r="AS292" t="s">
        <v>673</v>
      </c>
      <c r="AT292" t="s">
        <v>673</v>
      </c>
      <c r="AU292" t="s">
        <v>673</v>
      </c>
      <c r="AV292" t="s">
        <v>673</v>
      </c>
    </row>
    <row r="293" spans="1:48" x14ac:dyDescent="0.25">
      <c r="A293" t="s">
        <v>394</v>
      </c>
      <c r="B293" t="s">
        <v>2</v>
      </c>
      <c r="C293" t="s">
        <v>394</v>
      </c>
      <c r="D293">
        <v>29420</v>
      </c>
      <c r="E293" t="s">
        <v>672</v>
      </c>
      <c r="F293" t="s">
        <v>117</v>
      </c>
      <c r="G293" t="s">
        <v>670</v>
      </c>
      <c r="H293" t="s">
        <v>670</v>
      </c>
      <c r="I293">
        <v>0.1391</v>
      </c>
      <c r="J293">
        <v>0.20330000000000001</v>
      </c>
      <c r="K293">
        <v>6.3899999999999998E-2</v>
      </c>
      <c r="L293">
        <v>-4.8999999999999998E-3</v>
      </c>
      <c r="M293">
        <v>-3.5200000000000002E-2</v>
      </c>
      <c r="N293">
        <v>-7.8200000000000006E-2</v>
      </c>
      <c r="O293">
        <v>5.0200000000000002E-2</v>
      </c>
      <c r="P293">
        <v>6.4999999999999997E-3</v>
      </c>
      <c r="Q293">
        <v>-1.5900000000000001E-2</v>
      </c>
      <c r="R293">
        <v>4.5999999999999999E-3</v>
      </c>
      <c r="S293">
        <v>1.9099999999999999E-2</v>
      </c>
      <c r="T293">
        <v>4.87E-2</v>
      </c>
      <c r="U293">
        <v>6.3200000000000006E-2</v>
      </c>
      <c r="V293">
        <v>5.9700000000000003E-2</v>
      </c>
      <c r="W293">
        <v>9.1300000000000006E-2</v>
      </c>
      <c r="X293">
        <v>0.1012</v>
      </c>
      <c r="Y293">
        <v>9.3799999999999994E-2</v>
      </c>
      <c r="Z293">
        <v>0.1366</v>
      </c>
      <c r="AA293">
        <v>5.6899999999999999E-2</v>
      </c>
      <c r="AB293">
        <v>5.1499999999999997E-2</v>
      </c>
      <c r="AC293">
        <v>5.0599999999999999E-2</v>
      </c>
      <c r="AD293">
        <v>5.0500000000000003E-2</v>
      </c>
      <c r="AE293">
        <v>0.16120000000000001</v>
      </c>
      <c r="AF293">
        <v>0.21759999999999999</v>
      </c>
      <c r="AG293">
        <v>0.22520000000000001</v>
      </c>
      <c r="AH293">
        <v>0.1903</v>
      </c>
      <c r="AI293">
        <v>0.1356</v>
      </c>
      <c r="AJ293">
        <v>0.10580000000000001</v>
      </c>
      <c r="AK293">
        <v>0.1056</v>
      </c>
      <c r="AL293">
        <v>8.14E-2</v>
      </c>
      <c r="AM293">
        <v>5.8599999999999999E-2</v>
      </c>
      <c r="AN293">
        <v>2.4E-2</v>
      </c>
      <c r="AO293">
        <v>2.1600000000000001E-2</v>
      </c>
      <c r="AP293">
        <v>2.1999999999999999E-2</v>
      </c>
      <c r="AQ293">
        <v>3.27E-2</v>
      </c>
      <c r="AR293">
        <v>4.5199999999999997E-2</v>
      </c>
      <c r="AS293">
        <v>2.9100000000000001E-2</v>
      </c>
      <c r="AT293">
        <v>2.4500000000000001E-2</v>
      </c>
      <c r="AU293">
        <v>1.54E-2</v>
      </c>
      <c r="AV293">
        <v>1.1000000000000001E-3</v>
      </c>
    </row>
    <row r="294" spans="1:48" x14ac:dyDescent="0.25">
      <c r="A294" t="s">
        <v>395</v>
      </c>
      <c r="B294" t="s">
        <v>2</v>
      </c>
      <c r="C294" t="s">
        <v>395</v>
      </c>
      <c r="D294">
        <v>29460</v>
      </c>
      <c r="E294" t="s">
        <v>672</v>
      </c>
      <c r="F294" t="s">
        <v>117</v>
      </c>
      <c r="G294" t="s">
        <v>670</v>
      </c>
      <c r="H294" t="s">
        <v>670</v>
      </c>
      <c r="I294">
        <v>4.6699999999999998E-2</v>
      </c>
      <c r="J294">
        <v>3.9300000000000002E-2</v>
      </c>
      <c r="K294">
        <v>2.7300000000000001E-2</v>
      </c>
      <c r="L294">
        <v>2.8799999999999999E-2</v>
      </c>
      <c r="M294">
        <v>2.23E-2</v>
      </c>
      <c r="N294">
        <v>3.1E-2</v>
      </c>
      <c r="O294">
        <v>4.3900000000000002E-2</v>
      </c>
      <c r="P294">
        <v>6.0400000000000002E-2</v>
      </c>
      <c r="Q294">
        <v>8.9800000000000005E-2</v>
      </c>
      <c r="R294">
        <v>8.4900000000000003E-2</v>
      </c>
      <c r="S294">
        <v>9.1899999999999996E-2</v>
      </c>
      <c r="T294">
        <v>0.109</v>
      </c>
      <c r="U294">
        <v>9.06E-2</v>
      </c>
      <c r="V294">
        <v>7.9799999999999996E-2</v>
      </c>
      <c r="W294">
        <v>5.2900000000000003E-2</v>
      </c>
      <c r="X294">
        <v>2.3699999999999999E-2</v>
      </c>
      <c r="Y294">
        <v>3.4099999999999998E-2</v>
      </c>
      <c r="Z294">
        <v>7.6E-3</v>
      </c>
      <c r="AA294">
        <v>1.84E-2</v>
      </c>
      <c r="AB294">
        <v>3.0200000000000001E-2</v>
      </c>
      <c r="AC294">
        <v>3.9600000000000003E-2</v>
      </c>
      <c r="AD294">
        <v>0.1085</v>
      </c>
      <c r="AE294">
        <v>0.1716</v>
      </c>
      <c r="AF294">
        <v>0.2276</v>
      </c>
      <c r="AG294">
        <v>0.2591</v>
      </c>
      <c r="AH294">
        <v>0.248</v>
      </c>
      <c r="AI294">
        <v>0.188</v>
      </c>
      <c r="AJ294">
        <v>0.108</v>
      </c>
      <c r="AK294">
        <v>6.7000000000000004E-2</v>
      </c>
      <c r="AL294">
        <v>3.7600000000000001E-2</v>
      </c>
      <c r="AM294">
        <v>7.3000000000000001E-3</v>
      </c>
      <c r="AN294">
        <v>7.3000000000000001E-3</v>
      </c>
      <c r="AO294">
        <v>-1.3100000000000001E-2</v>
      </c>
      <c r="AP294">
        <v>-3.7100000000000001E-2</v>
      </c>
      <c r="AQ294">
        <v>-2.4E-2</v>
      </c>
      <c r="AR294">
        <v>-2.6599999999999999E-2</v>
      </c>
      <c r="AS294">
        <v>-5.7999999999999996E-3</v>
      </c>
      <c r="AT294">
        <v>1.6500000000000001E-2</v>
      </c>
      <c r="AU294">
        <v>1.72E-2</v>
      </c>
      <c r="AV294">
        <v>3.2899999999999999E-2</v>
      </c>
    </row>
    <row r="295" spans="1:48" x14ac:dyDescent="0.25">
      <c r="A295" t="s">
        <v>396</v>
      </c>
      <c r="B295" t="s">
        <v>2</v>
      </c>
      <c r="C295" t="s">
        <v>396</v>
      </c>
      <c r="D295">
        <v>29470</v>
      </c>
      <c r="E295" t="s">
        <v>672</v>
      </c>
      <c r="F295" t="s">
        <v>117</v>
      </c>
      <c r="G295" t="s">
        <v>670</v>
      </c>
      <c r="H295" t="s">
        <v>670</v>
      </c>
      <c r="I295" t="s">
        <v>673</v>
      </c>
      <c r="J295" t="s">
        <v>673</v>
      </c>
      <c r="K295" t="s">
        <v>673</v>
      </c>
      <c r="L295" t="s">
        <v>673</v>
      </c>
      <c r="M295" t="s">
        <v>673</v>
      </c>
      <c r="N295" t="s">
        <v>673</v>
      </c>
      <c r="O295" t="s">
        <v>673</v>
      </c>
      <c r="P295" t="s">
        <v>673</v>
      </c>
      <c r="Q295" t="s">
        <v>673</v>
      </c>
      <c r="R295" t="s">
        <v>673</v>
      </c>
      <c r="S295" t="s">
        <v>673</v>
      </c>
      <c r="T295" t="s">
        <v>673</v>
      </c>
      <c r="U295" t="s">
        <v>673</v>
      </c>
      <c r="V295" t="s">
        <v>673</v>
      </c>
      <c r="W295" t="s">
        <v>673</v>
      </c>
      <c r="X295" t="s">
        <v>673</v>
      </c>
      <c r="Y295" t="s">
        <v>673</v>
      </c>
      <c r="Z295" t="s">
        <v>673</v>
      </c>
      <c r="AA295" t="s">
        <v>673</v>
      </c>
      <c r="AB295" t="s">
        <v>673</v>
      </c>
      <c r="AC295" t="s">
        <v>673</v>
      </c>
      <c r="AD295" t="s">
        <v>673</v>
      </c>
      <c r="AE295" t="s">
        <v>673</v>
      </c>
      <c r="AF295" t="s">
        <v>673</v>
      </c>
      <c r="AG295" t="s">
        <v>673</v>
      </c>
      <c r="AH295" t="s">
        <v>673</v>
      </c>
      <c r="AI295" t="s">
        <v>673</v>
      </c>
      <c r="AJ295" t="s">
        <v>673</v>
      </c>
      <c r="AK295" t="s">
        <v>673</v>
      </c>
      <c r="AL295" t="s">
        <v>673</v>
      </c>
      <c r="AM295" t="s">
        <v>673</v>
      </c>
      <c r="AN295" t="s">
        <v>673</v>
      </c>
      <c r="AO295" t="s">
        <v>673</v>
      </c>
      <c r="AP295" t="s">
        <v>673</v>
      </c>
      <c r="AQ295" t="s">
        <v>673</v>
      </c>
      <c r="AR295" t="s">
        <v>673</v>
      </c>
      <c r="AS295" t="s">
        <v>673</v>
      </c>
      <c r="AT295" t="s">
        <v>673</v>
      </c>
      <c r="AU295" t="s">
        <v>673</v>
      </c>
      <c r="AV295" t="s">
        <v>673</v>
      </c>
    </row>
    <row r="296" spans="1:48" x14ac:dyDescent="0.25">
      <c r="A296" t="s">
        <v>397</v>
      </c>
      <c r="B296" t="s">
        <v>2</v>
      </c>
      <c r="C296" t="s">
        <v>397</v>
      </c>
      <c r="D296">
        <v>29540</v>
      </c>
      <c r="E296" t="s">
        <v>672</v>
      </c>
      <c r="F296" t="s">
        <v>117</v>
      </c>
      <c r="G296" t="s">
        <v>670</v>
      </c>
      <c r="H296" t="s">
        <v>670</v>
      </c>
      <c r="I296">
        <v>7.0300000000000001E-2</v>
      </c>
      <c r="J296">
        <v>6.8199999999999997E-2</v>
      </c>
      <c r="K296">
        <v>3.27E-2</v>
      </c>
      <c r="L296">
        <v>2.6800000000000001E-2</v>
      </c>
      <c r="M296">
        <v>1.7299999999999999E-2</v>
      </c>
      <c r="N296">
        <v>4.41E-2</v>
      </c>
      <c r="O296">
        <v>5.8700000000000002E-2</v>
      </c>
      <c r="P296">
        <v>5.7700000000000001E-2</v>
      </c>
      <c r="Q296">
        <v>0.04</v>
      </c>
      <c r="R296">
        <v>1.3299999999999999E-2</v>
      </c>
      <c r="S296">
        <v>1.47E-2</v>
      </c>
      <c r="T296">
        <v>2.5000000000000001E-2</v>
      </c>
      <c r="U296">
        <v>3.6999999999999998E-2</v>
      </c>
      <c r="V296">
        <v>4.4900000000000002E-2</v>
      </c>
      <c r="W296">
        <v>2.6599999999999999E-2</v>
      </c>
      <c r="X296">
        <v>1.95E-2</v>
      </c>
      <c r="Y296">
        <v>1.18E-2</v>
      </c>
      <c r="Z296">
        <v>1.03E-2</v>
      </c>
      <c r="AA296">
        <v>3.2800000000000003E-2</v>
      </c>
      <c r="AB296">
        <v>4.6399999999999997E-2</v>
      </c>
      <c r="AC296">
        <v>5.4300000000000001E-2</v>
      </c>
      <c r="AD296">
        <v>6.0400000000000002E-2</v>
      </c>
      <c r="AE296">
        <v>5.6800000000000003E-2</v>
      </c>
      <c r="AF296">
        <v>6.3E-2</v>
      </c>
      <c r="AG296">
        <v>9.0999999999999998E-2</v>
      </c>
      <c r="AH296">
        <v>9.3600000000000003E-2</v>
      </c>
      <c r="AI296">
        <v>0.1045</v>
      </c>
      <c r="AJ296">
        <v>9.6000000000000002E-2</v>
      </c>
      <c r="AK296">
        <v>7.4399999999999994E-2</v>
      </c>
      <c r="AL296">
        <v>7.1499999999999994E-2</v>
      </c>
      <c r="AM296">
        <v>6.3899999999999998E-2</v>
      </c>
      <c r="AN296">
        <v>6.7000000000000004E-2</v>
      </c>
      <c r="AO296">
        <v>6.8599999999999994E-2</v>
      </c>
      <c r="AP296">
        <v>6.5299999999999997E-2</v>
      </c>
      <c r="AQ296">
        <v>7.3700000000000002E-2</v>
      </c>
      <c r="AR296">
        <v>6.13E-2</v>
      </c>
      <c r="AS296">
        <v>4.0099999999999997E-2</v>
      </c>
      <c r="AT296">
        <v>3.6200000000000003E-2</v>
      </c>
      <c r="AU296">
        <v>2.4500000000000001E-2</v>
      </c>
      <c r="AV296">
        <v>3.44E-2</v>
      </c>
    </row>
    <row r="297" spans="1:48" x14ac:dyDescent="0.25">
      <c r="A297" t="s">
        <v>398</v>
      </c>
      <c r="B297" t="s">
        <v>2</v>
      </c>
      <c r="C297" t="s">
        <v>398</v>
      </c>
      <c r="D297">
        <v>29620</v>
      </c>
      <c r="E297" t="s">
        <v>672</v>
      </c>
      <c r="F297" t="s">
        <v>117</v>
      </c>
      <c r="G297" t="s">
        <v>670</v>
      </c>
      <c r="H297" t="s">
        <v>670</v>
      </c>
      <c r="I297">
        <v>3.5999999999999997E-2</v>
      </c>
      <c r="J297">
        <v>2.9600000000000001E-2</v>
      </c>
      <c r="K297">
        <v>0.03</v>
      </c>
      <c r="L297">
        <v>2.9399999999999999E-2</v>
      </c>
      <c r="M297">
        <v>3.9800000000000002E-2</v>
      </c>
      <c r="N297">
        <v>5.0099999999999999E-2</v>
      </c>
      <c r="O297">
        <v>2.86E-2</v>
      </c>
      <c r="P297">
        <v>4.58E-2</v>
      </c>
      <c r="Q297">
        <v>3.78E-2</v>
      </c>
      <c r="R297">
        <v>2.23E-2</v>
      </c>
      <c r="S297">
        <v>2.5899999999999999E-2</v>
      </c>
      <c r="T297">
        <v>2.7E-2</v>
      </c>
      <c r="U297">
        <v>2.23E-2</v>
      </c>
      <c r="V297">
        <v>4.7899999999999998E-2</v>
      </c>
      <c r="W297">
        <v>6.2899999999999998E-2</v>
      </c>
      <c r="X297">
        <v>4.1500000000000002E-2</v>
      </c>
      <c r="Y297">
        <v>3.8699999999999998E-2</v>
      </c>
      <c r="Z297">
        <v>7.4000000000000003E-3</v>
      </c>
      <c r="AA297">
        <v>2.07E-2</v>
      </c>
      <c r="AB297">
        <v>2.64E-2</v>
      </c>
      <c r="AC297">
        <v>2.87E-2</v>
      </c>
      <c r="AD297">
        <v>6.3500000000000001E-2</v>
      </c>
      <c r="AE297">
        <v>8.3400000000000002E-2</v>
      </c>
      <c r="AF297">
        <v>0.1056</v>
      </c>
      <c r="AG297">
        <v>0.1201</v>
      </c>
      <c r="AH297">
        <v>0.1193</v>
      </c>
      <c r="AI297">
        <v>0.1123</v>
      </c>
      <c r="AJ297">
        <v>8.4699999999999998E-2</v>
      </c>
      <c r="AK297">
        <v>5.9299999999999999E-2</v>
      </c>
      <c r="AL297">
        <v>5.5599999999999997E-2</v>
      </c>
      <c r="AM297">
        <v>4.0500000000000001E-2</v>
      </c>
      <c r="AN297">
        <v>4.3400000000000001E-2</v>
      </c>
      <c r="AO297">
        <v>4.7699999999999999E-2</v>
      </c>
      <c r="AP297">
        <v>3.8100000000000002E-2</v>
      </c>
      <c r="AQ297">
        <v>5.91E-2</v>
      </c>
      <c r="AR297">
        <v>5.04E-2</v>
      </c>
      <c r="AS297">
        <v>5.0900000000000001E-2</v>
      </c>
      <c r="AT297">
        <v>6.4600000000000005E-2</v>
      </c>
      <c r="AU297">
        <v>4.3799999999999999E-2</v>
      </c>
      <c r="AV297">
        <v>4.3799999999999999E-2</v>
      </c>
    </row>
    <row r="298" spans="1:48" x14ac:dyDescent="0.25">
      <c r="A298" t="s">
        <v>399</v>
      </c>
      <c r="B298" t="s">
        <v>2</v>
      </c>
      <c r="C298" t="s">
        <v>399</v>
      </c>
      <c r="D298">
        <v>29700</v>
      </c>
      <c r="E298" t="s">
        <v>672</v>
      </c>
      <c r="F298" t="s">
        <v>117</v>
      </c>
      <c r="G298" t="s">
        <v>670</v>
      </c>
      <c r="H298" t="s">
        <v>670</v>
      </c>
      <c r="I298">
        <v>1.5E-3</v>
      </c>
      <c r="J298">
        <v>-2.63E-2</v>
      </c>
      <c r="K298">
        <v>-2.7099999999999999E-2</v>
      </c>
      <c r="L298">
        <v>3.5799999999999998E-2</v>
      </c>
      <c r="M298">
        <v>3.8699999999999998E-2</v>
      </c>
      <c r="N298">
        <v>5.0700000000000002E-2</v>
      </c>
      <c r="O298">
        <v>7.3300000000000004E-2</v>
      </c>
      <c r="P298">
        <v>1.4500000000000001E-2</v>
      </c>
      <c r="Q298">
        <v>-4.4999999999999997E-3</v>
      </c>
      <c r="R298">
        <v>1.2200000000000001E-2</v>
      </c>
      <c r="S298">
        <v>2.0199999999999999E-2</v>
      </c>
      <c r="T298">
        <v>4.8800000000000003E-2</v>
      </c>
      <c r="U298">
        <v>3.6600000000000001E-2</v>
      </c>
      <c r="V298">
        <v>2.9899999999999999E-2</v>
      </c>
      <c r="W298">
        <v>1.5800000000000002E-2</v>
      </c>
      <c r="X298">
        <v>3.3399999999999999E-2</v>
      </c>
      <c r="Y298">
        <v>1.2800000000000001E-2</v>
      </c>
      <c r="Z298">
        <v>-1.29E-2</v>
      </c>
      <c r="AA298">
        <v>-2.5000000000000001E-2</v>
      </c>
      <c r="AB298">
        <v>-5.45E-2</v>
      </c>
      <c r="AC298">
        <v>-6.0000000000000001E-3</v>
      </c>
      <c r="AD298">
        <v>1.0500000000000001E-2</v>
      </c>
      <c r="AE298">
        <v>7.7100000000000002E-2</v>
      </c>
      <c r="AF298">
        <v>0.14460000000000001</v>
      </c>
      <c r="AG298">
        <v>0.14660000000000001</v>
      </c>
      <c r="AH298">
        <v>0.1928</v>
      </c>
      <c r="AI298">
        <v>0.1174</v>
      </c>
      <c r="AJ298">
        <v>7.3099999999999998E-2</v>
      </c>
      <c r="AK298">
        <v>6.8500000000000005E-2</v>
      </c>
      <c r="AL298">
        <v>1.3599999999999999E-2</v>
      </c>
      <c r="AM298">
        <v>6.8199999999999997E-2</v>
      </c>
      <c r="AN298">
        <v>4.7699999999999999E-2</v>
      </c>
      <c r="AO298">
        <v>4.8500000000000001E-2</v>
      </c>
      <c r="AP298">
        <v>7.9600000000000004E-2</v>
      </c>
      <c r="AQ298">
        <v>2.6200000000000001E-2</v>
      </c>
      <c r="AR298">
        <v>3.3099999999999997E-2</v>
      </c>
      <c r="AS298">
        <v>2.4500000000000001E-2</v>
      </c>
      <c r="AT298">
        <v>3.5499999999999997E-2</v>
      </c>
      <c r="AU298">
        <v>1.89E-2</v>
      </c>
      <c r="AV298">
        <v>-1.77E-2</v>
      </c>
    </row>
    <row r="299" spans="1:48" x14ac:dyDescent="0.25">
      <c r="A299" t="s">
        <v>400</v>
      </c>
      <c r="B299" t="s">
        <v>2</v>
      </c>
      <c r="C299" t="s">
        <v>400</v>
      </c>
      <c r="D299">
        <v>29740</v>
      </c>
      <c r="E299" t="s">
        <v>672</v>
      </c>
      <c r="F299" t="s">
        <v>117</v>
      </c>
      <c r="G299" t="s">
        <v>670</v>
      </c>
      <c r="H299" t="s">
        <v>670</v>
      </c>
      <c r="I299">
        <v>4.0899999999999999E-2</v>
      </c>
      <c r="J299">
        <v>5.5E-2</v>
      </c>
      <c r="K299">
        <v>2.24E-2</v>
      </c>
      <c r="L299">
        <v>-3.6600000000000001E-2</v>
      </c>
      <c r="M299">
        <v>-5.3100000000000001E-2</v>
      </c>
      <c r="N299">
        <v>-6.54E-2</v>
      </c>
      <c r="O299">
        <v>-2E-3</v>
      </c>
      <c r="P299">
        <v>8.0000000000000002E-3</v>
      </c>
      <c r="Q299">
        <v>1.3599999999999999E-2</v>
      </c>
      <c r="R299">
        <v>2.3400000000000001E-2</v>
      </c>
      <c r="S299">
        <v>3.5200000000000002E-2</v>
      </c>
      <c r="T299">
        <v>1.9400000000000001E-2</v>
      </c>
      <c r="U299">
        <v>2.07E-2</v>
      </c>
      <c r="V299">
        <v>4.65E-2</v>
      </c>
      <c r="W299">
        <v>0.04</v>
      </c>
      <c r="X299">
        <v>4.5400000000000003E-2</v>
      </c>
      <c r="Y299">
        <v>4.6800000000000001E-2</v>
      </c>
      <c r="Z299">
        <v>1.2200000000000001E-2</v>
      </c>
      <c r="AA299">
        <v>6.9400000000000003E-2</v>
      </c>
      <c r="AB299">
        <v>9.7600000000000006E-2</v>
      </c>
      <c r="AC299">
        <v>0.1076</v>
      </c>
      <c r="AD299">
        <v>0.12180000000000001</v>
      </c>
      <c r="AE299">
        <v>0.10970000000000001</v>
      </c>
      <c r="AF299">
        <v>0.115</v>
      </c>
      <c r="AG299">
        <v>0.17399999999999999</v>
      </c>
      <c r="AH299">
        <v>0.2412</v>
      </c>
      <c r="AI299">
        <v>0.1958</v>
      </c>
      <c r="AJ299">
        <v>0.24390000000000001</v>
      </c>
      <c r="AK299">
        <v>0.1671</v>
      </c>
      <c r="AL299">
        <v>0.13900000000000001</v>
      </c>
      <c r="AM299">
        <v>0.13619999999999999</v>
      </c>
      <c r="AN299">
        <v>4.0800000000000003E-2</v>
      </c>
      <c r="AO299">
        <v>3.7600000000000001E-2</v>
      </c>
      <c r="AP299">
        <v>2.9600000000000001E-2</v>
      </c>
      <c r="AQ299">
        <v>2.69E-2</v>
      </c>
      <c r="AR299">
        <v>3.5700000000000003E-2</v>
      </c>
      <c r="AS299">
        <v>3.5400000000000001E-2</v>
      </c>
      <c r="AT299">
        <v>1.34E-2</v>
      </c>
      <c r="AU299">
        <v>1.4800000000000001E-2</v>
      </c>
      <c r="AV299">
        <v>3.27E-2</v>
      </c>
    </row>
    <row r="300" spans="1:48" x14ac:dyDescent="0.25">
      <c r="A300" t="s">
        <v>28</v>
      </c>
      <c r="B300" t="s">
        <v>2</v>
      </c>
      <c r="C300" t="s">
        <v>28</v>
      </c>
      <c r="D300">
        <v>29820</v>
      </c>
      <c r="E300" t="s">
        <v>672</v>
      </c>
      <c r="F300" t="s">
        <v>117</v>
      </c>
      <c r="G300" t="s">
        <v>670</v>
      </c>
      <c r="H300" t="s">
        <v>670</v>
      </c>
      <c r="I300">
        <v>6.9500000000000006E-2</v>
      </c>
      <c r="J300">
        <v>6.9500000000000006E-2</v>
      </c>
      <c r="K300">
        <v>5.8099999999999999E-2</v>
      </c>
      <c r="L300">
        <v>6.2799999999999995E-2</v>
      </c>
      <c r="M300">
        <v>5.2699999999999997E-2</v>
      </c>
      <c r="N300">
        <v>5.4600000000000003E-2</v>
      </c>
      <c r="O300">
        <v>7.2800000000000004E-2</v>
      </c>
      <c r="P300">
        <v>6.8699999999999997E-2</v>
      </c>
      <c r="Q300">
        <v>7.7100000000000002E-2</v>
      </c>
      <c r="R300">
        <v>7.1300000000000002E-2</v>
      </c>
      <c r="S300">
        <v>8.2900000000000001E-2</v>
      </c>
      <c r="T300">
        <v>9.69E-2</v>
      </c>
      <c r="U300">
        <v>9.7799999999999998E-2</v>
      </c>
      <c r="V300">
        <v>0.10680000000000001</v>
      </c>
      <c r="W300">
        <v>9.0999999999999998E-2</v>
      </c>
      <c r="X300">
        <v>6.9500000000000006E-2</v>
      </c>
      <c r="Y300">
        <v>5.8999999999999997E-2</v>
      </c>
      <c r="Z300">
        <v>1.5E-3</v>
      </c>
      <c r="AA300">
        <v>1.66E-2</v>
      </c>
      <c r="AB300">
        <v>3.6999999999999998E-2</v>
      </c>
      <c r="AC300">
        <v>4.9799999999999997E-2</v>
      </c>
      <c r="AD300">
        <v>0.14130000000000001</v>
      </c>
      <c r="AE300">
        <v>0.21160000000000001</v>
      </c>
      <c r="AF300">
        <v>0.248</v>
      </c>
      <c r="AG300">
        <v>0.25409999999999999</v>
      </c>
      <c r="AH300">
        <v>0.2089</v>
      </c>
      <c r="AI300">
        <v>0.1056</v>
      </c>
      <c r="AJ300">
        <v>2.7699999999999999E-2</v>
      </c>
      <c r="AK300">
        <v>2.9999999999999997E-4</v>
      </c>
      <c r="AL300">
        <v>-2.3900000000000001E-2</v>
      </c>
      <c r="AM300">
        <v>-3.8199999999999998E-2</v>
      </c>
      <c r="AN300">
        <v>-2.63E-2</v>
      </c>
      <c r="AO300">
        <v>-1.06E-2</v>
      </c>
      <c r="AP300">
        <v>3.7000000000000002E-3</v>
      </c>
      <c r="AQ300">
        <v>6.6E-3</v>
      </c>
      <c r="AR300">
        <v>-2.3999999999999998E-3</v>
      </c>
      <c r="AS300">
        <v>-7.6E-3</v>
      </c>
      <c r="AT300">
        <v>-1.72E-2</v>
      </c>
      <c r="AU300">
        <v>-2.3E-2</v>
      </c>
      <c r="AV300">
        <v>-2.29E-2</v>
      </c>
    </row>
    <row r="301" spans="1:48" x14ac:dyDescent="0.25">
      <c r="A301" t="s">
        <v>401</v>
      </c>
      <c r="B301" t="s">
        <v>2</v>
      </c>
      <c r="C301" t="s">
        <v>401</v>
      </c>
      <c r="D301">
        <v>29860</v>
      </c>
      <c r="E301" t="s">
        <v>672</v>
      </c>
      <c r="F301" t="s">
        <v>117</v>
      </c>
      <c r="G301" t="s">
        <v>670</v>
      </c>
      <c r="H301" t="s">
        <v>670</v>
      </c>
      <c r="I301" t="s">
        <v>673</v>
      </c>
      <c r="J301" t="s">
        <v>673</v>
      </c>
      <c r="K301" t="s">
        <v>673</v>
      </c>
      <c r="L301" t="s">
        <v>673</v>
      </c>
      <c r="M301" t="s">
        <v>673</v>
      </c>
      <c r="N301" t="s">
        <v>673</v>
      </c>
      <c r="O301" t="s">
        <v>673</v>
      </c>
      <c r="P301" t="s">
        <v>673</v>
      </c>
      <c r="Q301" t="s">
        <v>673</v>
      </c>
      <c r="R301" t="s">
        <v>673</v>
      </c>
      <c r="S301" t="s">
        <v>673</v>
      </c>
      <c r="T301" t="s">
        <v>673</v>
      </c>
      <c r="U301" t="s">
        <v>673</v>
      </c>
      <c r="V301" t="s">
        <v>673</v>
      </c>
      <c r="W301" t="s">
        <v>673</v>
      </c>
      <c r="X301" t="s">
        <v>673</v>
      </c>
      <c r="Y301" t="s">
        <v>673</v>
      </c>
      <c r="Z301" t="s">
        <v>673</v>
      </c>
      <c r="AA301" t="s">
        <v>673</v>
      </c>
      <c r="AB301" t="s">
        <v>673</v>
      </c>
      <c r="AC301" t="s">
        <v>673</v>
      </c>
      <c r="AD301" t="s">
        <v>673</v>
      </c>
      <c r="AE301" t="s">
        <v>673</v>
      </c>
      <c r="AF301" t="s">
        <v>673</v>
      </c>
      <c r="AG301" t="s">
        <v>673</v>
      </c>
      <c r="AH301" t="s">
        <v>673</v>
      </c>
      <c r="AI301" t="s">
        <v>673</v>
      </c>
      <c r="AJ301" t="s">
        <v>673</v>
      </c>
      <c r="AK301" t="s">
        <v>673</v>
      </c>
      <c r="AL301" t="s">
        <v>673</v>
      </c>
      <c r="AM301" t="s">
        <v>673</v>
      </c>
      <c r="AN301" t="s">
        <v>673</v>
      </c>
      <c r="AO301" t="s">
        <v>673</v>
      </c>
      <c r="AP301" t="s">
        <v>673</v>
      </c>
      <c r="AQ301" t="s">
        <v>673</v>
      </c>
      <c r="AR301" t="s">
        <v>673</v>
      </c>
      <c r="AS301" t="s">
        <v>673</v>
      </c>
      <c r="AT301" t="s">
        <v>673</v>
      </c>
      <c r="AU301" t="s">
        <v>673</v>
      </c>
      <c r="AV301" t="s">
        <v>673</v>
      </c>
    </row>
    <row r="302" spans="1:48" x14ac:dyDescent="0.25">
      <c r="A302" t="s">
        <v>402</v>
      </c>
      <c r="B302" t="s">
        <v>2</v>
      </c>
      <c r="C302" t="s">
        <v>402</v>
      </c>
      <c r="D302">
        <v>29940</v>
      </c>
      <c r="E302" t="s">
        <v>672</v>
      </c>
      <c r="F302" t="s">
        <v>117</v>
      </c>
      <c r="G302" t="s">
        <v>670</v>
      </c>
      <c r="H302" t="s">
        <v>670</v>
      </c>
      <c r="I302">
        <v>3.1199999999999999E-2</v>
      </c>
      <c r="J302">
        <v>3.7400000000000003E-2</v>
      </c>
      <c r="K302">
        <v>2.7199999999999998E-2</v>
      </c>
      <c r="L302">
        <v>-1.4200000000000001E-2</v>
      </c>
      <c r="M302">
        <v>8.2000000000000007E-3</v>
      </c>
      <c r="N302">
        <v>5.9900000000000002E-2</v>
      </c>
      <c r="O302">
        <v>6.0199999999999997E-2</v>
      </c>
      <c r="P302">
        <v>4.3400000000000001E-2</v>
      </c>
      <c r="Q302">
        <v>1.7000000000000001E-2</v>
      </c>
      <c r="R302">
        <v>1.8100000000000002E-2</v>
      </c>
      <c r="S302">
        <v>2.0299999999999999E-2</v>
      </c>
      <c r="T302">
        <v>1.52E-2</v>
      </c>
      <c r="U302">
        <v>4.1000000000000002E-2</v>
      </c>
      <c r="V302">
        <v>2.8000000000000001E-2</v>
      </c>
      <c r="W302">
        <v>2.3999999999999998E-3</v>
      </c>
      <c r="X302">
        <v>1.72E-2</v>
      </c>
      <c r="Y302">
        <v>1.38E-2</v>
      </c>
      <c r="Z302">
        <v>1.38E-2</v>
      </c>
      <c r="AA302">
        <v>4.9599999999999998E-2</v>
      </c>
      <c r="AB302">
        <v>4.1399999999999999E-2</v>
      </c>
      <c r="AC302">
        <v>2.8299999999999999E-2</v>
      </c>
      <c r="AD302">
        <v>2.6800000000000001E-2</v>
      </c>
      <c r="AE302">
        <v>1.6500000000000001E-2</v>
      </c>
      <c r="AF302">
        <v>3.8100000000000002E-2</v>
      </c>
      <c r="AG302">
        <v>3.9899999999999998E-2</v>
      </c>
      <c r="AH302">
        <v>4.7899999999999998E-2</v>
      </c>
      <c r="AI302">
        <v>6.4100000000000004E-2</v>
      </c>
      <c r="AJ302">
        <v>6.7900000000000002E-2</v>
      </c>
      <c r="AK302">
        <v>7.0800000000000002E-2</v>
      </c>
      <c r="AL302">
        <v>6.4799999999999996E-2</v>
      </c>
      <c r="AM302">
        <v>7.6499999999999999E-2</v>
      </c>
      <c r="AN302">
        <v>7.4999999999999997E-2</v>
      </c>
      <c r="AO302">
        <v>7.3700000000000002E-2</v>
      </c>
      <c r="AP302">
        <v>8.8900000000000007E-2</v>
      </c>
      <c r="AQ302">
        <v>6.1499999999999999E-2</v>
      </c>
      <c r="AR302">
        <v>5.1700000000000003E-2</v>
      </c>
      <c r="AS302">
        <v>5.4800000000000001E-2</v>
      </c>
      <c r="AT302">
        <v>8.2500000000000004E-2</v>
      </c>
      <c r="AU302">
        <v>8.5500000000000007E-2</v>
      </c>
      <c r="AV302">
        <v>6.6500000000000004E-2</v>
      </c>
    </row>
    <row r="303" spans="1:48" x14ac:dyDescent="0.25">
      <c r="A303" t="s">
        <v>403</v>
      </c>
      <c r="B303" t="s">
        <v>2</v>
      </c>
      <c r="C303" t="s">
        <v>403</v>
      </c>
      <c r="D303">
        <v>30020</v>
      </c>
      <c r="E303" t="s">
        <v>672</v>
      </c>
      <c r="F303" t="s">
        <v>117</v>
      </c>
      <c r="G303" t="s">
        <v>670</v>
      </c>
      <c r="H303" t="s">
        <v>670</v>
      </c>
      <c r="I303">
        <v>2.0000000000000001E-4</v>
      </c>
      <c r="J303">
        <v>-1.4999999999999999E-2</v>
      </c>
      <c r="K303">
        <v>2.0199999999999999E-2</v>
      </c>
      <c r="L303">
        <v>-4.1000000000000003E-3</v>
      </c>
      <c r="M303">
        <v>-5.3900000000000003E-2</v>
      </c>
      <c r="N303">
        <v>-3.0099999999999998E-2</v>
      </c>
      <c r="O303">
        <v>-3.6499999999999998E-2</v>
      </c>
      <c r="P303">
        <v>-1.44E-2</v>
      </c>
      <c r="Q303">
        <v>-1E-3</v>
      </c>
      <c r="R303">
        <v>-1.01E-2</v>
      </c>
      <c r="S303">
        <v>-1.9199999999999998E-2</v>
      </c>
      <c r="T303">
        <v>1.2200000000000001E-2</v>
      </c>
      <c r="U303">
        <v>-3.7000000000000002E-3</v>
      </c>
      <c r="V303">
        <v>-2.3999999999999998E-3</v>
      </c>
      <c r="W303">
        <v>4.7699999999999999E-2</v>
      </c>
      <c r="X303">
        <v>1.47E-2</v>
      </c>
      <c r="Y303">
        <v>4.6899999999999997E-2</v>
      </c>
      <c r="Z303">
        <v>4.2099999999999999E-2</v>
      </c>
      <c r="AA303">
        <v>1.47E-2</v>
      </c>
      <c r="AB303">
        <v>1.8800000000000001E-2</v>
      </c>
      <c r="AC303">
        <v>5.21E-2</v>
      </c>
      <c r="AD303">
        <v>0.1007</v>
      </c>
      <c r="AE303">
        <v>0.13270000000000001</v>
      </c>
      <c r="AF303">
        <v>0.1288</v>
      </c>
      <c r="AG303">
        <v>0.1196</v>
      </c>
      <c r="AH303">
        <v>0.14119999999999999</v>
      </c>
      <c r="AI303">
        <v>9.8799999999999999E-2</v>
      </c>
      <c r="AJ303">
        <v>8.9899999999999994E-2</v>
      </c>
      <c r="AK303">
        <v>9.2999999999999999E-2</v>
      </c>
      <c r="AL303">
        <v>4.02E-2</v>
      </c>
      <c r="AM303">
        <v>2.87E-2</v>
      </c>
      <c r="AN303">
        <v>6.6600000000000006E-2</v>
      </c>
      <c r="AO303">
        <v>0.04</v>
      </c>
      <c r="AP303">
        <v>1.9199999999999998E-2</v>
      </c>
      <c r="AQ303">
        <v>3.0999999999999999E-3</v>
      </c>
      <c r="AR303">
        <v>-1.18E-2</v>
      </c>
      <c r="AS303">
        <v>-2.7000000000000001E-3</v>
      </c>
      <c r="AT303">
        <v>3.1600000000000003E-2</v>
      </c>
      <c r="AU303">
        <v>4.8300000000000003E-2</v>
      </c>
      <c r="AV303">
        <v>3.0300000000000001E-2</v>
      </c>
    </row>
    <row r="304" spans="1:48" x14ac:dyDescent="0.25">
      <c r="A304" t="s">
        <v>404</v>
      </c>
      <c r="B304" t="s">
        <v>2</v>
      </c>
      <c r="C304" t="s">
        <v>404</v>
      </c>
      <c r="D304">
        <v>30150</v>
      </c>
      <c r="E304" t="s">
        <v>672</v>
      </c>
      <c r="F304" t="s">
        <v>117</v>
      </c>
      <c r="G304" t="s">
        <v>670</v>
      </c>
      <c r="H304" t="s">
        <v>670</v>
      </c>
      <c r="I304">
        <v>2.8799999999999999E-2</v>
      </c>
      <c r="J304">
        <v>0.30790000000000001</v>
      </c>
      <c r="K304">
        <v>0.21160000000000001</v>
      </c>
      <c r="L304">
        <v>0.18440000000000001</v>
      </c>
      <c r="M304">
        <v>-1.2E-2</v>
      </c>
      <c r="N304">
        <v>-5.28E-2</v>
      </c>
      <c r="O304">
        <v>3.4500000000000003E-2</v>
      </c>
      <c r="P304">
        <v>4.1000000000000002E-2</v>
      </c>
      <c r="Q304">
        <v>4.4400000000000002E-2</v>
      </c>
      <c r="R304">
        <v>7.3499999999999996E-2</v>
      </c>
      <c r="S304">
        <v>0.1232</v>
      </c>
      <c r="T304">
        <v>0.1051</v>
      </c>
      <c r="U304">
        <v>9.3399999999999997E-2</v>
      </c>
      <c r="V304">
        <v>3.9199999999999999E-2</v>
      </c>
      <c r="W304">
        <v>2.6200000000000001E-2</v>
      </c>
      <c r="X304">
        <v>5.5500000000000001E-2</v>
      </c>
      <c r="Y304">
        <v>3.5200000000000002E-2</v>
      </c>
      <c r="Z304">
        <v>1.47E-2</v>
      </c>
      <c r="AA304">
        <v>-1.5299999999999999E-2</v>
      </c>
      <c r="AB304">
        <v>-6.9699999999999998E-2</v>
      </c>
      <c r="AC304">
        <v>-2.6200000000000001E-2</v>
      </c>
      <c r="AD304">
        <v>1.12E-2</v>
      </c>
      <c r="AE304">
        <v>2.35E-2</v>
      </c>
      <c r="AF304">
        <v>0.11899999999999999</v>
      </c>
      <c r="AG304">
        <v>0.29310000000000003</v>
      </c>
      <c r="AH304">
        <v>0.28399999999999997</v>
      </c>
      <c r="AI304">
        <v>0.31030000000000002</v>
      </c>
      <c r="AJ304">
        <v>0.29959999999999998</v>
      </c>
      <c r="AK304">
        <v>2.4799999999999999E-2</v>
      </c>
      <c r="AL304">
        <v>-5.5999999999999999E-3</v>
      </c>
      <c r="AM304">
        <v>-4.8800000000000003E-2</v>
      </c>
      <c r="AN304">
        <v>-6.8199999999999997E-2</v>
      </c>
      <c r="AO304">
        <v>2.0299999999999999E-2</v>
      </c>
      <c r="AP304">
        <v>3.7699999999999997E-2</v>
      </c>
      <c r="AQ304">
        <v>2.2499999999999999E-2</v>
      </c>
      <c r="AR304">
        <v>3.0700000000000002E-2</v>
      </c>
      <c r="AS304">
        <v>4.99E-2</v>
      </c>
      <c r="AT304">
        <v>0.11799999999999999</v>
      </c>
      <c r="AU304">
        <v>0.14599999999999999</v>
      </c>
      <c r="AV304">
        <v>0.1169</v>
      </c>
    </row>
    <row r="305" spans="1:48" x14ac:dyDescent="0.25">
      <c r="A305" t="s">
        <v>405</v>
      </c>
      <c r="B305" t="s">
        <v>2</v>
      </c>
      <c r="C305" t="s">
        <v>405</v>
      </c>
      <c r="D305">
        <v>30140</v>
      </c>
      <c r="E305" t="s">
        <v>672</v>
      </c>
      <c r="F305" t="s">
        <v>117</v>
      </c>
      <c r="G305" t="s">
        <v>670</v>
      </c>
      <c r="H305" t="s">
        <v>670</v>
      </c>
      <c r="I305">
        <v>1.18E-2</v>
      </c>
      <c r="J305">
        <v>1.0699999999999999E-2</v>
      </c>
      <c r="K305">
        <v>4.3E-3</v>
      </c>
      <c r="L305">
        <v>0.1081</v>
      </c>
      <c r="M305">
        <v>0.10589999999999999</v>
      </c>
      <c r="N305">
        <v>0.15720000000000001</v>
      </c>
      <c r="O305">
        <v>0.2157</v>
      </c>
      <c r="P305">
        <v>4.1599999999999998E-2</v>
      </c>
      <c r="Q305">
        <v>6.5100000000000005E-2</v>
      </c>
      <c r="R305">
        <v>4.2099999999999999E-2</v>
      </c>
      <c r="S305">
        <v>2.9100000000000001E-2</v>
      </c>
      <c r="T305">
        <v>5.2999999999999999E-2</v>
      </c>
      <c r="U305">
        <v>8.3400000000000002E-2</v>
      </c>
      <c r="V305">
        <v>5.8000000000000003E-2</v>
      </c>
      <c r="W305">
        <v>6.4199999999999993E-2</v>
      </c>
      <c r="X305">
        <v>3.9399999999999998E-2</v>
      </c>
      <c r="Y305">
        <v>1.6299999999999999E-2</v>
      </c>
      <c r="Z305">
        <v>3.9100000000000003E-2</v>
      </c>
      <c r="AA305">
        <v>5.79E-2</v>
      </c>
      <c r="AB305">
        <v>5.96E-2</v>
      </c>
      <c r="AC305">
        <v>3.0499999999999999E-2</v>
      </c>
      <c r="AD305">
        <v>4.2900000000000001E-2</v>
      </c>
      <c r="AE305">
        <v>3.6799999999999999E-2</v>
      </c>
      <c r="AF305">
        <v>0.1094</v>
      </c>
      <c r="AG305">
        <v>0.18279999999999999</v>
      </c>
      <c r="AH305">
        <v>0.1961</v>
      </c>
      <c r="AI305">
        <v>0.16420000000000001</v>
      </c>
      <c r="AJ305">
        <v>8.5800000000000001E-2</v>
      </c>
      <c r="AK305">
        <v>4.0599999999999997E-2</v>
      </c>
      <c r="AL305">
        <v>7.1999999999999998E-3</v>
      </c>
      <c r="AM305">
        <v>4.4200000000000003E-2</v>
      </c>
      <c r="AN305">
        <v>5.74E-2</v>
      </c>
      <c r="AO305">
        <v>5.1299999999999998E-2</v>
      </c>
      <c r="AP305">
        <v>4.41E-2</v>
      </c>
      <c r="AQ305">
        <v>5.0900000000000001E-2</v>
      </c>
      <c r="AR305">
        <v>5.4699999999999999E-2</v>
      </c>
      <c r="AS305">
        <v>5.0799999999999998E-2</v>
      </c>
      <c r="AT305">
        <v>4.48E-2</v>
      </c>
      <c r="AU305">
        <v>3.6999999999999998E-2</v>
      </c>
      <c r="AV305">
        <v>1.84E-2</v>
      </c>
    </row>
    <row r="306" spans="1:48" x14ac:dyDescent="0.25">
      <c r="A306" t="s">
        <v>406</v>
      </c>
      <c r="B306" t="s">
        <v>2</v>
      </c>
      <c r="C306" t="s">
        <v>406</v>
      </c>
      <c r="D306">
        <v>30280</v>
      </c>
      <c r="E306" t="s">
        <v>672</v>
      </c>
      <c r="F306" t="s">
        <v>117</v>
      </c>
      <c r="G306" t="s">
        <v>670</v>
      </c>
      <c r="H306" t="s">
        <v>670</v>
      </c>
      <c r="I306" t="s">
        <v>673</v>
      </c>
      <c r="J306" t="s">
        <v>673</v>
      </c>
      <c r="K306" t="s">
        <v>673</v>
      </c>
      <c r="L306" t="s">
        <v>673</v>
      </c>
      <c r="M306" t="s">
        <v>673</v>
      </c>
      <c r="N306" t="s">
        <v>673</v>
      </c>
      <c r="O306" t="s">
        <v>673</v>
      </c>
      <c r="P306" t="s">
        <v>673</v>
      </c>
      <c r="Q306" t="s">
        <v>673</v>
      </c>
      <c r="R306" t="s">
        <v>673</v>
      </c>
      <c r="S306" t="s">
        <v>673</v>
      </c>
      <c r="T306" t="s">
        <v>673</v>
      </c>
      <c r="U306" t="s">
        <v>673</v>
      </c>
      <c r="V306" t="s">
        <v>673</v>
      </c>
      <c r="W306" t="s">
        <v>673</v>
      </c>
      <c r="X306" t="s">
        <v>673</v>
      </c>
      <c r="Y306" t="s">
        <v>673</v>
      </c>
      <c r="Z306" t="s">
        <v>673</v>
      </c>
      <c r="AA306" t="s">
        <v>673</v>
      </c>
      <c r="AB306" t="s">
        <v>673</v>
      </c>
      <c r="AC306" t="s">
        <v>673</v>
      </c>
      <c r="AD306" t="s">
        <v>673</v>
      </c>
      <c r="AE306" t="s">
        <v>673</v>
      </c>
      <c r="AF306" t="s">
        <v>673</v>
      </c>
      <c r="AG306" t="s">
        <v>673</v>
      </c>
      <c r="AH306" t="s">
        <v>673</v>
      </c>
      <c r="AI306" t="s">
        <v>673</v>
      </c>
      <c r="AJ306" t="s">
        <v>673</v>
      </c>
      <c r="AK306" t="s">
        <v>673</v>
      </c>
      <c r="AL306" t="s">
        <v>673</v>
      </c>
      <c r="AM306" t="s">
        <v>673</v>
      </c>
      <c r="AN306" t="s">
        <v>673</v>
      </c>
      <c r="AO306" t="s">
        <v>673</v>
      </c>
      <c r="AP306" t="s">
        <v>673</v>
      </c>
      <c r="AQ306" t="s">
        <v>673</v>
      </c>
      <c r="AR306" t="s">
        <v>673</v>
      </c>
      <c r="AS306" t="s">
        <v>673</v>
      </c>
      <c r="AT306" t="s">
        <v>673</v>
      </c>
      <c r="AU306" t="s">
        <v>673</v>
      </c>
      <c r="AV306" t="s">
        <v>673</v>
      </c>
    </row>
    <row r="307" spans="1:48" x14ac:dyDescent="0.25">
      <c r="A307" t="s">
        <v>407</v>
      </c>
      <c r="B307" t="s">
        <v>2</v>
      </c>
      <c r="C307" t="s">
        <v>407</v>
      </c>
      <c r="D307">
        <v>30340</v>
      </c>
      <c r="E307" t="s">
        <v>672</v>
      </c>
      <c r="F307" t="s">
        <v>117</v>
      </c>
      <c r="G307" t="s">
        <v>670</v>
      </c>
      <c r="H307" t="s">
        <v>670</v>
      </c>
      <c r="I307" t="s">
        <v>673</v>
      </c>
      <c r="J307" t="s">
        <v>673</v>
      </c>
      <c r="K307" t="s">
        <v>673</v>
      </c>
      <c r="L307" t="s">
        <v>673</v>
      </c>
      <c r="M307" t="s">
        <v>673</v>
      </c>
      <c r="N307" t="s">
        <v>673</v>
      </c>
      <c r="O307" t="s">
        <v>673</v>
      </c>
      <c r="P307" t="s">
        <v>673</v>
      </c>
      <c r="Q307" t="s">
        <v>673</v>
      </c>
      <c r="R307" t="s">
        <v>673</v>
      </c>
      <c r="S307" t="s">
        <v>673</v>
      </c>
      <c r="T307" t="s">
        <v>673</v>
      </c>
      <c r="U307" t="s">
        <v>673</v>
      </c>
      <c r="V307" t="s">
        <v>673</v>
      </c>
      <c r="W307" t="s">
        <v>673</v>
      </c>
      <c r="X307" t="s">
        <v>673</v>
      </c>
      <c r="Y307" t="s">
        <v>673</v>
      </c>
      <c r="Z307" t="s">
        <v>673</v>
      </c>
      <c r="AA307" t="s">
        <v>673</v>
      </c>
      <c r="AB307" t="s">
        <v>673</v>
      </c>
      <c r="AC307" t="s">
        <v>673</v>
      </c>
      <c r="AD307" t="s">
        <v>673</v>
      </c>
      <c r="AE307" t="s">
        <v>673</v>
      </c>
      <c r="AF307" t="s">
        <v>673</v>
      </c>
      <c r="AG307" t="s">
        <v>673</v>
      </c>
      <c r="AH307" t="s">
        <v>673</v>
      </c>
      <c r="AI307" t="s">
        <v>673</v>
      </c>
      <c r="AJ307" t="s">
        <v>673</v>
      </c>
      <c r="AK307" t="s">
        <v>673</v>
      </c>
      <c r="AL307" t="s">
        <v>673</v>
      </c>
      <c r="AM307" t="s">
        <v>673</v>
      </c>
      <c r="AN307" t="s">
        <v>673</v>
      </c>
      <c r="AO307" t="s">
        <v>673</v>
      </c>
      <c r="AP307" t="s">
        <v>673</v>
      </c>
      <c r="AQ307" t="s">
        <v>673</v>
      </c>
      <c r="AR307" t="s">
        <v>673</v>
      </c>
      <c r="AS307" t="s">
        <v>673</v>
      </c>
      <c r="AT307" t="s">
        <v>673</v>
      </c>
      <c r="AU307" t="s">
        <v>673</v>
      </c>
      <c r="AV307" t="s">
        <v>673</v>
      </c>
    </row>
    <row r="308" spans="1:48" x14ac:dyDescent="0.25">
      <c r="A308" t="s">
        <v>408</v>
      </c>
      <c r="B308" t="s">
        <v>2</v>
      </c>
      <c r="C308" t="s">
        <v>408</v>
      </c>
      <c r="D308">
        <v>30300</v>
      </c>
      <c r="E308" t="s">
        <v>672</v>
      </c>
      <c r="F308" t="s">
        <v>117</v>
      </c>
      <c r="G308" t="s">
        <v>670</v>
      </c>
      <c r="H308" t="s">
        <v>670</v>
      </c>
      <c r="I308" t="s">
        <v>673</v>
      </c>
      <c r="J308" t="s">
        <v>673</v>
      </c>
      <c r="K308" t="s">
        <v>673</v>
      </c>
      <c r="L308" t="s">
        <v>673</v>
      </c>
      <c r="M308" t="s">
        <v>673</v>
      </c>
      <c r="N308" t="s">
        <v>673</v>
      </c>
      <c r="O308" t="s">
        <v>673</v>
      </c>
      <c r="P308" t="s">
        <v>673</v>
      </c>
      <c r="Q308" t="s">
        <v>673</v>
      </c>
      <c r="R308" t="s">
        <v>673</v>
      </c>
      <c r="S308" t="s">
        <v>673</v>
      </c>
      <c r="T308" t="s">
        <v>673</v>
      </c>
      <c r="U308" t="s">
        <v>673</v>
      </c>
      <c r="V308" t="s">
        <v>673</v>
      </c>
      <c r="W308" t="s">
        <v>673</v>
      </c>
      <c r="X308" t="s">
        <v>673</v>
      </c>
      <c r="Y308" t="s">
        <v>673</v>
      </c>
      <c r="Z308" t="s">
        <v>673</v>
      </c>
      <c r="AA308" t="s">
        <v>673</v>
      </c>
      <c r="AB308" t="s">
        <v>673</v>
      </c>
      <c r="AC308" t="s">
        <v>673</v>
      </c>
      <c r="AD308" t="s">
        <v>673</v>
      </c>
      <c r="AE308" t="s">
        <v>673</v>
      </c>
      <c r="AF308" t="s">
        <v>673</v>
      </c>
      <c r="AG308" t="s">
        <v>673</v>
      </c>
      <c r="AH308" t="s">
        <v>673</v>
      </c>
      <c r="AI308" t="s">
        <v>673</v>
      </c>
      <c r="AJ308" t="s">
        <v>673</v>
      </c>
      <c r="AK308" t="s">
        <v>673</v>
      </c>
      <c r="AL308" t="s">
        <v>673</v>
      </c>
      <c r="AM308" t="s">
        <v>673</v>
      </c>
      <c r="AN308" t="s">
        <v>673</v>
      </c>
      <c r="AO308" t="s">
        <v>673</v>
      </c>
      <c r="AP308" t="s">
        <v>673</v>
      </c>
      <c r="AQ308" t="s">
        <v>673</v>
      </c>
      <c r="AR308" t="s">
        <v>673</v>
      </c>
      <c r="AS308" t="s">
        <v>673</v>
      </c>
      <c r="AT308" t="s">
        <v>673</v>
      </c>
      <c r="AU308" t="s">
        <v>673</v>
      </c>
      <c r="AV308" t="s">
        <v>673</v>
      </c>
    </row>
    <row r="309" spans="1:48" x14ac:dyDescent="0.25">
      <c r="A309" t="s">
        <v>409</v>
      </c>
      <c r="B309" t="s">
        <v>2</v>
      </c>
      <c r="C309" t="s">
        <v>409</v>
      </c>
      <c r="D309">
        <v>230460</v>
      </c>
      <c r="E309" t="s">
        <v>672</v>
      </c>
      <c r="F309" t="s">
        <v>117</v>
      </c>
      <c r="G309" t="s">
        <v>670</v>
      </c>
      <c r="H309" t="s">
        <v>670</v>
      </c>
      <c r="I309">
        <v>4.5100000000000001E-2</v>
      </c>
      <c r="J309">
        <v>3.7400000000000003E-2</v>
      </c>
      <c r="K309">
        <v>4.4699999999999997E-2</v>
      </c>
      <c r="L309">
        <v>3.95E-2</v>
      </c>
      <c r="M309">
        <v>3.8300000000000001E-2</v>
      </c>
      <c r="N309">
        <v>3.2300000000000002E-2</v>
      </c>
      <c r="O309">
        <v>3.6700000000000003E-2</v>
      </c>
      <c r="P309">
        <v>1.77E-2</v>
      </c>
      <c r="Q309">
        <v>1.0800000000000001E-2</v>
      </c>
      <c r="R309">
        <v>3.2000000000000002E-3</v>
      </c>
      <c r="S309">
        <v>5.4000000000000003E-3</v>
      </c>
      <c r="T309">
        <v>2.1499999999999998E-2</v>
      </c>
      <c r="U309">
        <v>3.61E-2</v>
      </c>
      <c r="V309">
        <v>4.0099999999999997E-2</v>
      </c>
      <c r="W309">
        <v>4.4200000000000003E-2</v>
      </c>
      <c r="X309">
        <v>2.3199999999999998E-2</v>
      </c>
      <c r="Y309">
        <v>1.9699999999999999E-2</v>
      </c>
      <c r="Z309">
        <v>1.5599999999999999E-2</v>
      </c>
      <c r="AA309">
        <v>3.0599999999999999E-2</v>
      </c>
      <c r="AB309">
        <v>5.5300000000000002E-2</v>
      </c>
      <c r="AC309">
        <v>5.6000000000000001E-2</v>
      </c>
      <c r="AD309">
        <v>9.1399999999999995E-2</v>
      </c>
      <c r="AE309">
        <v>0.1212</v>
      </c>
      <c r="AF309">
        <v>0.1414</v>
      </c>
      <c r="AG309">
        <v>0.14910000000000001</v>
      </c>
      <c r="AH309">
        <v>0.18629999999999999</v>
      </c>
      <c r="AI309">
        <v>0.16239999999999999</v>
      </c>
      <c r="AJ309">
        <v>0.1356</v>
      </c>
      <c r="AK309">
        <v>0.1104</v>
      </c>
      <c r="AL309">
        <v>5.2699999999999997E-2</v>
      </c>
      <c r="AM309">
        <v>4.58E-2</v>
      </c>
      <c r="AN309">
        <v>5.1900000000000002E-2</v>
      </c>
      <c r="AO309">
        <v>4.41E-2</v>
      </c>
      <c r="AP309">
        <v>5.3999999999999999E-2</v>
      </c>
      <c r="AQ309">
        <v>4.5499999999999999E-2</v>
      </c>
      <c r="AR309">
        <v>4.5400000000000003E-2</v>
      </c>
      <c r="AS309">
        <v>6.5199999999999994E-2</v>
      </c>
      <c r="AT309">
        <v>7.3599999999999999E-2</v>
      </c>
      <c r="AU309">
        <v>5.7799999999999997E-2</v>
      </c>
      <c r="AV309">
        <v>4.9000000000000002E-2</v>
      </c>
    </row>
    <row r="310" spans="1:48" x14ac:dyDescent="0.25">
      <c r="A310" t="s">
        <v>410</v>
      </c>
      <c r="B310" t="s">
        <v>2</v>
      </c>
      <c r="C310" t="s">
        <v>410</v>
      </c>
      <c r="D310">
        <v>30500</v>
      </c>
      <c r="E310" t="s">
        <v>672</v>
      </c>
      <c r="F310" t="s">
        <v>117</v>
      </c>
      <c r="G310" t="s">
        <v>670</v>
      </c>
      <c r="H310" t="s">
        <v>670</v>
      </c>
      <c r="I310">
        <v>8.6E-3</v>
      </c>
      <c r="J310">
        <v>3.15E-2</v>
      </c>
      <c r="K310">
        <v>7.9500000000000001E-2</v>
      </c>
      <c r="L310">
        <v>6.54E-2</v>
      </c>
      <c r="M310">
        <v>3.7699999999999997E-2</v>
      </c>
      <c r="N310">
        <v>-3.2099999999999997E-2</v>
      </c>
      <c r="O310">
        <v>-3.56E-2</v>
      </c>
      <c r="P310">
        <v>-3.7000000000000002E-3</v>
      </c>
      <c r="Q310">
        <v>5.1999999999999998E-3</v>
      </c>
      <c r="R310">
        <v>1.37E-2</v>
      </c>
      <c r="S310">
        <v>1.9300000000000001E-2</v>
      </c>
      <c r="T310">
        <v>2.3599999999999999E-2</v>
      </c>
      <c r="U310">
        <v>4.1500000000000002E-2</v>
      </c>
      <c r="V310">
        <v>6.0600000000000001E-2</v>
      </c>
      <c r="W310">
        <v>6.2799999999999995E-2</v>
      </c>
      <c r="X310">
        <v>6.7100000000000007E-2</v>
      </c>
      <c r="Y310">
        <v>5.9700000000000003E-2</v>
      </c>
      <c r="Z310">
        <v>4.58E-2</v>
      </c>
      <c r="AA310">
        <v>2.5999999999999999E-2</v>
      </c>
      <c r="AB310">
        <v>5.4000000000000003E-3</v>
      </c>
      <c r="AC310">
        <v>2.75E-2</v>
      </c>
      <c r="AD310">
        <v>8.0199999999999994E-2</v>
      </c>
      <c r="AE310">
        <v>0.10249999999999999</v>
      </c>
      <c r="AF310">
        <v>0.1663</v>
      </c>
      <c r="AG310">
        <v>0.1094</v>
      </c>
      <c r="AH310">
        <v>8.2299999999999998E-2</v>
      </c>
      <c r="AI310">
        <v>7.2700000000000001E-2</v>
      </c>
      <c r="AJ310">
        <v>-8.9999999999999993E-3</v>
      </c>
      <c r="AK310">
        <v>1.29E-2</v>
      </c>
      <c r="AL310">
        <v>2.3300000000000001E-2</v>
      </c>
      <c r="AM310">
        <v>0.03</v>
      </c>
      <c r="AN310">
        <v>7.3700000000000002E-2</v>
      </c>
      <c r="AO310">
        <v>9.5600000000000004E-2</v>
      </c>
      <c r="AP310">
        <v>0.1074</v>
      </c>
      <c r="AQ310">
        <v>7.1199999999999999E-2</v>
      </c>
      <c r="AR310">
        <v>4.36E-2</v>
      </c>
      <c r="AS310">
        <v>5.3199999999999997E-2</v>
      </c>
      <c r="AT310">
        <v>5.0799999999999998E-2</v>
      </c>
      <c r="AU310">
        <v>4.2999999999999997E-2</v>
      </c>
      <c r="AV310">
        <v>5.3199999999999997E-2</v>
      </c>
    </row>
    <row r="311" spans="1:48" x14ac:dyDescent="0.25">
      <c r="A311" t="s">
        <v>411</v>
      </c>
      <c r="B311" t="s">
        <v>2</v>
      </c>
      <c r="C311" t="s">
        <v>411</v>
      </c>
      <c r="D311">
        <v>30620</v>
      </c>
      <c r="E311" t="s">
        <v>672</v>
      </c>
      <c r="F311" t="s">
        <v>117</v>
      </c>
      <c r="G311" t="s">
        <v>670</v>
      </c>
      <c r="H311" t="s">
        <v>670</v>
      </c>
      <c r="I311" t="s">
        <v>673</v>
      </c>
      <c r="J311" t="s">
        <v>673</v>
      </c>
      <c r="K311">
        <v>0.3821</v>
      </c>
      <c r="L311">
        <v>0.41510000000000002</v>
      </c>
      <c r="M311">
        <v>4.48E-2</v>
      </c>
      <c r="N311">
        <v>-3.3599999999999998E-2</v>
      </c>
      <c r="O311">
        <v>-7.6E-3</v>
      </c>
      <c r="P311">
        <v>-3.32E-2</v>
      </c>
      <c r="Q311">
        <v>-4.4999999999999998E-2</v>
      </c>
      <c r="R311">
        <v>2.8500000000000001E-2</v>
      </c>
      <c r="S311">
        <v>4.7399999999999998E-2</v>
      </c>
      <c r="T311">
        <v>6.4600000000000005E-2</v>
      </c>
      <c r="U311">
        <v>0.17460000000000001</v>
      </c>
      <c r="V311">
        <v>0.15590000000000001</v>
      </c>
      <c r="W311">
        <v>0.15529999999999999</v>
      </c>
      <c r="X311">
        <v>0.1487</v>
      </c>
      <c r="Y311">
        <v>4.82E-2</v>
      </c>
      <c r="Z311">
        <v>3.4500000000000003E-2</v>
      </c>
      <c r="AA311">
        <v>3.61E-2</v>
      </c>
      <c r="AB311">
        <v>3.2500000000000001E-2</v>
      </c>
      <c r="AC311">
        <v>2.4199999999999999E-2</v>
      </c>
      <c r="AD311">
        <v>3.61E-2</v>
      </c>
      <c r="AE311">
        <v>3.5999999999999997E-2</v>
      </c>
      <c r="AF311">
        <v>5.3800000000000001E-2</v>
      </c>
      <c r="AG311">
        <v>8.3000000000000004E-2</v>
      </c>
      <c r="AH311">
        <v>7.2599999999999998E-2</v>
      </c>
      <c r="AI311">
        <v>6.4000000000000001E-2</v>
      </c>
      <c r="AJ311">
        <v>0.1147</v>
      </c>
      <c r="AK311">
        <v>0.1158</v>
      </c>
      <c r="AL311">
        <v>0.13100000000000001</v>
      </c>
      <c r="AM311">
        <v>0.15090000000000001</v>
      </c>
      <c r="AN311">
        <v>7.7499999999999999E-2</v>
      </c>
      <c r="AO311">
        <v>5.0999999999999997E-2</v>
      </c>
      <c r="AP311">
        <v>3.49E-2</v>
      </c>
      <c r="AQ311">
        <v>2.2499999999999999E-2</v>
      </c>
      <c r="AR311">
        <v>2.3900000000000001E-2</v>
      </c>
      <c r="AS311">
        <v>2.7900000000000001E-2</v>
      </c>
      <c r="AT311" t="s">
        <v>673</v>
      </c>
      <c r="AU311" t="s">
        <v>673</v>
      </c>
      <c r="AV311" t="s">
        <v>673</v>
      </c>
    </row>
    <row r="312" spans="1:48" x14ac:dyDescent="0.25">
      <c r="A312" t="s">
        <v>412</v>
      </c>
      <c r="B312" t="s">
        <v>2</v>
      </c>
      <c r="C312" t="s">
        <v>412</v>
      </c>
      <c r="D312">
        <v>30700</v>
      </c>
      <c r="E312" t="s">
        <v>672</v>
      </c>
      <c r="F312" t="s">
        <v>117</v>
      </c>
      <c r="G312" t="s">
        <v>670</v>
      </c>
      <c r="H312" t="s">
        <v>670</v>
      </c>
      <c r="I312">
        <v>4.8399999999999999E-2</v>
      </c>
      <c r="J312">
        <v>5.62E-2</v>
      </c>
      <c r="K312">
        <v>5.0799999999999998E-2</v>
      </c>
      <c r="L312">
        <v>4.6600000000000003E-2</v>
      </c>
      <c r="M312">
        <v>3.4500000000000003E-2</v>
      </c>
      <c r="N312">
        <v>1.77E-2</v>
      </c>
      <c r="O312">
        <v>2.9499999999999998E-2</v>
      </c>
      <c r="P312">
        <v>3.1699999999999999E-2</v>
      </c>
      <c r="Q312">
        <v>2.4899999999999999E-2</v>
      </c>
      <c r="R312">
        <v>3.5900000000000001E-2</v>
      </c>
      <c r="S312">
        <v>3.9100000000000003E-2</v>
      </c>
      <c r="T312">
        <v>3.8100000000000002E-2</v>
      </c>
      <c r="U312">
        <v>5.2600000000000001E-2</v>
      </c>
      <c r="V312">
        <v>5.0099999999999999E-2</v>
      </c>
      <c r="W312">
        <v>4.2000000000000003E-2</v>
      </c>
      <c r="X312">
        <v>3.32E-2</v>
      </c>
      <c r="Y312">
        <v>3.2099999999999997E-2</v>
      </c>
      <c r="Z312">
        <v>3.1899999999999998E-2</v>
      </c>
      <c r="AA312">
        <v>4.6199999999999998E-2</v>
      </c>
      <c r="AB312">
        <v>4.87E-2</v>
      </c>
      <c r="AC312">
        <v>2.7900000000000001E-2</v>
      </c>
      <c r="AD312">
        <v>3.2199999999999999E-2</v>
      </c>
      <c r="AE312">
        <v>3.0800000000000001E-2</v>
      </c>
      <c r="AF312">
        <v>6.0199999999999997E-2</v>
      </c>
      <c r="AG312">
        <v>0.1032</v>
      </c>
      <c r="AH312">
        <v>0.10929999999999999</v>
      </c>
      <c r="AI312">
        <v>0.1045</v>
      </c>
      <c r="AJ312">
        <v>8.9599999999999999E-2</v>
      </c>
      <c r="AK312">
        <v>6.6299999999999998E-2</v>
      </c>
      <c r="AL312">
        <v>6.1800000000000001E-2</v>
      </c>
      <c r="AM312">
        <v>5.3900000000000003E-2</v>
      </c>
      <c r="AN312">
        <v>5.1700000000000003E-2</v>
      </c>
      <c r="AO312">
        <v>5.3199999999999997E-2</v>
      </c>
      <c r="AP312">
        <v>5.67E-2</v>
      </c>
      <c r="AQ312">
        <v>6.4100000000000004E-2</v>
      </c>
      <c r="AR312">
        <v>6.1400000000000003E-2</v>
      </c>
      <c r="AS312">
        <v>5.9400000000000001E-2</v>
      </c>
      <c r="AT312">
        <v>7.4499999999999997E-2</v>
      </c>
      <c r="AU312">
        <v>7.1199999999999999E-2</v>
      </c>
      <c r="AV312">
        <v>4.9700000000000001E-2</v>
      </c>
    </row>
    <row r="313" spans="1:48" x14ac:dyDescent="0.25">
      <c r="A313" t="s">
        <v>413</v>
      </c>
      <c r="B313" t="s">
        <v>2</v>
      </c>
      <c r="C313" t="s">
        <v>413</v>
      </c>
      <c r="D313">
        <v>30780</v>
      </c>
      <c r="E313" t="s">
        <v>672</v>
      </c>
      <c r="F313" t="s">
        <v>117</v>
      </c>
      <c r="G313" t="s">
        <v>670</v>
      </c>
      <c r="H313" t="s">
        <v>670</v>
      </c>
      <c r="I313">
        <v>2.4199999999999999E-2</v>
      </c>
      <c r="J313">
        <v>3.95E-2</v>
      </c>
      <c r="K313">
        <v>4.7899999999999998E-2</v>
      </c>
      <c r="L313">
        <v>3.9600000000000003E-2</v>
      </c>
      <c r="M313">
        <v>2.3800000000000002E-2</v>
      </c>
      <c r="N313">
        <v>7.4000000000000003E-3</v>
      </c>
      <c r="O313">
        <v>2.0999999999999999E-3</v>
      </c>
      <c r="P313">
        <v>-5.9999999999999995E-4</v>
      </c>
      <c r="Q313">
        <v>2.0400000000000001E-2</v>
      </c>
      <c r="R313">
        <v>3.0499999999999999E-2</v>
      </c>
      <c r="S313">
        <v>2.24E-2</v>
      </c>
      <c r="T313">
        <v>2.35E-2</v>
      </c>
      <c r="U313">
        <v>1.3599999999999999E-2</v>
      </c>
      <c r="V313">
        <v>1.03E-2</v>
      </c>
      <c r="W313">
        <v>2.87E-2</v>
      </c>
      <c r="X313">
        <v>4.2799999999999998E-2</v>
      </c>
      <c r="Y313">
        <v>4.2999999999999997E-2</v>
      </c>
      <c r="Z313">
        <v>3.7999999999999999E-2</v>
      </c>
      <c r="AA313">
        <v>2.86E-2</v>
      </c>
      <c r="AB313">
        <v>2.5100000000000001E-2</v>
      </c>
      <c r="AC313">
        <v>2.76E-2</v>
      </c>
      <c r="AD313">
        <v>6.9800000000000001E-2</v>
      </c>
      <c r="AE313">
        <v>9.8799999999999999E-2</v>
      </c>
      <c r="AF313">
        <v>0.10580000000000001</v>
      </c>
      <c r="AG313">
        <v>0.1027</v>
      </c>
      <c r="AH313">
        <v>0.1132</v>
      </c>
      <c r="AI313">
        <v>0.12909999999999999</v>
      </c>
      <c r="AJ313">
        <v>0.1237</v>
      </c>
      <c r="AK313">
        <v>0.10979999999999999</v>
      </c>
      <c r="AL313">
        <v>6.3399999999999998E-2</v>
      </c>
      <c r="AM313">
        <v>4.7500000000000001E-2</v>
      </c>
      <c r="AN313">
        <v>4.7899999999999998E-2</v>
      </c>
      <c r="AO313">
        <v>4.9500000000000002E-2</v>
      </c>
      <c r="AP313">
        <v>6.3799999999999996E-2</v>
      </c>
      <c r="AQ313">
        <v>2.92E-2</v>
      </c>
      <c r="AR313">
        <v>7.3000000000000001E-3</v>
      </c>
      <c r="AS313">
        <v>-2.8999999999999998E-3</v>
      </c>
      <c r="AT313">
        <v>-3.5999999999999999E-3</v>
      </c>
      <c r="AU313">
        <v>-9.7000000000000003E-3</v>
      </c>
      <c r="AV313">
        <v>1.2999999999999999E-2</v>
      </c>
    </row>
    <row r="314" spans="1:48" x14ac:dyDescent="0.25">
      <c r="A314" t="s">
        <v>414</v>
      </c>
      <c r="B314" t="s">
        <v>2</v>
      </c>
      <c r="C314" t="s">
        <v>414</v>
      </c>
      <c r="D314">
        <v>30860</v>
      </c>
      <c r="E314" t="s">
        <v>672</v>
      </c>
      <c r="F314" t="s">
        <v>117</v>
      </c>
      <c r="G314" t="s">
        <v>670</v>
      </c>
      <c r="H314" t="s">
        <v>670</v>
      </c>
      <c r="I314" t="s">
        <v>673</v>
      </c>
      <c r="J314" t="s">
        <v>673</v>
      </c>
      <c r="K314" t="s">
        <v>673</v>
      </c>
      <c r="L314">
        <v>-9.7199999999999995E-2</v>
      </c>
      <c r="M314">
        <v>-9.9199999999999997E-2</v>
      </c>
      <c r="N314">
        <v>-0.1012</v>
      </c>
      <c r="O314">
        <v>-4.4999999999999998E-2</v>
      </c>
      <c r="P314">
        <v>6.6699999999999995E-2</v>
      </c>
      <c r="Q314">
        <v>5.0700000000000002E-2</v>
      </c>
      <c r="R314">
        <v>4.9299999999999997E-2</v>
      </c>
      <c r="S314">
        <v>3.9800000000000002E-2</v>
      </c>
      <c r="T314">
        <v>3.8699999999999998E-2</v>
      </c>
      <c r="U314">
        <v>4.1500000000000002E-2</v>
      </c>
      <c r="V314">
        <v>4.3700000000000003E-2</v>
      </c>
      <c r="W314">
        <v>4.99E-2</v>
      </c>
      <c r="X314">
        <v>6.2100000000000002E-2</v>
      </c>
      <c r="Y314">
        <v>6.1600000000000002E-2</v>
      </c>
      <c r="Z314">
        <v>5.8400000000000001E-2</v>
      </c>
      <c r="AA314">
        <v>3.8199999999999998E-2</v>
      </c>
      <c r="AB314">
        <v>2.6800000000000001E-2</v>
      </c>
      <c r="AC314">
        <v>6.0600000000000001E-2</v>
      </c>
      <c r="AD314">
        <v>0.1258</v>
      </c>
      <c r="AE314">
        <v>0.1641</v>
      </c>
      <c r="AF314">
        <v>0.193</v>
      </c>
      <c r="AG314">
        <v>0.1701</v>
      </c>
      <c r="AH314">
        <v>0.13189999999999999</v>
      </c>
      <c r="AI314">
        <v>9.6199999999999994E-2</v>
      </c>
      <c r="AJ314">
        <v>0.1075</v>
      </c>
      <c r="AK314">
        <v>9.1999999999999998E-2</v>
      </c>
      <c r="AL314">
        <v>4.82E-2</v>
      </c>
      <c r="AM314">
        <v>3.7499999999999999E-2</v>
      </c>
      <c r="AN314">
        <v>7.6E-3</v>
      </c>
      <c r="AO314">
        <v>-1.23E-2</v>
      </c>
      <c r="AP314">
        <v>4.7999999999999996E-3</v>
      </c>
      <c r="AQ314">
        <v>1.0999999999999999E-2</v>
      </c>
      <c r="AR314">
        <v>-4.5999999999999999E-3</v>
      </c>
      <c r="AS314">
        <v>1.2E-2</v>
      </c>
      <c r="AT314">
        <v>-4.1000000000000003E-3</v>
      </c>
      <c r="AU314">
        <v>3.3E-3</v>
      </c>
      <c r="AV314">
        <v>-1.41E-2</v>
      </c>
    </row>
    <row r="315" spans="1:48" x14ac:dyDescent="0.25">
      <c r="A315" t="s">
        <v>415</v>
      </c>
      <c r="B315" t="s">
        <v>2</v>
      </c>
      <c r="C315" t="s">
        <v>415</v>
      </c>
      <c r="D315">
        <v>30980</v>
      </c>
      <c r="E315" t="s">
        <v>672</v>
      </c>
      <c r="F315" t="s">
        <v>117</v>
      </c>
      <c r="G315" t="s">
        <v>670</v>
      </c>
      <c r="H315" t="s">
        <v>670</v>
      </c>
      <c r="I315">
        <v>-8.8999999999999999E-3</v>
      </c>
      <c r="J315">
        <v>4.0000000000000002E-4</v>
      </c>
      <c r="K315">
        <v>-1.6999999999999999E-3</v>
      </c>
      <c r="L315">
        <v>2.1700000000000001E-2</v>
      </c>
      <c r="M315">
        <v>1.2E-2</v>
      </c>
      <c r="N315">
        <v>1.83E-2</v>
      </c>
      <c r="O315">
        <v>4.1799999999999997E-2</v>
      </c>
      <c r="P315">
        <v>2.0899999999999998E-2</v>
      </c>
      <c r="Q315">
        <v>3.3300000000000003E-2</v>
      </c>
      <c r="R315">
        <v>4.7800000000000002E-2</v>
      </c>
      <c r="S315">
        <v>4.6600000000000003E-2</v>
      </c>
      <c r="T315">
        <v>5.1400000000000001E-2</v>
      </c>
      <c r="U315">
        <v>5.9200000000000003E-2</v>
      </c>
      <c r="V315">
        <v>5.7200000000000001E-2</v>
      </c>
      <c r="W315">
        <v>5.1900000000000002E-2</v>
      </c>
      <c r="X315">
        <v>5.3999999999999999E-2</v>
      </c>
      <c r="Y315">
        <v>3.73E-2</v>
      </c>
      <c r="Z315">
        <v>1.4500000000000001E-2</v>
      </c>
      <c r="AA315">
        <v>2.0199999999999999E-2</v>
      </c>
      <c r="AB315">
        <v>1.6299999999999999E-2</v>
      </c>
      <c r="AC315">
        <v>3.49E-2</v>
      </c>
      <c r="AD315">
        <v>5.7099999999999998E-2</v>
      </c>
      <c r="AE315">
        <v>5.3699999999999998E-2</v>
      </c>
      <c r="AF315">
        <v>8.4199999999999997E-2</v>
      </c>
      <c r="AG315">
        <v>9.5799999999999996E-2</v>
      </c>
      <c r="AH315">
        <v>0.1166</v>
      </c>
      <c r="AI315">
        <v>0.158</v>
      </c>
      <c r="AJ315">
        <v>0.1421</v>
      </c>
      <c r="AK315">
        <v>0.1062</v>
      </c>
      <c r="AL315">
        <v>7.4700000000000003E-2</v>
      </c>
      <c r="AM315">
        <v>3.7400000000000003E-2</v>
      </c>
      <c r="AN315">
        <v>7.4000000000000003E-3</v>
      </c>
      <c r="AO315">
        <v>6.0000000000000001E-3</v>
      </c>
      <c r="AP315">
        <v>1.03E-2</v>
      </c>
      <c r="AQ315">
        <v>-3.0999999999999999E-3</v>
      </c>
      <c r="AR315">
        <v>6.7999999999999996E-3</v>
      </c>
      <c r="AS315">
        <v>1.9300000000000001E-2</v>
      </c>
      <c r="AT315">
        <v>4.9099999999999998E-2</v>
      </c>
      <c r="AU315">
        <v>8.2799999999999999E-2</v>
      </c>
      <c r="AV315">
        <v>5.8400000000000001E-2</v>
      </c>
    </row>
    <row r="316" spans="1:48" x14ac:dyDescent="0.25">
      <c r="A316" t="s">
        <v>416</v>
      </c>
      <c r="B316" t="s">
        <v>2</v>
      </c>
      <c r="C316" t="s">
        <v>416</v>
      </c>
      <c r="D316">
        <v>31060</v>
      </c>
      <c r="E316" t="s">
        <v>672</v>
      </c>
      <c r="F316" t="s">
        <v>117</v>
      </c>
      <c r="G316" t="s">
        <v>670</v>
      </c>
      <c r="H316" t="s">
        <v>670</v>
      </c>
      <c r="I316" t="s">
        <v>673</v>
      </c>
      <c r="J316" t="s">
        <v>673</v>
      </c>
      <c r="K316" t="s">
        <v>673</v>
      </c>
      <c r="L316" t="s">
        <v>673</v>
      </c>
      <c r="M316" t="s">
        <v>673</v>
      </c>
      <c r="N316" t="s">
        <v>673</v>
      </c>
      <c r="O316" t="s">
        <v>673</v>
      </c>
      <c r="P316" t="s">
        <v>673</v>
      </c>
      <c r="Q316" t="s">
        <v>673</v>
      </c>
      <c r="R316" t="s">
        <v>673</v>
      </c>
      <c r="S316" t="s">
        <v>673</v>
      </c>
      <c r="T316" t="s">
        <v>673</v>
      </c>
      <c r="U316" t="s">
        <v>673</v>
      </c>
      <c r="V316" t="s">
        <v>673</v>
      </c>
      <c r="W316" t="s">
        <v>673</v>
      </c>
      <c r="X316" t="s">
        <v>673</v>
      </c>
      <c r="Y316" t="s">
        <v>673</v>
      </c>
      <c r="Z316" t="s">
        <v>673</v>
      </c>
      <c r="AA316" t="s">
        <v>673</v>
      </c>
      <c r="AB316" t="s">
        <v>673</v>
      </c>
      <c r="AC316" t="s">
        <v>673</v>
      </c>
      <c r="AD316" t="s">
        <v>673</v>
      </c>
      <c r="AE316" t="s">
        <v>673</v>
      </c>
      <c r="AF316" t="s">
        <v>673</v>
      </c>
      <c r="AG316" t="s">
        <v>673</v>
      </c>
      <c r="AH316" t="s">
        <v>673</v>
      </c>
      <c r="AI316" t="s">
        <v>673</v>
      </c>
      <c r="AJ316" t="s">
        <v>673</v>
      </c>
      <c r="AK316" t="s">
        <v>673</v>
      </c>
      <c r="AL316" t="s">
        <v>673</v>
      </c>
      <c r="AM316" t="s">
        <v>673</v>
      </c>
      <c r="AN316" t="s">
        <v>673</v>
      </c>
      <c r="AO316" t="s">
        <v>673</v>
      </c>
      <c r="AP316" t="s">
        <v>673</v>
      </c>
      <c r="AQ316" t="s">
        <v>673</v>
      </c>
      <c r="AR316" t="s">
        <v>673</v>
      </c>
      <c r="AS316" t="s">
        <v>673</v>
      </c>
      <c r="AT316" t="s">
        <v>673</v>
      </c>
      <c r="AU316" t="s">
        <v>673</v>
      </c>
      <c r="AV316" t="s">
        <v>673</v>
      </c>
    </row>
    <row r="317" spans="1:48" x14ac:dyDescent="0.25">
      <c r="A317" t="s">
        <v>417</v>
      </c>
      <c r="B317" t="s">
        <v>2</v>
      </c>
      <c r="C317" t="s">
        <v>417</v>
      </c>
      <c r="D317">
        <v>31084</v>
      </c>
      <c r="E317" t="s">
        <v>672</v>
      </c>
      <c r="F317" t="s">
        <v>117</v>
      </c>
      <c r="G317" t="s">
        <v>670</v>
      </c>
      <c r="H317" t="s">
        <v>670</v>
      </c>
      <c r="I317">
        <v>8.3599999999999994E-2</v>
      </c>
      <c r="J317">
        <v>6.9500000000000006E-2</v>
      </c>
      <c r="K317">
        <v>3.78E-2</v>
      </c>
      <c r="L317">
        <v>3.8899999999999997E-2</v>
      </c>
      <c r="M317">
        <v>2.69E-2</v>
      </c>
      <c r="N317">
        <v>4.5499999999999999E-2</v>
      </c>
      <c r="O317">
        <v>6.0299999999999999E-2</v>
      </c>
      <c r="P317">
        <v>4.8300000000000003E-2</v>
      </c>
      <c r="Q317">
        <v>4.6199999999999998E-2</v>
      </c>
      <c r="R317">
        <v>4.2799999999999998E-2</v>
      </c>
      <c r="S317">
        <v>4.2700000000000002E-2</v>
      </c>
      <c r="T317">
        <v>4.2599999999999999E-2</v>
      </c>
      <c r="U317">
        <v>4.4999999999999998E-2</v>
      </c>
      <c r="V317">
        <v>3.2899999999999999E-2</v>
      </c>
      <c r="W317">
        <v>3.3500000000000002E-2</v>
      </c>
      <c r="X317">
        <v>3.5200000000000002E-2</v>
      </c>
      <c r="Y317">
        <v>3.2800000000000003E-2</v>
      </c>
      <c r="Z317">
        <v>-4.5999999999999999E-3</v>
      </c>
      <c r="AA317">
        <v>-0.04</v>
      </c>
      <c r="AB317">
        <v>-4.9099999999999998E-2</v>
      </c>
      <c r="AC317">
        <v>-4.3299999999999998E-2</v>
      </c>
      <c r="AD317">
        <v>1.24E-2</v>
      </c>
      <c r="AE317">
        <v>9.8299999999999998E-2</v>
      </c>
      <c r="AF317">
        <v>0.15679999999999999</v>
      </c>
      <c r="AG317">
        <v>0.17369999999999999</v>
      </c>
      <c r="AH317">
        <v>0.16900000000000001</v>
      </c>
      <c r="AI317">
        <v>0.13070000000000001</v>
      </c>
      <c r="AJ317">
        <v>8.6499999999999994E-2</v>
      </c>
      <c r="AK317">
        <v>6.0199999999999997E-2</v>
      </c>
      <c r="AL317">
        <v>4.1500000000000002E-2</v>
      </c>
      <c r="AM317">
        <v>1.2999999999999999E-2</v>
      </c>
      <c r="AN317">
        <v>3.2000000000000002E-3</v>
      </c>
      <c r="AO317">
        <v>-3.5000000000000001E-3</v>
      </c>
      <c r="AP317">
        <v>-3.3999999999999998E-3</v>
      </c>
      <c r="AQ317">
        <v>-5.4999999999999997E-3</v>
      </c>
      <c r="AR317">
        <v>-1.1999999999999999E-3</v>
      </c>
      <c r="AS317">
        <v>8.8000000000000005E-3</v>
      </c>
      <c r="AT317">
        <v>1.78E-2</v>
      </c>
      <c r="AU317">
        <v>3.1199999999999999E-2</v>
      </c>
      <c r="AV317">
        <v>1.66E-2</v>
      </c>
    </row>
    <row r="318" spans="1:48" x14ac:dyDescent="0.25">
      <c r="A318" t="s">
        <v>418</v>
      </c>
      <c r="B318" t="s">
        <v>2</v>
      </c>
      <c r="C318" t="s">
        <v>418</v>
      </c>
      <c r="D318">
        <v>31140</v>
      </c>
      <c r="E318" t="s">
        <v>672</v>
      </c>
      <c r="F318" t="s">
        <v>117</v>
      </c>
      <c r="G318" t="s">
        <v>670</v>
      </c>
      <c r="H318" t="s">
        <v>670</v>
      </c>
      <c r="I318">
        <v>3.39E-2</v>
      </c>
      <c r="J318">
        <v>3.5299999999999998E-2</v>
      </c>
      <c r="K318">
        <v>3.1899999999999998E-2</v>
      </c>
      <c r="L318">
        <v>3.4099999999999998E-2</v>
      </c>
      <c r="M318">
        <v>3.39E-2</v>
      </c>
      <c r="N318">
        <v>3.3700000000000001E-2</v>
      </c>
      <c r="O318">
        <v>2.9700000000000001E-2</v>
      </c>
      <c r="P318">
        <v>1.0500000000000001E-2</v>
      </c>
      <c r="Q318">
        <v>1.14E-2</v>
      </c>
      <c r="R318">
        <v>7.1000000000000004E-3</v>
      </c>
      <c r="S318">
        <v>2.8400000000000002E-2</v>
      </c>
      <c r="T318">
        <v>4.5999999999999999E-2</v>
      </c>
      <c r="U318">
        <v>6.7599999999999993E-2</v>
      </c>
      <c r="V318">
        <v>7.3499999999999996E-2</v>
      </c>
      <c r="W318">
        <v>4.4900000000000002E-2</v>
      </c>
      <c r="X318">
        <v>4.6100000000000002E-2</v>
      </c>
      <c r="Y318">
        <v>1.12E-2</v>
      </c>
      <c r="Z318">
        <v>-2.0999999999999999E-3</v>
      </c>
      <c r="AA318">
        <v>1.09E-2</v>
      </c>
      <c r="AB318">
        <v>1.09E-2</v>
      </c>
      <c r="AC318">
        <v>3.6999999999999998E-2</v>
      </c>
      <c r="AD318">
        <v>4.5499999999999999E-2</v>
      </c>
      <c r="AE318">
        <v>9.9400000000000002E-2</v>
      </c>
      <c r="AF318">
        <v>0.1288</v>
      </c>
      <c r="AG318">
        <v>0.12839999999999999</v>
      </c>
      <c r="AH318">
        <v>0.15529999999999999</v>
      </c>
      <c r="AI318">
        <v>0.13550000000000001</v>
      </c>
      <c r="AJ318">
        <v>0.1227</v>
      </c>
      <c r="AK318">
        <v>0.1046</v>
      </c>
      <c r="AL318">
        <v>8.3500000000000005E-2</v>
      </c>
      <c r="AM318">
        <v>4.8300000000000003E-2</v>
      </c>
      <c r="AN318">
        <v>3.8699999999999998E-2</v>
      </c>
      <c r="AO318">
        <v>5.1400000000000001E-2</v>
      </c>
      <c r="AP318">
        <v>5.3400000000000003E-2</v>
      </c>
      <c r="AQ318">
        <v>4.99E-2</v>
      </c>
      <c r="AR318">
        <v>3.32E-2</v>
      </c>
      <c r="AS318">
        <v>2.2599999999999999E-2</v>
      </c>
      <c r="AT318">
        <v>2.0799999999999999E-2</v>
      </c>
      <c r="AU318">
        <v>1.8499999999999999E-2</v>
      </c>
      <c r="AV318">
        <v>2.1299999999999999E-2</v>
      </c>
    </row>
    <row r="319" spans="1:48" x14ac:dyDescent="0.25">
      <c r="A319" t="s">
        <v>419</v>
      </c>
      <c r="B319" t="s">
        <v>2</v>
      </c>
      <c r="C319" t="s">
        <v>419</v>
      </c>
      <c r="D319">
        <v>31180</v>
      </c>
      <c r="E319" t="s">
        <v>672</v>
      </c>
      <c r="F319" t="s">
        <v>117</v>
      </c>
      <c r="G319" t="s">
        <v>670</v>
      </c>
      <c r="H319" t="s">
        <v>670</v>
      </c>
      <c r="I319">
        <v>4.0899999999999999E-2</v>
      </c>
      <c r="J319">
        <v>3.6600000000000001E-2</v>
      </c>
      <c r="K319">
        <v>2.69E-2</v>
      </c>
      <c r="L319">
        <v>1.29E-2</v>
      </c>
      <c r="M319">
        <v>9.4999999999999998E-3</v>
      </c>
      <c r="N319">
        <v>-7.7000000000000002E-3</v>
      </c>
      <c r="O319">
        <v>-8.2000000000000007E-3</v>
      </c>
      <c r="P319">
        <v>5.1999999999999998E-3</v>
      </c>
      <c r="Q319">
        <v>7.6E-3</v>
      </c>
      <c r="R319">
        <v>3.09E-2</v>
      </c>
      <c r="S319">
        <v>3.5400000000000001E-2</v>
      </c>
      <c r="T319">
        <v>3.5999999999999997E-2</v>
      </c>
      <c r="U319">
        <v>3.8199999999999998E-2</v>
      </c>
      <c r="V319">
        <v>1.9400000000000001E-2</v>
      </c>
      <c r="W319">
        <v>2.18E-2</v>
      </c>
      <c r="X319">
        <v>3.15E-2</v>
      </c>
      <c r="Y319">
        <v>3.95E-2</v>
      </c>
      <c r="Z319">
        <v>2.76E-2</v>
      </c>
      <c r="AA319">
        <v>2.9899999999999999E-2</v>
      </c>
      <c r="AB319">
        <v>2.23E-2</v>
      </c>
      <c r="AC319">
        <v>1.9300000000000001E-2</v>
      </c>
      <c r="AD319">
        <v>3.56E-2</v>
      </c>
      <c r="AE319">
        <v>5.4899999999999997E-2</v>
      </c>
      <c r="AF319">
        <v>5.8799999999999998E-2</v>
      </c>
      <c r="AG319">
        <v>7.4899999999999994E-2</v>
      </c>
      <c r="AH319">
        <v>8.5099999999999995E-2</v>
      </c>
      <c r="AI319">
        <v>8.7900000000000006E-2</v>
      </c>
      <c r="AJ319">
        <v>9.1200000000000003E-2</v>
      </c>
      <c r="AK319">
        <v>6.1600000000000002E-2</v>
      </c>
      <c r="AL319">
        <v>5.5300000000000002E-2</v>
      </c>
      <c r="AM319">
        <v>3.5000000000000003E-2</v>
      </c>
      <c r="AN319">
        <v>1.6500000000000001E-2</v>
      </c>
      <c r="AO319">
        <v>2.29E-2</v>
      </c>
      <c r="AP319">
        <v>1.2800000000000001E-2</v>
      </c>
      <c r="AQ319">
        <v>-3.5999999999999999E-3</v>
      </c>
      <c r="AR319">
        <v>4.4000000000000003E-3</v>
      </c>
      <c r="AS319">
        <v>-5.0000000000000001E-4</v>
      </c>
      <c r="AT319">
        <v>3.8399999999999997E-2</v>
      </c>
      <c r="AU319">
        <v>2.5600000000000001E-2</v>
      </c>
      <c r="AV319">
        <v>2.9000000000000001E-2</v>
      </c>
    </row>
    <row r="320" spans="1:48" x14ac:dyDescent="0.25">
      <c r="A320" t="s">
        <v>420</v>
      </c>
      <c r="B320" t="s">
        <v>2</v>
      </c>
      <c r="C320" t="s">
        <v>420</v>
      </c>
      <c r="D320">
        <v>31220</v>
      </c>
      <c r="E320" t="s">
        <v>672</v>
      </c>
      <c r="F320" t="s">
        <v>117</v>
      </c>
      <c r="G320" t="s">
        <v>670</v>
      </c>
      <c r="H320" t="s">
        <v>670</v>
      </c>
      <c r="I320" t="s">
        <v>673</v>
      </c>
      <c r="J320" t="s">
        <v>673</v>
      </c>
      <c r="K320" t="s">
        <v>673</v>
      </c>
      <c r="L320" t="s">
        <v>673</v>
      </c>
      <c r="M320" t="s">
        <v>673</v>
      </c>
      <c r="N320" t="s">
        <v>673</v>
      </c>
      <c r="O320" t="s">
        <v>673</v>
      </c>
      <c r="P320" t="s">
        <v>673</v>
      </c>
      <c r="Q320" t="s">
        <v>673</v>
      </c>
      <c r="R320" t="s">
        <v>673</v>
      </c>
      <c r="S320" t="s">
        <v>673</v>
      </c>
      <c r="T320" t="s">
        <v>673</v>
      </c>
      <c r="U320" t="s">
        <v>673</v>
      </c>
      <c r="V320" t="s">
        <v>673</v>
      </c>
      <c r="W320" t="s">
        <v>673</v>
      </c>
      <c r="X320" t="s">
        <v>673</v>
      </c>
      <c r="Y320" t="s">
        <v>673</v>
      </c>
      <c r="Z320" t="s">
        <v>673</v>
      </c>
      <c r="AA320" t="s">
        <v>673</v>
      </c>
      <c r="AB320" t="s">
        <v>673</v>
      </c>
      <c r="AC320" t="s">
        <v>673</v>
      </c>
      <c r="AD320" t="s">
        <v>673</v>
      </c>
      <c r="AE320" t="s">
        <v>673</v>
      </c>
      <c r="AF320" t="s">
        <v>673</v>
      </c>
      <c r="AG320" t="s">
        <v>673</v>
      </c>
      <c r="AH320" t="s">
        <v>673</v>
      </c>
      <c r="AI320" t="s">
        <v>673</v>
      </c>
      <c r="AJ320" t="s">
        <v>673</v>
      </c>
      <c r="AK320" t="s">
        <v>673</v>
      </c>
      <c r="AL320" t="s">
        <v>673</v>
      </c>
      <c r="AM320" t="s">
        <v>673</v>
      </c>
      <c r="AN320" t="s">
        <v>673</v>
      </c>
      <c r="AO320" t="s">
        <v>673</v>
      </c>
      <c r="AP320" t="s">
        <v>673</v>
      </c>
      <c r="AQ320" t="s">
        <v>673</v>
      </c>
      <c r="AR320" t="s">
        <v>673</v>
      </c>
      <c r="AS320" t="s">
        <v>673</v>
      </c>
      <c r="AT320" t="s">
        <v>673</v>
      </c>
      <c r="AU320" t="s">
        <v>673</v>
      </c>
      <c r="AV320" t="s">
        <v>673</v>
      </c>
    </row>
    <row r="321" spans="1:48" x14ac:dyDescent="0.25">
      <c r="A321" t="s">
        <v>421</v>
      </c>
      <c r="B321" t="s">
        <v>2</v>
      </c>
      <c r="C321" t="s">
        <v>421</v>
      </c>
      <c r="D321">
        <v>31260</v>
      </c>
      <c r="E321" t="s">
        <v>672</v>
      </c>
      <c r="F321" t="s">
        <v>117</v>
      </c>
      <c r="G321" t="s">
        <v>670</v>
      </c>
      <c r="H321" t="s">
        <v>670</v>
      </c>
      <c r="I321">
        <v>2.23E-2</v>
      </c>
      <c r="J321">
        <v>4.3400000000000001E-2</v>
      </c>
      <c r="K321">
        <v>-2.58E-2</v>
      </c>
      <c r="L321">
        <v>-4.24E-2</v>
      </c>
      <c r="M321">
        <v>-2.7E-2</v>
      </c>
      <c r="N321">
        <v>-3.8199999999999998E-2</v>
      </c>
      <c r="O321">
        <v>-1.5699999999999999E-2</v>
      </c>
      <c r="P321">
        <v>-7.6E-3</v>
      </c>
      <c r="Q321">
        <v>8.0999999999999996E-3</v>
      </c>
      <c r="R321">
        <v>5.4000000000000003E-3</v>
      </c>
      <c r="S321">
        <v>2.6100000000000002E-2</v>
      </c>
      <c r="T321">
        <v>3.32E-2</v>
      </c>
      <c r="U321">
        <v>2.92E-2</v>
      </c>
      <c r="V321">
        <v>3.5700000000000003E-2</v>
      </c>
      <c r="W321">
        <v>4.1000000000000002E-2</v>
      </c>
      <c r="X321">
        <v>4.1700000000000001E-2</v>
      </c>
      <c r="Y321">
        <v>4.0899999999999999E-2</v>
      </c>
      <c r="Z321">
        <v>4.5999999999999999E-2</v>
      </c>
      <c r="AA321">
        <v>3.2599999999999997E-2</v>
      </c>
      <c r="AB321">
        <v>2.7799999999999998E-2</v>
      </c>
      <c r="AC321">
        <v>2.8400000000000002E-2</v>
      </c>
      <c r="AD321">
        <v>4.7199999999999999E-2</v>
      </c>
      <c r="AE321">
        <v>7.17E-2</v>
      </c>
      <c r="AF321">
        <v>6.7799999999999999E-2</v>
      </c>
      <c r="AG321">
        <v>5.9700000000000003E-2</v>
      </c>
      <c r="AH321">
        <v>3.44E-2</v>
      </c>
      <c r="AI321">
        <v>7.5800000000000006E-2</v>
      </c>
      <c r="AJ321">
        <v>6.1800000000000001E-2</v>
      </c>
      <c r="AK321">
        <v>6.6600000000000006E-2</v>
      </c>
      <c r="AL321">
        <v>7.3400000000000007E-2</v>
      </c>
      <c r="AM321">
        <v>2.18E-2</v>
      </c>
      <c r="AN321">
        <v>4.3499999999999997E-2</v>
      </c>
      <c r="AO321">
        <v>4.2500000000000003E-2</v>
      </c>
      <c r="AP321">
        <v>5.2699999999999997E-2</v>
      </c>
      <c r="AQ321">
        <v>5.9900000000000002E-2</v>
      </c>
      <c r="AR321">
        <v>4.6800000000000001E-2</v>
      </c>
      <c r="AS321">
        <v>4.2099999999999999E-2</v>
      </c>
      <c r="AT321">
        <v>4.4200000000000003E-2</v>
      </c>
      <c r="AU321">
        <v>4.0399999999999998E-2</v>
      </c>
      <c r="AV321">
        <v>4.19E-2</v>
      </c>
    </row>
    <row r="322" spans="1:48" x14ac:dyDescent="0.25">
      <c r="A322" t="s">
        <v>422</v>
      </c>
      <c r="B322" t="s">
        <v>2</v>
      </c>
      <c r="C322" t="s">
        <v>422</v>
      </c>
      <c r="D322">
        <v>31300</v>
      </c>
      <c r="E322" t="s">
        <v>672</v>
      </c>
      <c r="F322" t="s">
        <v>117</v>
      </c>
      <c r="G322" t="s">
        <v>670</v>
      </c>
      <c r="H322" t="s">
        <v>670</v>
      </c>
      <c r="I322" t="s">
        <v>673</v>
      </c>
      <c r="J322" t="s">
        <v>673</v>
      </c>
      <c r="K322" t="s">
        <v>673</v>
      </c>
      <c r="L322" t="s">
        <v>673</v>
      </c>
      <c r="M322" t="s">
        <v>673</v>
      </c>
      <c r="N322" t="s">
        <v>673</v>
      </c>
      <c r="O322" t="s">
        <v>673</v>
      </c>
      <c r="P322" t="s">
        <v>673</v>
      </c>
      <c r="Q322" t="s">
        <v>673</v>
      </c>
      <c r="R322" t="s">
        <v>673</v>
      </c>
      <c r="S322" t="s">
        <v>673</v>
      </c>
      <c r="T322" t="s">
        <v>673</v>
      </c>
      <c r="U322" t="s">
        <v>673</v>
      </c>
      <c r="V322" t="s">
        <v>673</v>
      </c>
      <c r="W322" t="s">
        <v>673</v>
      </c>
      <c r="X322" t="s">
        <v>673</v>
      </c>
      <c r="Y322" t="s">
        <v>673</v>
      </c>
      <c r="Z322" t="s">
        <v>673</v>
      </c>
      <c r="AA322" t="s">
        <v>673</v>
      </c>
      <c r="AB322" t="s">
        <v>673</v>
      </c>
      <c r="AC322" t="s">
        <v>673</v>
      </c>
      <c r="AD322" t="s">
        <v>673</v>
      </c>
      <c r="AE322" t="s">
        <v>673</v>
      </c>
      <c r="AF322" t="s">
        <v>673</v>
      </c>
      <c r="AG322" t="s">
        <v>673</v>
      </c>
      <c r="AH322" t="s">
        <v>673</v>
      </c>
      <c r="AI322" t="s">
        <v>673</v>
      </c>
      <c r="AJ322" t="s">
        <v>673</v>
      </c>
      <c r="AK322" t="s">
        <v>673</v>
      </c>
      <c r="AL322" t="s">
        <v>673</v>
      </c>
      <c r="AM322" t="s">
        <v>673</v>
      </c>
      <c r="AN322" t="s">
        <v>673</v>
      </c>
      <c r="AO322" t="s">
        <v>673</v>
      </c>
      <c r="AP322" t="s">
        <v>673</v>
      </c>
      <c r="AQ322" t="s">
        <v>673</v>
      </c>
      <c r="AR322" t="s">
        <v>673</v>
      </c>
      <c r="AS322" t="s">
        <v>673</v>
      </c>
      <c r="AT322" t="s">
        <v>673</v>
      </c>
      <c r="AU322" t="s">
        <v>673</v>
      </c>
      <c r="AV322" t="s">
        <v>673</v>
      </c>
    </row>
    <row r="323" spans="1:48" x14ac:dyDescent="0.25">
      <c r="A323" t="s">
        <v>423</v>
      </c>
      <c r="B323" t="s">
        <v>2</v>
      </c>
      <c r="C323" t="s">
        <v>423</v>
      </c>
      <c r="D323">
        <v>31340</v>
      </c>
      <c r="E323" t="s">
        <v>672</v>
      </c>
      <c r="F323" t="s">
        <v>117</v>
      </c>
      <c r="G323" t="s">
        <v>670</v>
      </c>
      <c r="H323" t="s">
        <v>670</v>
      </c>
      <c r="I323">
        <v>-3.0000000000000001E-3</v>
      </c>
      <c r="J323">
        <v>1.6299999999999999E-2</v>
      </c>
      <c r="K323">
        <v>-1.3100000000000001E-2</v>
      </c>
      <c r="L323">
        <v>-3.7000000000000002E-3</v>
      </c>
      <c r="M323">
        <v>6.4000000000000003E-3</v>
      </c>
      <c r="N323">
        <v>5.0000000000000001E-4</v>
      </c>
      <c r="O323">
        <v>2.24E-2</v>
      </c>
      <c r="P323">
        <v>2.3599999999999999E-2</v>
      </c>
      <c r="Q323">
        <v>2.6200000000000001E-2</v>
      </c>
      <c r="R323">
        <v>6.4999999999999997E-3</v>
      </c>
      <c r="S323">
        <v>1.5599999999999999E-2</v>
      </c>
      <c r="T323">
        <v>2.6800000000000001E-2</v>
      </c>
      <c r="U323">
        <v>3.4799999999999998E-2</v>
      </c>
      <c r="V323">
        <v>3.1899999999999998E-2</v>
      </c>
      <c r="W323">
        <v>1.83E-2</v>
      </c>
      <c r="X323">
        <v>3.2800000000000003E-2</v>
      </c>
      <c r="Y323">
        <v>4.5199999999999997E-2</v>
      </c>
      <c r="Z323">
        <v>2.3900000000000001E-2</v>
      </c>
      <c r="AA323">
        <v>3.8699999999999998E-2</v>
      </c>
      <c r="AB323">
        <v>1.5100000000000001E-2</v>
      </c>
      <c r="AC323">
        <v>3.2199999999999999E-2</v>
      </c>
      <c r="AD323">
        <v>7.7600000000000002E-2</v>
      </c>
      <c r="AE323">
        <v>0.10009999999999999</v>
      </c>
      <c r="AF323">
        <v>0.12809999999999999</v>
      </c>
      <c r="AG323">
        <v>0.13</v>
      </c>
      <c r="AH323">
        <v>0.13370000000000001</v>
      </c>
      <c r="AI323">
        <v>0.13159999999999999</v>
      </c>
      <c r="AJ323">
        <v>0.13969999999999999</v>
      </c>
      <c r="AK323">
        <v>0.14080000000000001</v>
      </c>
      <c r="AL323">
        <v>0.1114</v>
      </c>
      <c r="AM323">
        <v>7.8E-2</v>
      </c>
      <c r="AN323">
        <v>6.6100000000000006E-2</v>
      </c>
      <c r="AO323">
        <v>2.4400000000000002E-2</v>
      </c>
      <c r="AP323">
        <v>3.3799999999999997E-2</v>
      </c>
      <c r="AQ323">
        <v>3.04E-2</v>
      </c>
      <c r="AR323">
        <v>-7.1999999999999998E-3</v>
      </c>
      <c r="AS323">
        <v>2.5000000000000001E-3</v>
      </c>
      <c r="AT323">
        <v>-7.0000000000000001E-3</v>
      </c>
      <c r="AU323">
        <v>2.3E-3</v>
      </c>
      <c r="AV323">
        <v>4.2900000000000001E-2</v>
      </c>
    </row>
    <row r="324" spans="1:48" x14ac:dyDescent="0.25">
      <c r="A324" t="s">
        <v>424</v>
      </c>
      <c r="B324" t="s">
        <v>2</v>
      </c>
      <c r="C324" t="s">
        <v>424</v>
      </c>
      <c r="D324">
        <v>231420</v>
      </c>
      <c r="E324" t="s">
        <v>672</v>
      </c>
      <c r="F324" t="s">
        <v>117</v>
      </c>
      <c r="G324" t="s">
        <v>670</v>
      </c>
      <c r="H324" t="s">
        <v>670</v>
      </c>
      <c r="I324">
        <v>0.06</v>
      </c>
      <c r="J324">
        <v>5.8299999999999998E-2</v>
      </c>
      <c r="K324">
        <v>4.6399999999999997E-2</v>
      </c>
      <c r="L324">
        <v>4.3999999999999997E-2</v>
      </c>
      <c r="M324">
        <v>2.07E-2</v>
      </c>
      <c r="N324">
        <v>2.2100000000000002E-2</v>
      </c>
      <c r="O324">
        <v>4.1300000000000003E-2</v>
      </c>
      <c r="P324">
        <v>4.4200000000000003E-2</v>
      </c>
      <c r="Q324">
        <v>3.8800000000000001E-2</v>
      </c>
      <c r="R324">
        <v>3.4799999999999998E-2</v>
      </c>
      <c r="S324">
        <v>3.6700000000000003E-2</v>
      </c>
      <c r="T324">
        <v>3.7699999999999997E-2</v>
      </c>
      <c r="U324">
        <v>4.6300000000000001E-2</v>
      </c>
      <c r="V324">
        <v>5.9200000000000003E-2</v>
      </c>
      <c r="W324">
        <v>6.1199999999999997E-2</v>
      </c>
      <c r="X324">
        <v>6.0499999999999998E-2</v>
      </c>
      <c r="Y324">
        <v>6.5100000000000005E-2</v>
      </c>
      <c r="Z324">
        <v>5.7099999999999998E-2</v>
      </c>
      <c r="AA324">
        <v>5.1499999999999997E-2</v>
      </c>
      <c r="AB324">
        <v>7.1599999999999997E-2</v>
      </c>
      <c r="AC324">
        <v>6.83E-2</v>
      </c>
      <c r="AD324">
        <v>0.1003</v>
      </c>
      <c r="AE324">
        <v>0.1384</v>
      </c>
      <c r="AF324">
        <v>0.1797</v>
      </c>
      <c r="AG324">
        <v>0.2223</v>
      </c>
      <c r="AH324">
        <v>0.2069</v>
      </c>
      <c r="AI324">
        <v>0.18</v>
      </c>
      <c r="AJ324">
        <v>0.1147</v>
      </c>
      <c r="AK324">
        <v>6.9800000000000001E-2</v>
      </c>
      <c r="AL324">
        <v>4.7399999999999998E-2</v>
      </c>
      <c r="AM324">
        <v>2.76E-2</v>
      </c>
      <c r="AN324">
        <v>1.4200000000000001E-2</v>
      </c>
      <c r="AO324">
        <v>6.9999999999999999E-4</v>
      </c>
      <c r="AP324">
        <v>-1.2200000000000001E-2</v>
      </c>
      <c r="AQ324">
        <v>-1.84E-2</v>
      </c>
      <c r="AR324">
        <v>-2.4899999999999999E-2</v>
      </c>
      <c r="AS324">
        <v>-1.55E-2</v>
      </c>
      <c r="AT324">
        <v>-2.0000000000000001E-4</v>
      </c>
      <c r="AU324">
        <v>-5.0000000000000001E-3</v>
      </c>
      <c r="AV324">
        <v>-8.0000000000000004E-4</v>
      </c>
    </row>
    <row r="325" spans="1:48" x14ac:dyDescent="0.25">
      <c r="A325" t="s">
        <v>425</v>
      </c>
      <c r="B325" t="s">
        <v>2</v>
      </c>
      <c r="C325" t="s">
        <v>425</v>
      </c>
      <c r="D325">
        <v>31540</v>
      </c>
      <c r="E325" t="s">
        <v>672</v>
      </c>
      <c r="F325" t="s">
        <v>117</v>
      </c>
      <c r="G325" t="s">
        <v>670</v>
      </c>
      <c r="H325" t="s">
        <v>670</v>
      </c>
      <c r="I325">
        <v>7.2999999999999995E-2</v>
      </c>
      <c r="J325">
        <v>7.9299999999999995E-2</v>
      </c>
      <c r="K325">
        <v>7.0099999999999996E-2</v>
      </c>
      <c r="L325">
        <v>5.8200000000000002E-2</v>
      </c>
      <c r="M325">
        <v>3.4799999999999998E-2</v>
      </c>
      <c r="N325">
        <v>2.7900000000000001E-2</v>
      </c>
      <c r="O325">
        <v>3.2800000000000003E-2</v>
      </c>
      <c r="P325">
        <v>3.2399999999999998E-2</v>
      </c>
      <c r="Q325">
        <v>2.3199999999999998E-2</v>
      </c>
      <c r="R325">
        <v>1.9800000000000002E-2</v>
      </c>
      <c r="S325">
        <v>1.9300000000000001E-2</v>
      </c>
      <c r="T325">
        <v>2.6800000000000001E-2</v>
      </c>
      <c r="U325">
        <v>3.2500000000000001E-2</v>
      </c>
      <c r="V325">
        <v>3.04E-2</v>
      </c>
      <c r="W325">
        <v>4.6699999999999998E-2</v>
      </c>
      <c r="X325">
        <v>4.2900000000000001E-2</v>
      </c>
      <c r="Y325">
        <v>4.2599999999999999E-2</v>
      </c>
      <c r="Z325">
        <v>3.32E-2</v>
      </c>
      <c r="AA325">
        <v>1.54E-2</v>
      </c>
      <c r="AB325">
        <v>1.0800000000000001E-2</v>
      </c>
      <c r="AC325">
        <v>5.1999999999999998E-3</v>
      </c>
      <c r="AD325">
        <v>1.9599999999999999E-2</v>
      </c>
      <c r="AE325">
        <v>3.2800000000000003E-2</v>
      </c>
      <c r="AF325">
        <v>4.2099999999999999E-2</v>
      </c>
      <c r="AG325">
        <v>4.6699999999999998E-2</v>
      </c>
      <c r="AH325">
        <v>4.4200000000000003E-2</v>
      </c>
      <c r="AI325">
        <v>4.8800000000000003E-2</v>
      </c>
      <c r="AJ325">
        <v>9.4299999999999995E-2</v>
      </c>
      <c r="AK325">
        <v>0.10920000000000001</v>
      </c>
      <c r="AL325">
        <v>0.12</v>
      </c>
      <c r="AM325">
        <v>0.12470000000000001</v>
      </c>
      <c r="AN325">
        <v>6.3200000000000006E-2</v>
      </c>
      <c r="AO325">
        <v>8.6199999999999999E-2</v>
      </c>
      <c r="AP325">
        <v>8.2900000000000001E-2</v>
      </c>
      <c r="AQ325">
        <v>7.5999999999999998E-2</v>
      </c>
      <c r="AR325">
        <v>9.9199999999999997E-2</v>
      </c>
      <c r="AS325">
        <v>6.7199999999999996E-2</v>
      </c>
      <c r="AT325">
        <v>6.5600000000000006E-2</v>
      </c>
      <c r="AU325">
        <v>5.7799999999999997E-2</v>
      </c>
      <c r="AV325">
        <v>2.8000000000000001E-2</v>
      </c>
    </row>
    <row r="326" spans="1:48" x14ac:dyDescent="0.25">
      <c r="A326" t="s">
        <v>426</v>
      </c>
      <c r="B326" t="s">
        <v>2</v>
      </c>
      <c r="C326" t="s">
        <v>426</v>
      </c>
      <c r="D326">
        <v>231700</v>
      </c>
      <c r="E326" t="s">
        <v>672</v>
      </c>
      <c r="F326" t="s">
        <v>117</v>
      </c>
      <c r="G326" t="s">
        <v>670</v>
      </c>
      <c r="H326" t="s">
        <v>670</v>
      </c>
      <c r="I326">
        <v>6.5100000000000005E-2</v>
      </c>
      <c r="J326">
        <v>3.8100000000000002E-2</v>
      </c>
      <c r="K326">
        <v>3.9899999999999998E-2</v>
      </c>
      <c r="L326">
        <v>4.1399999999999999E-2</v>
      </c>
      <c r="M326">
        <v>4.6300000000000001E-2</v>
      </c>
      <c r="N326">
        <v>4.6100000000000002E-2</v>
      </c>
      <c r="O326">
        <v>3.2199999999999999E-2</v>
      </c>
      <c r="P326">
        <v>2.3599999999999999E-2</v>
      </c>
      <c r="Q326">
        <v>1.9E-2</v>
      </c>
      <c r="R326">
        <v>3.4099999999999998E-2</v>
      </c>
      <c r="S326">
        <v>4.48E-2</v>
      </c>
      <c r="T326">
        <v>6.9900000000000004E-2</v>
      </c>
      <c r="U326">
        <v>7.9799999999999996E-2</v>
      </c>
      <c r="V326">
        <v>7.22E-2</v>
      </c>
      <c r="W326">
        <v>7.7700000000000005E-2</v>
      </c>
      <c r="X326">
        <v>5.0500000000000003E-2</v>
      </c>
      <c r="Y326">
        <v>4.8000000000000001E-2</v>
      </c>
      <c r="Z326">
        <v>3.3700000000000001E-2</v>
      </c>
      <c r="AA326">
        <v>2.64E-2</v>
      </c>
      <c r="AB326">
        <v>5.5800000000000002E-2</v>
      </c>
      <c r="AC326">
        <v>6.0299999999999999E-2</v>
      </c>
      <c r="AD326">
        <v>0.1026</v>
      </c>
      <c r="AE326">
        <v>0.1424</v>
      </c>
      <c r="AF326">
        <v>0.151</v>
      </c>
      <c r="AG326">
        <v>0.14580000000000001</v>
      </c>
      <c r="AH326">
        <v>0.14530000000000001</v>
      </c>
      <c r="AI326">
        <v>0.1234</v>
      </c>
      <c r="AJ326">
        <v>8.7800000000000003E-2</v>
      </c>
      <c r="AK326">
        <v>9.64E-2</v>
      </c>
      <c r="AL326">
        <v>6.0199999999999997E-2</v>
      </c>
      <c r="AM326">
        <v>2.7199999999999998E-2</v>
      </c>
      <c r="AN326">
        <v>3.04E-2</v>
      </c>
      <c r="AO326">
        <v>2.8000000000000001E-2</v>
      </c>
      <c r="AP326">
        <v>3.0800000000000001E-2</v>
      </c>
      <c r="AQ326">
        <v>5.3199999999999997E-2</v>
      </c>
      <c r="AR326">
        <v>3.4099999999999998E-2</v>
      </c>
      <c r="AS326">
        <v>2.3199999999999998E-2</v>
      </c>
      <c r="AT326">
        <v>2.63E-2</v>
      </c>
      <c r="AU326">
        <v>1.2E-2</v>
      </c>
      <c r="AV326">
        <v>2.5000000000000001E-2</v>
      </c>
    </row>
    <row r="327" spans="1:48" x14ac:dyDescent="0.25">
      <c r="A327" t="s">
        <v>427</v>
      </c>
      <c r="B327" t="s">
        <v>2</v>
      </c>
      <c r="C327" t="s">
        <v>427</v>
      </c>
      <c r="D327">
        <v>31740</v>
      </c>
      <c r="E327" t="s">
        <v>672</v>
      </c>
      <c r="F327" t="s">
        <v>117</v>
      </c>
      <c r="G327" t="s">
        <v>670</v>
      </c>
      <c r="H327" t="s">
        <v>670</v>
      </c>
      <c r="I327">
        <v>-3.4799999999999998E-2</v>
      </c>
      <c r="J327">
        <v>-3.8999999999999998E-3</v>
      </c>
      <c r="K327">
        <v>-2.41E-2</v>
      </c>
      <c r="L327">
        <v>-1.43E-2</v>
      </c>
      <c r="M327">
        <v>-4.6399999999999997E-2</v>
      </c>
      <c r="N327">
        <v>-7.2800000000000004E-2</v>
      </c>
      <c r="O327">
        <v>-2.9399999999999999E-2</v>
      </c>
      <c r="P327">
        <v>-3.4299999999999997E-2</v>
      </c>
      <c r="Q327">
        <v>-1.3899999999999999E-2</v>
      </c>
      <c r="R327">
        <v>3.1E-2</v>
      </c>
      <c r="S327">
        <v>-4.5900000000000003E-2</v>
      </c>
      <c r="T327">
        <v>9.2999999999999992E-3</v>
      </c>
      <c r="U327">
        <v>4.0000000000000001E-3</v>
      </c>
      <c r="V327">
        <v>-8.2000000000000007E-3</v>
      </c>
      <c r="W327">
        <v>1.7500000000000002E-2</v>
      </c>
      <c r="X327">
        <v>-2.3E-3</v>
      </c>
      <c r="Y327">
        <v>4.1000000000000003E-3</v>
      </c>
      <c r="Z327">
        <v>-2.7000000000000001E-3</v>
      </c>
      <c r="AA327">
        <v>1.14E-2</v>
      </c>
      <c r="AB327">
        <v>3.7699999999999997E-2</v>
      </c>
      <c r="AC327">
        <v>6.9800000000000001E-2</v>
      </c>
      <c r="AD327">
        <v>5.8999999999999997E-2</v>
      </c>
      <c r="AE327">
        <v>4.4600000000000001E-2</v>
      </c>
      <c r="AF327">
        <v>4.19E-2</v>
      </c>
      <c r="AG327">
        <v>4.7100000000000003E-2</v>
      </c>
      <c r="AH327">
        <v>8.0100000000000005E-2</v>
      </c>
      <c r="AI327">
        <v>9.7600000000000006E-2</v>
      </c>
      <c r="AJ327">
        <v>6.3500000000000001E-2</v>
      </c>
      <c r="AK327">
        <v>4.65E-2</v>
      </c>
      <c r="AL327">
        <v>1.67E-2</v>
      </c>
      <c r="AM327">
        <v>9.5999999999999992E-3</v>
      </c>
      <c r="AN327">
        <v>1.6E-2</v>
      </c>
      <c r="AO327">
        <v>1.9199999999999998E-2</v>
      </c>
      <c r="AP327">
        <v>6.2899999999999998E-2</v>
      </c>
      <c r="AQ327">
        <v>0.1042</v>
      </c>
      <c r="AR327">
        <v>0.1028</v>
      </c>
      <c r="AS327">
        <v>0.1048</v>
      </c>
      <c r="AT327">
        <v>0.1101</v>
      </c>
      <c r="AU327">
        <v>4.02E-2</v>
      </c>
      <c r="AV327">
        <v>4.3900000000000002E-2</v>
      </c>
    </row>
    <row r="328" spans="1:48" x14ac:dyDescent="0.25">
      <c r="A328" t="s">
        <v>428</v>
      </c>
      <c r="B328" t="s">
        <v>2</v>
      </c>
      <c r="C328" t="s">
        <v>428</v>
      </c>
      <c r="D328">
        <v>31860</v>
      </c>
      <c r="E328" t="s">
        <v>672</v>
      </c>
      <c r="F328" t="s">
        <v>117</v>
      </c>
      <c r="G328" t="s">
        <v>670</v>
      </c>
      <c r="H328" t="s">
        <v>670</v>
      </c>
      <c r="I328">
        <v>1.29E-2</v>
      </c>
      <c r="J328">
        <v>-6.0000000000000001E-3</v>
      </c>
      <c r="K328">
        <v>1.78E-2</v>
      </c>
      <c r="L328">
        <v>2.4500000000000001E-2</v>
      </c>
      <c r="M328">
        <v>6.2700000000000006E-2</v>
      </c>
      <c r="N328">
        <v>8.0500000000000002E-2</v>
      </c>
      <c r="O328">
        <v>2.2000000000000001E-3</v>
      </c>
      <c r="P328">
        <v>-5.4000000000000003E-3</v>
      </c>
      <c r="Q328">
        <v>-4.8800000000000003E-2</v>
      </c>
      <c r="R328">
        <v>-4.2599999999999999E-2</v>
      </c>
      <c r="S328">
        <v>2.41E-2</v>
      </c>
      <c r="T328">
        <v>3.1699999999999999E-2</v>
      </c>
      <c r="U328">
        <v>0.03</v>
      </c>
      <c r="V328">
        <v>1.5100000000000001E-2</v>
      </c>
      <c r="W328">
        <v>3.7600000000000001E-2</v>
      </c>
      <c r="X328">
        <v>3.8699999999999998E-2</v>
      </c>
      <c r="Y328">
        <v>4.1099999999999998E-2</v>
      </c>
      <c r="Z328">
        <v>-1.8100000000000002E-2</v>
      </c>
      <c r="AA328">
        <v>5.4000000000000003E-3</v>
      </c>
      <c r="AB328">
        <v>4.0000000000000001E-3</v>
      </c>
      <c r="AC328">
        <v>1.0999999999999999E-2</v>
      </c>
      <c r="AD328">
        <v>7.1599999999999997E-2</v>
      </c>
      <c r="AE328">
        <v>1.4999999999999999E-2</v>
      </c>
      <c r="AF328">
        <v>-9.0499999999999997E-2</v>
      </c>
      <c r="AG328">
        <v>-0.1656</v>
      </c>
      <c r="AH328">
        <v>-0.1603</v>
      </c>
      <c r="AI328">
        <v>-0.161</v>
      </c>
      <c r="AJ328">
        <v>6.2600000000000003E-2</v>
      </c>
      <c r="AK328">
        <v>0.1525</v>
      </c>
      <c r="AL328" t="s">
        <v>673</v>
      </c>
      <c r="AM328" t="s">
        <v>673</v>
      </c>
      <c r="AN328" t="s">
        <v>673</v>
      </c>
      <c r="AO328" t="s">
        <v>673</v>
      </c>
      <c r="AP328" t="s">
        <v>673</v>
      </c>
      <c r="AQ328" t="s">
        <v>673</v>
      </c>
      <c r="AR328" t="s">
        <v>673</v>
      </c>
      <c r="AS328" t="s">
        <v>673</v>
      </c>
      <c r="AT328" t="s">
        <v>673</v>
      </c>
      <c r="AU328" t="s">
        <v>673</v>
      </c>
      <c r="AV328">
        <v>0.1076</v>
      </c>
    </row>
    <row r="329" spans="1:48" x14ac:dyDescent="0.25">
      <c r="A329" t="s">
        <v>429</v>
      </c>
      <c r="B329" t="s">
        <v>2</v>
      </c>
      <c r="C329" t="s">
        <v>429</v>
      </c>
      <c r="D329">
        <v>31900</v>
      </c>
      <c r="E329" t="s">
        <v>672</v>
      </c>
      <c r="F329" t="s">
        <v>117</v>
      </c>
      <c r="G329" t="s">
        <v>670</v>
      </c>
      <c r="H329" t="s">
        <v>670</v>
      </c>
      <c r="I329" t="s">
        <v>673</v>
      </c>
      <c r="J329" t="s">
        <v>673</v>
      </c>
      <c r="K329" t="s">
        <v>673</v>
      </c>
      <c r="L329" t="s">
        <v>673</v>
      </c>
      <c r="M329" t="s">
        <v>673</v>
      </c>
      <c r="N329" t="s">
        <v>673</v>
      </c>
      <c r="O329" t="s">
        <v>673</v>
      </c>
      <c r="P329">
        <v>0.25240000000000001</v>
      </c>
      <c r="Q329">
        <v>3.3099999999999997E-2</v>
      </c>
      <c r="R329">
        <v>1.5100000000000001E-2</v>
      </c>
      <c r="S329">
        <v>-1.4999999999999999E-2</v>
      </c>
      <c r="T329">
        <v>1.2699999999999999E-2</v>
      </c>
      <c r="U329">
        <v>1.7100000000000001E-2</v>
      </c>
      <c r="V329">
        <v>8.9700000000000002E-2</v>
      </c>
      <c r="W329">
        <v>0.1517</v>
      </c>
      <c r="X329">
        <v>9.5699999999999993E-2</v>
      </c>
      <c r="Y329">
        <v>0.1024</v>
      </c>
      <c r="Z329">
        <v>1.67E-2</v>
      </c>
      <c r="AA329">
        <v>-4.0000000000000001E-3</v>
      </c>
      <c r="AB329">
        <v>3.9800000000000002E-2</v>
      </c>
      <c r="AC329">
        <v>4.1700000000000001E-2</v>
      </c>
      <c r="AD329">
        <v>5.0700000000000002E-2</v>
      </c>
      <c r="AE329">
        <v>0.38979999999999998</v>
      </c>
      <c r="AF329">
        <v>0.46679999999999999</v>
      </c>
      <c r="AG329">
        <v>0.88080000000000003</v>
      </c>
      <c r="AH329">
        <v>0.89419999999999999</v>
      </c>
      <c r="AI329">
        <v>0.40589999999999998</v>
      </c>
      <c r="AJ329">
        <v>0.32069999999999999</v>
      </c>
      <c r="AK329">
        <v>3.6700000000000003E-2</v>
      </c>
      <c r="AL329">
        <v>5.16E-2</v>
      </c>
      <c r="AM329">
        <v>0.14280000000000001</v>
      </c>
      <c r="AN329">
        <v>0.1943</v>
      </c>
      <c r="AO329">
        <v>0.1545</v>
      </c>
      <c r="AP329">
        <v>8.2299999999999998E-2</v>
      </c>
      <c r="AQ329">
        <v>4.6100000000000002E-2</v>
      </c>
      <c r="AR329">
        <v>-1.0200000000000001E-2</v>
      </c>
      <c r="AS329">
        <v>3.7199999999999997E-2</v>
      </c>
      <c r="AT329">
        <v>0.1012</v>
      </c>
      <c r="AU329">
        <v>4.5999999999999999E-3</v>
      </c>
      <c r="AV329">
        <v>-7.4999999999999997E-3</v>
      </c>
    </row>
    <row r="330" spans="1:48" x14ac:dyDescent="0.25">
      <c r="A330" t="s">
        <v>430</v>
      </c>
      <c r="B330" t="s">
        <v>2</v>
      </c>
      <c r="C330" t="s">
        <v>430</v>
      </c>
      <c r="D330">
        <v>31930</v>
      </c>
      <c r="E330" t="s">
        <v>672</v>
      </c>
      <c r="F330" t="s">
        <v>117</v>
      </c>
      <c r="G330" t="s">
        <v>670</v>
      </c>
      <c r="H330" t="s">
        <v>670</v>
      </c>
      <c r="I330" t="s">
        <v>673</v>
      </c>
      <c r="J330" t="s">
        <v>673</v>
      </c>
      <c r="K330" t="s">
        <v>673</v>
      </c>
      <c r="L330" t="s">
        <v>673</v>
      </c>
      <c r="M330" t="s">
        <v>673</v>
      </c>
      <c r="N330" t="s">
        <v>673</v>
      </c>
      <c r="O330" t="s">
        <v>673</v>
      </c>
      <c r="P330" t="s">
        <v>673</v>
      </c>
      <c r="Q330" t="s">
        <v>673</v>
      </c>
      <c r="R330" t="s">
        <v>673</v>
      </c>
      <c r="S330" t="s">
        <v>673</v>
      </c>
      <c r="T330" t="s">
        <v>673</v>
      </c>
      <c r="U330" t="s">
        <v>673</v>
      </c>
      <c r="V330" t="s">
        <v>673</v>
      </c>
      <c r="W330" t="s">
        <v>673</v>
      </c>
      <c r="X330" t="s">
        <v>673</v>
      </c>
      <c r="Y330" t="s">
        <v>673</v>
      </c>
      <c r="Z330" t="s">
        <v>673</v>
      </c>
      <c r="AA330" t="s">
        <v>673</v>
      </c>
      <c r="AB330" t="s">
        <v>673</v>
      </c>
      <c r="AC330" t="s">
        <v>673</v>
      </c>
      <c r="AD330" t="s">
        <v>673</v>
      </c>
      <c r="AE330" t="s">
        <v>673</v>
      </c>
      <c r="AF330" t="s">
        <v>673</v>
      </c>
      <c r="AG330" t="s">
        <v>673</v>
      </c>
      <c r="AH330" t="s">
        <v>673</v>
      </c>
      <c r="AI330" t="s">
        <v>673</v>
      </c>
      <c r="AJ330" t="s">
        <v>673</v>
      </c>
      <c r="AK330" t="s">
        <v>673</v>
      </c>
      <c r="AL330" t="s">
        <v>673</v>
      </c>
      <c r="AM330" t="s">
        <v>673</v>
      </c>
      <c r="AN330" t="s">
        <v>673</v>
      </c>
      <c r="AO330" t="s">
        <v>673</v>
      </c>
      <c r="AP330" t="s">
        <v>673</v>
      </c>
      <c r="AQ330" t="s">
        <v>673</v>
      </c>
      <c r="AR330" t="s">
        <v>673</v>
      </c>
      <c r="AS330" t="s">
        <v>673</v>
      </c>
      <c r="AT330" t="s">
        <v>673</v>
      </c>
      <c r="AU330" t="s">
        <v>673</v>
      </c>
      <c r="AV330" t="s">
        <v>673</v>
      </c>
    </row>
    <row r="331" spans="1:48" x14ac:dyDescent="0.25">
      <c r="A331" t="s">
        <v>431</v>
      </c>
      <c r="B331" t="s">
        <v>2</v>
      </c>
      <c r="C331" t="s">
        <v>431</v>
      </c>
      <c r="D331">
        <v>31980</v>
      </c>
      <c r="E331" t="s">
        <v>672</v>
      </c>
      <c r="F331" t="s">
        <v>117</v>
      </c>
      <c r="G331" t="s">
        <v>670</v>
      </c>
      <c r="H331" t="s">
        <v>670</v>
      </c>
      <c r="I331" t="s">
        <v>673</v>
      </c>
      <c r="J331" t="s">
        <v>673</v>
      </c>
      <c r="K331" t="s">
        <v>673</v>
      </c>
      <c r="L331" t="s">
        <v>673</v>
      </c>
      <c r="M331" t="s">
        <v>673</v>
      </c>
      <c r="N331">
        <v>7.6200000000000004E-2</v>
      </c>
      <c r="O331">
        <v>5.7599999999999998E-2</v>
      </c>
      <c r="P331">
        <v>3.1199999999999999E-2</v>
      </c>
      <c r="Q331">
        <v>4.4200000000000003E-2</v>
      </c>
      <c r="R331">
        <v>2.0999999999999999E-3</v>
      </c>
      <c r="S331">
        <v>-1.3599999999999999E-2</v>
      </c>
      <c r="T331">
        <v>-1.43E-2</v>
      </c>
      <c r="U331">
        <v>3.2000000000000001E-2</v>
      </c>
      <c r="V331">
        <v>2.4299999999999999E-2</v>
      </c>
      <c r="W331">
        <v>5.04E-2</v>
      </c>
      <c r="X331">
        <v>4.9099999999999998E-2</v>
      </c>
      <c r="Y331">
        <v>2.4400000000000002E-2</v>
      </c>
      <c r="Z331">
        <v>2.81E-2</v>
      </c>
      <c r="AA331">
        <v>8.8000000000000005E-3</v>
      </c>
      <c r="AB331">
        <v>1.5299999999999999E-2</v>
      </c>
      <c r="AC331">
        <v>2.93E-2</v>
      </c>
      <c r="AD331">
        <v>3.2099999999999997E-2</v>
      </c>
      <c r="AE331">
        <v>4.36E-2</v>
      </c>
      <c r="AF331">
        <v>5.0700000000000002E-2</v>
      </c>
      <c r="AG331">
        <v>8.9200000000000002E-2</v>
      </c>
      <c r="AH331">
        <v>8.6400000000000005E-2</v>
      </c>
      <c r="AI331">
        <v>7.2700000000000001E-2</v>
      </c>
      <c r="AJ331">
        <v>0.15709999999999999</v>
      </c>
      <c r="AK331">
        <v>0.1037</v>
      </c>
      <c r="AL331">
        <v>9.1700000000000004E-2</v>
      </c>
      <c r="AM331">
        <v>9.7799999999999998E-2</v>
      </c>
      <c r="AN331">
        <v>1.0999999999999999E-2</v>
      </c>
      <c r="AO331">
        <v>5.4199999999999998E-2</v>
      </c>
      <c r="AP331">
        <v>6.2700000000000006E-2</v>
      </c>
      <c r="AQ331">
        <v>0.1002</v>
      </c>
      <c r="AR331">
        <v>0.113</v>
      </c>
      <c r="AS331">
        <v>8.3599999999999994E-2</v>
      </c>
      <c r="AT331">
        <v>0.22059999999999999</v>
      </c>
      <c r="AU331">
        <v>0.15959999999999999</v>
      </c>
      <c r="AV331">
        <v>0.14449999999999999</v>
      </c>
    </row>
    <row r="332" spans="1:48" x14ac:dyDescent="0.25">
      <c r="A332" t="s">
        <v>432</v>
      </c>
      <c r="B332" t="s">
        <v>2</v>
      </c>
      <c r="C332" t="s">
        <v>432</v>
      </c>
      <c r="D332">
        <v>32020</v>
      </c>
      <c r="E332" t="s">
        <v>672</v>
      </c>
      <c r="F332" t="s">
        <v>117</v>
      </c>
      <c r="G332" t="s">
        <v>670</v>
      </c>
      <c r="H332" t="s">
        <v>670</v>
      </c>
      <c r="I332" t="s">
        <v>673</v>
      </c>
      <c r="J332" t="s">
        <v>673</v>
      </c>
      <c r="K332" t="s">
        <v>673</v>
      </c>
      <c r="L332" t="s">
        <v>673</v>
      </c>
      <c r="M332" t="s">
        <v>673</v>
      </c>
      <c r="N332" t="s">
        <v>673</v>
      </c>
      <c r="O332" t="s">
        <v>673</v>
      </c>
      <c r="P332" t="s">
        <v>673</v>
      </c>
      <c r="Q332" t="s">
        <v>673</v>
      </c>
      <c r="R332" t="s">
        <v>673</v>
      </c>
      <c r="S332" t="s">
        <v>673</v>
      </c>
      <c r="T332" t="s">
        <v>673</v>
      </c>
      <c r="U332" t="s">
        <v>673</v>
      </c>
      <c r="V332" t="s">
        <v>673</v>
      </c>
      <c r="W332" t="s">
        <v>673</v>
      </c>
      <c r="X332" t="s">
        <v>673</v>
      </c>
      <c r="Y332" t="s">
        <v>673</v>
      </c>
      <c r="Z332" t="s">
        <v>673</v>
      </c>
      <c r="AA332" t="s">
        <v>673</v>
      </c>
      <c r="AB332" t="s">
        <v>673</v>
      </c>
      <c r="AC332" t="s">
        <v>673</v>
      </c>
      <c r="AD332" t="s">
        <v>673</v>
      </c>
      <c r="AE332" t="s">
        <v>673</v>
      </c>
      <c r="AF332" t="s">
        <v>673</v>
      </c>
      <c r="AG332" t="s">
        <v>673</v>
      </c>
      <c r="AH332" t="s">
        <v>673</v>
      </c>
      <c r="AI332" t="s">
        <v>673</v>
      </c>
      <c r="AJ332" t="s">
        <v>673</v>
      </c>
      <c r="AK332" t="s">
        <v>673</v>
      </c>
      <c r="AL332" t="s">
        <v>673</v>
      </c>
      <c r="AM332" t="s">
        <v>673</v>
      </c>
      <c r="AN332" t="s">
        <v>673</v>
      </c>
      <c r="AO332" t="s">
        <v>673</v>
      </c>
      <c r="AP332" t="s">
        <v>673</v>
      </c>
      <c r="AQ332" t="s">
        <v>673</v>
      </c>
      <c r="AR332" t="s">
        <v>673</v>
      </c>
      <c r="AS332" t="s">
        <v>673</v>
      </c>
      <c r="AT332" t="s">
        <v>673</v>
      </c>
      <c r="AU332" t="s">
        <v>673</v>
      </c>
      <c r="AV332" t="s">
        <v>673</v>
      </c>
    </row>
    <row r="333" spans="1:48" x14ac:dyDescent="0.25">
      <c r="A333" t="s">
        <v>433</v>
      </c>
      <c r="B333" t="s">
        <v>2</v>
      </c>
      <c r="C333" t="s">
        <v>433</v>
      </c>
      <c r="D333">
        <v>32100</v>
      </c>
      <c r="E333" t="s">
        <v>672</v>
      </c>
      <c r="F333" t="s">
        <v>117</v>
      </c>
      <c r="G333" t="s">
        <v>670</v>
      </c>
      <c r="H333" t="s">
        <v>670</v>
      </c>
      <c r="I333" t="s">
        <v>673</v>
      </c>
      <c r="J333" t="s">
        <v>673</v>
      </c>
      <c r="K333" t="s">
        <v>673</v>
      </c>
      <c r="L333" t="s">
        <v>673</v>
      </c>
      <c r="M333" t="s">
        <v>673</v>
      </c>
      <c r="N333" t="s">
        <v>673</v>
      </c>
      <c r="O333" t="s">
        <v>673</v>
      </c>
      <c r="P333" t="s">
        <v>673</v>
      </c>
      <c r="Q333" t="s">
        <v>673</v>
      </c>
      <c r="R333" t="s">
        <v>673</v>
      </c>
      <c r="S333" t="s">
        <v>673</v>
      </c>
      <c r="T333" t="s">
        <v>673</v>
      </c>
      <c r="U333" t="s">
        <v>673</v>
      </c>
      <c r="V333" t="s">
        <v>673</v>
      </c>
      <c r="W333" t="s">
        <v>673</v>
      </c>
      <c r="X333" t="s">
        <v>673</v>
      </c>
      <c r="Y333" t="s">
        <v>673</v>
      </c>
      <c r="Z333" t="s">
        <v>673</v>
      </c>
      <c r="AA333" t="s">
        <v>673</v>
      </c>
      <c r="AB333" t="s">
        <v>673</v>
      </c>
      <c r="AC333" t="s">
        <v>673</v>
      </c>
      <c r="AD333" t="s">
        <v>673</v>
      </c>
      <c r="AE333" t="s">
        <v>673</v>
      </c>
      <c r="AF333" t="s">
        <v>673</v>
      </c>
      <c r="AG333" t="s">
        <v>673</v>
      </c>
      <c r="AH333" t="s">
        <v>673</v>
      </c>
      <c r="AI333">
        <v>0.193</v>
      </c>
      <c r="AJ333">
        <v>0.15809999999999999</v>
      </c>
      <c r="AK333">
        <v>0.16869999999999999</v>
      </c>
      <c r="AL333">
        <v>5.5E-2</v>
      </c>
      <c r="AM333">
        <v>8.8000000000000005E-3</v>
      </c>
      <c r="AN333">
        <v>1.66E-2</v>
      </c>
      <c r="AO333">
        <v>4.9500000000000002E-2</v>
      </c>
      <c r="AP333">
        <v>5.9900000000000002E-2</v>
      </c>
      <c r="AQ333">
        <v>7.9899999999999999E-2</v>
      </c>
      <c r="AR333">
        <v>8.6999999999999994E-2</v>
      </c>
      <c r="AS333">
        <v>5.6599999999999998E-2</v>
      </c>
      <c r="AT333" t="s">
        <v>673</v>
      </c>
      <c r="AU333" t="s">
        <v>673</v>
      </c>
      <c r="AV333" t="s">
        <v>673</v>
      </c>
    </row>
    <row r="334" spans="1:48" x14ac:dyDescent="0.25">
      <c r="A334" t="s">
        <v>434</v>
      </c>
      <c r="B334" t="s">
        <v>2</v>
      </c>
      <c r="C334" t="s">
        <v>434</v>
      </c>
      <c r="D334">
        <v>32140</v>
      </c>
      <c r="E334" t="s">
        <v>672</v>
      </c>
      <c r="F334" t="s">
        <v>117</v>
      </c>
      <c r="G334" t="s">
        <v>670</v>
      </c>
      <c r="H334" t="s">
        <v>670</v>
      </c>
      <c r="I334" t="s">
        <v>673</v>
      </c>
      <c r="J334" t="s">
        <v>673</v>
      </c>
      <c r="K334" t="s">
        <v>673</v>
      </c>
      <c r="L334" t="s">
        <v>673</v>
      </c>
      <c r="M334" t="s">
        <v>673</v>
      </c>
      <c r="N334" t="s">
        <v>673</v>
      </c>
      <c r="O334" t="s">
        <v>673</v>
      </c>
      <c r="P334" t="s">
        <v>673</v>
      </c>
      <c r="Q334" t="s">
        <v>673</v>
      </c>
      <c r="R334" t="s">
        <v>673</v>
      </c>
      <c r="S334" t="s">
        <v>673</v>
      </c>
      <c r="T334" t="s">
        <v>673</v>
      </c>
      <c r="U334" t="s">
        <v>673</v>
      </c>
      <c r="V334" t="s">
        <v>673</v>
      </c>
      <c r="W334" t="s">
        <v>673</v>
      </c>
      <c r="X334" t="s">
        <v>673</v>
      </c>
      <c r="Y334" t="s">
        <v>673</v>
      </c>
      <c r="Z334" t="s">
        <v>673</v>
      </c>
      <c r="AA334" t="s">
        <v>673</v>
      </c>
      <c r="AB334" t="s">
        <v>673</v>
      </c>
      <c r="AC334" t="s">
        <v>673</v>
      </c>
      <c r="AD334" t="s">
        <v>673</v>
      </c>
      <c r="AE334" t="s">
        <v>673</v>
      </c>
      <c r="AF334" t="s">
        <v>673</v>
      </c>
      <c r="AG334" t="s">
        <v>673</v>
      </c>
      <c r="AH334" t="s">
        <v>673</v>
      </c>
      <c r="AI334" t="s">
        <v>673</v>
      </c>
      <c r="AJ334" t="s">
        <v>673</v>
      </c>
      <c r="AK334" t="s">
        <v>673</v>
      </c>
      <c r="AL334" t="s">
        <v>673</v>
      </c>
      <c r="AM334" t="s">
        <v>673</v>
      </c>
      <c r="AN334" t="s">
        <v>673</v>
      </c>
      <c r="AO334" t="s">
        <v>673</v>
      </c>
      <c r="AP334" t="s">
        <v>673</v>
      </c>
      <c r="AQ334" t="s">
        <v>673</v>
      </c>
      <c r="AR334" t="s">
        <v>673</v>
      </c>
      <c r="AS334" t="s">
        <v>673</v>
      </c>
      <c r="AT334" t="s">
        <v>673</v>
      </c>
      <c r="AU334" t="s">
        <v>673</v>
      </c>
      <c r="AV334" t="s">
        <v>673</v>
      </c>
    </row>
    <row r="335" spans="1:48" x14ac:dyDescent="0.25">
      <c r="A335" t="s">
        <v>435</v>
      </c>
      <c r="B335" t="s">
        <v>2</v>
      </c>
      <c r="C335" t="s">
        <v>435</v>
      </c>
      <c r="D335">
        <v>32280</v>
      </c>
      <c r="E335" t="s">
        <v>672</v>
      </c>
      <c r="F335" t="s">
        <v>117</v>
      </c>
      <c r="G335" t="s">
        <v>670</v>
      </c>
      <c r="H335" t="s">
        <v>670</v>
      </c>
      <c r="I335" t="s">
        <v>673</v>
      </c>
      <c r="J335" t="s">
        <v>673</v>
      </c>
      <c r="K335" t="s">
        <v>673</v>
      </c>
      <c r="L335" t="s">
        <v>673</v>
      </c>
      <c r="M335" t="s">
        <v>673</v>
      </c>
      <c r="N335" t="s">
        <v>673</v>
      </c>
      <c r="O335" t="s">
        <v>673</v>
      </c>
      <c r="P335" t="s">
        <v>673</v>
      </c>
      <c r="Q335" t="s">
        <v>673</v>
      </c>
      <c r="R335" t="s">
        <v>673</v>
      </c>
      <c r="S335" t="s">
        <v>673</v>
      </c>
      <c r="T335" t="s">
        <v>673</v>
      </c>
      <c r="U335" t="s">
        <v>673</v>
      </c>
      <c r="V335" t="s">
        <v>673</v>
      </c>
      <c r="W335" t="s">
        <v>673</v>
      </c>
      <c r="X335" t="s">
        <v>673</v>
      </c>
      <c r="Y335" t="s">
        <v>673</v>
      </c>
      <c r="Z335" t="s">
        <v>673</v>
      </c>
      <c r="AA335" t="s">
        <v>673</v>
      </c>
      <c r="AB335" t="s">
        <v>673</v>
      </c>
      <c r="AC335" t="s">
        <v>673</v>
      </c>
      <c r="AD335" t="s">
        <v>673</v>
      </c>
      <c r="AE335" t="s">
        <v>673</v>
      </c>
      <c r="AF335" t="s">
        <v>673</v>
      </c>
      <c r="AG335" t="s">
        <v>673</v>
      </c>
      <c r="AH335" t="s">
        <v>673</v>
      </c>
      <c r="AI335" t="s">
        <v>673</v>
      </c>
      <c r="AJ335" t="s">
        <v>673</v>
      </c>
      <c r="AK335" t="s">
        <v>673</v>
      </c>
      <c r="AL335" t="s">
        <v>673</v>
      </c>
      <c r="AM335" t="s">
        <v>673</v>
      </c>
      <c r="AN335" t="s">
        <v>673</v>
      </c>
      <c r="AO335" t="s">
        <v>673</v>
      </c>
      <c r="AP335" t="s">
        <v>673</v>
      </c>
      <c r="AQ335" t="s">
        <v>673</v>
      </c>
      <c r="AR335" t="s">
        <v>673</v>
      </c>
      <c r="AS335" t="s">
        <v>673</v>
      </c>
      <c r="AT335" t="s">
        <v>673</v>
      </c>
      <c r="AU335" t="s">
        <v>673</v>
      </c>
      <c r="AV335" t="s">
        <v>673</v>
      </c>
    </row>
    <row r="336" spans="1:48" x14ac:dyDescent="0.25">
      <c r="A336" t="s">
        <v>436</v>
      </c>
      <c r="B336" t="s">
        <v>2</v>
      </c>
      <c r="C336" t="s">
        <v>436</v>
      </c>
      <c r="D336">
        <v>32380</v>
      </c>
      <c r="E336" t="s">
        <v>672</v>
      </c>
      <c r="F336" t="s">
        <v>117</v>
      </c>
      <c r="G336" t="s">
        <v>670</v>
      </c>
      <c r="H336" t="s">
        <v>670</v>
      </c>
      <c r="I336" t="s">
        <v>673</v>
      </c>
      <c r="J336" t="s">
        <v>673</v>
      </c>
      <c r="K336" t="s">
        <v>673</v>
      </c>
      <c r="L336" t="s">
        <v>673</v>
      </c>
      <c r="M336" t="s">
        <v>673</v>
      </c>
      <c r="N336" t="s">
        <v>673</v>
      </c>
      <c r="O336" t="s">
        <v>673</v>
      </c>
      <c r="P336" t="s">
        <v>673</v>
      </c>
      <c r="Q336" t="s">
        <v>673</v>
      </c>
      <c r="R336" t="s">
        <v>673</v>
      </c>
      <c r="S336" t="s">
        <v>673</v>
      </c>
      <c r="T336" t="s">
        <v>673</v>
      </c>
      <c r="U336" t="s">
        <v>673</v>
      </c>
      <c r="V336" t="s">
        <v>673</v>
      </c>
      <c r="W336" t="s">
        <v>673</v>
      </c>
      <c r="X336" t="s">
        <v>673</v>
      </c>
      <c r="Y336" t="s">
        <v>673</v>
      </c>
      <c r="Z336" t="s">
        <v>673</v>
      </c>
      <c r="AA336" t="s">
        <v>673</v>
      </c>
      <c r="AB336" t="s">
        <v>673</v>
      </c>
      <c r="AC336" t="s">
        <v>673</v>
      </c>
      <c r="AD336" t="s">
        <v>673</v>
      </c>
      <c r="AE336" t="s">
        <v>673</v>
      </c>
      <c r="AF336" t="s">
        <v>673</v>
      </c>
      <c r="AG336" t="s">
        <v>673</v>
      </c>
      <c r="AH336" t="s">
        <v>673</v>
      </c>
      <c r="AI336" t="s">
        <v>673</v>
      </c>
      <c r="AJ336" t="s">
        <v>673</v>
      </c>
      <c r="AK336" t="s">
        <v>673</v>
      </c>
      <c r="AL336" t="s">
        <v>673</v>
      </c>
      <c r="AM336" t="s">
        <v>673</v>
      </c>
      <c r="AN336" t="s">
        <v>673</v>
      </c>
      <c r="AO336" t="s">
        <v>673</v>
      </c>
      <c r="AP336" t="s">
        <v>673</v>
      </c>
      <c r="AQ336" t="s">
        <v>673</v>
      </c>
      <c r="AR336" t="s">
        <v>673</v>
      </c>
      <c r="AS336" t="s">
        <v>673</v>
      </c>
      <c r="AT336" t="s">
        <v>673</v>
      </c>
      <c r="AU336" t="s">
        <v>673</v>
      </c>
      <c r="AV336" t="s">
        <v>673</v>
      </c>
    </row>
    <row r="337" spans="1:48" x14ac:dyDescent="0.25">
      <c r="A337" t="s">
        <v>437</v>
      </c>
      <c r="B337" t="s">
        <v>2</v>
      </c>
      <c r="C337" t="s">
        <v>437</v>
      </c>
      <c r="D337">
        <v>32390</v>
      </c>
      <c r="E337" t="s">
        <v>672</v>
      </c>
      <c r="F337" t="s">
        <v>117</v>
      </c>
      <c r="G337" t="s">
        <v>670</v>
      </c>
      <c r="H337" t="s">
        <v>670</v>
      </c>
      <c r="I337" t="s">
        <v>673</v>
      </c>
      <c r="J337" t="s">
        <v>673</v>
      </c>
      <c r="K337" t="s">
        <v>673</v>
      </c>
      <c r="L337" t="s">
        <v>673</v>
      </c>
      <c r="M337" t="s">
        <v>673</v>
      </c>
      <c r="N337" t="s">
        <v>673</v>
      </c>
      <c r="O337" t="s">
        <v>673</v>
      </c>
      <c r="P337" t="s">
        <v>673</v>
      </c>
      <c r="Q337" t="s">
        <v>673</v>
      </c>
      <c r="R337" t="s">
        <v>673</v>
      </c>
      <c r="S337" t="s">
        <v>673</v>
      </c>
      <c r="T337" t="s">
        <v>673</v>
      </c>
      <c r="U337" t="s">
        <v>673</v>
      </c>
      <c r="V337" t="s">
        <v>673</v>
      </c>
      <c r="W337" t="s">
        <v>673</v>
      </c>
      <c r="X337" t="s">
        <v>673</v>
      </c>
      <c r="Y337" t="s">
        <v>673</v>
      </c>
      <c r="Z337" t="s">
        <v>673</v>
      </c>
      <c r="AA337" t="s">
        <v>673</v>
      </c>
      <c r="AB337" t="s">
        <v>673</v>
      </c>
      <c r="AC337" t="s">
        <v>673</v>
      </c>
      <c r="AD337" t="s">
        <v>673</v>
      </c>
      <c r="AE337" t="s">
        <v>673</v>
      </c>
      <c r="AF337" t="s">
        <v>673</v>
      </c>
      <c r="AG337" t="s">
        <v>673</v>
      </c>
      <c r="AH337" t="s">
        <v>673</v>
      </c>
      <c r="AI337" t="s">
        <v>673</v>
      </c>
      <c r="AJ337" t="s">
        <v>673</v>
      </c>
      <c r="AK337" t="s">
        <v>673</v>
      </c>
      <c r="AL337" t="s">
        <v>673</v>
      </c>
      <c r="AM337" t="s">
        <v>673</v>
      </c>
      <c r="AN337" t="s">
        <v>673</v>
      </c>
      <c r="AO337" t="s">
        <v>673</v>
      </c>
      <c r="AP337" t="s">
        <v>673</v>
      </c>
      <c r="AQ337" t="s">
        <v>673</v>
      </c>
      <c r="AR337" t="s">
        <v>673</v>
      </c>
      <c r="AS337" t="s">
        <v>673</v>
      </c>
      <c r="AT337" t="s">
        <v>673</v>
      </c>
      <c r="AU337" t="s">
        <v>673</v>
      </c>
      <c r="AV337" t="s">
        <v>673</v>
      </c>
    </row>
    <row r="338" spans="1:48" x14ac:dyDescent="0.25">
      <c r="A338" t="s">
        <v>438</v>
      </c>
      <c r="B338" t="s">
        <v>2</v>
      </c>
      <c r="C338" t="s">
        <v>438</v>
      </c>
      <c r="D338">
        <v>232580</v>
      </c>
      <c r="E338" t="s">
        <v>672</v>
      </c>
      <c r="F338" t="s">
        <v>117</v>
      </c>
      <c r="G338" t="s">
        <v>670</v>
      </c>
      <c r="H338" t="s">
        <v>670</v>
      </c>
      <c r="I338">
        <v>2.58E-2</v>
      </c>
      <c r="J338">
        <v>1.5E-3</v>
      </c>
      <c r="K338">
        <v>2.8E-3</v>
      </c>
      <c r="L338">
        <v>-4.7999999999999996E-3</v>
      </c>
      <c r="M338">
        <v>1.12E-2</v>
      </c>
      <c r="N338">
        <v>2.3E-2</v>
      </c>
      <c r="O338">
        <v>1.14E-2</v>
      </c>
      <c r="P338">
        <v>-2.8E-3</v>
      </c>
      <c r="Q338">
        <v>-1.4E-2</v>
      </c>
      <c r="R338">
        <v>-1.6799999999999999E-2</v>
      </c>
      <c r="S338">
        <v>7.4000000000000003E-3</v>
      </c>
      <c r="T338">
        <v>2.12E-2</v>
      </c>
      <c r="U338">
        <v>3.5200000000000002E-2</v>
      </c>
      <c r="V338">
        <v>4.1300000000000003E-2</v>
      </c>
      <c r="W338">
        <v>3.3700000000000001E-2</v>
      </c>
      <c r="X338">
        <v>3.5299999999999998E-2</v>
      </c>
      <c r="Y338">
        <v>1.7000000000000001E-2</v>
      </c>
      <c r="Z338">
        <v>4.0000000000000001E-3</v>
      </c>
      <c r="AA338">
        <v>5.5999999999999999E-3</v>
      </c>
      <c r="AB338">
        <v>9.7000000000000003E-3</v>
      </c>
      <c r="AC338">
        <v>1.7500000000000002E-2</v>
      </c>
      <c r="AD338">
        <v>4.7800000000000002E-2</v>
      </c>
      <c r="AE338">
        <v>7.85E-2</v>
      </c>
      <c r="AF338">
        <v>0.1066</v>
      </c>
      <c r="AG338">
        <v>0.12870000000000001</v>
      </c>
      <c r="AH338">
        <v>0.1353</v>
      </c>
      <c r="AI338">
        <v>0.1216</v>
      </c>
      <c r="AJ338">
        <v>9.8100000000000007E-2</v>
      </c>
      <c r="AK338">
        <v>7.7499999999999999E-2</v>
      </c>
      <c r="AL338">
        <v>6.4600000000000005E-2</v>
      </c>
      <c r="AM338">
        <v>3.2500000000000001E-2</v>
      </c>
      <c r="AN338">
        <v>1.6899999999999998E-2</v>
      </c>
      <c r="AO338">
        <v>1.1900000000000001E-2</v>
      </c>
      <c r="AP338">
        <v>-7.3000000000000001E-3</v>
      </c>
      <c r="AQ338">
        <v>3.3E-3</v>
      </c>
      <c r="AR338">
        <v>-5.8999999999999999E-3</v>
      </c>
      <c r="AS338">
        <v>-5.0000000000000001E-4</v>
      </c>
      <c r="AT338">
        <v>5.0900000000000001E-2</v>
      </c>
      <c r="AU338">
        <v>6.93E-2</v>
      </c>
      <c r="AV338">
        <v>6.9500000000000006E-2</v>
      </c>
    </row>
    <row r="339" spans="1:48" x14ac:dyDescent="0.25">
      <c r="A339" t="s">
        <v>439</v>
      </c>
      <c r="B339" t="s">
        <v>2</v>
      </c>
      <c r="C339" t="s">
        <v>439</v>
      </c>
      <c r="D339">
        <v>32620</v>
      </c>
      <c r="E339" t="s">
        <v>672</v>
      </c>
      <c r="F339" t="s">
        <v>117</v>
      </c>
      <c r="G339" t="s">
        <v>670</v>
      </c>
      <c r="H339" t="s">
        <v>670</v>
      </c>
      <c r="I339" t="s">
        <v>673</v>
      </c>
      <c r="J339" t="s">
        <v>673</v>
      </c>
      <c r="K339" t="s">
        <v>673</v>
      </c>
      <c r="L339" t="s">
        <v>673</v>
      </c>
      <c r="M339" t="s">
        <v>673</v>
      </c>
      <c r="N339" t="s">
        <v>673</v>
      </c>
      <c r="O339" t="s">
        <v>673</v>
      </c>
      <c r="P339" t="s">
        <v>673</v>
      </c>
      <c r="Q339" t="s">
        <v>673</v>
      </c>
      <c r="R339" t="s">
        <v>673</v>
      </c>
      <c r="S339" t="s">
        <v>673</v>
      </c>
      <c r="T339" t="s">
        <v>673</v>
      </c>
      <c r="U339" t="s">
        <v>673</v>
      </c>
      <c r="V339" t="s">
        <v>673</v>
      </c>
      <c r="W339" t="s">
        <v>673</v>
      </c>
      <c r="X339" t="s">
        <v>673</v>
      </c>
      <c r="Y339" t="s">
        <v>673</v>
      </c>
      <c r="Z339" t="s">
        <v>673</v>
      </c>
      <c r="AA339" t="s">
        <v>673</v>
      </c>
      <c r="AB339" t="s">
        <v>673</v>
      </c>
      <c r="AC339" t="s">
        <v>673</v>
      </c>
      <c r="AD339" t="s">
        <v>673</v>
      </c>
      <c r="AE339" t="s">
        <v>673</v>
      </c>
      <c r="AF339" t="s">
        <v>673</v>
      </c>
      <c r="AG339" t="s">
        <v>673</v>
      </c>
      <c r="AH339" t="s">
        <v>673</v>
      </c>
      <c r="AI339" t="s">
        <v>673</v>
      </c>
      <c r="AJ339" t="s">
        <v>673</v>
      </c>
      <c r="AK339" t="s">
        <v>673</v>
      </c>
      <c r="AL339" t="s">
        <v>673</v>
      </c>
      <c r="AM339" t="s">
        <v>673</v>
      </c>
      <c r="AN339" t="s">
        <v>673</v>
      </c>
      <c r="AO339" t="s">
        <v>673</v>
      </c>
      <c r="AP339" t="s">
        <v>673</v>
      </c>
      <c r="AQ339" t="s">
        <v>673</v>
      </c>
      <c r="AR339" t="s">
        <v>673</v>
      </c>
      <c r="AS339" t="s">
        <v>673</v>
      </c>
      <c r="AT339" t="s">
        <v>673</v>
      </c>
      <c r="AU339" t="s">
        <v>673</v>
      </c>
      <c r="AV339" t="s">
        <v>673</v>
      </c>
    </row>
    <row r="340" spans="1:48" x14ac:dyDescent="0.25">
      <c r="A340" t="s">
        <v>440</v>
      </c>
      <c r="B340" t="s">
        <v>2</v>
      </c>
      <c r="C340" t="s">
        <v>440</v>
      </c>
      <c r="D340">
        <v>32700</v>
      </c>
      <c r="E340" t="s">
        <v>672</v>
      </c>
      <c r="F340" t="s">
        <v>117</v>
      </c>
      <c r="G340" t="s">
        <v>670</v>
      </c>
      <c r="H340" t="s">
        <v>670</v>
      </c>
      <c r="I340" t="s">
        <v>673</v>
      </c>
      <c r="J340" t="s">
        <v>673</v>
      </c>
      <c r="K340" t="s">
        <v>673</v>
      </c>
      <c r="L340" t="s">
        <v>673</v>
      </c>
      <c r="M340" t="s">
        <v>673</v>
      </c>
      <c r="N340" t="s">
        <v>673</v>
      </c>
      <c r="O340" t="s">
        <v>673</v>
      </c>
      <c r="P340" t="s">
        <v>673</v>
      </c>
      <c r="Q340" t="s">
        <v>673</v>
      </c>
      <c r="R340" t="s">
        <v>673</v>
      </c>
      <c r="S340" t="s">
        <v>673</v>
      </c>
      <c r="T340" t="s">
        <v>673</v>
      </c>
      <c r="U340" t="s">
        <v>673</v>
      </c>
      <c r="V340" t="s">
        <v>673</v>
      </c>
      <c r="W340" t="s">
        <v>673</v>
      </c>
      <c r="X340" t="s">
        <v>673</v>
      </c>
      <c r="Y340" t="s">
        <v>673</v>
      </c>
      <c r="Z340" t="s">
        <v>673</v>
      </c>
      <c r="AA340" t="s">
        <v>673</v>
      </c>
      <c r="AB340" t="s">
        <v>673</v>
      </c>
      <c r="AC340" t="s">
        <v>673</v>
      </c>
      <c r="AD340" t="s">
        <v>673</v>
      </c>
      <c r="AE340" t="s">
        <v>673</v>
      </c>
      <c r="AF340" t="s">
        <v>673</v>
      </c>
      <c r="AG340" t="s">
        <v>673</v>
      </c>
      <c r="AH340" t="s">
        <v>673</v>
      </c>
      <c r="AI340" t="s">
        <v>673</v>
      </c>
      <c r="AJ340" t="s">
        <v>673</v>
      </c>
      <c r="AK340" t="s">
        <v>673</v>
      </c>
      <c r="AL340" t="s">
        <v>673</v>
      </c>
      <c r="AM340" t="s">
        <v>673</v>
      </c>
      <c r="AN340" t="s">
        <v>673</v>
      </c>
      <c r="AO340" t="s">
        <v>673</v>
      </c>
      <c r="AP340" t="s">
        <v>673</v>
      </c>
      <c r="AQ340" t="s">
        <v>673</v>
      </c>
      <c r="AR340" t="s">
        <v>673</v>
      </c>
      <c r="AS340" t="s">
        <v>673</v>
      </c>
      <c r="AT340" t="s">
        <v>673</v>
      </c>
      <c r="AU340" t="s">
        <v>673</v>
      </c>
      <c r="AV340" t="s">
        <v>673</v>
      </c>
    </row>
    <row r="341" spans="1:48" x14ac:dyDescent="0.25">
      <c r="A341" t="s">
        <v>441</v>
      </c>
      <c r="B341" t="s">
        <v>2</v>
      </c>
      <c r="C341" t="s">
        <v>441</v>
      </c>
      <c r="D341">
        <v>32740</v>
      </c>
      <c r="E341" t="s">
        <v>672</v>
      </c>
      <c r="F341" t="s">
        <v>117</v>
      </c>
      <c r="G341" t="s">
        <v>670</v>
      </c>
      <c r="H341" t="s">
        <v>670</v>
      </c>
      <c r="I341" t="s">
        <v>673</v>
      </c>
      <c r="J341" t="s">
        <v>673</v>
      </c>
      <c r="K341" t="s">
        <v>673</v>
      </c>
      <c r="L341" t="s">
        <v>673</v>
      </c>
      <c r="M341" t="s">
        <v>673</v>
      </c>
      <c r="N341" t="s">
        <v>673</v>
      </c>
      <c r="O341" t="s">
        <v>673</v>
      </c>
      <c r="P341" t="s">
        <v>673</v>
      </c>
      <c r="Q341" t="s">
        <v>673</v>
      </c>
      <c r="R341" t="s">
        <v>673</v>
      </c>
      <c r="S341" t="s">
        <v>673</v>
      </c>
      <c r="T341" t="s">
        <v>673</v>
      </c>
      <c r="U341" t="s">
        <v>673</v>
      </c>
      <c r="V341" t="s">
        <v>673</v>
      </c>
      <c r="W341" t="s">
        <v>673</v>
      </c>
      <c r="X341" t="s">
        <v>673</v>
      </c>
      <c r="Y341" t="s">
        <v>673</v>
      </c>
      <c r="Z341" t="s">
        <v>673</v>
      </c>
      <c r="AA341" t="s">
        <v>673</v>
      </c>
      <c r="AB341" t="s">
        <v>673</v>
      </c>
      <c r="AC341" t="s">
        <v>673</v>
      </c>
      <c r="AD341" t="s">
        <v>673</v>
      </c>
      <c r="AE341" t="s">
        <v>673</v>
      </c>
      <c r="AF341" t="s">
        <v>673</v>
      </c>
      <c r="AG341" t="s">
        <v>673</v>
      </c>
      <c r="AH341" t="s">
        <v>673</v>
      </c>
      <c r="AI341" t="s">
        <v>673</v>
      </c>
      <c r="AJ341" t="s">
        <v>673</v>
      </c>
      <c r="AK341" t="s">
        <v>673</v>
      </c>
      <c r="AL341" t="s">
        <v>673</v>
      </c>
      <c r="AM341" t="s">
        <v>673</v>
      </c>
      <c r="AN341" t="s">
        <v>673</v>
      </c>
      <c r="AO341" t="s">
        <v>673</v>
      </c>
      <c r="AP341" t="s">
        <v>673</v>
      </c>
      <c r="AQ341" t="s">
        <v>673</v>
      </c>
      <c r="AR341" t="s">
        <v>673</v>
      </c>
      <c r="AS341" t="s">
        <v>673</v>
      </c>
      <c r="AT341" t="s">
        <v>673</v>
      </c>
      <c r="AU341" t="s">
        <v>673</v>
      </c>
      <c r="AV341" t="s">
        <v>673</v>
      </c>
    </row>
    <row r="342" spans="1:48" x14ac:dyDescent="0.25">
      <c r="A342" t="s">
        <v>442</v>
      </c>
      <c r="B342" t="s">
        <v>2</v>
      </c>
      <c r="C342" t="s">
        <v>442</v>
      </c>
      <c r="D342">
        <v>32780</v>
      </c>
      <c r="E342" t="s">
        <v>672</v>
      </c>
      <c r="F342" t="s">
        <v>117</v>
      </c>
      <c r="G342" t="s">
        <v>670</v>
      </c>
      <c r="H342" t="s">
        <v>670</v>
      </c>
      <c r="I342" t="s">
        <v>673</v>
      </c>
      <c r="J342" t="s">
        <v>673</v>
      </c>
      <c r="K342" t="s">
        <v>673</v>
      </c>
      <c r="L342" t="s">
        <v>673</v>
      </c>
      <c r="M342" t="s">
        <v>673</v>
      </c>
      <c r="N342" t="s">
        <v>673</v>
      </c>
      <c r="O342" t="s">
        <v>673</v>
      </c>
      <c r="P342" t="s">
        <v>673</v>
      </c>
      <c r="Q342" t="s">
        <v>673</v>
      </c>
      <c r="R342" t="s">
        <v>673</v>
      </c>
      <c r="S342" t="s">
        <v>673</v>
      </c>
      <c r="T342" t="s">
        <v>673</v>
      </c>
      <c r="U342" t="s">
        <v>673</v>
      </c>
      <c r="V342" t="s">
        <v>673</v>
      </c>
      <c r="W342" t="s">
        <v>673</v>
      </c>
      <c r="X342" t="s">
        <v>673</v>
      </c>
      <c r="Y342" t="s">
        <v>673</v>
      </c>
      <c r="Z342" t="s">
        <v>673</v>
      </c>
      <c r="AA342" t="s">
        <v>673</v>
      </c>
      <c r="AB342" t="s">
        <v>673</v>
      </c>
      <c r="AC342" t="s">
        <v>673</v>
      </c>
      <c r="AD342" t="s">
        <v>673</v>
      </c>
      <c r="AE342" t="s">
        <v>673</v>
      </c>
      <c r="AF342" t="s">
        <v>673</v>
      </c>
      <c r="AG342" t="s">
        <v>673</v>
      </c>
      <c r="AH342" t="s">
        <v>673</v>
      </c>
      <c r="AI342" t="s">
        <v>673</v>
      </c>
      <c r="AJ342" t="s">
        <v>673</v>
      </c>
      <c r="AK342" t="s">
        <v>673</v>
      </c>
      <c r="AL342" t="s">
        <v>673</v>
      </c>
      <c r="AM342" t="s">
        <v>673</v>
      </c>
      <c r="AN342" t="s">
        <v>673</v>
      </c>
      <c r="AO342" t="s">
        <v>673</v>
      </c>
      <c r="AP342" t="s">
        <v>673</v>
      </c>
      <c r="AQ342" t="s">
        <v>673</v>
      </c>
      <c r="AR342" t="s">
        <v>673</v>
      </c>
      <c r="AS342" t="s">
        <v>673</v>
      </c>
      <c r="AT342" t="s">
        <v>673</v>
      </c>
      <c r="AU342" t="s">
        <v>673</v>
      </c>
      <c r="AV342" t="s">
        <v>673</v>
      </c>
    </row>
    <row r="343" spans="1:48" x14ac:dyDescent="0.25">
      <c r="A343" t="s">
        <v>443</v>
      </c>
      <c r="B343" t="s">
        <v>2</v>
      </c>
      <c r="C343" t="s">
        <v>443</v>
      </c>
      <c r="D343">
        <v>32820</v>
      </c>
      <c r="E343" t="s">
        <v>672</v>
      </c>
      <c r="F343" t="s">
        <v>117</v>
      </c>
      <c r="G343" t="s">
        <v>670</v>
      </c>
      <c r="H343" t="s">
        <v>670</v>
      </c>
      <c r="I343">
        <v>2.5899999999999999E-2</v>
      </c>
      <c r="J343">
        <v>2.6599999999999999E-2</v>
      </c>
      <c r="K343">
        <v>3.2500000000000001E-2</v>
      </c>
      <c r="L343">
        <v>3.1699999999999999E-2</v>
      </c>
      <c r="M343">
        <v>1.2500000000000001E-2</v>
      </c>
      <c r="N343">
        <v>1.6899999999999998E-2</v>
      </c>
      <c r="O343">
        <v>2.64E-2</v>
      </c>
      <c r="P343">
        <v>3.0599999999999999E-2</v>
      </c>
      <c r="Q343">
        <v>3.85E-2</v>
      </c>
      <c r="R343">
        <v>4.7500000000000001E-2</v>
      </c>
      <c r="S343">
        <v>5.2699999999999997E-2</v>
      </c>
      <c r="T343">
        <v>6.4500000000000002E-2</v>
      </c>
      <c r="U343">
        <v>6.4000000000000001E-2</v>
      </c>
      <c r="V343">
        <v>5.8200000000000002E-2</v>
      </c>
      <c r="W343">
        <v>7.4200000000000002E-2</v>
      </c>
      <c r="X343">
        <v>7.6700000000000004E-2</v>
      </c>
      <c r="Y343">
        <v>8.48E-2</v>
      </c>
      <c r="Z343">
        <v>6.3500000000000001E-2</v>
      </c>
      <c r="AA343">
        <v>4.7399999999999998E-2</v>
      </c>
      <c r="AB343">
        <v>5.7099999999999998E-2</v>
      </c>
      <c r="AC343">
        <v>7.3200000000000001E-2</v>
      </c>
      <c r="AD343">
        <v>0.1144</v>
      </c>
      <c r="AE343">
        <v>0.14910000000000001</v>
      </c>
      <c r="AF343">
        <v>0.13420000000000001</v>
      </c>
      <c r="AG343">
        <v>0.1384</v>
      </c>
      <c r="AH343">
        <v>0.1326</v>
      </c>
      <c r="AI343">
        <v>0.107</v>
      </c>
      <c r="AJ343">
        <v>9.1999999999999998E-2</v>
      </c>
      <c r="AK343">
        <v>6.6100000000000006E-2</v>
      </c>
      <c r="AL343">
        <v>4.5699999999999998E-2</v>
      </c>
      <c r="AM343">
        <v>1.6E-2</v>
      </c>
      <c r="AN343">
        <v>2.24E-2</v>
      </c>
      <c r="AO343">
        <v>1.41E-2</v>
      </c>
      <c r="AP343">
        <v>2E-3</v>
      </c>
      <c r="AQ343">
        <v>-5.5999999999999999E-3</v>
      </c>
      <c r="AR343">
        <v>-2.81E-2</v>
      </c>
      <c r="AS343">
        <v>-7.6E-3</v>
      </c>
      <c r="AT343">
        <v>1.06E-2</v>
      </c>
      <c r="AU343">
        <v>1.1900000000000001E-2</v>
      </c>
      <c r="AV343">
        <v>2.5000000000000001E-2</v>
      </c>
    </row>
    <row r="344" spans="1:48" x14ac:dyDescent="0.25">
      <c r="A344" t="s">
        <v>444</v>
      </c>
      <c r="B344" t="s">
        <v>2</v>
      </c>
      <c r="C344" t="s">
        <v>444</v>
      </c>
      <c r="D344">
        <v>32860</v>
      </c>
      <c r="E344" t="s">
        <v>672</v>
      </c>
      <c r="F344" t="s">
        <v>117</v>
      </c>
      <c r="G344" t="s">
        <v>670</v>
      </c>
      <c r="H344" t="s">
        <v>670</v>
      </c>
      <c r="I344" t="s">
        <v>673</v>
      </c>
      <c r="J344" t="s">
        <v>673</v>
      </c>
      <c r="K344" t="s">
        <v>673</v>
      </c>
      <c r="L344" t="s">
        <v>673</v>
      </c>
      <c r="M344" t="s">
        <v>673</v>
      </c>
      <c r="N344" t="s">
        <v>673</v>
      </c>
      <c r="O344" t="s">
        <v>673</v>
      </c>
      <c r="P344" t="s">
        <v>673</v>
      </c>
      <c r="Q344" t="s">
        <v>673</v>
      </c>
      <c r="R344" t="s">
        <v>673</v>
      </c>
      <c r="S344" t="s">
        <v>673</v>
      </c>
      <c r="T344" t="s">
        <v>673</v>
      </c>
      <c r="U344" t="s">
        <v>673</v>
      </c>
      <c r="V344" t="s">
        <v>673</v>
      </c>
      <c r="W344" t="s">
        <v>673</v>
      </c>
      <c r="X344" t="s">
        <v>673</v>
      </c>
      <c r="Y344" t="s">
        <v>673</v>
      </c>
      <c r="Z344" t="s">
        <v>673</v>
      </c>
      <c r="AA344" t="s">
        <v>673</v>
      </c>
      <c r="AB344" t="s">
        <v>673</v>
      </c>
      <c r="AC344" t="s">
        <v>673</v>
      </c>
      <c r="AD344" t="s">
        <v>673</v>
      </c>
      <c r="AE344" t="s">
        <v>673</v>
      </c>
      <c r="AF344" t="s">
        <v>673</v>
      </c>
      <c r="AG344" t="s">
        <v>673</v>
      </c>
      <c r="AH344" t="s">
        <v>673</v>
      </c>
      <c r="AI344" t="s">
        <v>673</v>
      </c>
      <c r="AJ344" t="s">
        <v>673</v>
      </c>
      <c r="AK344" t="s">
        <v>673</v>
      </c>
      <c r="AL344" t="s">
        <v>673</v>
      </c>
      <c r="AM344" t="s">
        <v>673</v>
      </c>
      <c r="AN344" t="s">
        <v>673</v>
      </c>
      <c r="AO344" t="s">
        <v>673</v>
      </c>
      <c r="AP344" t="s">
        <v>673</v>
      </c>
      <c r="AQ344" t="s">
        <v>673</v>
      </c>
      <c r="AR344" t="s">
        <v>673</v>
      </c>
      <c r="AS344" t="s">
        <v>673</v>
      </c>
      <c r="AT344" t="s">
        <v>673</v>
      </c>
      <c r="AU344" t="s">
        <v>673</v>
      </c>
      <c r="AV344" t="s">
        <v>673</v>
      </c>
    </row>
    <row r="345" spans="1:48" x14ac:dyDescent="0.25">
      <c r="A345" t="s">
        <v>445</v>
      </c>
      <c r="B345" t="s">
        <v>2</v>
      </c>
      <c r="C345" t="s">
        <v>445</v>
      </c>
      <c r="D345">
        <v>32900</v>
      </c>
      <c r="E345" t="s">
        <v>672</v>
      </c>
      <c r="F345" t="s">
        <v>117</v>
      </c>
      <c r="G345" t="s">
        <v>670</v>
      </c>
      <c r="H345" t="s">
        <v>670</v>
      </c>
      <c r="I345">
        <v>0.55110000000000003</v>
      </c>
      <c r="J345" t="s">
        <v>673</v>
      </c>
      <c r="K345" t="s">
        <v>673</v>
      </c>
      <c r="L345" t="s">
        <v>673</v>
      </c>
      <c r="M345">
        <v>1.1900000000000001E-2</v>
      </c>
      <c r="N345">
        <v>1.2800000000000001E-2</v>
      </c>
      <c r="O345">
        <v>0.1216</v>
      </c>
      <c r="P345">
        <v>7.9000000000000001E-2</v>
      </c>
      <c r="Q345">
        <v>7.0199999999999999E-2</v>
      </c>
      <c r="R345">
        <v>7.1800000000000003E-2</v>
      </c>
      <c r="S345">
        <v>7.3300000000000004E-2</v>
      </c>
      <c r="T345">
        <v>2.4799999999999999E-2</v>
      </c>
      <c r="U345">
        <v>2.3400000000000001E-2</v>
      </c>
      <c r="V345">
        <v>7.8600000000000003E-2</v>
      </c>
      <c r="W345">
        <v>6.4100000000000004E-2</v>
      </c>
      <c r="X345">
        <v>6.3399999999999998E-2</v>
      </c>
      <c r="Y345">
        <v>7.6399999999999996E-2</v>
      </c>
      <c r="Z345">
        <v>6.9999999999999999E-4</v>
      </c>
      <c r="AA345">
        <v>-5.0500000000000003E-2</v>
      </c>
      <c r="AB345">
        <v>7.4999999999999997E-3</v>
      </c>
      <c r="AC345">
        <v>1.6400000000000001E-2</v>
      </c>
      <c r="AD345">
        <v>8.14E-2</v>
      </c>
      <c r="AE345">
        <v>0.16600000000000001</v>
      </c>
      <c r="AF345">
        <v>0.1285</v>
      </c>
      <c r="AG345">
        <v>0.1055</v>
      </c>
      <c r="AH345">
        <v>0.1011</v>
      </c>
      <c r="AI345">
        <v>9.3399999999999997E-2</v>
      </c>
      <c r="AJ345">
        <v>8.3599999999999994E-2</v>
      </c>
      <c r="AK345">
        <v>8.7099999999999997E-2</v>
      </c>
      <c r="AL345">
        <v>6.2E-2</v>
      </c>
      <c r="AM345">
        <v>5.5199999999999999E-2</v>
      </c>
      <c r="AN345">
        <v>3.6799999999999999E-2</v>
      </c>
      <c r="AO345">
        <v>2.64E-2</v>
      </c>
      <c r="AP345">
        <v>2.6100000000000002E-2</v>
      </c>
      <c r="AQ345">
        <v>3.4099999999999998E-2</v>
      </c>
      <c r="AR345">
        <v>3.3599999999999998E-2</v>
      </c>
      <c r="AS345">
        <v>4.0899999999999999E-2</v>
      </c>
      <c r="AT345">
        <v>3.2399999999999998E-2</v>
      </c>
      <c r="AU345">
        <v>1.8100000000000002E-2</v>
      </c>
      <c r="AV345">
        <v>-2.0199999999999999E-2</v>
      </c>
    </row>
    <row r="346" spans="1:48" x14ac:dyDescent="0.25">
      <c r="A346" t="s">
        <v>446</v>
      </c>
      <c r="B346" t="s">
        <v>2</v>
      </c>
      <c r="C346" t="s">
        <v>446</v>
      </c>
      <c r="D346">
        <v>32940</v>
      </c>
      <c r="E346" t="s">
        <v>672</v>
      </c>
      <c r="F346" t="s">
        <v>117</v>
      </c>
      <c r="G346" t="s">
        <v>670</v>
      </c>
      <c r="H346" t="s">
        <v>670</v>
      </c>
      <c r="I346">
        <v>7.9100000000000004E-2</v>
      </c>
      <c r="J346">
        <v>5.2999999999999999E-2</v>
      </c>
      <c r="K346" t="s">
        <v>673</v>
      </c>
      <c r="L346">
        <v>2.3199999999999998E-2</v>
      </c>
      <c r="M346">
        <v>8.6199999999999999E-2</v>
      </c>
      <c r="N346">
        <v>-3.9300000000000002E-2</v>
      </c>
      <c r="O346">
        <v>-0.1353</v>
      </c>
      <c r="P346">
        <v>6.7699999999999996E-2</v>
      </c>
      <c r="Q346">
        <v>-2.2000000000000001E-3</v>
      </c>
      <c r="R346">
        <v>4.1300000000000003E-2</v>
      </c>
      <c r="S346">
        <v>5.7099999999999998E-2</v>
      </c>
      <c r="T346">
        <v>5.3400000000000003E-2</v>
      </c>
      <c r="U346">
        <v>4.3099999999999999E-2</v>
      </c>
      <c r="V346">
        <v>3.6900000000000002E-2</v>
      </c>
      <c r="W346">
        <v>2.8400000000000002E-2</v>
      </c>
      <c r="X346">
        <v>-4.1999999999999997E-3</v>
      </c>
      <c r="Y346">
        <v>2.2599999999999999E-2</v>
      </c>
      <c r="Z346">
        <v>3.32E-2</v>
      </c>
      <c r="AA346">
        <v>-5.7999999999999996E-3</v>
      </c>
      <c r="AB346">
        <v>1.67E-2</v>
      </c>
      <c r="AC346">
        <v>-1.6299999999999999E-2</v>
      </c>
      <c r="AD346">
        <v>-6.83E-2</v>
      </c>
      <c r="AE346">
        <v>-4.4999999999999997E-3</v>
      </c>
      <c r="AF346">
        <v>1.8700000000000001E-2</v>
      </c>
      <c r="AG346">
        <v>3.0800000000000001E-2</v>
      </c>
      <c r="AH346">
        <v>7.4999999999999997E-2</v>
      </c>
      <c r="AI346">
        <v>5.2699999999999997E-2</v>
      </c>
      <c r="AJ346">
        <v>3.8100000000000002E-2</v>
      </c>
      <c r="AK346">
        <v>3.8199999999999998E-2</v>
      </c>
      <c r="AL346">
        <v>2.5600000000000001E-2</v>
      </c>
      <c r="AM346">
        <v>0.02</v>
      </c>
      <c r="AN346">
        <v>1.52E-2</v>
      </c>
      <c r="AO346">
        <v>1.0500000000000001E-2</v>
      </c>
      <c r="AP346">
        <v>1.5599999999999999E-2</v>
      </c>
      <c r="AQ346">
        <v>1.9699999999999999E-2</v>
      </c>
      <c r="AR346">
        <v>4.02E-2</v>
      </c>
      <c r="AS346">
        <v>3.49E-2</v>
      </c>
      <c r="AT346">
        <v>3.8199999999999998E-2</v>
      </c>
      <c r="AU346">
        <v>1.44E-2</v>
      </c>
      <c r="AV346">
        <v>-3.7000000000000002E-3</v>
      </c>
    </row>
    <row r="347" spans="1:48" x14ac:dyDescent="0.25">
      <c r="A347" t="s">
        <v>447</v>
      </c>
      <c r="B347" t="s">
        <v>2</v>
      </c>
      <c r="C347" t="s">
        <v>447</v>
      </c>
      <c r="D347">
        <v>33124</v>
      </c>
      <c r="E347" t="s">
        <v>672</v>
      </c>
      <c r="F347" t="s">
        <v>117</v>
      </c>
      <c r="G347" t="s">
        <v>670</v>
      </c>
      <c r="H347" t="s">
        <v>670</v>
      </c>
      <c r="I347">
        <v>5.91E-2</v>
      </c>
      <c r="J347">
        <v>1.11E-2</v>
      </c>
      <c r="K347">
        <v>-8.3999999999999995E-3</v>
      </c>
      <c r="L347">
        <v>-6.8999999999999999E-3</v>
      </c>
      <c r="M347">
        <v>7.7000000000000002E-3</v>
      </c>
      <c r="N347">
        <v>4.58E-2</v>
      </c>
      <c r="O347">
        <v>4.1500000000000002E-2</v>
      </c>
      <c r="P347">
        <v>3.7999999999999999E-2</v>
      </c>
      <c r="Q347">
        <v>2.41E-2</v>
      </c>
      <c r="R347">
        <v>3.8600000000000002E-2</v>
      </c>
      <c r="S347">
        <v>7.6100000000000001E-2</v>
      </c>
      <c r="T347">
        <v>7.3099999999999998E-2</v>
      </c>
      <c r="U347">
        <v>6.8099999999999994E-2</v>
      </c>
      <c r="V347">
        <v>5.1900000000000002E-2</v>
      </c>
      <c r="W347">
        <v>3.7400000000000003E-2</v>
      </c>
      <c r="X347">
        <v>2.8199999999999999E-2</v>
      </c>
      <c r="Y347">
        <v>2.12E-2</v>
      </c>
      <c r="Z347">
        <v>-1.12E-2</v>
      </c>
      <c r="AA347">
        <v>-3.7699999999999997E-2</v>
      </c>
      <c r="AB347">
        <v>-3.3099999999999997E-2</v>
      </c>
      <c r="AC347">
        <v>-1.3899999999999999E-2</v>
      </c>
      <c r="AD347">
        <v>6.59E-2</v>
      </c>
      <c r="AE347">
        <v>0.1658</v>
      </c>
      <c r="AF347">
        <v>0.22589999999999999</v>
      </c>
      <c r="AG347">
        <v>0.27860000000000001</v>
      </c>
      <c r="AH347">
        <v>0.28120000000000001</v>
      </c>
      <c r="AI347">
        <v>0.23930000000000001</v>
      </c>
      <c r="AJ347">
        <v>0.1938</v>
      </c>
      <c r="AK347">
        <v>0.13919999999999999</v>
      </c>
      <c r="AL347">
        <v>8.9599999999999999E-2</v>
      </c>
      <c r="AM347">
        <v>5.1299999999999998E-2</v>
      </c>
      <c r="AN347">
        <v>2.4400000000000002E-2</v>
      </c>
      <c r="AO347">
        <v>2.06E-2</v>
      </c>
      <c r="AP347">
        <v>1.2E-2</v>
      </c>
      <c r="AQ347">
        <v>8.3999999999999995E-3</v>
      </c>
      <c r="AR347">
        <v>9.7999999999999997E-3</v>
      </c>
      <c r="AS347">
        <v>7.6E-3</v>
      </c>
      <c r="AT347">
        <v>2.1700000000000001E-2</v>
      </c>
      <c r="AU347">
        <v>2.5999999999999999E-2</v>
      </c>
      <c r="AV347">
        <v>2.8799999999999999E-2</v>
      </c>
    </row>
    <row r="348" spans="1:48" x14ac:dyDescent="0.25">
      <c r="A348" t="s">
        <v>448</v>
      </c>
      <c r="B348" t="s">
        <v>2</v>
      </c>
      <c r="C348" t="s">
        <v>448</v>
      </c>
      <c r="D348">
        <v>33140</v>
      </c>
      <c r="E348" t="s">
        <v>672</v>
      </c>
      <c r="F348" t="s">
        <v>117</v>
      </c>
      <c r="G348" t="s">
        <v>670</v>
      </c>
      <c r="H348" t="s">
        <v>670</v>
      </c>
      <c r="I348">
        <v>9.4399999999999998E-2</v>
      </c>
      <c r="J348">
        <v>9.4000000000000004E-3</v>
      </c>
      <c r="K348" t="s">
        <v>673</v>
      </c>
      <c r="L348" t="s">
        <v>673</v>
      </c>
      <c r="M348">
        <v>0.10489999999999999</v>
      </c>
      <c r="N348">
        <v>0.21190000000000001</v>
      </c>
      <c r="O348">
        <v>8.8900000000000007E-2</v>
      </c>
      <c r="P348">
        <v>8.9099999999999999E-2</v>
      </c>
      <c r="Q348">
        <v>1.46E-2</v>
      </c>
      <c r="R348">
        <v>2.01E-2</v>
      </c>
      <c r="S348">
        <v>1.1000000000000001E-3</v>
      </c>
      <c r="T348">
        <v>5.3100000000000001E-2</v>
      </c>
      <c r="U348">
        <v>4.6699999999999998E-2</v>
      </c>
      <c r="V348">
        <v>3.7100000000000001E-2</v>
      </c>
      <c r="W348">
        <v>6.8599999999999994E-2</v>
      </c>
      <c r="X348">
        <v>2.8299999999999999E-2</v>
      </c>
      <c r="Y348">
        <v>2.69E-2</v>
      </c>
      <c r="Z348">
        <v>4.6600000000000003E-2</v>
      </c>
      <c r="AA348">
        <v>6.4000000000000001E-2</v>
      </c>
      <c r="AB348">
        <v>8.5500000000000007E-2</v>
      </c>
      <c r="AC348">
        <v>0.1396</v>
      </c>
      <c r="AD348">
        <v>0.19359999999999999</v>
      </c>
      <c r="AE348">
        <v>0.20630000000000001</v>
      </c>
      <c r="AF348">
        <v>0.16700000000000001</v>
      </c>
      <c r="AG348">
        <v>0.1618</v>
      </c>
      <c r="AH348">
        <v>0.11260000000000001</v>
      </c>
      <c r="AI348">
        <v>0.1353</v>
      </c>
      <c r="AJ348">
        <v>0.109</v>
      </c>
      <c r="AK348">
        <v>9.7699999999999995E-2</v>
      </c>
      <c r="AL348">
        <v>0.12</v>
      </c>
      <c r="AM348">
        <v>7.0400000000000004E-2</v>
      </c>
      <c r="AN348">
        <v>8.6999999999999994E-2</v>
      </c>
      <c r="AO348">
        <v>5.8200000000000002E-2</v>
      </c>
      <c r="AP348">
        <v>1.0699999999999999E-2</v>
      </c>
      <c r="AQ348">
        <v>8.3000000000000001E-3</v>
      </c>
      <c r="AR348">
        <v>4.5999999999999999E-2</v>
      </c>
      <c r="AS348">
        <v>0.02</v>
      </c>
      <c r="AT348">
        <v>1.15E-2</v>
      </c>
      <c r="AU348">
        <v>1.5599999999999999E-2</v>
      </c>
      <c r="AV348">
        <v>-7.9000000000000008E-3</v>
      </c>
    </row>
    <row r="349" spans="1:48" x14ac:dyDescent="0.25">
      <c r="A349" t="s">
        <v>449</v>
      </c>
      <c r="B349" t="s">
        <v>2</v>
      </c>
      <c r="C349" t="s">
        <v>449</v>
      </c>
      <c r="D349">
        <v>233260</v>
      </c>
      <c r="E349" t="s">
        <v>672</v>
      </c>
      <c r="F349" t="s">
        <v>117</v>
      </c>
      <c r="G349" t="s">
        <v>670</v>
      </c>
      <c r="H349" t="s">
        <v>670</v>
      </c>
      <c r="I349">
        <v>-0.28899999999999998</v>
      </c>
      <c r="J349">
        <v>-0.2429</v>
      </c>
      <c r="K349">
        <v>-0.1837</v>
      </c>
      <c r="L349">
        <v>-0.1033</v>
      </c>
      <c r="M349">
        <v>-3.8999999999999998E-3</v>
      </c>
      <c r="N349">
        <v>0.18840000000000001</v>
      </c>
      <c r="O349">
        <v>0.33410000000000001</v>
      </c>
      <c r="P349">
        <v>0.4219</v>
      </c>
      <c r="Q349">
        <v>0.43640000000000001</v>
      </c>
      <c r="R349">
        <v>0.38969999999999999</v>
      </c>
      <c r="S349">
        <v>0.33169999999999999</v>
      </c>
      <c r="T349">
        <v>0.22020000000000001</v>
      </c>
      <c r="U349">
        <v>0.15040000000000001</v>
      </c>
      <c r="V349">
        <v>3.3799999999999997E-2</v>
      </c>
      <c r="W349">
        <v>-3.7900000000000003E-2</v>
      </c>
      <c r="X349">
        <v>-6.7199999999999996E-2</v>
      </c>
      <c r="Y349">
        <v>-0.12039999999999999</v>
      </c>
      <c r="Z349">
        <v>-0.25979999999999998</v>
      </c>
      <c r="AA349">
        <v>-0.33589999999999998</v>
      </c>
      <c r="AB349">
        <v>-0.33400000000000002</v>
      </c>
      <c r="AC349">
        <v>-0.31940000000000002</v>
      </c>
      <c r="AD349">
        <v>-0.17130000000000001</v>
      </c>
      <c r="AE349">
        <v>-1.52E-2</v>
      </c>
      <c r="AF349">
        <v>4.3099999999999999E-2</v>
      </c>
      <c r="AG349">
        <v>0.1321</v>
      </c>
      <c r="AH349">
        <v>0.16450000000000001</v>
      </c>
      <c r="AI349">
        <v>0.215</v>
      </c>
      <c r="AJ349">
        <v>0.23130000000000001</v>
      </c>
      <c r="AK349">
        <v>0.193</v>
      </c>
      <c r="AL349">
        <v>0.18099999999999999</v>
      </c>
      <c r="AM349">
        <v>0.1522</v>
      </c>
      <c r="AN349">
        <v>0.121</v>
      </c>
      <c r="AO349">
        <v>9.9299999999999999E-2</v>
      </c>
      <c r="AP349">
        <v>7.6899999999999996E-2</v>
      </c>
      <c r="AQ349">
        <v>3.5099999999999999E-2</v>
      </c>
      <c r="AR349">
        <v>2.4500000000000001E-2</v>
      </c>
      <c r="AS349">
        <v>2.4799999999999999E-2</v>
      </c>
      <c r="AT349">
        <v>3.39E-2</v>
      </c>
      <c r="AU349">
        <v>1.3899999999999999E-2</v>
      </c>
      <c r="AV349">
        <v>4.0000000000000002E-4</v>
      </c>
    </row>
    <row r="350" spans="1:48" x14ac:dyDescent="0.25">
      <c r="A350" t="s">
        <v>450</v>
      </c>
      <c r="B350" t="s">
        <v>2</v>
      </c>
      <c r="C350" t="s">
        <v>450</v>
      </c>
      <c r="D350">
        <v>233340</v>
      </c>
      <c r="E350" t="s">
        <v>672</v>
      </c>
      <c r="F350" t="s">
        <v>117</v>
      </c>
      <c r="G350" t="s">
        <v>670</v>
      </c>
      <c r="H350" t="s">
        <v>670</v>
      </c>
      <c r="I350">
        <v>4.2599999999999999E-2</v>
      </c>
      <c r="J350">
        <v>4.0800000000000003E-2</v>
      </c>
      <c r="K350">
        <v>4.1799999999999997E-2</v>
      </c>
      <c r="L350">
        <v>3.2800000000000003E-2</v>
      </c>
      <c r="M350">
        <v>2.9100000000000001E-2</v>
      </c>
      <c r="N350">
        <v>2.52E-2</v>
      </c>
      <c r="O350">
        <v>3.4099999999999998E-2</v>
      </c>
      <c r="P350">
        <v>0.03</v>
      </c>
      <c r="Q350">
        <v>9.9000000000000008E-3</v>
      </c>
      <c r="R350">
        <v>1.49E-2</v>
      </c>
      <c r="S350">
        <v>2.23E-2</v>
      </c>
      <c r="T350">
        <v>4.6100000000000002E-2</v>
      </c>
      <c r="U350">
        <v>6.2E-2</v>
      </c>
      <c r="V350">
        <v>5.7500000000000002E-2</v>
      </c>
      <c r="W350">
        <v>4.9799999999999997E-2</v>
      </c>
      <c r="X350">
        <v>4.24E-2</v>
      </c>
      <c r="Y350">
        <v>3.3399999999999999E-2</v>
      </c>
      <c r="Z350">
        <v>2.24E-2</v>
      </c>
      <c r="AA350">
        <v>1.1599999999999999E-2</v>
      </c>
      <c r="AB350">
        <v>2.0400000000000001E-2</v>
      </c>
      <c r="AC350">
        <v>3.8800000000000001E-2</v>
      </c>
      <c r="AD350">
        <v>5.45E-2</v>
      </c>
      <c r="AE350">
        <v>8.8999999999999996E-2</v>
      </c>
      <c r="AF350">
        <v>9.9400000000000002E-2</v>
      </c>
      <c r="AG350">
        <v>0.10249999999999999</v>
      </c>
      <c r="AH350">
        <v>0.1212</v>
      </c>
      <c r="AI350">
        <v>0.1084</v>
      </c>
      <c r="AJ350">
        <v>8.8400000000000006E-2</v>
      </c>
      <c r="AK350">
        <v>7.5200000000000003E-2</v>
      </c>
      <c r="AL350">
        <v>5.8900000000000001E-2</v>
      </c>
      <c r="AM350">
        <v>5.2200000000000003E-2</v>
      </c>
      <c r="AN350">
        <v>6.7400000000000002E-2</v>
      </c>
      <c r="AO350">
        <v>6.4600000000000005E-2</v>
      </c>
      <c r="AP350">
        <v>6.0299999999999999E-2</v>
      </c>
      <c r="AQ350">
        <v>5.4800000000000001E-2</v>
      </c>
      <c r="AR350">
        <v>3.4700000000000002E-2</v>
      </c>
      <c r="AS350">
        <v>4.1500000000000002E-2</v>
      </c>
      <c r="AT350">
        <v>4.5999999999999999E-2</v>
      </c>
      <c r="AU350">
        <v>3.6999999999999998E-2</v>
      </c>
      <c r="AV350">
        <v>4.2299999999999997E-2</v>
      </c>
    </row>
    <row r="351" spans="1:48" x14ac:dyDescent="0.25">
      <c r="A351" t="s">
        <v>14</v>
      </c>
      <c r="B351" t="s">
        <v>2</v>
      </c>
      <c r="C351" t="s">
        <v>14</v>
      </c>
      <c r="D351">
        <v>33460</v>
      </c>
      <c r="E351" t="s">
        <v>672</v>
      </c>
      <c r="F351" t="s">
        <v>117</v>
      </c>
      <c r="G351" t="s">
        <v>670</v>
      </c>
      <c r="H351" t="s">
        <v>670</v>
      </c>
      <c r="I351">
        <v>3.9600000000000003E-2</v>
      </c>
      <c r="J351">
        <v>5.6000000000000001E-2</v>
      </c>
      <c r="K351">
        <v>5.8700000000000002E-2</v>
      </c>
      <c r="L351">
        <v>6.2E-2</v>
      </c>
      <c r="M351">
        <v>6.1100000000000002E-2</v>
      </c>
      <c r="N351">
        <v>6.0999999999999999E-2</v>
      </c>
      <c r="O351">
        <v>4.8899999999999999E-2</v>
      </c>
      <c r="P351">
        <v>5.0799999999999998E-2</v>
      </c>
      <c r="Q351">
        <v>4.6199999999999998E-2</v>
      </c>
      <c r="R351">
        <v>3.8600000000000002E-2</v>
      </c>
      <c r="S351">
        <v>4.8500000000000001E-2</v>
      </c>
      <c r="T351">
        <v>4.4699999999999997E-2</v>
      </c>
      <c r="U351">
        <v>4.3299999999999998E-2</v>
      </c>
      <c r="V351">
        <v>4.87E-2</v>
      </c>
      <c r="W351">
        <v>4.8800000000000003E-2</v>
      </c>
      <c r="X351">
        <v>4.5699999999999998E-2</v>
      </c>
      <c r="Y351">
        <v>4.7300000000000002E-2</v>
      </c>
      <c r="Z351">
        <v>2.4400000000000002E-2</v>
      </c>
      <c r="AA351">
        <v>2.3E-3</v>
      </c>
      <c r="AB351">
        <v>-6.4999999999999997E-3</v>
      </c>
      <c r="AC351">
        <v>-2.23E-2</v>
      </c>
      <c r="AD351">
        <v>-3.5000000000000001E-3</v>
      </c>
      <c r="AE351">
        <v>3.2500000000000001E-2</v>
      </c>
      <c r="AF351">
        <v>5.1400000000000001E-2</v>
      </c>
      <c r="AG351">
        <v>6.9599999999999995E-2</v>
      </c>
      <c r="AH351">
        <v>7.4499999999999997E-2</v>
      </c>
      <c r="AI351">
        <v>6.8900000000000003E-2</v>
      </c>
      <c r="AJ351">
        <v>5.8400000000000001E-2</v>
      </c>
      <c r="AK351">
        <v>4.7899999999999998E-2</v>
      </c>
      <c r="AL351">
        <v>4.4499999999999998E-2</v>
      </c>
      <c r="AM351">
        <v>2.0799999999999999E-2</v>
      </c>
      <c r="AN351">
        <v>1.9900000000000001E-2</v>
      </c>
      <c r="AO351">
        <v>2.8500000000000001E-2</v>
      </c>
      <c r="AP351">
        <v>1.9599999999999999E-2</v>
      </c>
      <c r="AQ351">
        <v>2.3699999999999999E-2</v>
      </c>
      <c r="AR351">
        <v>2.4500000000000001E-2</v>
      </c>
      <c r="AS351">
        <v>2.5700000000000001E-2</v>
      </c>
      <c r="AT351">
        <v>4.65E-2</v>
      </c>
      <c r="AU351">
        <v>5.33E-2</v>
      </c>
      <c r="AV351">
        <v>5.1799999999999999E-2</v>
      </c>
    </row>
    <row r="352" spans="1:48" x14ac:dyDescent="0.25">
      <c r="A352" t="s">
        <v>451</v>
      </c>
      <c r="B352" t="s">
        <v>2</v>
      </c>
      <c r="C352" t="s">
        <v>451</v>
      </c>
      <c r="D352">
        <v>33500</v>
      </c>
      <c r="E352" t="s">
        <v>672</v>
      </c>
      <c r="F352" t="s">
        <v>117</v>
      </c>
      <c r="G352" t="s">
        <v>670</v>
      </c>
      <c r="H352" t="s">
        <v>670</v>
      </c>
      <c r="I352" t="s">
        <v>673</v>
      </c>
      <c r="J352" t="s">
        <v>673</v>
      </c>
      <c r="K352" t="s">
        <v>673</v>
      </c>
      <c r="L352" t="s">
        <v>673</v>
      </c>
      <c r="M352" t="s">
        <v>673</v>
      </c>
      <c r="N352" t="s">
        <v>673</v>
      </c>
      <c r="O352">
        <v>7.51E-2</v>
      </c>
      <c r="P352">
        <v>-1.9E-3</v>
      </c>
      <c r="Q352">
        <v>1.09E-2</v>
      </c>
      <c r="R352">
        <v>2.0199999999999999E-2</v>
      </c>
      <c r="S352">
        <v>1.2999999999999999E-3</v>
      </c>
      <c r="T352">
        <v>2.7799999999999998E-2</v>
      </c>
      <c r="U352">
        <v>-2.2000000000000001E-3</v>
      </c>
      <c r="V352">
        <v>-2.1499999999999998E-2</v>
      </c>
      <c r="W352">
        <v>0</v>
      </c>
      <c r="X352">
        <v>-3.7000000000000002E-3</v>
      </c>
      <c r="Y352">
        <v>3.2099999999999997E-2</v>
      </c>
      <c r="Z352">
        <v>1.14E-2</v>
      </c>
      <c r="AA352">
        <v>-3.32E-2</v>
      </c>
      <c r="AB352">
        <v>-3.39E-2</v>
      </c>
      <c r="AC352">
        <v>-3.2800000000000003E-2</v>
      </c>
      <c r="AD352">
        <v>-5.7000000000000002E-3</v>
      </c>
      <c r="AE352">
        <v>3.2800000000000003E-2</v>
      </c>
      <c r="AF352">
        <v>5.0599999999999999E-2</v>
      </c>
      <c r="AG352">
        <v>4.9500000000000002E-2</v>
      </c>
      <c r="AH352">
        <v>3.6200000000000003E-2</v>
      </c>
      <c r="AI352">
        <v>3.3399999999999999E-2</v>
      </c>
      <c r="AJ352">
        <v>1.77E-2</v>
      </c>
      <c r="AK352">
        <v>1.77E-2</v>
      </c>
      <c r="AL352">
        <v>2.7E-2</v>
      </c>
      <c r="AM352">
        <v>5.0700000000000002E-2</v>
      </c>
      <c r="AN352">
        <v>7.2300000000000003E-2</v>
      </c>
      <c r="AO352">
        <v>6.5000000000000002E-2</v>
      </c>
      <c r="AP352">
        <v>0.08</v>
      </c>
      <c r="AQ352">
        <v>6.2600000000000003E-2</v>
      </c>
      <c r="AR352">
        <v>5.7299999999999997E-2</v>
      </c>
      <c r="AS352">
        <v>7.8799999999999995E-2</v>
      </c>
      <c r="AT352">
        <v>6.3899999999999998E-2</v>
      </c>
      <c r="AU352">
        <v>6.5100000000000005E-2</v>
      </c>
      <c r="AV352">
        <v>7.9500000000000001E-2</v>
      </c>
    </row>
    <row r="353" spans="1:48" x14ac:dyDescent="0.25">
      <c r="A353" t="s">
        <v>452</v>
      </c>
      <c r="B353" t="s">
        <v>2</v>
      </c>
      <c r="C353" t="s">
        <v>452</v>
      </c>
      <c r="D353">
        <v>33540</v>
      </c>
      <c r="E353" t="s">
        <v>672</v>
      </c>
      <c r="F353" t="s">
        <v>117</v>
      </c>
      <c r="G353" t="s">
        <v>670</v>
      </c>
      <c r="H353" t="s">
        <v>670</v>
      </c>
      <c r="I353">
        <v>6.2899999999999998E-2</v>
      </c>
      <c r="J353">
        <v>1.84E-2</v>
      </c>
      <c r="K353">
        <v>1.0999999999999999E-2</v>
      </c>
      <c r="L353">
        <v>2.2499999999999999E-2</v>
      </c>
      <c r="M353">
        <v>-5.0299999999999997E-2</v>
      </c>
      <c r="N353">
        <v>-4.9399999999999999E-2</v>
      </c>
      <c r="O353">
        <v>-3.6999999999999998E-2</v>
      </c>
      <c r="P353">
        <v>-5.3999999999999999E-2</v>
      </c>
      <c r="Q353">
        <v>-4.4999999999999997E-3</v>
      </c>
      <c r="R353">
        <v>1.2E-2</v>
      </c>
      <c r="S353">
        <v>2.4799999999999999E-2</v>
      </c>
      <c r="T353">
        <v>4.4400000000000002E-2</v>
      </c>
      <c r="U353">
        <v>5.3499999999999999E-2</v>
      </c>
      <c r="V353">
        <v>4.5199999999999997E-2</v>
      </c>
      <c r="W353">
        <v>8.72E-2</v>
      </c>
      <c r="X353">
        <v>4.9099999999999998E-2</v>
      </c>
      <c r="Y353">
        <v>0.1207</v>
      </c>
      <c r="Z353">
        <v>8.7499999999999994E-2</v>
      </c>
      <c r="AA353">
        <v>0.1007</v>
      </c>
      <c r="AB353">
        <v>0.21840000000000001</v>
      </c>
      <c r="AC353">
        <v>0.15240000000000001</v>
      </c>
      <c r="AD353">
        <v>0.21149999999999999</v>
      </c>
      <c r="AE353">
        <v>0.19489999999999999</v>
      </c>
      <c r="AF353">
        <v>8.2600000000000007E-2</v>
      </c>
      <c r="AG353">
        <v>0.1053</v>
      </c>
      <c r="AH353">
        <v>8.8499999999999995E-2</v>
      </c>
      <c r="AI353">
        <v>8.77E-2</v>
      </c>
      <c r="AJ353">
        <v>5.8599999999999999E-2</v>
      </c>
      <c r="AK353">
        <v>2.53E-2</v>
      </c>
      <c r="AL353">
        <v>4.87E-2</v>
      </c>
      <c r="AM353">
        <v>-2.6100000000000002E-2</v>
      </c>
      <c r="AN353">
        <v>-3.78E-2</v>
      </c>
      <c r="AO353">
        <v>-4.8899999999999999E-2</v>
      </c>
      <c r="AP353">
        <v>-2.2499999999999999E-2</v>
      </c>
      <c r="AQ353">
        <v>8.1100000000000005E-2</v>
      </c>
      <c r="AR353">
        <v>4.7300000000000002E-2</v>
      </c>
      <c r="AS353">
        <v>0.12609999999999999</v>
      </c>
      <c r="AT353">
        <v>7.1099999999999997E-2</v>
      </c>
      <c r="AU353">
        <v>8.5300000000000001E-2</v>
      </c>
      <c r="AV353">
        <v>0.10390000000000001</v>
      </c>
    </row>
    <row r="354" spans="1:48" x14ac:dyDescent="0.25">
      <c r="A354" t="s">
        <v>453</v>
      </c>
      <c r="B354" t="s">
        <v>2</v>
      </c>
      <c r="C354" t="s">
        <v>453</v>
      </c>
      <c r="D354">
        <v>33580</v>
      </c>
      <c r="E354" t="s">
        <v>672</v>
      </c>
      <c r="F354" t="s">
        <v>117</v>
      </c>
      <c r="G354" t="s">
        <v>670</v>
      </c>
      <c r="H354" t="s">
        <v>670</v>
      </c>
      <c r="I354" t="s">
        <v>673</v>
      </c>
      <c r="J354" t="s">
        <v>673</v>
      </c>
      <c r="K354" t="s">
        <v>673</v>
      </c>
      <c r="L354" t="s">
        <v>673</v>
      </c>
      <c r="M354" t="s">
        <v>673</v>
      </c>
      <c r="N354" t="s">
        <v>673</v>
      </c>
      <c r="O354" t="s">
        <v>673</v>
      </c>
      <c r="P354" t="s">
        <v>673</v>
      </c>
      <c r="Q354" t="s">
        <v>673</v>
      </c>
      <c r="R354" t="s">
        <v>673</v>
      </c>
      <c r="S354">
        <v>-5.9700000000000003E-2</v>
      </c>
      <c r="T354">
        <v>-6.0999999999999999E-2</v>
      </c>
      <c r="U354">
        <v>-7.9399999999999998E-2</v>
      </c>
      <c r="V354">
        <v>-5.0200000000000002E-2</v>
      </c>
      <c r="W354" t="s">
        <v>673</v>
      </c>
      <c r="X354" t="s">
        <v>673</v>
      </c>
      <c r="Y354" t="s">
        <v>673</v>
      </c>
      <c r="Z354" t="s">
        <v>673</v>
      </c>
      <c r="AA354" t="s">
        <v>673</v>
      </c>
      <c r="AB354" t="s">
        <v>673</v>
      </c>
      <c r="AC354" t="s">
        <v>673</v>
      </c>
      <c r="AD354" t="s">
        <v>673</v>
      </c>
      <c r="AE354" t="s">
        <v>673</v>
      </c>
      <c r="AF354" t="s">
        <v>673</v>
      </c>
      <c r="AG354" t="s">
        <v>673</v>
      </c>
      <c r="AH354" t="s">
        <v>673</v>
      </c>
      <c r="AI354" t="s">
        <v>673</v>
      </c>
      <c r="AJ354" t="s">
        <v>673</v>
      </c>
      <c r="AK354" t="s">
        <v>673</v>
      </c>
      <c r="AL354" t="s">
        <v>673</v>
      </c>
      <c r="AM354" t="s">
        <v>673</v>
      </c>
      <c r="AN354" t="s">
        <v>673</v>
      </c>
      <c r="AO354" t="s">
        <v>673</v>
      </c>
      <c r="AP354" t="s">
        <v>673</v>
      </c>
      <c r="AQ354" t="s">
        <v>673</v>
      </c>
      <c r="AR354" t="s">
        <v>673</v>
      </c>
      <c r="AS354" t="s">
        <v>673</v>
      </c>
      <c r="AT354" t="s">
        <v>673</v>
      </c>
      <c r="AU354" t="s">
        <v>673</v>
      </c>
      <c r="AV354" t="s">
        <v>673</v>
      </c>
    </row>
    <row r="355" spans="1:48" x14ac:dyDescent="0.25">
      <c r="A355" t="s">
        <v>454</v>
      </c>
      <c r="B355" t="s">
        <v>2</v>
      </c>
      <c r="C355" t="s">
        <v>454</v>
      </c>
      <c r="D355">
        <v>233660</v>
      </c>
      <c r="E355" t="s">
        <v>672</v>
      </c>
      <c r="F355" t="s">
        <v>117</v>
      </c>
      <c r="G355" t="s">
        <v>670</v>
      </c>
      <c r="H355" t="s">
        <v>670</v>
      </c>
      <c r="I355">
        <v>6.8699999999999997E-2</v>
      </c>
      <c r="J355">
        <v>5.5100000000000003E-2</v>
      </c>
      <c r="K355">
        <v>2.3099999999999999E-2</v>
      </c>
      <c r="L355">
        <v>1.84E-2</v>
      </c>
      <c r="M355">
        <v>-1.1299999999999999E-2</v>
      </c>
      <c r="N355">
        <v>8.6999999999999994E-3</v>
      </c>
      <c r="O355">
        <v>1.7600000000000001E-2</v>
      </c>
      <c r="P355">
        <v>-5.4000000000000003E-3</v>
      </c>
      <c r="Q355">
        <v>1.34E-2</v>
      </c>
      <c r="R355">
        <v>1.04E-2</v>
      </c>
      <c r="S355">
        <v>1.4800000000000001E-2</v>
      </c>
      <c r="T355">
        <v>4.2999999999999997E-2</v>
      </c>
      <c r="U355">
        <v>4.8899999999999999E-2</v>
      </c>
      <c r="V355">
        <v>2.81E-2</v>
      </c>
      <c r="W355">
        <v>1.9199999999999998E-2</v>
      </c>
      <c r="X355">
        <v>1.0200000000000001E-2</v>
      </c>
      <c r="Y355">
        <v>2.3599999999999999E-2</v>
      </c>
      <c r="Z355">
        <v>2.18E-2</v>
      </c>
      <c r="AA355">
        <v>6.6100000000000006E-2</v>
      </c>
      <c r="AB355">
        <v>0.09</v>
      </c>
      <c r="AC355">
        <v>8.3000000000000004E-2</v>
      </c>
      <c r="AD355">
        <v>0.15690000000000001</v>
      </c>
      <c r="AE355">
        <v>0.20469999999999999</v>
      </c>
      <c r="AF355">
        <v>0.21640000000000001</v>
      </c>
      <c r="AG355">
        <v>0.19359999999999999</v>
      </c>
      <c r="AH355">
        <v>0.16289999999999999</v>
      </c>
      <c r="AI355">
        <v>0.1019</v>
      </c>
      <c r="AJ355">
        <v>7.3899999999999993E-2</v>
      </c>
      <c r="AK355">
        <v>9.0200000000000002E-2</v>
      </c>
      <c r="AL355">
        <v>6.5199999999999994E-2</v>
      </c>
      <c r="AM355">
        <v>3.7100000000000001E-2</v>
      </c>
      <c r="AN355">
        <v>1.6500000000000001E-2</v>
      </c>
      <c r="AO355">
        <v>-3.3999999999999998E-3</v>
      </c>
      <c r="AP355">
        <v>-2E-3</v>
      </c>
      <c r="AQ355">
        <v>8.9999999999999998E-4</v>
      </c>
      <c r="AR355">
        <v>-5.0000000000000001E-3</v>
      </c>
      <c r="AS355">
        <v>1.4E-3</v>
      </c>
      <c r="AT355">
        <v>1.77E-2</v>
      </c>
      <c r="AU355">
        <v>5.5999999999999999E-3</v>
      </c>
      <c r="AV355">
        <v>3.6900000000000002E-2</v>
      </c>
    </row>
    <row r="356" spans="1:48" x14ac:dyDescent="0.25">
      <c r="A356" t="s">
        <v>455</v>
      </c>
      <c r="B356" t="s">
        <v>2</v>
      </c>
      <c r="C356" t="s">
        <v>455</v>
      </c>
      <c r="D356">
        <v>33700</v>
      </c>
      <c r="E356" t="s">
        <v>672</v>
      </c>
      <c r="F356" t="s">
        <v>117</v>
      </c>
      <c r="G356" t="s">
        <v>670</v>
      </c>
      <c r="H356" t="s">
        <v>670</v>
      </c>
      <c r="I356">
        <v>0.11360000000000001</v>
      </c>
      <c r="J356">
        <v>0.1183</v>
      </c>
      <c r="K356">
        <v>0.14069999999999999</v>
      </c>
      <c r="L356">
        <v>0.1295</v>
      </c>
      <c r="M356">
        <v>0.13869999999999999</v>
      </c>
      <c r="N356">
        <v>0.1086</v>
      </c>
      <c r="O356">
        <v>8.48E-2</v>
      </c>
      <c r="P356">
        <v>8.09E-2</v>
      </c>
      <c r="Q356">
        <v>4.7300000000000002E-2</v>
      </c>
      <c r="R356">
        <v>4.7399999999999998E-2</v>
      </c>
      <c r="S356">
        <v>3.9100000000000003E-2</v>
      </c>
      <c r="T356">
        <v>3.7699999999999997E-2</v>
      </c>
      <c r="U356">
        <v>4.5400000000000003E-2</v>
      </c>
      <c r="V356">
        <v>4.3700000000000003E-2</v>
      </c>
      <c r="W356">
        <v>6.8400000000000002E-2</v>
      </c>
      <c r="X356">
        <v>6.13E-2</v>
      </c>
      <c r="Y356">
        <v>6.9900000000000004E-2</v>
      </c>
      <c r="Z356">
        <v>6.3100000000000003E-2</v>
      </c>
      <c r="AA356">
        <v>4.7899999999999998E-2</v>
      </c>
      <c r="AB356">
        <v>6.6400000000000001E-2</v>
      </c>
      <c r="AC356">
        <v>7.3099999999999998E-2</v>
      </c>
      <c r="AD356">
        <v>0.1011</v>
      </c>
      <c r="AE356">
        <v>0.1212</v>
      </c>
      <c r="AF356">
        <v>0.13669999999999999</v>
      </c>
      <c r="AG356">
        <v>0.15340000000000001</v>
      </c>
      <c r="AH356">
        <v>0.14680000000000001</v>
      </c>
      <c r="AI356">
        <v>0.1258</v>
      </c>
      <c r="AJ356">
        <v>7.7499999999999999E-2</v>
      </c>
      <c r="AK356">
        <v>2.8899999999999999E-2</v>
      </c>
      <c r="AL356">
        <v>1.18E-2</v>
      </c>
      <c r="AM356">
        <v>-3.3999999999999998E-3</v>
      </c>
      <c r="AN356">
        <v>9.9000000000000008E-3</v>
      </c>
      <c r="AO356">
        <v>2.7400000000000001E-2</v>
      </c>
      <c r="AP356">
        <v>4.2700000000000002E-2</v>
      </c>
      <c r="AQ356">
        <v>4.2900000000000001E-2</v>
      </c>
      <c r="AR356">
        <v>4.0599999999999997E-2</v>
      </c>
      <c r="AS356">
        <v>3.49E-2</v>
      </c>
      <c r="AT356">
        <v>2.8400000000000002E-2</v>
      </c>
      <c r="AU356">
        <v>1.1299999999999999E-2</v>
      </c>
      <c r="AV356">
        <v>-4.4000000000000003E-3</v>
      </c>
    </row>
    <row r="357" spans="1:48" x14ac:dyDescent="0.25">
      <c r="A357" t="s">
        <v>456</v>
      </c>
      <c r="B357" t="s">
        <v>2</v>
      </c>
      <c r="C357" t="s">
        <v>456</v>
      </c>
      <c r="D357">
        <v>33740</v>
      </c>
      <c r="E357" t="s">
        <v>672</v>
      </c>
      <c r="F357" t="s">
        <v>117</v>
      </c>
      <c r="G357" t="s">
        <v>670</v>
      </c>
      <c r="H357" t="s">
        <v>670</v>
      </c>
      <c r="I357">
        <v>5.5999999999999999E-3</v>
      </c>
      <c r="J357">
        <v>4.1599999999999998E-2</v>
      </c>
      <c r="K357">
        <v>5.9200000000000003E-2</v>
      </c>
      <c r="L357">
        <v>4.3900000000000002E-2</v>
      </c>
      <c r="M357">
        <v>4.2299999999999997E-2</v>
      </c>
      <c r="N357">
        <v>-4.02E-2</v>
      </c>
      <c r="O357">
        <v>-4.6199999999999998E-2</v>
      </c>
      <c r="P357">
        <v>-4.8099999999999997E-2</v>
      </c>
      <c r="Q357">
        <v>-5.0900000000000001E-2</v>
      </c>
      <c r="R357">
        <v>1.2500000000000001E-2</v>
      </c>
      <c r="S357">
        <v>3.7000000000000002E-3</v>
      </c>
      <c r="T357">
        <v>9.9000000000000008E-3</v>
      </c>
      <c r="U357">
        <v>1.5299999999999999E-2</v>
      </c>
      <c r="V357">
        <v>-1.52E-2</v>
      </c>
      <c r="W357">
        <v>5.0799999999999998E-2</v>
      </c>
      <c r="X357">
        <v>4.3700000000000003E-2</v>
      </c>
      <c r="Y357">
        <v>-3.0300000000000001E-2</v>
      </c>
      <c r="Z357">
        <v>-1.4200000000000001E-2</v>
      </c>
      <c r="AA357">
        <v>-5.3499999999999999E-2</v>
      </c>
      <c r="AB357">
        <v>-3.6400000000000002E-2</v>
      </c>
      <c r="AC357">
        <v>4.5499999999999999E-2</v>
      </c>
      <c r="AD357">
        <v>5.6899999999999999E-2</v>
      </c>
      <c r="AE357">
        <v>5.2600000000000001E-2</v>
      </c>
      <c r="AF357">
        <v>6.2199999999999998E-2</v>
      </c>
      <c r="AG357">
        <v>3.4299999999999997E-2</v>
      </c>
      <c r="AH357">
        <v>0.1042</v>
      </c>
      <c r="AI357">
        <v>0.1162</v>
      </c>
      <c r="AJ357">
        <v>9.4500000000000001E-2</v>
      </c>
      <c r="AK357">
        <v>0.12130000000000001</v>
      </c>
      <c r="AL357">
        <v>2.0299999999999999E-2</v>
      </c>
      <c r="AM357">
        <v>1.84E-2</v>
      </c>
      <c r="AN357">
        <v>3.27E-2</v>
      </c>
      <c r="AO357">
        <v>3.0200000000000001E-2</v>
      </c>
      <c r="AP357">
        <v>5.79E-2</v>
      </c>
      <c r="AQ357">
        <v>3.5999999999999997E-2</v>
      </c>
      <c r="AR357">
        <v>-1.0800000000000001E-2</v>
      </c>
      <c r="AS357">
        <v>-2.1299999999999999E-2</v>
      </c>
      <c r="AT357">
        <v>0.02</v>
      </c>
      <c r="AU357">
        <v>7.9500000000000001E-2</v>
      </c>
      <c r="AV357">
        <v>0.1341</v>
      </c>
    </row>
    <row r="358" spans="1:48" x14ac:dyDescent="0.25">
      <c r="A358" t="s">
        <v>457</v>
      </c>
      <c r="B358" t="s">
        <v>2</v>
      </c>
      <c r="C358" t="s">
        <v>457</v>
      </c>
      <c r="D358">
        <v>33780</v>
      </c>
      <c r="E358" t="s">
        <v>672</v>
      </c>
      <c r="F358" t="s">
        <v>117</v>
      </c>
      <c r="G358" t="s">
        <v>670</v>
      </c>
      <c r="H358" t="s">
        <v>670</v>
      </c>
      <c r="I358">
        <v>-7.4000000000000003E-3</v>
      </c>
      <c r="J358">
        <v>1.54E-2</v>
      </c>
      <c r="K358">
        <v>1.5900000000000001E-2</v>
      </c>
      <c r="L358">
        <v>1.3100000000000001E-2</v>
      </c>
      <c r="M358">
        <v>1.66E-2</v>
      </c>
      <c r="N358">
        <v>7.0199999999999999E-2</v>
      </c>
      <c r="O358">
        <v>7.6799999999999993E-2</v>
      </c>
      <c r="P358">
        <v>8.1900000000000001E-2</v>
      </c>
      <c r="Q358">
        <v>7.5399999999999995E-2</v>
      </c>
      <c r="R358">
        <v>2.5000000000000001E-2</v>
      </c>
      <c r="S358">
        <v>4.9599999999999998E-2</v>
      </c>
      <c r="T358">
        <v>2.8400000000000002E-2</v>
      </c>
      <c r="U358">
        <v>4.5499999999999999E-2</v>
      </c>
      <c r="V358">
        <v>4.7899999999999998E-2</v>
      </c>
      <c r="W358">
        <v>2.7900000000000001E-2</v>
      </c>
      <c r="X358">
        <v>2.87E-2</v>
      </c>
      <c r="Y358">
        <v>3.8399999999999997E-2</v>
      </c>
      <c r="Z358">
        <v>3.0499999999999999E-2</v>
      </c>
      <c r="AA358">
        <v>3.0300000000000001E-2</v>
      </c>
      <c r="AB358">
        <v>6.5500000000000003E-2</v>
      </c>
      <c r="AC358">
        <v>5.8700000000000002E-2</v>
      </c>
      <c r="AD358">
        <v>7.0300000000000001E-2</v>
      </c>
      <c r="AE358">
        <v>7.7100000000000002E-2</v>
      </c>
      <c r="AF358">
        <v>8.0699999999999994E-2</v>
      </c>
      <c r="AG358">
        <v>8.3000000000000004E-2</v>
      </c>
      <c r="AH358">
        <v>8.43E-2</v>
      </c>
      <c r="AI358">
        <v>5.5500000000000001E-2</v>
      </c>
      <c r="AJ358">
        <v>1.9E-2</v>
      </c>
      <c r="AK358">
        <v>7.9000000000000008E-3</v>
      </c>
      <c r="AL358">
        <v>-2.0999999999999999E-3</v>
      </c>
      <c r="AM358">
        <v>5.3400000000000003E-2</v>
      </c>
      <c r="AN358">
        <v>6.3799999999999996E-2</v>
      </c>
      <c r="AO358">
        <v>6.7199999999999996E-2</v>
      </c>
      <c r="AP358">
        <v>9.3200000000000005E-2</v>
      </c>
      <c r="AQ358">
        <v>3.9100000000000003E-2</v>
      </c>
      <c r="AR358">
        <v>1.1299999999999999E-2</v>
      </c>
      <c r="AS358">
        <v>-1.4E-2</v>
      </c>
      <c r="AT358">
        <v>3.6999999999999998E-2</v>
      </c>
      <c r="AU358">
        <v>4.4999999999999998E-2</v>
      </c>
      <c r="AV358">
        <v>7.8200000000000006E-2</v>
      </c>
    </row>
    <row r="359" spans="1:48" x14ac:dyDescent="0.25">
      <c r="A359" t="s">
        <v>458</v>
      </c>
      <c r="B359" t="s">
        <v>2</v>
      </c>
      <c r="C359" t="s">
        <v>458</v>
      </c>
      <c r="D359">
        <v>33860</v>
      </c>
      <c r="E359" t="s">
        <v>672</v>
      </c>
      <c r="F359" t="s">
        <v>117</v>
      </c>
      <c r="G359" t="s">
        <v>670</v>
      </c>
      <c r="H359" t="s">
        <v>670</v>
      </c>
      <c r="I359">
        <v>1.09E-2</v>
      </c>
      <c r="J359">
        <v>7.1000000000000004E-3</v>
      </c>
      <c r="K359">
        <v>1.6899999999999998E-2</v>
      </c>
      <c r="L359">
        <v>2.8299999999999999E-2</v>
      </c>
      <c r="M359">
        <v>5.04E-2</v>
      </c>
      <c r="N359">
        <v>4.8099999999999997E-2</v>
      </c>
      <c r="O359">
        <v>1.7399999999999999E-2</v>
      </c>
      <c r="P359">
        <v>2.81E-2</v>
      </c>
      <c r="Q359">
        <v>1.2699999999999999E-2</v>
      </c>
      <c r="R359">
        <v>2.3400000000000001E-2</v>
      </c>
      <c r="S359">
        <v>3.3700000000000001E-2</v>
      </c>
      <c r="T359">
        <v>2.2100000000000002E-2</v>
      </c>
      <c r="U359">
        <v>4.7399999999999998E-2</v>
      </c>
      <c r="V359">
        <v>5.3400000000000003E-2</v>
      </c>
      <c r="W359">
        <v>4.07E-2</v>
      </c>
      <c r="X359">
        <v>6.1699999999999998E-2</v>
      </c>
      <c r="Y359">
        <v>3.2399999999999998E-2</v>
      </c>
      <c r="Z359">
        <v>1.5E-3</v>
      </c>
      <c r="AA359">
        <v>8.0999999999999996E-3</v>
      </c>
      <c r="AB359">
        <v>1.1000000000000001E-3</v>
      </c>
      <c r="AC359">
        <v>2.2599999999999999E-2</v>
      </c>
      <c r="AD359">
        <v>7.8799999999999995E-2</v>
      </c>
      <c r="AE359">
        <v>0.13619999999999999</v>
      </c>
      <c r="AF359">
        <v>0.1353</v>
      </c>
      <c r="AG359">
        <v>0.1177</v>
      </c>
      <c r="AH359">
        <v>0.1278</v>
      </c>
      <c r="AI359">
        <v>0.1056</v>
      </c>
      <c r="AJ359">
        <v>8.6300000000000002E-2</v>
      </c>
      <c r="AK359">
        <v>6.6699999999999995E-2</v>
      </c>
      <c r="AL359">
        <v>3.73E-2</v>
      </c>
      <c r="AM359">
        <v>2.7099999999999999E-2</v>
      </c>
      <c r="AN359">
        <v>3.27E-2</v>
      </c>
      <c r="AO359">
        <v>5.2200000000000003E-2</v>
      </c>
      <c r="AP359">
        <v>6.0600000000000001E-2</v>
      </c>
      <c r="AQ359">
        <v>4.9000000000000002E-2</v>
      </c>
      <c r="AR359">
        <v>5.6599999999999998E-2</v>
      </c>
      <c r="AS359">
        <v>5.57E-2</v>
      </c>
      <c r="AT359">
        <v>3.6999999999999998E-2</v>
      </c>
      <c r="AU359">
        <v>3.5799999999999998E-2</v>
      </c>
      <c r="AV359">
        <v>1.8700000000000001E-2</v>
      </c>
    </row>
    <row r="360" spans="1:48" x14ac:dyDescent="0.25">
      <c r="A360" t="s">
        <v>459</v>
      </c>
      <c r="B360" t="s">
        <v>2</v>
      </c>
      <c r="C360" t="s">
        <v>459</v>
      </c>
      <c r="D360">
        <v>33980</v>
      </c>
      <c r="E360" t="s">
        <v>672</v>
      </c>
      <c r="F360" t="s">
        <v>117</v>
      </c>
      <c r="G360" t="s">
        <v>670</v>
      </c>
      <c r="H360" t="s">
        <v>670</v>
      </c>
      <c r="I360">
        <v>-2.7000000000000001E-3</v>
      </c>
      <c r="J360">
        <v>-8.9200000000000002E-2</v>
      </c>
      <c r="K360">
        <v>-9.8500000000000004E-2</v>
      </c>
      <c r="L360">
        <v>2.6100000000000002E-2</v>
      </c>
      <c r="M360">
        <v>1.9099999999999999E-2</v>
      </c>
      <c r="N360" t="s">
        <v>673</v>
      </c>
      <c r="O360" t="s">
        <v>673</v>
      </c>
      <c r="P360" t="s">
        <v>673</v>
      </c>
      <c r="Q360" t="s">
        <v>673</v>
      </c>
      <c r="R360" t="s">
        <v>673</v>
      </c>
      <c r="S360" t="s">
        <v>673</v>
      </c>
      <c r="T360" t="s">
        <v>673</v>
      </c>
      <c r="U360" t="s">
        <v>673</v>
      </c>
      <c r="V360">
        <v>0.60109999999999997</v>
      </c>
      <c r="W360">
        <v>-1.8E-3</v>
      </c>
      <c r="X360">
        <v>0.1298</v>
      </c>
      <c r="Y360">
        <v>0.1686</v>
      </c>
      <c r="Z360">
        <v>5.3999999999999999E-2</v>
      </c>
      <c r="AA360">
        <v>-1.3599999999999999E-2</v>
      </c>
      <c r="AB360">
        <v>-2.53E-2</v>
      </c>
      <c r="AC360">
        <v>-4.9399999999999999E-2</v>
      </c>
      <c r="AD360">
        <v>-3.2899999999999999E-2</v>
      </c>
      <c r="AE360">
        <v>4.1099999999999998E-2</v>
      </c>
      <c r="AF360">
        <v>4.7E-2</v>
      </c>
      <c r="AG360">
        <v>5.91E-2</v>
      </c>
      <c r="AH360">
        <v>0.19919999999999999</v>
      </c>
      <c r="AI360">
        <v>0.26050000000000001</v>
      </c>
      <c r="AJ360">
        <v>0.24879999999999999</v>
      </c>
      <c r="AK360">
        <v>0.21249999999999999</v>
      </c>
      <c r="AL360">
        <v>6.8199999999999997E-2</v>
      </c>
      <c r="AM360">
        <v>1.7399999999999999E-2</v>
      </c>
      <c r="AN360">
        <v>1.4200000000000001E-2</v>
      </c>
      <c r="AO360">
        <v>2.58E-2</v>
      </c>
      <c r="AP360">
        <v>8.9999999999999998E-4</v>
      </c>
      <c r="AQ360">
        <v>1.24E-2</v>
      </c>
      <c r="AR360">
        <v>1.77E-2</v>
      </c>
      <c r="AS360">
        <v>2.24E-2</v>
      </c>
      <c r="AT360">
        <v>0.16</v>
      </c>
      <c r="AU360">
        <v>0.1381</v>
      </c>
      <c r="AV360">
        <v>0.13819999999999999</v>
      </c>
    </row>
    <row r="361" spans="1:48" x14ac:dyDescent="0.25">
      <c r="A361" t="s">
        <v>460</v>
      </c>
      <c r="B361" t="s">
        <v>2</v>
      </c>
      <c r="C361" t="s">
        <v>460</v>
      </c>
      <c r="D361">
        <v>34060</v>
      </c>
      <c r="E361" t="s">
        <v>672</v>
      </c>
      <c r="F361" t="s">
        <v>117</v>
      </c>
      <c r="G361" t="s">
        <v>670</v>
      </c>
      <c r="H361" t="s">
        <v>670</v>
      </c>
      <c r="I361">
        <v>-3.6400000000000002E-2</v>
      </c>
      <c r="J361">
        <v>8.6999999999999994E-3</v>
      </c>
      <c r="K361">
        <v>1.8E-3</v>
      </c>
      <c r="L361">
        <v>1.7000000000000001E-2</v>
      </c>
      <c r="M361">
        <v>5.5399999999999998E-2</v>
      </c>
      <c r="N361">
        <v>-2.75E-2</v>
      </c>
      <c r="O361">
        <v>-3.3399999999999999E-2</v>
      </c>
      <c r="P361">
        <v>-3.7699999999999997E-2</v>
      </c>
      <c r="Q361">
        <v>-4.7100000000000003E-2</v>
      </c>
      <c r="R361">
        <v>1.54E-2</v>
      </c>
      <c r="S361">
        <v>-4.0000000000000002E-4</v>
      </c>
      <c r="T361">
        <v>8.3999999999999995E-3</v>
      </c>
      <c r="U361">
        <v>1.9800000000000002E-2</v>
      </c>
      <c r="V361">
        <v>1.8800000000000001E-2</v>
      </c>
      <c r="W361">
        <v>3.2899999999999999E-2</v>
      </c>
      <c r="X361">
        <v>2.87E-2</v>
      </c>
      <c r="Y361">
        <v>-2.86E-2</v>
      </c>
      <c r="Z361">
        <v>-4.7899999999999998E-2</v>
      </c>
      <c r="AA361">
        <v>-4.6199999999999998E-2</v>
      </c>
      <c r="AB361">
        <v>-5.7599999999999998E-2</v>
      </c>
      <c r="AC361">
        <v>3.0999999999999999E-3</v>
      </c>
      <c r="AD361">
        <v>6.6199999999999995E-2</v>
      </c>
      <c r="AE361">
        <v>7.0900000000000005E-2</v>
      </c>
      <c r="AF361">
        <v>0.27910000000000001</v>
      </c>
      <c r="AG361">
        <v>0.25940000000000002</v>
      </c>
      <c r="AH361">
        <v>0.2094</v>
      </c>
      <c r="AI361">
        <v>0.30059999999999998</v>
      </c>
      <c r="AJ361">
        <v>0.1193</v>
      </c>
      <c r="AK361">
        <v>6.3899999999999998E-2</v>
      </c>
      <c r="AL361">
        <v>6.6100000000000006E-2</v>
      </c>
      <c r="AM361">
        <v>1.1299999999999999E-2</v>
      </c>
      <c r="AN361">
        <v>-8.8999999999999999E-3</v>
      </c>
      <c r="AO361">
        <v>5.1400000000000001E-2</v>
      </c>
      <c r="AP361">
        <v>0.1137</v>
      </c>
      <c r="AQ361">
        <v>9.1300000000000006E-2</v>
      </c>
      <c r="AR361">
        <v>0.1043</v>
      </c>
      <c r="AS361">
        <v>5.3400000000000003E-2</v>
      </c>
      <c r="AT361">
        <v>2.4199999999999999E-2</v>
      </c>
      <c r="AU361">
        <v>1.55E-2</v>
      </c>
      <c r="AV361">
        <v>6.9999999999999999E-4</v>
      </c>
    </row>
    <row r="362" spans="1:48" x14ac:dyDescent="0.25">
      <c r="A362" t="s">
        <v>461</v>
      </c>
      <c r="B362" t="s">
        <v>2</v>
      </c>
      <c r="C362" t="s">
        <v>461</v>
      </c>
      <c r="D362">
        <v>34100</v>
      </c>
      <c r="E362" t="s">
        <v>672</v>
      </c>
      <c r="F362" t="s">
        <v>117</v>
      </c>
      <c r="G362" t="s">
        <v>670</v>
      </c>
      <c r="H362" t="s">
        <v>670</v>
      </c>
      <c r="I362" t="s">
        <v>673</v>
      </c>
      <c r="J362" t="s">
        <v>673</v>
      </c>
      <c r="K362" t="s">
        <v>673</v>
      </c>
      <c r="L362" t="s">
        <v>673</v>
      </c>
      <c r="M362" t="s">
        <v>673</v>
      </c>
      <c r="N362" t="s">
        <v>673</v>
      </c>
      <c r="O362" t="s">
        <v>673</v>
      </c>
      <c r="P362" t="s">
        <v>673</v>
      </c>
      <c r="Q362" t="s">
        <v>673</v>
      </c>
      <c r="R362" t="s">
        <v>673</v>
      </c>
      <c r="S362" t="s">
        <v>673</v>
      </c>
      <c r="T362" t="s">
        <v>673</v>
      </c>
      <c r="U362" t="s">
        <v>673</v>
      </c>
      <c r="V362" t="s">
        <v>673</v>
      </c>
      <c r="W362" t="s">
        <v>673</v>
      </c>
      <c r="X362" t="s">
        <v>673</v>
      </c>
      <c r="Y362" t="s">
        <v>673</v>
      </c>
      <c r="Z362" t="s">
        <v>673</v>
      </c>
      <c r="AA362" t="s">
        <v>673</v>
      </c>
      <c r="AB362" t="s">
        <v>673</v>
      </c>
      <c r="AC362" t="s">
        <v>673</v>
      </c>
      <c r="AD362" t="s">
        <v>673</v>
      </c>
      <c r="AE362" t="s">
        <v>673</v>
      </c>
      <c r="AF362" t="s">
        <v>673</v>
      </c>
      <c r="AG362" t="s">
        <v>673</v>
      </c>
      <c r="AH362" t="s">
        <v>673</v>
      </c>
      <c r="AI362" t="s">
        <v>673</v>
      </c>
      <c r="AJ362" t="s">
        <v>673</v>
      </c>
      <c r="AK362" t="s">
        <v>673</v>
      </c>
      <c r="AL362" t="s">
        <v>673</v>
      </c>
      <c r="AM362" t="s">
        <v>673</v>
      </c>
      <c r="AN362" t="s">
        <v>673</v>
      </c>
      <c r="AO362" t="s">
        <v>673</v>
      </c>
      <c r="AP362" t="s">
        <v>673</v>
      </c>
      <c r="AQ362" t="s">
        <v>673</v>
      </c>
      <c r="AR362" t="s">
        <v>673</v>
      </c>
      <c r="AS362" t="s">
        <v>673</v>
      </c>
      <c r="AT362" t="s">
        <v>673</v>
      </c>
      <c r="AU362" t="s">
        <v>673</v>
      </c>
      <c r="AV362" t="s">
        <v>673</v>
      </c>
    </row>
    <row r="363" spans="1:48" x14ac:dyDescent="0.25">
      <c r="A363" t="s">
        <v>462</v>
      </c>
      <c r="B363" t="s">
        <v>2</v>
      </c>
      <c r="C363" t="s">
        <v>462</v>
      </c>
      <c r="D363">
        <v>34140</v>
      </c>
      <c r="E363" t="s">
        <v>672</v>
      </c>
      <c r="F363" t="s">
        <v>117</v>
      </c>
      <c r="G363" t="s">
        <v>670</v>
      </c>
      <c r="H363" t="s">
        <v>670</v>
      </c>
      <c r="I363" t="s">
        <v>673</v>
      </c>
      <c r="J363" t="s">
        <v>673</v>
      </c>
      <c r="K363" t="s">
        <v>673</v>
      </c>
      <c r="L363" t="s">
        <v>673</v>
      </c>
      <c r="M363" t="s">
        <v>673</v>
      </c>
      <c r="N363" t="s">
        <v>673</v>
      </c>
      <c r="O363" t="s">
        <v>673</v>
      </c>
      <c r="P363" t="s">
        <v>673</v>
      </c>
      <c r="Q363" t="s">
        <v>673</v>
      </c>
      <c r="R363" t="s">
        <v>673</v>
      </c>
      <c r="S363" t="s">
        <v>673</v>
      </c>
      <c r="T363" t="s">
        <v>673</v>
      </c>
      <c r="U363" t="s">
        <v>673</v>
      </c>
      <c r="V363" t="s">
        <v>673</v>
      </c>
      <c r="W363" t="s">
        <v>673</v>
      </c>
      <c r="X363" t="s">
        <v>673</v>
      </c>
      <c r="Y363" t="s">
        <v>673</v>
      </c>
      <c r="Z363" t="s">
        <v>673</v>
      </c>
      <c r="AA363" t="s">
        <v>673</v>
      </c>
      <c r="AB363" t="s">
        <v>673</v>
      </c>
      <c r="AC363" t="s">
        <v>673</v>
      </c>
      <c r="AD363" t="s">
        <v>673</v>
      </c>
      <c r="AE363" t="s">
        <v>673</v>
      </c>
      <c r="AF363" t="s">
        <v>673</v>
      </c>
      <c r="AG363" t="s">
        <v>673</v>
      </c>
      <c r="AH363" t="s">
        <v>673</v>
      </c>
      <c r="AI363" t="s">
        <v>673</v>
      </c>
      <c r="AJ363" t="s">
        <v>673</v>
      </c>
      <c r="AK363" t="s">
        <v>673</v>
      </c>
      <c r="AL363" t="s">
        <v>673</v>
      </c>
      <c r="AM363" t="s">
        <v>673</v>
      </c>
      <c r="AN363" t="s">
        <v>673</v>
      </c>
      <c r="AO363" t="s">
        <v>673</v>
      </c>
      <c r="AP363" t="s">
        <v>673</v>
      </c>
      <c r="AQ363" t="s">
        <v>673</v>
      </c>
      <c r="AR363" t="s">
        <v>673</v>
      </c>
      <c r="AS363" t="s">
        <v>673</v>
      </c>
      <c r="AT363" t="s">
        <v>673</v>
      </c>
      <c r="AU363" t="s">
        <v>673</v>
      </c>
      <c r="AV363" t="s">
        <v>673</v>
      </c>
    </row>
    <row r="364" spans="1:48" x14ac:dyDescent="0.25">
      <c r="A364" t="s">
        <v>463</v>
      </c>
      <c r="B364" t="s">
        <v>2</v>
      </c>
      <c r="C364" t="s">
        <v>463</v>
      </c>
      <c r="D364">
        <v>34180</v>
      </c>
      <c r="E364" t="s">
        <v>672</v>
      </c>
      <c r="F364" t="s">
        <v>117</v>
      </c>
      <c r="G364" t="s">
        <v>670</v>
      </c>
      <c r="H364" t="s">
        <v>670</v>
      </c>
      <c r="I364" t="s">
        <v>673</v>
      </c>
      <c r="J364" t="s">
        <v>673</v>
      </c>
      <c r="K364" t="s">
        <v>673</v>
      </c>
      <c r="L364" t="s">
        <v>673</v>
      </c>
      <c r="M364" t="s">
        <v>673</v>
      </c>
      <c r="N364" t="s">
        <v>673</v>
      </c>
      <c r="O364" t="s">
        <v>673</v>
      </c>
      <c r="P364" t="s">
        <v>673</v>
      </c>
      <c r="Q364" t="s">
        <v>673</v>
      </c>
      <c r="R364" t="s">
        <v>673</v>
      </c>
      <c r="S364" t="s">
        <v>673</v>
      </c>
      <c r="T364" t="s">
        <v>673</v>
      </c>
      <c r="U364" t="s">
        <v>673</v>
      </c>
      <c r="V364" t="s">
        <v>673</v>
      </c>
      <c r="W364">
        <v>7.6999999999999999E-2</v>
      </c>
      <c r="X364">
        <v>0.2107</v>
      </c>
      <c r="Y364">
        <v>0.17019999999999999</v>
      </c>
      <c r="Z364">
        <v>0.23519999999999999</v>
      </c>
      <c r="AA364" t="s">
        <v>673</v>
      </c>
      <c r="AB364">
        <v>-5.2900000000000003E-2</v>
      </c>
      <c r="AC364">
        <v>-4.41E-2</v>
      </c>
      <c r="AD364">
        <v>2.5999999999999999E-3</v>
      </c>
      <c r="AE364">
        <v>5.8700000000000002E-2</v>
      </c>
      <c r="AF364">
        <v>0.1704</v>
      </c>
      <c r="AG364">
        <v>0.1081</v>
      </c>
      <c r="AH364">
        <v>0.1145</v>
      </c>
      <c r="AI364">
        <v>8.9700000000000002E-2</v>
      </c>
      <c r="AJ364">
        <v>9.5699999999999993E-2</v>
      </c>
      <c r="AK364">
        <v>0.15909999999999999</v>
      </c>
      <c r="AL364">
        <v>9.4500000000000001E-2</v>
      </c>
      <c r="AM364">
        <v>7.3599999999999999E-2</v>
      </c>
      <c r="AN364">
        <v>2.86E-2</v>
      </c>
      <c r="AO364">
        <v>2.7099999999999999E-2</v>
      </c>
      <c r="AP364">
        <v>4.19E-2</v>
      </c>
      <c r="AQ364">
        <v>3.7000000000000002E-3</v>
      </c>
      <c r="AR364">
        <v>-1.0699999999999999E-2</v>
      </c>
      <c r="AS364">
        <v>-5.8999999999999999E-3</v>
      </c>
      <c r="AT364">
        <v>-8.2299999999999998E-2</v>
      </c>
      <c r="AU364">
        <v>-3.9399999999999998E-2</v>
      </c>
      <c r="AV364">
        <v>-7.6499999999999999E-2</v>
      </c>
    </row>
    <row r="365" spans="1:48" x14ac:dyDescent="0.25">
      <c r="A365" t="s">
        <v>464</v>
      </c>
      <c r="B365" t="s">
        <v>2</v>
      </c>
      <c r="C365" t="s">
        <v>464</v>
      </c>
      <c r="D365">
        <v>34380</v>
      </c>
      <c r="E365" t="s">
        <v>672</v>
      </c>
      <c r="F365" t="s">
        <v>117</v>
      </c>
      <c r="G365" t="s">
        <v>670</v>
      </c>
      <c r="H365" t="s">
        <v>670</v>
      </c>
      <c r="I365" t="s">
        <v>673</v>
      </c>
      <c r="J365" t="s">
        <v>673</v>
      </c>
      <c r="K365" t="s">
        <v>673</v>
      </c>
      <c r="L365" t="s">
        <v>673</v>
      </c>
      <c r="M365" t="s">
        <v>673</v>
      </c>
      <c r="N365">
        <v>4.7800000000000002E-2</v>
      </c>
      <c r="O365">
        <v>-3.5400000000000001E-2</v>
      </c>
      <c r="P365">
        <v>-2.9399999999999999E-2</v>
      </c>
      <c r="Q365">
        <v>-1.37E-2</v>
      </c>
      <c r="R365">
        <v>-4.0500000000000001E-2</v>
      </c>
      <c r="S365">
        <v>2.58E-2</v>
      </c>
      <c r="T365">
        <v>-3.3999999999999998E-3</v>
      </c>
      <c r="U365">
        <v>-2.9700000000000001E-2</v>
      </c>
      <c r="V365">
        <v>-1.14E-2</v>
      </c>
      <c r="W365">
        <v>-3.2000000000000001E-2</v>
      </c>
      <c r="X365">
        <v>7.7000000000000002E-3</v>
      </c>
      <c r="Y365">
        <v>1.06E-2</v>
      </c>
      <c r="Z365">
        <v>-1.95E-2</v>
      </c>
      <c r="AA365">
        <v>-4.1999999999999997E-3</v>
      </c>
      <c r="AB365">
        <v>5.4999999999999997E-3</v>
      </c>
      <c r="AC365">
        <v>1.4999999999999999E-2</v>
      </c>
      <c r="AD365">
        <v>2.63E-2</v>
      </c>
      <c r="AE365">
        <v>4.41E-2</v>
      </c>
      <c r="AF365">
        <v>0.10299999999999999</v>
      </c>
      <c r="AG365">
        <v>0.10440000000000001</v>
      </c>
      <c r="AH365">
        <v>5.6500000000000002E-2</v>
      </c>
      <c r="AI365">
        <v>1.3599999999999999E-2</v>
      </c>
      <c r="AJ365">
        <v>-3.1099999999999999E-2</v>
      </c>
      <c r="AK365">
        <v>-4.7699999999999999E-2</v>
      </c>
      <c r="AL365">
        <v>2.8E-3</v>
      </c>
      <c r="AM365">
        <v>4.3400000000000001E-2</v>
      </c>
      <c r="AN365">
        <v>3.4099999999999998E-2</v>
      </c>
      <c r="AO365">
        <v>3.6700000000000003E-2</v>
      </c>
      <c r="AP365">
        <v>3.1300000000000001E-2</v>
      </c>
      <c r="AQ365">
        <v>3.04E-2</v>
      </c>
      <c r="AR365">
        <v>2.3E-3</v>
      </c>
      <c r="AS365">
        <v>-1.52E-2</v>
      </c>
      <c r="AT365">
        <v>-3.1E-2</v>
      </c>
      <c r="AU365">
        <v>-3.9199999999999999E-2</v>
      </c>
      <c r="AV365">
        <v>-2.1299999999999999E-2</v>
      </c>
    </row>
    <row r="366" spans="1:48" x14ac:dyDescent="0.25">
      <c r="A366" t="s">
        <v>465</v>
      </c>
      <c r="B366" t="s">
        <v>2</v>
      </c>
      <c r="C366" t="s">
        <v>465</v>
      </c>
      <c r="D366">
        <v>34420</v>
      </c>
      <c r="E366" t="s">
        <v>672</v>
      </c>
      <c r="F366" t="s">
        <v>117</v>
      </c>
      <c r="G366" t="s">
        <v>670</v>
      </c>
      <c r="H366" t="s">
        <v>670</v>
      </c>
      <c r="I366" t="s">
        <v>673</v>
      </c>
      <c r="J366" t="s">
        <v>673</v>
      </c>
      <c r="K366" t="s">
        <v>673</v>
      </c>
      <c r="L366" t="s">
        <v>673</v>
      </c>
      <c r="M366" t="s">
        <v>673</v>
      </c>
      <c r="N366" t="s">
        <v>673</v>
      </c>
      <c r="O366" t="s">
        <v>673</v>
      </c>
      <c r="P366" t="s">
        <v>673</v>
      </c>
      <c r="Q366" t="s">
        <v>673</v>
      </c>
      <c r="R366" t="s">
        <v>673</v>
      </c>
      <c r="S366" t="s">
        <v>673</v>
      </c>
      <c r="T366" t="s">
        <v>673</v>
      </c>
      <c r="U366" t="s">
        <v>673</v>
      </c>
      <c r="V366" t="s">
        <v>673</v>
      </c>
      <c r="W366" t="s">
        <v>673</v>
      </c>
      <c r="X366" t="s">
        <v>673</v>
      </c>
      <c r="Y366" t="s">
        <v>673</v>
      </c>
      <c r="Z366" t="s">
        <v>673</v>
      </c>
      <c r="AA366" t="s">
        <v>673</v>
      </c>
      <c r="AB366" t="s">
        <v>673</v>
      </c>
      <c r="AC366" t="s">
        <v>673</v>
      </c>
      <c r="AD366" t="s">
        <v>673</v>
      </c>
      <c r="AE366" t="s">
        <v>673</v>
      </c>
      <c r="AF366" t="s">
        <v>673</v>
      </c>
      <c r="AG366" t="s">
        <v>673</v>
      </c>
      <c r="AH366" t="s">
        <v>673</v>
      </c>
      <c r="AI366" t="s">
        <v>673</v>
      </c>
      <c r="AJ366" t="s">
        <v>673</v>
      </c>
      <c r="AK366" t="s">
        <v>673</v>
      </c>
      <c r="AL366" t="s">
        <v>673</v>
      </c>
      <c r="AM366" t="s">
        <v>673</v>
      </c>
      <c r="AN366" t="s">
        <v>673</v>
      </c>
      <c r="AO366" t="s">
        <v>673</v>
      </c>
      <c r="AP366" t="s">
        <v>673</v>
      </c>
      <c r="AQ366" t="s">
        <v>673</v>
      </c>
      <c r="AR366" t="s">
        <v>673</v>
      </c>
      <c r="AS366" t="s">
        <v>673</v>
      </c>
      <c r="AT366" t="s">
        <v>673</v>
      </c>
      <c r="AU366" t="s">
        <v>673</v>
      </c>
      <c r="AV366" t="s">
        <v>673</v>
      </c>
    </row>
    <row r="367" spans="1:48" x14ac:dyDescent="0.25">
      <c r="A367" t="s">
        <v>466</v>
      </c>
      <c r="B367" t="s">
        <v>2</v>
      </c>
      <c r="C367" t="s">
        <v>466</v>
      </c>
      <c r="D367">
        <v>34580</v>
      </c>
      <c r="E367" t="s">
        <v>672</v>
      </c>
      <c r="F367" t="s">
        <v>117</v>
      </c>
      <c r="G367" t="s">
        <v>670</v>
      </c>
      <c r="H367" t="s">
        <v>670</v>
      </c>
      <c r="I367">
        <v>4.87E-2</v>
      </c>
      <c r="J367">
        <v>2.3900000000000001E-2</v>
      </c>
      <c r="K367" t="s">
        <v>673</v>
      </c>
      <c r="L367" t="s">
        <v>673</v>
      </c>
      <c r="M367" t="s">
        <v>673</v>
      </c>
      <c r="N367">
        <v>4.6899999999999997E-2</v>
      </c>
      <c r="O367">
        <v>-0.03</v>
      </c>
      <c r="P367">
        <v>-4.0500000000000001E-2</v>
      </c>
      <c r="Q367">
        <v>-2.6499999999999999E-2</v>
      </c>
      <c r="R367">
        <v>7.8700000000000006E-2</v>
      </c>
      <c r="S367">
        <v>3.5900000000000001E-2</v>
      </c>
      <c r="T367">
        <v>6.1400000000000003E-2</v>
      </c>
      <c r="U367">
        <v>5.7000000000000002E-2</v>
      </c>
      <c r="V367">
        <v>8.6300000000000002E-2</v>
      </c>
      <c r="W367">
        <v>6.9500000000000006E-2</v>
      </c>
      <c r="X367">
        <v>5.3499999999999999E-2</v>
      </c>
      <c r="Y367">
        <v>3.4000000000000002E-2</v>
      </c>
      <c r="Z367">
        <v>3.8E-3</v>
      </c>
      <c r="AA367">
        <v>3.5099999999999999E-2</v>
      </c>
      <c r="AB367">
        <v>5.8500000000000003E-2</v>
      </c>
      <c r="AC367">
        <v>6.0600000000000001E-2</v>
      </c>
      <c r="AD367">
        <v>7.6700000000000004E-2</v>
      </c>
      <c r="AE367">
        <v>8.1600000000000006E-2</v>
      </c>
      <c r="AF367">
        <v>5.5300000000000002E-2</v>
      </c>
      <c r="AG367">
        <v>0.15579999999999999</v>
      </c>
      <c r="AH367">
        <v>0.1961</v>
      </c>
      <c r="AI367">
        <v>0.20300000000000001</v>
      </c>
      <c r="AJ367">
        <v>0.21859999999999999</v>
      </c>
      <c r="AK367">
        <v>0.1119</v>
      </c>
      <c r="AL367">
        <v>5.6000000000000001E-2</v>
      </c>
      <c r="AM367">
        <v>2.3199999999999998E-2</v>
      </c>
      <c r="AN367">
        <v>1.43E-2</v>
      </c>
      <c r="AO367">
        <v>6.88E-2</v>
      </c>
      <c r="AP367">
        <v>7.6399999999999996E-2</v>
      </c>
      <c r="AQ367">
        <v>8.9899999999999994E-2</v>
      </c>
      <c r="AR367">
        <v>0.1103</v>
      </c>
      <c r="AS367">
        <v>4.8099999999999997E-2</v>
      </c>
      <c r="AT367">
        <v>7.1599999999999997E-2</v>
      </c>
      <c r="AU367">
        <v>6.1499999999999999E-2</v>
      </c>
      <c r="AV367">
        <v>7.6E-3</v>
      </c>
    </row>
    <row r="368" spans="1:48" x14ac:dyDescent="0.25">
      <c r="A368" t="s">
        <v>467</v>
      </c>
      <c r="B368" t="s">
        <v>2</v>
      </c>
      <c r="C368" t="s">
        <v>467</v>
      </c>
      <c r="D368">
        <v>34500</v>
      </c>
      <c r="E368" t="s">
        <v>672</v>
      </c>
      <c r="F368" t="s">
        <v>117</v>
      </c>
      <c r="G368" t="s">
        <v>670</v>
      </c>
      <c r="H368" t="s">
        <v>670</v>
      </c>
      <c r="I368" t="s">
        <v>673</v>
      </c>
      <c r="J368" t="s">
        <v>673</v>
      </c>
      <c r="K368" t="s">
        <v>673</v>
      </c>
      <c r="L368" t="s">
        <v>673</v>
      </c>
      <c r="M368" t="s">
        <v>673</v>
      </c>
      <c r="N368" t="s">
        <v>673</v>
      </c>
      <c r="O368" t="s">
        <v>673</v>
      </c>
      <c r="P368" t="s">
        <v>673</v>
      </c>
      <c r="Q368" t="s">
        <v>673</v>
      </c>
      <c r="R368" t="s">
        <v>673</v>
      </c>
      <c r="S368" t="s">
        <v>673</v>
      </c>
      <c r="T368" t="s">
        <v>673</v>
      </c>
      <c r="U368" t="s">
        <v>673</v>
      </c>
      <c r="V368" t="s">
        <v>673</v>
      </c>
      <c r="W368" t="s">
        <v>673</v>
      </c>
      <c r="X368" t="s">
        <v>673</v>
      </c>
      <c r="Y368" t="s">
        <v>673</v>
      </c>
      <c r="Z368" t="s">
        <v>673</v>
      </c>
      <c r="AA368" t="s">
        <v>673</v>
      </c>
      <c r="AB368" t="s">
        <v>673</v>
      </c>
      <c r="AC368" t="s">
        <v>673</v>
      </c>
      <c r="AD368" t="s">
        <v>673</v>
      </c>
      <c r="AE368" t="s">
        <v>673</v>
      </c>
      <c r="AF368" t="s">
        <v>673</v>
      </c>
      <c r="AG368" t="s">
        <v>673</v>
      </c>
      <c r="AH368" t="s">
        <v>673</v>
      </c>
      <c r="AI368" t="s">
        <v>673</v>
      </c>
      <c r="AJ368">
        <v>0.1069</v>
      </c>
      <c r="AK368">
        <v>0.15670000000000001</v>
      </c>
      <c r="AL368">
        <v>0.13589999999999999</v>
      </c>
      <c r="AM368">
        <v>0.1933</v>
      </c>
      <c r="AN368">
        <v>4.19E-2</v>
      </c>
      <c r="AO368" t="s">
        <v>673</v>
      </c>
      <c r="AP368" t="s">
        <v>673</v>
      </c>
      <c r="AQ368" t="s">
        <v>673</v>
      </c>
      <c r="AR368" t="s">
        <v>673</v>
      </c>
      <c r="AS368" t="s">
        <v>673</v>
      </c>
      <c r="AT368">
        <v>8.3099999999999993E-2</v>
      </c>
      <c r="AU368">
        <v>3.32E-2</v>
      </c>
      <c r="AV368">
        <v>4.8599999999999997E-2</v>
      </c>
    </row>
    <row r="369" spans="1:48" x14ac:dyDescent="0.25">
      <c r="A369" t="s">
        <v>468</v>
      </c>
      <c r="B369" t="s">
        <v>2</v>
      </c>
      <c r="C369" t="s">
        <v>468</v>
      </c>
      <c r="D369">
        <v>34540</v>
      </c>
      <c r="E369" t="s">
        <v>672</v>
      </c>
      <c r="F369" t="s">
        <v>117</v>
      </c>
      <c r="G369" t="s">
        <v>670</v>
      </c>
      <c r="H369" t="s">
        <v>670</v>
      </c>
      <c r="I369">
        <v>-8.3099999999999993E-2</v>
      </c>
      <c r="J369">
        <v>-7.0300000000000001E-2</v>
      </c>
      <c r="K369">
        <v>2.98E-2</v>
      </c>
      <c r="L369">
        <v>4.4600000000000001E-2</v>
      </c>
      <c r="M369">
        <v>3.1300000000000001E-2</v>
      </c>
      <c r="N369">
        <v>2.2599999999999999E-2</v>
      </c>
      <c r="O369">
        <v>1.8800000000000001E-2</v>
      </c>
      <c r="P369">
        <v>7.3000000000000001E-3</v>
      </c>
      <c r="Q369">
        <v>2.3800000000000002E-2</v>
      </c>
      <c r="R369">
        <v>5.4300000000000001E-2</v>
      </c>
      <c r="S369">
        <v>6.5299999999999997E-2</v>
      </c>
      <c r="T369">
        <v>8.2699999999999996E-2</v>
      </c>
      <c r="U369">
        <v>7.6600000000000001E-2</v>
      </c>
      <c r="V369">
        <v>1.35E-2</v>
      </c>
      <c r="W369">
        <v>-1.3599999999999999E-2</v>
      </c>
      <c r="X369">
        <v>-2.92E-2</v>
      </c>
      <c r="Y369">
        <v>-3.5299999999999998E-2</v>
      </c>
      <c r="Z369">
        <v>-1.1000000000000001E-3</v>
      </c>
      <c r="AA369">
        <v>1.6400000000000001E-2</v>
      </c>
      <c r="AB369">
        <v>1.5800000000000002E-2</v>
      </c>
      <c r="AC369">
        <v>2.41E-2</v>
      </c>
      <c r="AD369">
        <v>3.3000000000000002E-2</v>
      </c>
      <c r="AE369">
        <v>2.0199999999999999E-2</v>
      </c>
      <c r="AF369">
        <v>4.6199999999999998E-2</v>
      </c>
      <c r="AG369">
        <v>8.2400000000000001E-2</v>
      </c>
      <c r="AH369">
        <v>7.3700000000000002E-2</v>
      </c>
      <c r="AI369">
        <v>8.1799999999999998E-2</v>
      </c>
      <c r="AJ369">
        <v>8.77E-2</v>
      </c>
      <c r="AK369">
        <v>3.7999999999999999E-2</v>
      </c>
      <c r="AL369">
        <v>5.9200000000000003E-2</v>
      </c>
      <c r="AM369">
        <v>9.6799999999999997E-2</v>
      </c>
      <c r="AN369">
        <v>5.0500000000000003E-2</v>
      </c>
      <c r="AO369">
        <v>0.1024</v>
      </c>
      <c r="AP369">
        <v>4.3799999999999999E-2</v>
      </c>
      <c r="AQ369">
        <v>3.3500000000000002E-2</v>
      </c>
      <c r="AR369">
        <v>4.4900000000000002E-2</v>
      </c>
      <c r="AS369">
        <v>3.7499999999999999E-2</v>
      </c>
      <c r="AT369">
        <v>0.20930000000000001</v>
      </c>
      <c r="AU369">
        <v>0.2336</v>
      </c>
      <c r="AV369">
        <v>0.13500000000000001</v>
      </c>
    </row>
    <row r="370" spans="1:48" x14ac:dyDescent="0.25">
      <c r="A370" t="s">
        <v>469</v>
      </c>
      <c r="B370" t="s">
        <v>2</v>
      </c>
      <c r="C370" t="s">
        <v>469</v>
      </c>
      <c r="D370">
        <v>34620</v>
      </c>
      <c r="E370" t="s">
        <v>672</v>
      </c>
      <c r="F370" t="s">
        <v>117</v>
      </c>
      <c r="G370" t="s">
        <v>670</v>
      </c>
      <c r="H370" t="s">
        <v>670</v>
      </c>
      <c r="I370">
        <v>-4.2500000000000003E-2</v>
      </c>
      <c r="J370">
        <v>-6.9999999999999999E-4</v>
      </c>
      <c r="K370">
        <v>-3.8E-3</v>
      </c>
      <c r="L370">
        <v>-5.7000000000000002E-3</v>
      </c>
      <c r="M370">
        <v>-1.1299999999999999E-2</v>
      </c>
      <c r="N370">
        <v>3.6700000000000003E-2</v>
      </c>
      <c r="O370">
        <v>6.4500000000000002E-2</v>
      </c>
      <c r="P370">
        <v>5.4100000000000002E-2</v>
      </c>
      <c r="Q370">
        <v>4.3700000000000003E-2</v>
      </c>
      <c r="R370">
        <v>8.8999999999999999E-3</v>
      </c>
      <c r="S370">
        <v>-5.1999999999999998E-3</v>
      </c>
      <c r="T370">
        <v>3.5999999999999999E-3</v>
      </c>
      <c r="U370">
        <v>2.76E-2</v>
      </c>
      <c r="V370">
        <v>6.6299999999999998E-2</v>
      </c>
      <c r="W370">
        <v>5.8000000000000003E-2</v>
      </c>
      <c r="X370">
        <v>4.0800000000000003E-2</v>
      </c>
      <c r="Y370">
        <v>1.2699999999999999E-2</v>
      </c>
      <c r="Z370">
        <v>-4.4999999999999998E-2</v>
      </c>
      <c r="AA370">
        <v>-2.0799999999999999E-2</v>
      </c>
      <c r="AB370">
        <v>8.9999999999999993E-3</v>
      </c>
      <c r="AC370">
        <v>4.8000000000000001E-2</v>
      </c>
      <c r="AD370">
        <v>8.3799999999999999E-2</v>
      </c>
      <c r="AE370">
        <v>0.10390000000000001</v>
      </c>
      <c r="AF370">
        <v>0.1048</v>
      </c>
      <c r="AG370">
        <v>0.1072</v>
      </c>
      <c r="AH370">
        <v>0.15529999999999999</v>
      </c>
      <c r="AI370">
        <v>0.2117</v>
      </c>
      <c r="AJ370">
        <v>0.21590000000000001</v>
      </c>
      <c r="AK370">
        <v>0.14360000000000001</v>
      </c>
      <c r="AL370">
        <v>7.17E-2</v>
      </c>
      <c r="AM370">
        <v>-6.2600000000000003E-2</v>
      </c>
      <c r="AN370">
        <v>-6.6199999999999995E-2</v>
      </c>
      <c r="AO370">
        <v>-1.41E-2</v>
      </c>
      <c r="AP370">
        <v>3.95E-2</v>
      </c>
      <c r="AQ370">
        <v>8.6099999999999996E-2</v>
      </c>
      <c r="AR370">
        <v>6.8099999999999994E-2</v>
      </c>
      <c r="AS370">
        <v>4.36E-2</v>
      </c>
      <c r="AT370">
        <v>4.1599999999999998E-2</v>
      </c>
      <c r="AU370">
        <v>0.12859999999999999</v>
      </c>
      <c r="AV370">
        <v>8.7499999999999994E-2</v>
      </c>
    </row>
    <row r="371" spans="1:48" x14ac:dyDescent="0.25">
      <c r="A371" t="s">
        <v>470</v>
      </c>
      <c r="B371" t="s">
        <v>2</v>
      </c>
      <c r="C371" t="s">
        <v>470</v>
      </c>
      <c r="D371">
        <v>34680</v>
      </c>
      <c r="E371" t="s">
        <v>672</v>
      </c>
      <c r="F371" t="s">
        <v>117</v>
      </c>
      <c r="G371" t="s">
        <v>670</v>
      </c>
      <c r="H371" t="s">
        <v>670</v>
      </c>
      <c r="I371" t="s">
        <v>673</v>
      </c>
      <c r="J371" t="s">
        <v>673</v>
      </c>
      <c r="K371" t="s">
        <v>673</v>
      </c>
      <c r="L371" t="s">
        <v>673</v>
      </c>
      <c r="M371" t="s">
        <v>673</v>
      </c>
      <c r="N371" t="s">
        <v>673</v>
      </c>
      <c r="O371" t="s">
        <v>673</v>
      </c>
      <c r="P371" t="s">
        <v>673</v>
      </c>
      <c r="Q371" t="s">
        <v>673</v>
      </c>
      <c r="R371" t="s">
        <v>673</v>
      </c>
      <c r="S371" t="s">
        <v>673</v>
      </c>
      <c r="T371" t="s">
        <v>673</v>
      </c>
      <c r="U371" t="s">
        <v>673</v>
      </c>
      <c r="V371" t="s">
        <v>673</v>
      </c>
      <c r="W371" t="s">
        <v>673</v>
      </c>
      <c r="X371" t="s">
        <v>673</v>
      </c>
      <c r="Y371" t="s">
        <v>673</v>
      </c>
      <c r="Z371" t="s">
        <v>673</v>
      </c>
      <c r="AA371" t="s">
        <v>673</v>
      </c>
      <c r="AB371" t="s">
        <v>673</v>
      </c>
      <c r="AC371" t="s">
        <v>673</v>
      </c>
      <c r="AD371" t="s">
        <v>673</v>
      </c>
      <c r="AE371" t="s">
        <v>673</v>
      </c>
      <c r="AF371" t="s">
        <v>673</v>
      </c>
      <c r="AG371" t="s">
        <v>673</v>
      </c>
      <c r="AH371" t="s">
        <v>673</v>
      </c>
      <c r="AI371" t="s">
        <v>673</v>
      </c>
      <c r="AJ371" t="s">
        <v>673</v>
      </c>
      <c r="AK371" t="s">
        <v>673</v>
      </c>
      <c r="AL371" t="s">
        <v>673</v>
      </c>
      <c r="AM371" t="s">
        <v>673</v>
      </c>
      <c r="AN371" t="s">
        <v>673</v>
      </c>
      <c r="AO371" t="s">
        <v>673</v>
      </c>
      <c r="AP371" t="s">
        <v>673</v>
      </c>
      <c r="AQ371" t="s">
        <v>673</v>
      </c>
      <c r="AR371" t="s">
        <v>673</v>
      </c>
      <c r="AS371" t="s">
        <v>673</v>
      </c>
      <c r="AT371" t="s">
        <v>673</v>
      </c>
      <c r="AU371" t="s">
        <v>673</v>
      </c>
      <c r="AV371" t="s">
        <v>673</v>
      </c>
    </row>
    <row r="372" spans="1:48" x14ac:dyDescent="0.25">
      <c r="A372" t="s">
        <v>471</v>
      </c>
      <c r="B372" t="s">
        <v>2</v>
      </c>
      <c r="C372" t="s">
        <v>471</v>
      </c>
      <c r="D372">
        <v>34700</v>
      </c>
      <c r="E372" t="s">
        <v>672</v>
      </c>
      <c r="F372" t="s">
        <v>117</v>
      </c>
      <c r="G372" t="s">
        <v>670</v>
      </c>
      <c r="H372" t="s">
        <v>670</v>
      </c>
      <c r="I372" t="s">
        <v>673</v>
      </c>
      <c r="J372" t="s">
        <v>673</v>
      </c>
      <c r="K372" t="s">
        <v>673</v>
      </c>
      <c r="L372" t="s">
        <v>673</v>
      </c>
      <c r="M372" t="s">
        <v>673</v>
      </c>
      <c r="N372" t="s">
        <v>673</v>
      </c>
      <c r="O372" t="s">
        <v>673</v>
      </c>
      <c r="P372" t="s">
        <v>673</v>
      </c>
      <c r="Q372" t="s">
        <v>673</v>
      </c>
      <c r="R372" t="s">
        <v>673</v>
      </c>
      <c r="S372" t="s">
        <v>673</v>
      </c>
      <c r="T372" t="s">
        <v>673</v>
      </c>
      <c r="U372" t="s">
        <v>673</v>
      </c>
      <c r="V372" t="s">
        <v>673</v>
      </c>
      <c r="W372" t="s">
        <v>673</v>
      </c>
      <c r="X372" t="s">
        <v>673</v>
      </c>
      <c r="Y372" t="s">
        <v>673</v>
      </c>
      <c r="Z372" t="s">
        <v>673</v>
      </c>
      <c r="AA372" t="s">
        <v>673</v>
      </c>
      <c r="AB372" t="s">
        <v>673</v>
      </c>
      <c r="AC372" t="s">
        <v>673</v>
      </c>
      <c r="AD372" t="s">
        <v>673</v>
      </c>
      <c r="AE372" t="s">
        <v>673</v>
      </c>
      <c r="AF372" t="s">
        <v>673</v>
      </c>
      <c r="AG372" t="s">
        <v>673</v>
      </c>
      <c r="AH372" t="s">
        <v>673</v>
      </c>
      <c r="AI372" t="s">
        <v>673</v>
      </c>
      <c r="AJ372">
        <v>-0.10970000000000001</v>
      </c>
      <c r="AK372">
        <v>3.0700000000000002E-2</v>
      </c>
      <c r="AL372">
        <v>3.0700000000000002E-2</v>
      </c>
      <c r="AM372">
        <v>2.18E-2</v>
      </c>
      <c r="AN372">
        <v>-4.1000000000000003E-3</v>
      </c>
      <c r="AO372">
        <v>2.5399999999999999E-2</v>
      </c>
      <c r="AP372">
        <v>4.6199999999999998E-2</v>
      </c>
      <c r="AQ372">
        <v>3.5000000000000003E-2</v>
      </c>
      <c r="AR372">
        <v>4.7600000000000003E-2</v>
      </c>
      <c r="AS372">
        <v>2.46E-2</v>
      </c>
      <c r="AT372">
        <v>3.4500000000000003E-2</v>
      </c>
      <c r="AU372">
        <v>4.2099999999999999E-2</v>
      </c>
      <c r="AV372">
        <v>4.1099999999999998E-2</v>
      </c>
    </row>
    <row r="373" spans="1:48" x14ac:dyDescent="0.25">
      <c r="A373" t="s">
        <v>472</v>
      </c>
      <c r="B373" t="s">
        <v>2</v>
      </c>
      <c r="C373" t="s">
        <v>472</v>
      </c>
      <c r="D373">
        <v>34820</v>
      </c>
      <c r="E373" t="s">
        <v>672</v>
      </c>
      <c r="F373" t="s">
        <v>117</v>
      </c>
      <c r="G373" t="s">
        <v>670</v>
      </c>
      <c r="H373" t="s">
        <v>670</v>
      </c>
      <c r="I373">
        <v>7.0699999999999999E-2</v>
      </c>
      <c r="J373">
        <v>8.6300000000000002E-2</v>
      </c>
      <c r="K373">
        <v>8.0399999999999999E-2</v>
      </c>
      <c r="L373">
        <v>5.3400000000000003E-2</v>
      </c>
      <c r="M373">
        <v>3.1699999999999999E-2</v>
      </c>
      <c r="N373">
        <v>3.49E-2</v>
      </c>
      <c r="O373">
        <v>3.0700000000000002E-2</v>
      </c>
      <c r="P373">
        <v>5.28E-2</v>
      </c>
      <c r="Q373">
        <v>7.2700000000000001E-2</v>
      </c>
      <c r="R373">
        <v>8.0699999999999994E-2</v>
      </c>
      <c r="S373">
        <v>9.7299999999999998E-2</v>
      </c>
      <c r="T373">
        <v>8.5699999999999998E-2</v>
      </c>
      <c r="U373">
        <v>4.9000000000000002E-2</v>
      </c>
      <c r="V373">
        <v>1.32E-2</v>
      </c>
      <c r="W373">
        <v>3.8999999999999998E-3</v>
      </c>
      <c r="X373">
        <v>1.1000000000000001E-3</v>
      </c>
      <c r="Y373">
        <v>1.18E-2</v>
      </c>
      <c r="Z373">
        <v>-1.09E-2</v>
      </c>
      <c r="AA373">
        <v>-1.9E-3</v>
      </c>
      <c r="AB373">
        <v>8.4900000000000003E-2</v>
      </c>
      <c r="AC373">
        <v>0.1135</v>
      </c>
      <c r="AD373">
        <v>0.1915</v>
      </c>
      <c r="AE373">
        <v>0.29730000000000001</v>
      </c>
      <c r="AF373">
        <v>0.24510000000000001</v>
      </c>
      <c r="AG373">
        <v>0.22939999999999999</v>
      </c>
      <c r="AH373">
        <v>0.23860000000000001</v>
      </c>
      <c r="AI373">
        <v>0.13669999999999999</v>
      </c>
      <c r="AJ373">
        <v>6.5299999999999997E-2</v>
      </c>
      <c r="AK373">
        <v>8.5199999999999998E-2</v>
      </c>
      <c r="AL373">
        <v>2.63E-2</v>
      </c>
      <c r="AM373">
        <v>1.4800000000000001E-2</v>
      </c>
      <c r="AN373">
        <v>2.2499999999999999E-2</v>
      </c>
      <c r="AO373">
        <v>9.4999999999999998E-3</v>
      </c>
      <c r="AP373">
        <v>-1.44E-2</v>
      </c>
      <c r="AQ373">
        <v>-2.24E-2</v>
      </c>
      <c r="AR373">
        <v>-2.4299999999999999E-2</v>
      </c>
      <c r="AS373">
        <v>-5.2999999999999999E-2</v>
      </c>
      <c r="AT373">
        <v>-1.6799999999999999E-2</v>
      </c>
      <c r="AU373">
        <v>-2.23E-2</v>
      </c>
      <c r="AV373">
        <v>5.3E-3</v>
      </c>
    </row>
    <row r="374" spans="1:48" x14ac:dyDescent="0.25">
      <c r="A374" t="s">
        <v>473</v>
      </c>
      <c r="B374" t="s">
        <v>2</v>
      </c>
      <c r="C374" t="s">
        <v>473</v>
      </c>
      <c r="D374">
        <v>34860</v>
      </c>
      <c r="E374" t="s">
        <v>672</v>
      </c>
      <c r="F374" t="s">
        <v>117</v>
      </c>
      <c r="G374" t="s">
        <v>670</v>
      </c>
      <c r="H374" t="s">
        <v>670</v>
      </c>
      <c r="I374">
        <v>0.1062</v>
      </c>
      <c r="J374">
        <v>0.11</v>
      </c>
      <c r="K374">
        <v>5.62E-2</v>
      </c>
      <c r="L374">
        <v>6.3500000000000001E-2</v>
      </c>
      <c r="M374">
        <v>2.3099999999999999E-2</v>
      </c>
      <c r="N374">
        <v>-1.9699999999999999E-2</v>
      </c>
      <c r="O374">
        <v>1.3100000000000001E-2</v>
      </c>
      <c r="P374">
        <v>2.2100000000000002E-2</v>
      </c>
      <c r="Q374">
        <v>1.8599999999999998E-2</v>
      </c>
      <c r="R374">
        <v>1.11E-2</v>
      </c>
      <c r="S374">
        <v>1.2500000000000001E-2</v>
      </c>
      <c r="T374">
        <v>8.0000000000000004E-4</v>
      </c>
      <c r="U374">
        <v>6.8999999999999999E-3</v>
      </c>
      <c r="V374">
        <v>1.55E-2</v>
      </c>
      <c r="W374">
        <v>1.17E-2</v>
      </c>
      <c r="X374">
        <v>1.46E-2</v>
      </c>
      <c r="Y374">
        <v>6.0000000000000001E-3</v>
      </c>
      <c r="Z374">
        <v>1.83E-2</v>
      </c>
      <c r="AA374">
        <v>1.6799999999999999E-2</v>
      </c>
      <c r="AB374">
        <v>7.1000000000000004E-3</v>
      </c>
      <c r="AC374">
        <v>3.7400000000000003E-2</v>
      </c>
      <c r="AD374">
        <v>3.3099999999999997E-2</v>
      </c>
      <c r="AE374">
        <v>6.25E-2</v>
      </c>
      <c r="AF374">
        <v>0.10009999999999999</v>
      </c>
      <c r="AG374">
        <v>0.10920000000000001</v>
      </c>
      <c r="AH374">
        <v>0.1203</v>
      </c>
      <c r="AI374">
        <v>9.5500000000000002E-2</v>
      </c>
      <c r="AJ374">
        <v>7.5600000000000001E-2</v>
      </c>
      <c r="AK374">
        <v>7.9899999999999999E-2</v>
      </c>
      <c r="AL374">
        <v>8.7499999999999994E-2</v>
      </c>
      <c r="AM374">
        <v>6.1199999999999997E-2</v>
      </c>
      <c r="AN374">
        <v>-2.9999999999999997E-4</v>
      </c>
      <c r="AO374">
        <v>-5.0900000000000001E-2</v>
      </c>
      <c r="AP374">
        <v>-5.57E-2</v>
      </c>
      <c r="AQ374">
        <v>-3.5299999999999998E-2</v>
      </c>
      <c r="AR374">
        <v>2.64E-2</v>
      </c>
      <c r="AS374">
        <v>5.2900000000000003E-2</v>
      </c>
      <c r="AT374">
        <v>6.1600000000000002E-2</v>
      </c>
      <c r="AU374">
        <v>7.5899999999999995E-2</v>
      </c>
      <c r="AV374">
        <v>5.2600000000000001E-2</v>
      </c>
    </row>
    <row r="375" spans="1:48" x14ac:dyDescent="0.25">
      <c r="A375" t="s">
        <v>474</v>
      </c>
      <c r="B375" t="s">
        <v>2</v>
      </c>
      <c r="C375" t="s">
        <v>474</v>
      </c>
      <c r="D375">
        <v>34940</v>
      </c>
      <c r="E375" t="s">
        <v>672</v>
      </c>
      <c r="F375" t="s">
        <v>117</v>
      </c>
      <c r="G375" t="s">
        <v>670</v>
      </c>
      <c r="H375" t="s">
        <v>670</v>
      </c>
      <c r="I375">
        <v>0.1222</v>
      </c>
      <c r="J375">
        <v>8.0600000000000005E-2</v>
      </c>
      <c r="K375">
        <v>5.2299999999999999E-2</v>
      </c>
      <c r="L375">
        <v>7.0999999999999994E-2</v>
      </c>
      <c r="M375">
        <v>5.8099999999999999E-2</v>
      </c>
      <c r="N375">
        <v>6.1899999999999997E-2</v>
      </c>
      <c r="O375">
        <v>7.6399999999999996E-2</v>
      </c>
      <c r="P375">
        <v>4.8399999999999999E-2</v>
      </c>
      <c r="Q375">
        <v>3.85E-2</v>
      </c>
      <c r="R375">
        <v>3.3000000000000002E-2</v>
      </c>
      <c r="S375">
        <v>2.63E-2</v>
      </c>
      <c r="T375">
        <v>2.12E-2</v>
      </c>
      <c r="U375">
        <v>1.7299999999999999E-2</v>
      </c>
      <c r="V375">
        <v>2.01E-2</v>
      </c>
      <c r="W375">
        <v>7.1999999999999998E-3</v>
      </c>
      <c r="X375">
        <v>-2.7900000000000001E-2</v>
      </c>
      <c r="Y375">
        <v>-3.2800000000000003E-2</v>
      </c>
      <c r="Z375">
        <v>-4.6899999999999997E-2</v>
      </c>
      <c r="AA375">
        <v>-3.56E-2</v>
      </c>
      <c r="AB375">
        <v>-5.3E-3</v>
      </c>
      <c r="AC375">
        <v>3.56E-2</v>
      </c>
      <c r="AD375">
        <v>0.14929999999999999</v>
      </c>
      <c r="AE375">
        <v>0.30990000000000001</v>
      </c>
      <c r="AF375">
        <v>0.46489999999999998</v>
      </c>
      <c r="AG375">
        <v>0.51029999999999998</v>
      </c>
      <c r="AH375">
        <v>0.43519999999999998</v>
      </c>
      <c r="AI375">
        <v>0.26050000000000001</v>
      </c>
      <c r="AJ375">
        <v>0.14219999999999999</v>
      </c>
      <c r="AK375">
        <v>0.1318</v>
      </c>
      <c r="AL375">
        <v>8.3500000000000005E-2</v>
      </c>
      <c r="AM375">
        <v>3.9800000000000002E-2</v>
      </c>
      <c r="AN375">
        <v>2.5899999999999999E-2</v>
      </c>
      <c r="AO375">
        <v>-4.7300000000000002E-2</v>
      </c>
      <c r="AP375">
        <v>-6.5600000000000006E-2</v>
      </c>
      <c r="AQ375">
        <v>-5.91E-2</v>
      </c>
      <c r="AR375">
        <v>-6.2399999999999997E-2</v>
      </c>
      <c r="AS375">
        <v>-4.3700000000000003E-2</v>
      </c>
      <c r="AT375">
        <v>-5.1999999999999998E-2</v>
      </c>
      <c r="AU375">
        <v>-3.7900000000000003E-2</v>
      </c>
      <c r="AV375">
        <v>-7.1400000000000005E-2</v>
      </c>
    </row>
    <row r="376" spans="1:48" x14ac:dyDescent="0.25">
      <c r="A376" t="s">
        <v>15</v>
      </c>
      <c r="B376" t="s">
        <v>2</v>
      </c>
      <c r="C376" t="s">
        <v>15</v>
      </c>
      <c r="D376">
        <v>34980</v>
      </c>
      <c r="E376" t="s">
        <v>672</v>
      </c>
      <c r="F376" t="s">
        <v>117</v>
      </c>
      <c r="G376" t="s">
        <v>670</v>
      </c>
      <c r="H376" t="s">
        <v>670</v>
      </c>
      <c r="I376">
        <v>8.9300000000000004E-2</v>
      </c>
      <c r="J376">
        <v>9.4500000000000001E-2</v>
      </c>
      <c r="K376">
        <v>6.5000000000000002E-2</v>
      </c>
      <c r="L376">
        <v>3.73E-2</v>
      </c>
      <c r="M376">
        <v>2.12E-2</v>
      </c>
      <c r="N376">
        <v>6.3E-3</v>
      </c>
      <c r="O376">
        <v>1.95E-2</v>
      </c>
      <c r="P376">
        <v>2.2700000000000001E-2</v>
      </c>
      <c r="Q376">
        <v>3.3599999999999998E-2</v>
      </c>
      <c r="R376">
        <v>3.49E-2</v>
      </c>
      <c r="S376">
        <v>5.1299999999999998E-2</v>
      </c>
      <c r="T376">
        <v>7.4099999999999999E-2</v>
      </c>
      <c r="U376">
        <v>7.7399999999999997E-2</v>
      </c>
      <c r="V376">
        <v>8.4400000000000003E-2</v>
      </c>
      <c r="W376">
        <v>8.43E-2</v>
      </c>
      <c r="X376">
        <v>7.1199999999999999E-2</v>
      </c>
      <c r="Y376">
        <v>6.2300000000000001E-2</v>
      </c>
      <c r="Z376">
        <v>1.34E-2</v>
      </c>
      <c r="AA376">
        <v>-1.7899999999999999E-2</v>
      </c>
      <c r="AB376">
        <v>-3.1199999999999999E-2</v>
      </c>
      <c r="AC376">
        <v>-2.3900000000000001E-2</v>
      </c>
      <c r="AD376">
        <v>4.7899999999999998E-2</v>
      </c>
      <c r="AE376">
        <v>0.14530000000000001</v>
      </c>
      <c r="AF376">
        <v>0.20780000000000001</v>
      </c>
      <c r="AG376">
        <v>0.23649999999999999</v>
      </c>
      <c r="AH376">
        <v>0.2296</v>
      </c>
      <c r="AI376">
        <v>0.156</v>
      </c>
      <c r="AJ376">
        <v>9.1700000000000004E-2</v>
      </c>
      <c r="AK376">
        <v>5.6399999999999999E-2</v>
      </c>
      <c r="AL376">
        <v>1.8200000000000001E-2</v>
      </c>
      <c r="AM376">
        <v>-1.61E-2</v>
      </c>
      <c r="AN376">
        <v>-2.24E-2</v>
      </c>
      <c r="AO376">
        <v>-2.2700000000000001E-2</v>
      </c>
      <c r="AP376">
        <v>-2.0899999999999998E-2</v>
      </c>
      <c r="AQ376">
        <v>-1.4800000000000001E-2</v>
      </c>
      <c r="AR376">
        <v>1.9E-3</v>
      </c>
      <c r="AS376">
        <v>-1.8E-3</v>
      </c>
      <c r="AT376">
        <v>-1.12E-2</v>
      </c>
      <c r="AU376">
        <v>-7.1999999999999998E-3</v>
      </c>
      <c r="AV376">
        <v>-1.7100000000000001E-2</v>
      </c>
    </row>
    <row r="377" spans="1:48" x14ac:dyDescent="0.25">
      <c r="A377" t="s">
        <v>475</v>
      </c>
      <c r="B377" t="s">
        <v>2</v>
      </c>
      <c r="C377" t="s">
        <v>475</v>
      </c>
      <c r="D377">
        <v>35004</v>
      </c>
      <c r="E377" t="s">
        <v>672</v>
      </c>
      <c r="F377" t="s">
        <v>117</v>
      </c>
      <c r="G377" t="s">
        <v>670</v>
      </c>
      <c r="H377" t="s">
        <v>670</v>
      </c>
      <c r="I377">
        <v>3.7100000000000001E-2</v>
      </c>
      <c r="J377">
        <v>1.8700000000000001E-2</v>
      </c>
      <c r="K377">
        <v>2.86E-2</v>
      </c>
      <c r="L377">
        <v>3.2000000000000001E-2</v>
      </c>
      <c r="M377">
        <v>4.6899999999999997E-2</v>
      </c>
      <c r="N377">
        <v>5.5199999999999999E-2</v>
      </c>
      <c r="O377">
        <v>5.7299999999999997E-2</v>
      </c>
      <c r="P377">
        <v>3.9800000000000002E-2</v>
      </c>
      <c r="Q377">
        <v>3.0099999999999998E-2</v>
      </c>
      <c r="R377">
        <v>2.6599999999999999E-2</v>
      </c>
      <c r="S377">
        <v>2.3800000000000002E-2</v>
      </c>
      <c r="T377">
        <v>2.9000000000000001E-2</v>
      </c>
      <c r="U377">
        <v>4.4999999999999998E-2</v>
      </c>
      <c r="V377">
        <v>4.41E-2</v>
      </c>
      <c r="W377">
        <v>7.7200000000000005E-2</v>
      </c>
      <c r="X377">
        <v>7.8700000000000006E-2</v>
      </c>
      <c r="Y377">
        <v>5.8000000000000003E-2</v>
      </c>
      <c r="Z377">
        <v>2.29E-2</v>
      </c>
      <c r="AA377">
        <v>-3.5000000000000001E-3</v>
      </c>
      <c r="AB377">
        <v>1.49E-2</v>
      </c>
      <c r="AC377">
        <v>1.2999999999999999E-2</v>
      </c>
      <c r="AD377">
        <v>4.7899999999999998E-2</v>
      </c>
      <c r="AE377">
        <v>6.6299999999999998E-2</v>
      </c>
      <c r="AF377">
        <v>7.6300000000000007E-2</v>
      </c>
      <c r="AG377">
        <v>0.111</v>
      </c>
      <c r="AH377">
        <v>0.1114</v>
      </c>
      <c r="AI377">
        <v>0.1007</v>
      </c>
      <c r="AJ377">
        <v>8.0699999999999994E-2</v>
      </c>
      <c r="AK377">
        <v>5.2900000000000003E-2</v>
      </c>
      <c r="AL377">
        <v>4.6100000000000002E-2</v>
      </c>
      <c r="AM377">
        <v>3.4000000000000002E-2</v>
      </c>
      <c r="AN377">
        <v>4.8899999999999999E-2</v>
      </c>
      <c r="AO377">
        <v>5.0900000000000001E-2</v>
      </c>
      <c r="AP377">
        <v>3.7100000000000001E-2</v>
      </c>
      <c r="AQ377">
        <v>3.6900000000000002E-2</v>
      </c>
      <c r="AR377">
        <v>2.2800000000000001E-2</v>
      </c>
      <c r="AS377">
        <v>2.7099999999999999E-2</v>
      </c>
      <c r="AT377">
        <v>5.1400000000000001E-2</v>
      </c>
      <c r="AU377">
        <v>5.1400000000000001E-2</v>
      </c>
      <c r="AV377">
        <v>4.0599999999999997E-2</v>
      </c>
    </row>
    <row r="378" spans="1:48" x14ac:dyDescent="0.25">
      <c r="A378" t="s">
        <v>476</v>
      </c>
      <c r="B378" t="s">
        <v>2</v>
      </c>
      <c r="C378" t="s">
        <v>476</v>
      </c>
      <c r="D378">
        <v>235084</v>
      </c>
      <c r="E378" t="s">
        <v>672</v>
      </c>
      <c r="F378" t="s">
        <v>117</v>
      </c>
      <c r="G378" t="s">
        <v>670</v>
      </c>
      <c r="H378" t="s">
        <v>670</v>
      </c>
      <c r="I378">
        <v>4.19E-2</v>
      </c>
      <c r="J378">
        <v>5.1400000000000001E-2</v>
      </c>
      <c r="K378">
        <v>4.19E-2</v>
      </c>
      <c r="L378">
        <v>3.04E-2</v>
      </c>
      <c r="M378">
        <v>3.5900000000000001E-2</v>
      </c>
      <c r="N378">
        <v>1.6E-2</v>
      </c>
      <c r="O378">
        <v>1.84E-2</v>
      </c>
      <c r="P378">
        <v>1.2699999999999999E-2</v>
      </c>
      <c r="Q378">
        <v>1.2699999999999999E-2</v>
      </c>
      <c r="R378">
        <v>3.39E-2</v>
      </c>
      <c r="S378">
        <v>4.8300000000000003E-2</v>
      </c>
      <c r="T378">
        <v>5.3999999999999999E-2</v>
      </c>
      <c r="U378">
        <v>5.21E-2</v>
      </c>
      <c r="V378">
        <v>3.56E-2</v>
      </c>
      <c r="W378">
        <v>3.3300000000000003E-2</v>
      </c>
      <c r="X378">
        <v>3.5799999999999998E-2</v>
      </c>
      <c r="Y378">
        <v>0.03</v>
      </c>
      <c r="Z378">
        <v>7.7000000000000002E-3</v>
      </c>
      <c r="AA378">
        <v>-8.6E-3</v>
      </c>
      <c r="AB378">
        <v>-2.9000000000000001E-2</v>
      </c>
      <c r="AC378">
        <v>-3.1300000000000001E-2</v>
      </c>
      <c r="AD378">
        <v>-1.9E-3</v>
      </c>
      <c r="AE378">
        <v>4.4900000000000002E-2</v>
      </c>
      <c r="AF378">
        <v>0.10150000000000001</v>
      </c>
      <c r="AG378">
        <v>0.14419999999999999</v>
      </c>
      <c r="AH378">
        <v>0.17019999999999999</v>
      </c>
      <c r="AI378">
        <v>0.1777</v>
      </c>
      <c r="AJ378">
        <v>0.151</v>
      </c>
      <c r="AK378">
        <v>0.1206</v>
      </c>
      <c r="AL378">
        <v>9.6799999999999997E-2</v>
      </c>
      <c r="AM378">
        <v>6.5000000000000002E-2</v>
      </c>
      <c r="AN378">
        <v>6.5199999999999994E-2</v>
      </c>
      <c r="AO378">
        <v>5.9299999999999999E-2</v>
      </c>
      <c r="AP378">
        <v>5.2499999999999998E-2</v>
      </c>
      <c r="AQ378">
        <v>4.4200000000000003E-2</v>
      </c>
      <c r="AR378">
        <v>3.3700000000000001E-2</v>
      </c>
      <c r="AS378">
        <v>3.1600000000000003E-2</v>
      </c>
      <c r="AT378">
        <v>3.6200000000000003E-2</v>
      </c>
      <c r="AU378">
        <v>3.9800000000000002E-2</v>
      </c>
      <c r="AV378">
        <v>3.7699999999999997E-2</v>
      </c>
    </row>
    <row r="379" spans="1:48" x14ac:dyDescent="0.25">
      <c r="A379" t="s">
        <v>477</v>
      </c>
      <c r="B379" t="s">
        <v>2</v>
      </c>
      <c r="C379" t="s">
        <v>477</v>
      </c>
      <c r="D379">
        <v>35100</v>
      </c>
      <c r="E379" t="s">
        <v>672</v>
      </c>
      <c r="F379" t="s">
        <v>117</v>
      </c>
      <c r="G379" t="s">
        <v>670</v>
      </c>
      <c r="H379" t="s">
        <v>670</v>
      </c>
      <c r="I379">
        <v>6.7900000000000002E-2</v>
      </c>
      <c r="J379">
        <v>1.4500000000000001E-2</v>
      </c>
      <c r="K379">
        <v>-3.04E-2</v>
      </c>
      <c r="L379">
        <v>-3.15E-2</v>
      </c>
      <c r="M379">
        <v>-1.8800000000000001E-2</v>
      </c>
      <c r="N379">
        <v>9.2100000000000001E-2</v>
      </c>
      <c r="O379">
        <v>0.11700000000000001</v>
      </c>
      <c r="P379">
        <v>5.4800000000000001E-2</v>
      </c>
      <c r="Q379">
        <v>2.7900000000000001E-2</v>
      </c>
      <c r="R379">
        <v>-1.0699999999999999E-2</v>
      </c>
      <c r="S379">
        <v>1.4E-2</v>
      </c>
      <c r="T379">
        <v>6.4899999999999999E-2</v>
      </c>
      <c r="U379">
        <v>0.1406</v>
      </c>
      <c r="V379">
        <v>0.13669999999999999</v>
      </c>
      <c r="W379">
        <v>5.2400000000000002E-2</v>
      </c>
      <c r="X379">
        <v>6.1000000000000004E-3</v>
      </c>
      <c r="Y379">
        <v>-4.1500000000000002E-2</v>
      </c>
      <c r="Z379">
        <v>-3.5000000000000003E-2</v>
      </c>
      <c r="AA379">
        <v>0.04</v>
      </c>
      <c r="AB379">
        <v>0.1245</v>
      </c>
      <c r="AC379">
        <v>0.13900000000000001</v>
      </c>
      <c r="AD379">
        <v>0.18479999999999999</v>
      </c>
      <c r="AE379">
        <v>0.2505</v>
      </c>
      <c r="AF379">
        <v>0.17030000000000001</v>
      </c>
      <c r="AG379">
        <v>6.5799999999999997E-2</v>
      </c>
      <c r="AH379">
        <v>9.4700000000000006E-2</v>
      </c>
      <c r="AI379">
        <v>0.1205</v>
      </c>
      <c r="AJ379">
        <v>0.13120000000000001</v>
      </c>
      <c r="AK379">
        <v>0.19539999999999999</v>
      </c>
      <c r="AL379">
        <v>0.12970000000000001</v>
      </c>
      <c r="AM379">
        <v>5.7599999999999998E-2</v>
      </c>
      <c r="AN379">
        <v>8.6999999999999994E-3</v>
      </c>
      <c r="AO379">
        <v>-2.0400000000000001E-2</v>
      </c>
      <c r="AP379">
        <v>-7.4399999999999994E-2</v>
      </c>
      <c r="AQ379">
        <v>-4.9200000000000001E-2</v>
      </c>
      <c r="AR379">
        <v>-2.2100000000000002E-2</v>
      </c>
      <c r="AS379">
        <v>1.9599999999999999E-2</v>
      </c>
      <c r="AT379">
        <v>0.105</v>
      </c>
      <c r="AU379">
        <v>6.3399999999999998E-2</v>
      </c>
      <c r="AV379">
        <v>4.1399999999999999E-2</v>
      </c>
    </row>
    <row r="380" spans="1:48" x14ac:dyDescent="0.25">
      <c r="A380" t="s">
        <v>478</v>
      </c>
      <c r="B380" t="s">
        <v>2</v>
      </c>
      <c r="C380" t="s">
        <v>478</v>
      </c>
      <c r="D380">
        <v>35220</v>
      </c>
      <c r="E380" t="s">
        <v>672</v>
      </c>
      <c r="F380" t="s">
        <v>117</v>
      </c>
      <c r="G380" t="s">
        <v>670</v>
      </c>
      <c r="H380" t="s">
        <v>670</v>
      </c>
      <c r="I380" t="s">
        <v>673</v>
      </c>
      <c r="J380" t="s">
        <v>673</v>
      </c>
      <c r="K380" t="s">
        <v>673</v>
      </c>
      <c r="L380" t="s">
        <v>673</v>
      </c>
      <c r="M380" t="s">
        <v>673</v>
      </c>
      <c r="N380" t="s">
        <v>673</v>
      </c>
      <c r="O380" t="s">
        <v>673</v>
      </c>
      <c r="P380" t="s">
        <v>673</v>
      </c>
      <c r="Q380" t="s">
        <v>673</v>
      </c>
      <c r="R380" t="s">
        <v>673</v>
      </c>
      <c r="S380" t="s">
        <v>673</v>
      </c>
      <c r="T380" t="s">
        <v>673</v>
      </c>
      <c r="U380" t="s">
        <v>673</v>
      </c>
      <c r="V380" t="s">
        <v>673</v>
      </c>
      <c r="W380" t="s">
        <v>673</v>
      </c>
      <c r="X380" t="s">
        <v>673</v>
      </c>
      <c r="Y380" t="s">
        <v>673</v>
      </c>
      <c r="Z380" t="s">
        <v>673</v>
      </c>
      <c r="AA380" t="s">
        <v>673</v>
      </c>
      <c r="AB380" t="s">
        <v>673</v>
      </c>
      <c r="AC380" t="s">
        <v>673</v>
      </c>
      <c r="AD380" t="s">
        <v>673</v>
      </c>
      <c r="AE380" t="s">
        <v>673</v>
      </c>
      <c r="AF380" t="s">
        <v>673</v>
      </c>
      <c r="AG380" t="s">
        <v>673</v>
      </c>
      <c r="AH380" t="s">
        <v>673</v>
      </c>
      <c r="AI380" t="s">
        <v>673</v>
      </c>
      <c r="AJ380" t="s">
        <v>673</v>
      </c>
      <c r="AK380" t="s">
        <v>673</v>
      </c>
      <c r="AL380" t="s">
        <v>673</v>
      </c>
      <c r="AM380" t="s">
        <v>673</v>
      </c>
      <c r="AN380" t="s">
        <v>673</v>
      </c>
      <c r="AO380" t="s">
        <v>673</v>
      </c>
      <c r="AP380" t="s">
        <v>673</v>
      </c>
      <c r="AQ380" t="s">
        <v>673</v>
      </c>
      <c r="AR380" t="s">
        <v>673</v>
      </c>
      <c r="AS380" t="s">
        <v>673</v>
      </c>
      <c r="AT380" t="s">
        <v>673</v>
      </c>
      <c r="AU380" t="s">
        <v>673</v>
      </c>
      <c r="AV380" t="s">
        <v>673</v>
      </c>
    </row>
    <row r="381" spans="1:48" x14ac:dyDescent="0.25">
      <c r="A381" t="s">
        <v>479</v>
      </c>
      <c r="B381" t="s">
        <v>2</v>
      </c>
      <c r="C381" t="s">
        <v>479</v>
      </c>
      <c r="D381">
        <v>235300</v>
      </c>
      <c r="E381" t="s">
        <v>672</v>
      </c>
      <c r="F381" t="s">
        <v>117</v>
      </c>
      <c r="G381" t="s">
        <v>670</v>
      </c>
      <c r="H381" t="s">
        <v>670</v>
      </c>
      <c r="I381">
        <v>1.55E-2</v>
      </c>
      <c r="J381">
        <v>-5.4000000000000003E-3</v>
      </c>
      <c r="K381">
        <v>-2.5999999999999999E-2</v>
      </c>
      <c r="L381">
        <v>-4.0500000000000001E-2</v>
      </c>
      <c r="M381">
        <v>-3.3599999999999998E-2</v>
      </c>
      <c r="N381">
        <v>-2.24E-2</v>
      </c>
      <c r="O381">
        <v>1.4200000000000001E-2</v>
      </c>
      <c r="P381">
        <v>5.4399999999999997E-2</v>
      </c>
      <c r="Q381">
        <v>5.4399999999999997E-2</v>
      </c>
      <c r="R381">
        <v>4.6399999999999997E-2</v>
      </c>
      <c r="S381">
        <v>6.3899999999999998E-2</v>
      </c>
      <c r="T381">
        <v>3.85E-2</v>
      </c>
      <c r="U381">
        <v>2.5100000000000001E-2</v>
      </c>
      <c r="V381">
        <v>4.8999999999999998E-3</v>
      </c>
      <c r="W381">
        <v>-2.8E-3</v>
      </c>
      <c r="X381">
        <v>-6.0000000000000001E-3</v>
      </c>
      <c r="Y381">
        <v>3.2000000000000002E-3</v>
      </c>
      <c r="Z381">
        <v>1.1900000000000001E-2</v>
      </c>
      <c r="AA381">
        <v>-1.14E-2</v>
      </c>
      <c r="AB381">
        <v>2.1899999999999999E-2</v>
      </c>
      <c r="AC381">
        <v>4.0500000000000001E-2</v>
      </c>
      <c r="AD381">
        <v>7.9699999999999993E-2</v>
      </c>
      <c r="AE381">
        <v>0.1085</v>
      </c>
      <c r="AF381">
        <v>0.12640000000000001</v>
      </c>
      <c r="AG381">
        <v>0.1542</v>
      </c>
      <c r="AH381">
        <v>0.1472</v>
      </c>
      <c r="AI381">
        <v>0.1525</v>
      </c>
      <c r="AJ381">
        <v>0.13619999999999999</v>
      </c>
      <c r="AK381">
        <v>9.4799999999999995E-2</v>
      </c>
      <c r="AL381">
        <v>0.1089</v>
      </c>
      <c r="AM381">
        <v>0.1094</v>
      </c>
      <c r="AN381">
        <v>9.9299999999999999E-2</v>
      </c>
      <c r="AO381">
        <v>9.74E-2</v>
      </c>
      <c r="AP381">
        <v>7.3300000000000004E-2</v>
      </c>
      <c r="AQ381">
        <v>7.6499999999999999E-2</v>
      </c>
      <c r="AR381">
        <v>6.7299999999999999E-2</v>
      </c>
      <c r="AS381">
        <v>6.2600000000000003E-2</v>
      </c>
      <c r="AT381">
        <v>7.7399999999999997E-2</v>
      </c>
      <c r="AU381">
        <v>5.67E-2</v>
      </c>
      <c r="AV381">
        <v>4.6100000000000002E-2</v>
      </c>
    </row>
    <row r="382" spans="1:48" x14ac:dyDescent="0.25">
      <c r="A382" t="s">
        <v>480</v>
      </c>
      <c r="B382" t="s">
        <v>2</v>
      </c>
      <c r="C382" t="s">
        <v>480</v>
      </c>
      <c r="D382">
        <v>235380</v>
      </c>
      <c r="E382" t="s">
        <v>672</v>
      </c>
      <c r="F382" t="s">
        <v>117</v>
      </c>
      <c r="G382" t="s">
        <v>670</v>
      </c>
      <c r="H382" t="s">
        <v>670</v>
      </c>
      <c r="I382">
        <v>4.87E-2</v>
      </c>
      <c r="J382">
        <v>2.8899999999999999E-2</v>
      </c>
      <c r="K382">
        <v>1.5E-3</v>
      </c>
      <c r="L382">
        <v>3.3E-3</v>
      </c>
      <c r="M382">
        <v>1.5E-3</v>
      </c>
      <c r="N382">
        <v>6.4999999999999997E-3</v>
      </c>
      <c r="O382">
        <v>1.2999999999999999E-2</v>
      </c>
      <c r="P382">
        <v>-4.1999999999999997E-3</v>
      </c>
      <c r="Q382">
        <v>-1.12E-2</v>
      </c>
      <c r="R382">
        <v>1.26E-2</v>
      </c>
      <c r="S382">
        <v>3.04E-2</v>
      </c>
      <c r="T382">
        <v>4.0500000000000001E-2</v>
      </c>
      <c r="U382">
        <v>5.91E-2</v>
      </c>
      <c r="V382">
        <v>3.6200000000000003E-2</v>
      </c>
      <c r="W382">
        <v>2.3599999999999999E-2</v>
      </c>
      <c r="X382">
        <v>3.4700000000000002E-2</v>
      </c>
      <c r="Y382">
        <v>2.5499999999999998E-2</v>
      </c>
      <c r="Z382">
        <v>2.52E-2</v>
      </c>
      <c r="AA382">
        <v>2.1700000000000001E-2</v>
      </c>
      <c r="AB382">
        <v>1.0500000000000001E-2</v>
      </c>
      <c r="AC382">
        <v>4.7999999999999996E-3</v>
      </c>
      <c r="AD382">
        <v>2.0400000000000001E-2</v>
      </c>
      <c r="AE382">
        <v>5.3699999999999998E-2</v>
      </c>
      <c r="AF382">
        <v>9.9699999999999997E-2</v>
      </c>
      <c r="AG382">
        <v>0.12909999999999999</v>
      </c>
      <c r="AH382">
        <v>0.17910000000000001</v>
      </c>
      <c r="AI382">
        <v>0.18870000000000001</v>
      </c>
      <c r="AJ382">
        <v>0.1323</v>
      </c>
      <c r="AK382">
        <v>8.6599999999999996E-2</v>
      </c>
      <c r="AL382">
        <v>3.04E-2</v>
      </c>
      <c r="AM382">
        <v>2.6499999999999999E-2</v>
      </c>
      <c r="AN382">
        <v>1.4800000000000001E-2</v>
      </c>
      <c r="AO382">
        <v>2.81E-2</v>
      </c>
      <c r="AP382">
        <v>3.3099999999999997E-2</v>
      </c>
      <c r="AQ382">
        <v>3.0000000000000001E-3</v>
      </c>
      <c r="AR382">
        <v>2.0999999999999999E-3</v>
      </c>
      <c r="AS382">
        <v>1.34E-2</v>
      </c>
      <c r="AT382">
        <v>2.3900000000000001E-2</v>
      </c>
      <c r="AU382">
        <v>3.8999999999999998E-3</v>
      </c>
      <c r="AV382">
        <v>1.09E-2</v>
      </c>
    </row>
    <row r="383" spans="1:48" x14ac:dyDescent="0.25">
      <c r="A383" t="s">
        <v>481</v>
      </c>
      <c r="B383" t="s">
        <v>2</v>
      </c>
      <c r="C383" t="s">
        <v>481</v>
      </c>
      <c r="D383">
        <v>235614</v>
      </c>
      <c r="E383" t="s">
        <v>672</v>
      </c>
      <c r="F383" t="s">
        <v>117</v>
      </c>
      <c r="G383" t="s">
        <v>670</v>
      </c>
      <c r="H383" t="s">
        <v>670</v>
      </c>
      <c r="I383">
        <v>2.5999999999999999E-3</v>
      </c>
      <c r="J383">
        <v>5.9999999999999995E-4</v>
      </c>
      <c r="K383">
        <v>-2.6800000000000001E-2</v>
      </c>
      <c r="L383">
        <v>-2.6200000000000001E-2</v>
      </c>
      <c r="M383">
        <v>-1.3899999999999999E-2</v>
      </c>
      <c r="N383">
        <v>-1.14E-2</v>
      </c>
      <c r="O383">
        <v>7.0000000000000001E-3</v>
      </c>
      <c r="P383">
        <v>5.8999999999999999E-3</v>
      </c>
      <c r="Q383">
        <v>7.9000000000000008E-3</v>
      </c>
      <c r="R383">
        <v>1.21E-2</v>
      </c>
      <c r="S383">
        <v>2.6599999999999999E-2</v>
      </c>
      <c r="T383">
        <v>2.7E-2</v>
      </c>
      <c r="U383">
        <v>1.46E-2</v>
      </c>
      <c r="V383">
        <v>2.7300000000000001E-2</v>
      </c>
      <c r="W383">
        <v>7.7000000000000002E-3</v>
      </c>
      <c r="X383">
        <v>1.9099999999999999E-2</v>
      </c>
      <c r="Y383">
        <v>3.0300000000000001E-2</v>
      </c>
      <c r="Z383">
        <v>-5.1000000000000004E-3</v>
      </c>
      <c r="AA383">
        <v>-8.5199999999999998E-2</v>
      </c>
      <c r="AB383">
        <v>-0.13469999999999999</v>
      </c>
      <c r="AC383">
        <v>-0.14929999999999999</v>
      </c>
      <c r="AD383">
        <v>-0.11</v>
      </c>
      <c r="AE383">
        <v>6.9400000000000003E-2</v>
      </c>
      <c r="AF383">
        <v>0.20880000000000001</v>
      </c>
      <c r="AG383">
        <v>0.25940000000000002</v>
      </c>
      <c r="AH383">
        <v>0.26079999999999998</v>
      </c>
      <c r="AI383">
        <v>0.1787</v>
      </c>
      <c r="AJ383">
        <v>0.10249999999999999</v>
      </c>
      <c r="AK383">
        <v>7.0300000000000001E-2</v>
      </c>
      <c r="AL383">
        <v>7.0099999999999996E-2</v>
      </c>
      <c r="AM383">
        <v>4.5499999999999999E-2</v>
      </c>
      <c r="AN383">
        <v>4.41E-2</v>
      </c>
      <c r="AO383">
        <v>3.2399999999999998E-2</v>
      </c>
      <c r="AP383">
        <v>2.3999999999999998E-3</v>
      </c>
      <c r="AQ383">
        <v>4.4999999999999997E-3</v>
      </c>
      <c r="AR383">
        <v>2.0000000000000001E-4</v>
      </c>
      <c r="AS383">
        <v>1.6400000000000001E-2</v>
      </c>
      <c r="AT383">
        <v>2.3E-2</v>
      </c>
      <c r="AU383">
        <v>6.1000000000000004E-3</v>
      </c>
      <c r="AV383">
        <v>1.06E-2</v>
      </c>
    </row>
    <row r="384" spans="1:48" x14ac:dyDescent="0.25">
      <c r="A384" t="s">
        <v>482</v>
      </c>
      <c r="B384" t="s">
        <v>2</v>
      </c>
      <c r="C384" t="s">
        <v>482</v>
      </c>
      <c r="D384">
        <v>35660</v>
      </c>
      <c r="E384" t="s">
        <v>672</v>
      </c>
      <c r="F384" t="s">
        <v>117</v>
      </c>
      <c r="G384" t="s">
        <v>670</v>
      </c>
      <c r="H384" t="s">
        <v>670</v>
      </c>
      <c r="I384">
        <v>1.8700000000000001E-2</v>
      </c>
      <c r="J384">
        <v>3.0599999999999999E-2</v>
      </c>
      <c r="K384">
        <v>3.4000000000000002E-2</v>
      </c>
      <c r="L384">
        <v>2.69E-2</v>
      </c>
      <c r="M384">
        <v>2.1899999999999999E-2</v>
      </c>
      <c r="N384">
        <v>1.7500000000000002E-2</v>
      </c>
      <c r="O384">
        <v>-5.1000000000000004E-3</v>
      </c>
      <c r="P384">
        <v>-1.0500000000000001E-2</v>
      </c>
      <c r="Q384">
        <v>0.02</v>
      </c>
      <c r="R384">
        <v>4.7100000000000003E-2</v>
      </c>
      <c r="S384">
        <v>7.0300000000000001E-2</v>
      </c>
      <c r="T384">
        <v>6.0400000000000002E-2</v>
      </c>
      <c r="U384">
        <v>5.2400000000000002E-2</v>
      </c>
      <c r="V384">
        <v>3.73E-2</v>
      </c>
      <c r="W384">
        <v>2.5700000000000001E-2</v>
      </c>
      <c r="X384">
        <v>3.4799999999999998E-2</v>
      </c>
      <c r="Y384">
        <v>2.3800000000000002E-2</v>
      </c>
      <c r="Z384">
        <v>1.61E-2</v>
      </c>
      <c r="AA384">
        <v>3.4799999999999998E-2</v>
      </c>
      <c r="AB384">
        <v>7.1999999999999995E-2</v>
      </c>
      <c r="AC384">
        <v>9.3200000000000005E-2</v>
      </c>
      <c r="AD384">
        <v>0.11219999999999999</v>
      </c>
      <c r="AE384">
        <v>9.9199999999999997E-2</v>
      </c>
      <c r="AF384">
        <v>6.8099999999999994E-2</v>
      </c>
      <c r="AG384">
        <v>7.7399999999999997E-2</v>
      </c>
      <c r="AH384">
        <v>9.4299999999999995E-2</v>
      </c>
      <c r="AI384">
        <v>9.6299999999999997E-2</v>
      </c>
      <c r="AJ384">
        <v>9.9099999999999994E-2</v>
      </c>
      <c r="AK384">
        <v>7.7700000000000005E-2</v>
      </c>
      <c r="AL384">
        <v>2.4199999999999999E-2</v>
      </c>
      <c r="AM384">
        <v>8.4699999999999998E-2</v>
      </c>
      <c r="AN384">
        <v>0.11020000000000001</v>
      </c>
      <c r="AO384">
        <v>0.18690000000000001</v>
      </c>
      <c r="AP384">
        <v>0.19850000000000001</v>
      </c>
      <c r="AQ384">
        <v>0.1193</v>
      </c>
      <c r="AR384">
        <v>1.01E-2</v>
      </c>
      <c r="AS384">
        <v>-6.8900000000000003E-2</v>
      </c>
      <c r="AT384">
        <v>-6.6699999999999995E-2</v>
      </c>
      <c r="AU384">
        <v>-1.1900000000000001E-2</v>
      </c>
      <c r="AV384">
        <v>8.1600000000000006E-2</v>
      </c>
    </row>
    <row r="385" spans="1:48" x14ac:dyDescent="0.25">
      <c r="A385" t="s">
        <v>483</v>
      </c>
      <c r="B385" t="s">
        <v>2</v>
      </c>
      <c r="C385" t="s">
        <v>483</v>
      </c>
      <c r="D385">
        <v>35740</v>
      </c>
      <c r="E385" t="s">
        <v>672</v>
      </c>
      <c r="F385" t="s">
        <v>117</v>
      </c>
      <c r="G385" t="s">
        <v>670</v>
      </c>
      <c r="H385" t="s">
        <v>670</v>
      </c>
      <c r="I385" t="s">
        <v>673</v>
      </c>
      <c r="J385" t="s">
        <v>673</v>
      </c>
      <c r="K385" t="s">
        <v>673</v>
      </c>
      <c r="L385" t="s">
        <v>673</v>
      </c>
      <c r="M385" t="s">
        <v>673</v>
      </c>
      <c r="N385" t="s">
        <v>673</v>
      </c>
      <c r="O385" t="s">
        <v>673</v>
      </c>
      <c r="P385" t="s">
        <v>673</v>
      </c>
      <c r="Q385" t="s">
        <v>673</v>
      </c>
      <c r="R385" t="s">
        <v>673</v>
      </c>
      <c r="S385" t="s">
        <v>673</v>
      </c>
      <c r="T385" t="s">
        <v>673</v>
      </c>
      <c r="U385" t="s">
        <v>673</v>
      </c>
      <c r="V385" t="s">
        <v>673</v>
      </c>
      <c r="W385" t="s">
        <v>673</v>
      </c>
      <c r="X385" t="s">
        <v>673</v>
      </c>
      <c r="Y385" t="s">
        <v>673</v>
      </c>
      <c r="Z385" t="s">
        <v>673</v>
      </c>
      <c r="AA385" t="s">
        <v>673</v>
      </c>
      <c r="AB385" t="s">
        <v>673</v>
      </c>
      <c r="AC385" t="s">
        <v>673</v>
      </c>
      <c r="AD385" t="s">
        <v>673</v>
      </c>
      <c r="AE385" t="s">
        <v>673</v>
      </c>
      <c r="AF385" t="s">
        <v>673</v>
      </c>
      <c r="AG385" t="s">
        <v>673</v>
      </c>
      <c r="AH385" t="s">
        <v>673</v>
      </c>
      <c r="AI385" t="s">
        <v>673</v>
      </c>
      <c r="AJ385" t="s">
        <v>673</v>
      </c>
      <c r="AK385" t="s">
        <v>673</v>
      </c>
      <c r="AL385" t="s">
        <v>673</v>
      </c>
      <c r="AM385" t="s">
        <v>673</v>
      </c>
      <c r="AN385" t="s">
        <v>673</v>
      </c>
      <c r="AO385" t="s">
        <v>673</v>
      </c>
      <c r="AP385" t="s">
        <v>673</v>
      </c>
      <c r="AQ385" t="s">
        <v>673</v>
      </c>
      <c r="AR385" t="s">
        <v>673</v>
      </c>
      <c r="AS385" t="s">
        <v>673</v>
      </c>
      <c r="AT385" t="s">
        <v>673</v>
      </c>
      <c r="AU385" t="s">
        <v>673</v>
      </c>
      <c r="AV385" t="s">
        <v>673</v>
      </c>
    </row>
    <row r="386" spans="1:48" x14ac:dyDescent="0.25">
      <c r="A386" t="s">
        <v>484</v>
      </c>
      <c r="B386" t="s">
        <v>2</v>
      </c>
      <c r="C386" t="s">
        <v>484</v>
      </c>
      <c r="D386">
        <v>35820</v>
      </c>
      <c r="E386" t="s">
        <v>672</v>
      </c>
      <c r="F386" t="s">
        <v>117</v>
      </c>
      <c r="G386" t="s">
        <v>670</v>
      </c>
      <c r="H386" t="s">
        <v>670</v>
      </c>
      <c r="I386" t="s">
        <v>673</v>
      </c>
      <c r="J386" t="s">
        <v>673</v>
      </c>
      <c r="K386" t="s">
        <v>673</v>
      </c>
      <c r="L386" t="s">
        <v>673</v>
      </c>
      <c r="M386" t="s">
        <v>673</v>
      </c>
      <c r="N386" t="s">
        <v>673</v>
      </c>
      <c r="O386" t="s">
        <v>673</v>
      </c>
      <c r="P386" t="s">
        <v>673</v>
      </c>
      <c r="Q386" t="s">
        <v>673</v>
      </c>
      <c r="R386" t="s">
        <v>673</v>
      </c>
      <c r="S386" t="s">
        <v>673</v>
      </c>
      <c r="T386" t="s">
        <v>673</v>
      </c>
      <c r="U386" t="s">
        <v>673</v>
      </c>
      <c r="V386" t="s">
        <v>673</v>
      </c>
      <c r="W386" t="s">
        <v>673</v>
      </c>
      <c r="X386" t="s">
        <v>673</v>
      </c>
      <c r="Y386" t="s">
        <v>673</v>
      </c>
      <c r="Z386" t="s">
        <v>673</v>
      </c>
      <c r="AA386" t="s">
        <v>673</v>
      </c>
      <c r="AB386" t="s">
        <v>673</v>
      </c>
      <c r="AC386" t="s">
        <v>673</v>
      </c>
      <c r="AD386" t="s">
        <v>673</v>
      </c>
      <c r="AE386" t="s">
        <v>673</v>
      </c>
      <c r="AF386" t="s">
        <v>673</v>
      </c>
      <c r="AG386" t="s">
        <v>673</v>
      </c>
      <c r="AH386" t="s">
        <v>673</v>
      </c>
      <c r="AI386" t="s">
        <v>673</v>
      </c>
      <c r="AJ386" t="s">
        <v>673</v>
      </c>
      <c r="AK386">
        <v>0.2263</v>
      </c>
      <c r="AL386">
        <v>0.25090000000000001</v>
      </c>
      <c r="AM386">
        <v>0.1973</v>
      </c>
      <c r="AN386">
        <v>0.18490000000000001</v>
      </c>
      <c r="AO386">
        <v>0.127</v>
      </c>
      <c r="AP386">
        <v>0.1119</v>
      </c>
      <c r="AQ386">
        <v>7.9600000000000004E-2</v>
      </c>
      <c r="AR386">
        <v>6.7699999999999996E-2</v>
      </c>
      <c r="AS386">
        <v>6.3899999999999998E-2</v>
      </c>
      <c r="AT386">
        <v>-1.0200000000000001E-2</v>
      </c>
      <c r="AU386">
        <v>1.2999999999999999E-2</v>
      </c>
      <c r="AV386">
        <v>5.5199999999999999E-2</v>
      </c>
    </row>
    <row r="387" spans="1:48" x14ac:dyDescent="0.25">
      <c r="A387" t="s">
        <v>485</v>
      </c>
      <c r="B387" t="s">
        <v>2</v>
      </c>
      <c r="C387" t="s">
        <v>485</v>
      </c>
      <c r="D387">
        <v>235840</v>
      </c>
      <c r="E387" t="s">
        <v>672</v>
      </c>
      <c r="F387" t="s">
        <v>117</v>
      </c>
      <c r="G387" t="s">
        <v>670</v>
      </c>
      <c r="H387" t="s">
        <v>670</v>
      </c>
      <c r="I387">
        <v>9.0399999999999994E-2</v>
      </c>
      <c r="J387">
        <v>6.7799999999999999E-2</v>
      </c>
      <c r="K387">
        <v>4.1799999999999997E-2</v>
      </c>
      <c r="L387">
        <v>3.3799999999999997E-2</v>
      </c>
      <c r="M387">
        <v>9.4000000000000004E-3</v>
      </c>
      <c r="N387">
        <v>1.38E-2</v>
      </c>
      <c r="O387">
        <v>2.5899999999999999E-2</v>
      </c>
      <c r="P387">
        <v>3.32E-2</v>
      </c>
      <c r="Q387">
        <v>4.6300000000000001E-2</v>
      </c>
      <c r="R387">
        <v>7.7399999999999997E-2</v>
      </c>
      <c r="S387">
        <v>7.0099999999999996E-2</v>
      </c>
      <c r="T387">
        <v>4.9099999999999998E-2</v>
      </c>
      <c r="U387">
        <v>3.8600000000000002E-2</v>
      </c>
      <c r="V387">
        <v>3.3599999999999998E-2</v>
      </c>
      <c r="W387">
        <v>2.5999999999999999E-2</v>
      </c>
      <c r="X387">
        <v>1.6E-2</v>
      </c>
      <c r="Y387">
        <v>3.3300000000000003E-2</v>
      </c>
      <c r="Z387">
        <v>6.8999999999999999E-3</v>
      </c>
      <c r="AA387">
        <v>2E-3</v>
      </c>
      <c r="AB387">
        <v>3.7900000000000003E-2</v>
      </c>
      <c r="AC387">
        <v>4.5600000000000002E-2</v>
      </c>
      <c r="AD387">
        <v>0.1424</v>
      </c>
      <c r="AE387">
        <v>0.2782</v>
      </c>
      <c r="AF387">
        <v>0.37030000000000002</v>
      </c>
      <c r="AG387">
        <v>0.40210000000000001</v>
      </c>
      <c r="AH387">
        <v>0.31769999999999998</v>
      </c>
      <c r="AI387">
        <v>0.1774</v>
      </c>
      <c r="AJ387">
        <v>8.9700000000000002E-2</v>
      </c>
      <c r="AK387">
        <v>3.6799999999999999E-2</v>
      </c>
      <c r="AL387">
        <v>1.17E-2</v>
      </c>
      <c r="AM387">
        <v>-2.5000000000000001E-2</v>
      </c>
      <c r="AN387">
        <v>-4.9200000000000001E-2</v>
      </c>
      <c r="AO387">
        <v>-4.5400000000000003E-2</v>
      </c>
      <c r="AP387">
        <v>-4.5699999999999998E-2</v>
      </c>
      <c r="AQ387">
        <v>-3.5900000000000001E-2</v>
      </c>
      <c r="AR387">
        <v>-2.6800000000000001E-2</v>
      </c>
      <c r="AS387">
        <v>-2.35E-2</v>
      </c>
      <c r="AT387">
        <v>-2.7400000000000001E-2</v>
      </c>
      <c r="AU387">
        <v>-4.7E-2</v>
      </c>
      <c r="AV387">
        <v>-6.6600000000000006E-2</v>
      </c>
    </row>
    <row r="388" spans="1:48" x14ac:dyDescent="0.25">
      <c r="A388" t="s">
        <v>486</v>
      </c>
      <c r="B388" t="s">
        <v>2</v>
      </c>
      <c r="C388" t="s">
        <v>486</v>
      </c>
      <c r="D388">
        <v>35940</v>
      </c>
      <c r="E388" t="s">
        <v>672</v>
      </c>
      <c r="F388" t="s">
        <v>117</v>
      </c>
      <c r="G388" t="s">
        <v>670</v>
      </c>
      <c r="H388" t="s">
        <v>670</v>
      </c>
      <c r="I388" t="s">
        <v>673</v>
      </c>
      <c r="J388" t="s">
        <v>673</v>
      </c>
      <c r="K388" t="s">
        <v>673</v>
      </c>
      <c r="L388" t="s">
        <v>673</v>
      </c>
      <c r="M388" t="s">
        <v>673</v>
      </c>
      <c r="N388" t="s">
        <v>673</v>
      </c>
      <c r="O388" t="s">
        <v>673</v>
      </c>
      <c r="P388" t="s">
        <v>673</v>
      </c>
      <c r="Q388" t="s">
        <v>673</v>
      </c>
      <c r="R388" t="s">
        <v>673</v>
      </c>
      <c r="S388" t="s">
        <v>673</v>
      </c>
      <c r="T388" t="s">
        <v>673</v>
      </c>
      <c r="U388" t="s">
        <v>673</v>
      </c>
      <c r="V388" t="s">
        <v>673</v>
      </c>
      <c r="W388" t="s">
        <v>673</v>
      </c>
      <c r="X388" t="s">
        <v>673</v>
      </c>
      <c r="Y388" t="s">
        <v>673</v>
      </c>
      <c r="Z388" t="s">
        <v>673</v>
      </c>
      <c r="AA388" t="s">
        <v>673</v>
      </c>
      <c r="AB388" t="s">
        <v>673</v>
      </c>
      <c r="AC388" t="s">
        <v>673</v>
      </c>
      <c r="AD388" t="s">
        <v>673</v>
      </c>
      <c r="AE388" t="s">
        <v>673</v>
      </c>
      <c r="AF388" t="s">
        <v>673</v>
      </c>
      <c r="AG388" t="s">
        <v>673</v>
      </c>
      <c r="AH388" t="s">
        <v>673</v>
      </c>
      <c r="AI388" t="s">
        <v>673</v>
      </c>
      <c r="AJ388" t="s">
        <v>673</v>
      </c>
      <c r="AK388" t="s">
        <v>673</v>
      </c>
      <c r="AL388" t="s">
        <v>673</v>
      </c>
      <c r="AM388" t="s">
        <v>673</v>
      </c>
      <c r="AN388" t="s">
        <v>673</v>
      </c>
      <c r="AO388" t="s">
        <v>673</v>
      </c>
      <c r="AP388" t="s">
        <v>673</v>
      </c>
      <c r="AQ388" t="s">
        <v>673</v>
      </c>
      <c r="AR388" t="s">
        <v>673</v>
      </c>
      <c r="AS388" t="s">
        <v>673</v>
      </c>
      <c r="AT388" t="s">
        <v>673</v>
      </c>
      <c r="AU388" t="s">
        <v>673</v>
      </c>
      <c r="AV388" t="s">
        <v>673</v>
      </c>
    </row>
    <row r="389" spans="1:48" x14ac:dyDescent="0.25">
      <c r="A389" t="s">
        <v>487</v>
      </c>
      <c r="B389" t="s">
        <v>2</v>
      </c>
      <c r="C389" t="s">
        <v>487</v>
      </c>
      <c r="D389">
        <v>35980</v>
      </c>
      <c r="E389" t="s">
        <v>672</v>
      </c>
      <c r="F389" t="s">
        <v>117</v>
      </c>
      <c r="G389" t="s">
        <v>670</v>
      </c>
      <c r="H389" t="s">
        <v>670</v>
      </c>
      <c r="I389">
        <v>2.47E-2</v>
      </c>
      <c r="J389">
        <v>-8.9999999999999998E-4</v>
      </c>
      <c r="K389">
        <v>-1.5800000000000002E-2</v>
      </c>
      <c r="L389">
        <v>-2.3999999999999998E-3</v>
      </c>
      <c r="M389">
        <v>9.1000000000000004E-3</v>
      </c>
      <c r="N389">
        <v>3.5799999999999998E-2</v>
      </c>
      <c r="O389">
        <v>3.8800000000000001E-2</v>
      </c>
      <c r="P389">
        <v>2.64E-2</v>
      </c>
      <c r="Q389">
        <v>8.0000000000000002E-3</v>
      </c>
      <c r="R389">
        <v>2E-3</v>
      </c>
      <c r="S389">
        <v>3.0499999999999999E-2</v>
      </c>
      <c r="T389">
        <v>3.7499999999999999E-2</v>
      </c>
      <c r="U389">
        <v>4.7399999999999998E-2</v>
      </c>
      <c r="V389">
        <v>4.9500000000000002E-2</v>
      </c>
      <c r="W389">
        <v>3.27E-2</v>
      </c>
      <c r="X389">
        <v>2.4799999999999999E-2</v>
      </c>
      <c r="Y389">
        <v>2.6100000000000002E-2</v>
      </c>
      <c r="Z389">
        <v>1.6999999999999999E-3</v>
      </c>
      <c r="AA389">
        <v>3.7000000000000002E-3</v>
      </c>
      <c r="AB389">
        <v>4.4699999999999997E-2</v>
      </c>
      <c r="AC389">
        <v>4.8399999999999999E-2</v>
      </c>
      <c r="AD389">
        <v>0.1013</v>
      </c>
      <c r="AE389">
        <v>0.1502</v>
      </c>
      <c r="AF389">
        <v>0.1167</v>
      </c>
      <c r="AG389">
        <v>0.1295</v>
      </c>
      <c r="AH389">
        <v>0.14480000000000001</v>
      </c>
      <c r="AI389">
        <v>0.12920000000000001</v>
      </c>
      <c r="AJ389">
        <v>0.1244</v>
      </c>
      <c r="AK389">
        <v>8.6800000000000002E-2</v>
      </c>
      <c r="AL389">
        <v>6.3399999999999998E-2</v>
      </c>
      <c r="AM389">
        <v>5.3800000000000001E-2</v>
      </c>
      <c r="AN389">
        <v>8.6199999999999999E-2</v>
      </c>
      <c r="AO389">
        <v>0.12130000000000001</v>
      </c>
      <c r="AP389">
        <v>0.12089999999999999</v>
      </c>
      <c r="AQ389">
        <v>0.1162</v>
      </c>
      <c r="AR389">
        <v>8.6599999999999996E-2</v>
      </c>
      <c r="AS389">
        <v>4.3400000000000001E-2</v>
      </c>
      <c r="AT389">
        <v>2.4299999999999999E-2</v>
      </c>
      <c r="AU389">
        <v>4.4999999999999997E-3</v>
      </c>
      <c r="AV389">
        <v>-5.3E-3</v>
      </c>
    </row>
    <row r="390" spans="1:48" x14ac:dyDescent="0.25">
      <c r="A390" t="s">
        <v>488</v>
      </c>
      <c r="B390" t="s">
        <v>2</v>
      </c>
      <c r="C390" t="s">
        <v>488</v>
      </c>
      <c r="D390">
        <v>36084</v>
      </c>
      <c r="E390" t="s">
        <v>672</v>
      </c>
      <c r="F390" t="s">
        <v>117</v>
      </c>
      <c r="G390" t="s">
        <v>670</v>
      </c>
      <c r="H390" t="s">
        <v>670</v>
      </c>
      <c r="I390">
        <v>8.9099999999999999E-2</v>
      </c>
      <c r="J390">
        <v>6.2199999999999998E-2</v>
      </c>
      <c r="K390">
        <v>2.7699999999999999E-2</v>
      </c>
      <c r="L390">
        <v>1.2800000000000001E-2</v>
      </c>
      <c r="M390">
        <v>1.2800000000000001E-2</v>
      </c>
      <c r="N390">
        <v>3.2099999999999997E-2</v>
      </c>
      <c r="O390">
        <v>2.7099999999999999E-2</v>
      </c>
      <c r="P390">
        <v>2.4899999999999999E-2</v>
      </c>
      <c r="Q390">
        <v>2.9000000000000001E-2</v>
      </c>
      <c r="R390">
        <v>1.7600000000000001E-2</v>
      </c>
      <c r="S390">
        <v>2.6499999999999999E-2</v>
      </c>
      <c r="T390">
        <v>3.5099999999999999E-2</v>
      </c>
      <c r="U390">
        <v>3.1600000000000003E-2</v>
      </c>
      <c r="V390">
        <v>2.3300000000000001E-2</v>
      </c>
      <c r="W390">
        <v>2.2700000000000001E-2</v>
      </c>
      <c r="X390">
        <v>1.6899999999999998E-2</v>
      </c>
      <c r="Y390">
        <v>2.3E-2</v>
      </c>
      <c r="Z390">
        <v>-1.6299999999999999E-2</v>
      </c>
      <c r="AA390">
        <v>-4.58E-2</v>
      </c>
      <c r="AB390">
        <v>-5.11E-2</v>
      </c>
      <c r="AC390">
        <v>-7.0599999999999996E-2</v>
      </c>
      <c r="AD390">
        <v>-2.29E-2</v>
      </c>
      <c r="AE390">
        <v>4.6899999999999997E-2</v>
      </c>
      <c r="AF390">
        <v>8.9899999999999994E-2</v>
      </c>
      <c r="AG390">
        <v>0.1273</v>
      </c>
      <c r="AH390">
        <v>0.12230000000000001</v>
      </c>
      <c r="AI390">
        <v>9.5200000000000007E-2</v>
      </c>
      <c r="AJ390">
        <v>6.0999999999999999E-2</v>
      </c>
      <c r="AK390">
        <v>2.7400000000000001E-2</v>
      </c>
      <c r="AL390">
        <v>3.5999999999999999E-3</v>
      </c>
      <c r="AM390">
        <v>-1.8599999999999998E-2</v>
      </c>
      <c r="AN390">
        <v>-1.4200000000000001E-2</v>
      </c>
      <c r="AO390">
        <v>-9.9000000000000008E-3</v>
      </c>
      <c r="AP390">
        <v>-9.5999999999999992E-3</v>
      </c>
      <c r="AQ390">
        <v>-9.7000000000000003E-3</v>
      </c>
      <c r="AR390">
        <v>-6.1999999999999998E-3</v>
      </c>
      <c r="AS390">
        <v>7.0000000000000001E-3</v>
      </c>
      <c r="AT390">
        <v>2.4E-2</v>
      </c>
      <c r="AU390">
        <v>2.87E-2</v>
      </c>
      <c r="AV390">
        <v>2.1100000000000001E-2</v>
      </c>
    </row>
    <row r="391" spans="1:48" x14ac:dyDescent="0.25">
      <c r="A391" t="s">
        <v>489</v>
      </c>
      <c r="B391" t="s">
        <v>2</v>
      </c>
      <c r="C391" t="s">
        <v>489</v>
      </c>
      <c r="D391">
        <v>36100</v>
      </c>
      <c r="E391" t="s">
        <v>672</v>
      </c>
      <c r="F391" t="s">
        <v>117</v>
      </c>
      <c r="G391" t="s">
        <v>670</v>
      </c>
      <c r="H391" t="s">
        <v>670</v>
      </c>
      <c r="I391">
        <v>5.5899999999999998E-2</v>
      </c>
      <c r="J391">
        <v>3.1800000000000002E-2</v>
      </c>
      <c r="K391">
        <v>1.4500000000000001E-2</v>
      </c>
      <c r="L391">
        <v>5.0700000000000002E-2</v>
      </c>
      <c r="M391">
        <v>2.7E-2</v>
      </c>
      <c r="N391">
        <v>6.8199999999999997E-2</v>
      </c>
      <c r="O391">
        <v>0.12889999999999999</v>
      </c>
      <c r="P391">
        <v>8.1699999999999995E-2</v>
      </c>
      <c r="Q391">
        <v>7.7399999999999997E-2</v>
      </c>
      <c r="R391">
        <v>5.1900000000000002E-2</v>
      </c>
      <c r="S391">
        <v>1.4E-2</v>
      </c>
      <c r="T391">
        <v>1.38E-2</v>
      </c>
      <c r="U391">
        <v>1.78E-2</v>
      </c>
      <c r="V391">
        <v>6.5600000000000006E-2</v>
      </c>
      <c r="W391">
        <v>8.0100000000000005E-2</v>
      </c>
      <c r="X391">
        <v>8.9800000000000005E-2</v>
      </c>
      <c r="Y391">
        <v>0.1133</v>
      </c>
      <c r="Z391">
        <v>6.13E-2</v>
      </c>
      <c r="AA391">
        <v>7.1099999999999997E-2</v>
      </c>
      <c r="AB391">
        <v>8.5099999999999995E-2</v>
      </c>
      <c r="AC391">
        <v>8.3500000000000005E-2</v>
      </c>
      <c r="AD391">
        <v>0.1057</v>
      </c>
      <c r="AE391">
        <v>0.1338</v>
      </c>
      <c r="AF391">
        <v>0.17269999999999999</v>
      </c>
      <c r="AG391">
        <v>0.1754</v>
      </c>
      <c r="AH391">
        <v>0.1686</v>
      </c>
      <c r="AI391">
        <v>0.14019999999999999</v>
      </c>
      <c r="AJ391">
        <v>9.74E-2</v>
      </c>
      <c r="AK391">
        <v>5.2299999999999999E-2</v>
      </c>
      <c r="AL391">
        <v>4.41E-2</v>
      </c>
      <c r="AM391">
        <v>-1.2200000000000001E-2</v>
      </c>
      <c r="AN391">
        <v>-5.67E-2</v>
      </c>
      <c r="AO391">
        <v>-4.8500000000000001E-2</v>
      </c>
      <c r="AP391">
        <v>-3.7400000000000003E-2</v>
      </c>
      <c r="AQ391">
        <v>0</v>
      </c>
      <c r="AR391">
        <v>3.5400000000000001E-2</v>
      </c>
      <c r="AS391">
        <v>6.8000000000000005E-2</v>
      </c>
      <c r="AT391">
        <v>3.3799999999999997E-2</v>
      </c>
      <c r="AU391">
        <v>1.9E-3</v>
      </c>
      <c r="AV391">
        <v>2.1399999999999999E-2</v>
      </c>
    </row>
    <row r="392" spans="1:48" x14ac:dyDescent="0.25">
      <c r="A392" t="s">
        <v>27</v>
      </c>
      <c r="B392" t="s">
        <v>2</v>
      </c>
      <c r="C392" t="s">
        <v>27</v>
      </c>
      <c r="D392">
        <v>36420</v>
      </c>
      <c r="E392" t="s">
        <v>672</v>
      </c>
      <c r="F392" t="s">
        <v>117</v>
      </c>
      <c r="G392" t="s">
        <v>670</v>
      </c>
      <c r="H392" t="s">
        <v>670</v>
      </c>
      <c r="I392">
        <v>-1.5E-3</v>
      </c>
      <c r="J392">
        <v>1.2999999999999999E-2</v>
      </c>
      <c r="K392">
        <v>9.1999999999999998E-3</v>
      </c>
      <c r="L392">
        <v>2.3E-3</v>
      </c>
      <c r="M392">
        <v>-4.1000000000000003E-3</v>
      </c>
      <c r="N392">
        <v>-1.2999999999999999E-3</v>
      </c>
      <c r="O392">
        <v>2.3199999999999998E-2</v>
      </c>
      <c r="P392">
        <v>2.8500000000000001E-2</v>
      </c>
      <c r="Q392">
        <v>4.2500000000000003E-2</v>
      </c>
      <c r="R392">
        <v>4.6600000000000003E-2</v>
      </c>
      <c r="S392">
        <v>4.36E-2</v>
      </c>
      <c r="T392">
        <v>5.3600000000000002E-2</v>
      </c>
      <c r="U392">
        <v>4.2700000000000002E-2</v>
      </c>
      <c r="V392">
        <v>3.73E-2</v>
      </c>
      <c r="W392">
        <v>3.6999999999999998E-2</v>
      </c>
      <c r="X392">
        <v>3.2500000000000001E-2</v>
      </c>
      <c r="Y392">
        <v>3.7199999999999997E-2</v>
      </c>
      <c r="Z392">
        <v>2.6499999999999999E-2</v>
      </c>
      <c r="AA392">
        <v>2.0400000000000001E-2</v>
      </c>
      <c r="AB392">
        <v>1.55E-2</v>
      </c>
      <c r="AC392">
        <v>1.9599999999999999E-2</v>
      </c>
      <c r="AD392">
        <v>4.8599999999999997E-2</v>
      </c>
      <c r="AE392">
        <v>9.0700000000000003E-2</v>
      </c>
      <c r="AF392">
        <v>0.1196</v>
      </c>
      <c r="AG392">
        <v>0.12640000000000001</v>
      </c>
      <c r="AH392">
        <v>0.14019999999999999</v>
      </c>
      <c r="AI392">
        <v>0.1231</v>
      </c>
      <c r="AJ392">
        <v>9.0399999999999994E-2</v>
      </c>
      <c r="AK392">
        <v>8.1699999999999995E-2</v>
      </c>
      <c r="AL392">
        <v>5.0500000000000003E-2</v>
      </c>
      <c r="AM392">
        <v>3.1699999999999999E-2</v>
      </c>
      <c r="AN392">
        <v>3.7600000000000001E-2</v>
      </c>
      <c r="AO392">
        <v>2.69E-2</v>
      </c>
      <c r="AP392">
        <v>3.3000000000000002E-2</v>
      </c>
      <c r="AQ392">
        <v>3.0099999999999998E-2</v>
      </c>
      <c r="AR392">
        <v>1.9900000000000001E-2</v>
      </c>
      <c r="AS392">
        <v>2.0199999999999999E-2</v>
      </c>
      <c r="AT392">
        <v>2.7099999999999999E-2</v>
      </c>
      <c r="AU392">
        <v>2.4500000000000001E-2</v>
      </c>
      <c r="AV392">
        <v>2.98E-2</v>
      </c>
    </row>
    <row r="393" spans="1:48" x14ac:dyDescent="0.25">
      <c r="A393" t="s">
        <v>490</v>
      </c>
      <c r="B393" t="s">
        <v>2</v>
      </c>
      <c r="C393" t="s">
        <v>490</v>
      </c>
      <c r="D393">
        <v>36500</v>
      </c>
      <c r="E393" t="s">
        <v>672</v>
      </c>
      <c r="F393" t="s">
        <v>117</v>
      </c>
      <c r="G393" t="s">
        <v>670</v>
      </c>
      <c r="H393" t="s">
        <v>670</v>
      </c>
      <c r="I393">
        <v>3.9E-2</v>
      </c>
      <c r="J393">
        <v>7.1900000000000006E-2</v>
      </c>
      <c r="K393">
        <v>0.1022</v>
      </c>
      <c r="L393">
        <v>0.1075</v>
      </c>
      <c r="M393">
        <v>0.12280000000000001</v>
      </c>
      <c r="N393">
        <v>9.7299999999999998E-2</v>
      </c>
      <c r="O393">
        <v>9.01E-2</v>
      </c>
      <c r="P393">
        <v>9.2999999999999999E-2</v>
      </c>
      <c r="Q393">
        <v>6.2100000000000002E-2</v>
      </c>
      <c r="R393">
        <v>5.9799999999999999E-2</v>
      </c>
      <c r="S393">
        <v>5.91E-2</v>
      </c>
      <c r="T393">
        <v>5.2200000000000003E-2</v>
      </c>
      <c r="U393">
        <v>5.1799999999999999E-2</v>
      </c>
      <c r="V393">
        <v>5.5100000000000003E-2</v>
      </c>
      <c r="W393">
        <v>4.24E-2</v>
      </c>
      <c r="X393">
        <v>4.8500000000000001E-2</v>
      </c>
      <c r="Y393">
        <v>7.3099999999999998E-2</v>
      </c>
      <c r="Z393">
        <v>5.3400000000000003E-2</v>
      </c>
      <c r="AA393">
        <v>6.1499999999999999E-2</v>
      </c>
      <c r="AB393">
        <v>8.0699999999999994E-2</v>
      </c>
      <c r="AC393">
        <v>7.8E-2</v>
      </c>
      <c r="AD393">
        <v>9.9599999999999994E-2</v>
      </c>
      <c r="AE393">
        <v>0.1173</v>
      </c>
      <c r="AF393">
        <v>0.115</v>
      </c>
      <c r="AG393">
        <v>0.121</v>
      </c>
      <c r="AH393">
        <v>0.12870000000000001</v>
      </c>
      <c r="AI393">
        <v>0.1043</v>
      </c>
      <c r="AJ393">
        <v>5.6899999999999999E-2</v>
      </c>
      <c r="AK393">
        <v>2.46E-2</v>
      </c>
      <c r="AL393">
        <v>1.95E-2</v>
      </c>
      <c r="AM393">
        <v>1.2200000000000001E-2</v>
      </c>
      <c r="AN393">
        <v>2.7099999999999999E-2</v>
      </c>
      <c r="AO393">
        <v>2.86E-2</v>
      </c>
      <c r="AP393">
        <v>1.8599999999999998E-2</v>
      </c>
      <c r="AQ393">
        <v>9.7000000000000003E-3</v>
      </c>
      <c r="AR393">
        <v>5.4000000000000003E-3</v>
      </c>
      <c r="AS393">
        <v>1.17E-2</v>
      </c>
      <c r="AT393">
        <v>2.9499999999999998E-2</v>
      </c>
      <c r="AU393">
        <v>4.7800000000000002E-2</v>
      </c>
      <c r="AV393">
        <v>6.2300000000000001E-2</v>
      </c>
    </row>
    <row r="394" spans="1:48" x14ac:dyDescent="0.25">
      <c r="A394" t="s">
        <v>491</v>
      </c>
      <c r="B394" t="s">
        <v>2</v>
      </c>
      <c r="C394" t="s">
        <v>491</v>
      </c>
      <c r="D394">
        <v>36540</v>
      </c>
      <c r="E394" t="s">
        <v>672</v>
      </c>
      <c r="F394" t="s">
        <v>117</v>
      </c>
      <c r="G394" t="s">
        <v>670</v>
      </c>
      <c r="H394" t="s">
        <v>670</v>
      </c>
      <c r="I394">
        <v>3.2899999999999999E-2</v>
      </c>
      <c r="J394">
        <v>4.5699999999999998E-2</v>
      </c>
      <c r="K394">
        <v>2.7699999999999999E-2</v>
      </c>
      <c r="L394">
        <v>1.7600000000000001E-2</v>
      </c>
      <c r="M394">
        <v>0.02</v>
      </c>
      <c r="N394">
        <v>2.6499999999999999E-2</v>
      </c>
      <c r="O394">
        <v>4.2799999999999998E-2</v>
      </c>
      <c r="P394">
        <v>4.2700000000000002E-2</v>
      </c>
      <c r="Q394">
        <v>3.9199999999999999E-2</v>
      </c>
      <c r="R394">
        <v>3.3300000000000003E-2</v>
      </c>
      <c r="S394">
        <v>2.9100000000000001E-2</v>
      </c>
      <c r="T394">
        <v>3.3599999999999998E-2</v>
      </c>
      <c r="U394">
        <v>3.5999999999999997E-2</v>
      </c>
      <c r="V394">
        <v>2.6499999999999999E-2</v>
      </c>
      <c r="W394">
        <v>2.6800000000000001E-2</v>
      </c>
      <c r="X394">
        <v>3.2199999999999999E-2</v>
      </c>
      <c r="Y394">
        <v>3.7699999999999997E-2</v>
      </c>
      <c r="Z394">
        <v>3.44E-2</v>
      </c>
      <c r="AA394">
        <v>2.6599999999999999E-2</v>
      </c>
      <c r="AB394">
        <v>1.7000000000000001E-2</v>
      </c>
      <c r="AC394">
        <v>1.2800000000000001E-2</v>
      </c>
      <c r="AD394">
        <v>3.3099999999999997E-2</v>
      </c>
      <c r="AE394">
        <v>6.3799999999999996E-2</v>
      </c>
      <c r="AF394">
        <v>8.8400000000000006E-2</v>
      </c>
      <c r="AG394">
        <v>0.10539999999999999</v>
      </c>
      <c r="AH394">
        <v>0.10879999999999999</v>
      </c>
      <c r="AI394">
        <v>0.1027</v>
      </c>
      <c r="AJ394">
        <v>9.8900000000000002E-2</v>
      </c>
      <c r="AK394">
        <v>8.9399999999999993E-2</v>
      </c>
      <c r="AL394">
        <v>7.8200000000000006E-2</v>
      </c>
      <c r="AM394">
        <v>6.9599999999999995E-2</v>
      </c>
      <c r="AN394">
        <v>4.9099999999999998E-2</v>
      </c>
      <c r="AO394">
        <v>4.4400000000000002E-2</v>
      </c>
      <c r="AP394">
        <v>4.1000000000000002E-2</v>
      </c>
      <c r="AQ394">
        <v>4.7300000000000002E-2</v>
      </c>
      <c r="AR394">
        <v>5.8200000000000002E-2</v>
      </c>
      <c r="AS394">
        <v>5.8700000000000002E-2</v>
      </c>
      <c r="AT394">
        <v>7.0300000000000001E-2</v>
      </c>
      <c r="AU394">
        <v>5.8799999999999998E-2</v>
      </c>
      <c r="AV394">
        <v>4.5199999999999997E-2</v>
      </c>
    </row>
    <row r="395" spans="1:48" x14ac:dyDescent="0.25">
      <c r="A395" t="s">
        <v>492</v>
      </c>
      <c r="B395" t="s">
        <v>2</v>
      </c>
      <c r="C395" t="s">
        <v>492</v>
      </c>
      <c r="D395">
        <v>36700</v>
      </c>
      <c r="E395" t="s">
        <v>672</v>
      </c>
      <c r="F395" t="s">
        <v>117</v>
      </c>
      <c r="G395" t="s">
        <v>670</v>
      </c>
      <c r="H395" t="s">
        <v>670</v>
      </c>
      <c r="I395" t="s">
        <v>673</v>
      </c>
      <c r="J395" t="s">
        <v>673</v>
      </c>
      <c r="K395" t="s">
        <v>673</v>
      </c>
      <c r="L395" t="s">
        <v>673</v>
      </c>
      <c r="M395" t="s">
        <v>673</v>
      </c>
      <c r="N395" t="s">
        <v>673</v>
      </c>
      <c r="O395" t="s">
        <v>673</v>
      </c>
      <c r="P395" t="s">
        <v>673</v>
      </c>
      <c r="Q395" t="s">
        <v>673</v>
      </c>
      <c r="R395" t="s">
        <v>673</v>
      </c>
      <c r="S395" t="s">
        <v>673</v>
      </c>
      <c r="T395" t="s">
        <v>673</v>
      </c>
      <c r="U395" t="s">
        <v>673</v>
      </c>
      <c r="V395" t="s">
        <v>673</v>
      </c>
      <c r="W395" t="s">
        <v>673</v>
      </c>
      <c r="X395" t="s">
        <v>673</v>
      </c>
      <c r="Y395" t="s">
        <v>673</v>
      </c>
      <c r="Z395" t="s">
        <v>673</v>
      </c>
      <c r="AA395" t="s">
        <v>673</v>
      </c>
      <c r="AB395" t="s">
        <v>673</v>
      </c>
      <c r="AC395" t="s">
        <v>673</v>
      </c>
      <c r="AD395" t="s">
        <v>673</v>
      </c>
      <c r="AE395" t="s">
        <v>673</v>
      </c>
      <c r="AF395" t="s">
        <v>673</v>
      </c>
      <c r="AG395" t="s">
        <v>673</v>
      </c>
      <c r="AH395" t="s">
        <v>673</v>
      </c>
      <c r="AI395" t="s">
        <v>673</v>
      </c>
      <c r="AJ395" t="s">
        <v>673</v>
      </c>
      <c r="AK395" t="s">
        <v>673</v>
      </c>
      <c r="AL395" t="s">
        <v>673</v>
      </c>
      <c r="AM395" t="s">
        <v>673</v>
      </c>
      <c r="AN395" t="s">
        <v>673</v>
      </c>
      <c r="AO395" t="s">
        <v>673</v>
      </c>
      <c r="AP395" t="s">
        <v>673</v>
      </c>
      <c r="AQ395" t="s">
        <v>673</v>
      </c>
      <c r="AR395" t="s">
        <v>673</v>
      </c>
      <c r="AS395" t="s">
        <v>673</v>
      </c>
      <c r="AT395" t="s">
        <v>673</v>
      </c>
      <c r="AU395" t="s">
        <v>673</v>
      </c>
      <c r="AV395" t="s">
        <v>673</v>
      </c>
    </row>
    <row r="396" spans="1:48" x14ac:dyDescent="0.25">
      <c r="A396" t="s">
        <v>26</v>
      </c>
      <c r="B396" t="s">
        <v>2</v>
      </c>
      <c r="C396" t="s">
        <v>26</v>
      </c>
      <c r="D396">
        <v>36740</v>
      </c>
      <c r="E396" t="s">
        <v>672</v>
      </c>
      <c r="F396" t="s">
        <v>117</v>
      </c>
      <c r="G396" t="s">
        <v>670</v>
      </c>
      <c r="H396" t="s">
        <v>670</v>
      </c>
      <c r="I396">
        <v>7.7299999999999994E-2</v>
      </c>
      <c r="J396">
        <v>7.0300000000000001E-2</v>
      </c>
      <c r="K396">
        <v>6.0299999999999999E-2</v>
      </c>
      <c r="L396">
        <v>5.7000000000000002E-2</v>
      </c>
      <c r="M396">
        <v>6.3E-2</v>
      </c>
      <c r="N396">
        <v>7.2800000000000004E-2</v>
      </c>
      <c r="O396">
        <v>6.8099999999999994E-2</v>
      </c>
      <c r="P396">
        <v>8.3799999999999999E-2</v>
      </c>
      <c r="Q396">
        <v>8.7800000000000003E-2</v>
      </c>
      <c r="R396">
        <v>8.2900000000000001E-2</v>
      </c>
      <c r="S396">
        <v>7.5700000000000003E-2</v>
      </c>
      <c r="T396">
        <v>5.8099999999999999E-2</v>
      </c>
      <c r="U396">
        <v>5.04E-2</v>
      </c>
      <c r="V396">
        <v>4.6800000000000001E-2</v>
      </c>
      <c r="W396">
        <v>4.0899999999999999E-2</v>
      </c>
      <c r="X396">
        <v>3.09E-2</v>
      </c>
      <c r="Y396">
        <v>2.4500000000000001E-2</v>
      </c>
      <c r="Z396">
        <v>-2.4400000000000002E-2</v>
      </c>
      <c r="AA396">
        <v>-3.6200000000000003E-2</v>
      </c>
      <c r="AB396">
        <v>-3.3000000000000002E-2</v>
      </c>
      <c r="AC396">
        <v>-2.47E-2</v>
      </c>
      <c r="AD396">
        <v>7.4099999999999999E-2</v>
      </c>
      <c r="AE396">
        <v>0.18360000000000001</v>
      </c>
      <c r="AF396">
        <v>0.25890000000000002</v>
      </c>
      <c r="AG396">
        <v>0.29699999999999999</v>
      </c>
      <c r="AH396">
        <v>0.27410000000000001</v>
      </c>
      <c r="AI396">
        <v>0.19719999999999999</v>
      </c>
      <c r="AJ396">
        <v>0.1235</v>
      </c>
      <c r="AK396">
        <v>7.7600000000000002E-2</v>
      </c>
      <c r="AL396">
        <v>3.3399999999999999E-2</v>
      </c>
      <c r="AM396">
        <v>-1.54E-2</v>
      </c>
      <c r="AN396">
        <v>-3.1399999999999997E-2</v>
      </c>
      <c r="AO396">
        <v>-3.2899999999999999E-2</v>
      </c>
      <c r="AP396">
        <v>-3.0800000000000001E-2</v>
      </c>
      <c r="AQ396">
        <v>-1.8200000000000001E-2</v>
      </c>
      <c r="AR396">
        <v>-1.4E-2</v>
      </c>
      <c r="AS396">
        <v>-9.1999999999999998E-3</v>
      </c>
      <c r="AT396">
        <v>-1.2699999999999999E-2</v>
      </c>
      <c r="AU396">
        <v>-1.78E-2</v>
      </c>
      <c r="AV396">
        <v>-1.4500000000000001E-2</v>
      </c>
    </row>
    <row r="397" spans="1:48" x14ac:dyDescent="0.25">
      <c r="A397" t="s">
        <v>493</v>
      </c>
      <c r="B397" t="s">
        <v>2</v>
      </c>
      <c r="C397" t="s">
        <v>493</v>
      </c>
      <c r="D397">
        <v>36780</v>
      </c>
      <c r="E397" t="s">
        <v>672</v>
      </c>
      <c r="F397" t="s">
        <v>117</v>
      </c>
      <c r="G397" t="s">
        <v>670</v>
      </c>
      <c r="H397" t="s">
        <v>670</v>
      </c>
      <c r="I397">
        <v>2.1999999999999999E-2</v>
      </c>
      <c r="J397">
        <v>1.4500000000000001E-2</v>
      </c>
      <c r="K397">
        <v>2.7900000000000001E-2</v>
      </c>
      <c r="L397">
        <v>2.3599999999999999E-2</v>
      </c>
      <c r="M397">
        <v>6.2399999999999997E-2</v>
      </c>
      <c r="N397">
        <v>9.8299999999999998E-2</v>
      </c>
      <c r="O397">
        <v>9.6100000000000005E-2</v>
      </c>
      <c r="P397">
        <v>8.6099999999999996E-2</v>
      </c>
      <c r="Q397">
        <v>1.84E-2</v>
      </c>
      <c r="R397">
        <v>-6.1999999999999998E-3</v>
      </c>
      <c r="S397">
        <v>-2.5700000000000001E-2</v>
      </c>
      <c r="T397">
        <v>-1.6000000000000001E-3</v>
      </c>
      <c r="U397">
        <v>1.3100000000000001E-2</v>
      </c>
      <c r="V397">
        <v>5.4999999999999997E-3</v>
      </c>
      <c r="W397">
        <v>2.1299999999999999E-2</v>
      </c>
      <c r="X397">
        <v>2.41E-2</v>
      </c>
      <c r="Y397">
        <v>1.7600000000000001E-2</v>
      </c>
      <c r="Z397">
        <v>8.6999999999999994E-3</v>
      </c>
      <c r="AA397">
        <v>1.9699999999999999E-2</v>
      </c>
      <c r="AB397">
        <v>2.5499999999999998E-2</v>
      </c>
      <c r="AC397">
        <v>4.0599999999999997E-2</v>
      </c>
      <c r="AD397">
        <v>0.1865</v>
      </c>
      <c r="AE397">
        <v>0.1779</v>
      </c>
      <c r="AF397">
        <v>0.10059999999999999</v>
      </c>
      <c r="AG397">
        <v>0.1076</v>
      </c>
      <c r="AH397">
        <v>2.1700000000000001E-2</v>
      </c>
      <c r="AI397">
        <v>2.1299999999999999E-2</v>
      </c>
      <c r="AJ397">
        <v>8.5300000000000001E-2</v>
      </c>
      <c r="AK397">
        <v>0.16800000000000001</v>
      </c>
      <c r="AL397">
        <v>0.12529999999999999</v>
      </c>
      <c r="AM397">
        <v>0.19589999999999999</v>
      </c>
      <c r="AN397">
        <v>0.2092</v>
      </c>
      <c r="AO397">
        <v>0.13350000000000001</v>
      </c>
      <c r="AP397">
        <v>0.22620000000000001</v>
      </c>
      <c r="AQ397">
        <v>0.1593</v>
      </c>
      <c r="AR397">
        <v>0.15840000000000001</v>
      </c>
      <c r="AS397">
        <v>0.1497</v>
      </c>
      <c r="AT397">
        <v>9.2299999999999993E-2</v>
      </c>
      <c r="AU397">
        <v>8.9800000000000005E-2</v>
      </c>
      <c r="AV397">
        <v>8.4099999999999994E-2</v>
      </c>
    </row>
    <row r="398" spans="1:48" x14ac:dyDescent="0.25">
      <c r="A398" t="s">
        <v>494</v>
      </c>
      <c r="B398" t="s">
        <v>2</v>
      </c>
      <c r="C398" t="s">
        <v>494</v>
      </c>
      <c r="D398">
        <v>36940</v>
      </c>
      <c r="E398" t="s">
        <v>672</v>
      </c>
      <c r="F398" t="s">
        <v>117</v>
      </c>
      <c r="G398" t="s">
        <v>670</v>
      </c>
      <c r="H398" t="s">
        <v>670</v>
      </c>
      <c r="I398" t="s">
        <v>673</v>
      </c>
      <c r="J398" t="s">
        <v>673</v>
      </c>
      <c r="K398" t="s">
        <v>673</v>
      </c>
      <c r="L398" t="s">
        <v>673</v>
      </c>
      <c r="M398" t="s">
        <v>673</v>
      </c>
      <c r="N398" t="s">
        <v>673</v>
      </c>
      <c r="O398" t="s">
        <v>673</v>
      </c>
      <c r="P398" t="s">
        <v>673</v>
      </c>
      <c r="Q398" t="s">
        <v>673</v>
      </c>
      <c r="R398" t="s">
        <v>673</v>
      </c>
      <c r="S398" t="s">
        <v>673</v>
      </c>
      <c r="T398" t="s">
        <v>673</v>
      </c>
      <c r="U398" t="s">
        <v>673</v>
      </c>
      <c r="V398" t="s">
        <v>673</v>
      </c>
      <c r="W398" t="s">
        <v>673</v>
      </c>
      <c r="X398" t="s">
        <v>673</v>
      </c>
      <c r="Y398">
        <v>0.26819999999999999</v>
      </c>
      <c r="Z398">
        <v>0.28970000000000001</v>
      </c>
      <c r="AA398">
        <v>0.33729999999999999</v>
      </c>
      <c r="AB398">
        <v>0.30209999999999998</v>
      </c>
      <c r="AC398">
        <v>2.5399999999999999E-2</v>
      </c>
      <c r="AD398">
        <v>5.1499999999999997E-2</v>
      </c>
      <c r="AE398">
        <v>1.95E-2</v>
      </c>
      <c r="AF398">
        <v>3.7600000000000001E-2</v>
      </c>
      <c r="AG398">
        <v>-9.2999999999999992E-3</v>
      </c>
      <c r="AH398">
        <v>-5.1499999999999997E-2</v>
      </c>
      <c r="AI398">
        <v>-4.4200000000000003E-2</v>
      </c>
      <c r="AJ398">
        <v>-3.4599999999999999E-2</v>
      </c>
      <c r="AK398">
        <v>3.1199999999999999E-2</v>
      </c>
      <c r="AL398">
        <v>5.7000000000000002E-2</v>
      </c>
      <c r="AM398" t="s">
        <v>673</v>
      </c>
      <c r="AN398" t="s">
        <v>673</v>
      </c>
      <c r="AO398" t="s">
        <v>673</v>
      </c>
      <c r="AP398" t="s">
        <v>673</v>
      </c>
      <c r="AQ398" t="s">
        <v>673</v>
      </c>
      <c r="AR398">
        <v>0.29380000000000001</v>
      </c>
      <c r="AS398">
        <v>0.27700000000000002</v>
      </c>
      <c r="AT398" t="s">
        <v>673</v>
      </c>
      <c r="AU398" t="s">
        <v>673</v>
      </c>
      <c r="AV398" t="s">
        <v>673</v>
      </c>
    </row>
    <row r="399" spans="1:48" x14ac:dyDescent="0.25">
      <c r="A399" t="s">
        <v>495</v>
      </c>
      <c r="B399" t="s">
        <v>2</v>
      </c>
      <c r="C399" t="s">
        <v>495</v>
      </c>
      <c r="D399">
        <v>36980</v>
      </c>
      <c r="E399" t="s">
        <v>672</v>
      </c>
      <c r="F399" t="s">
        <v>117</v>
      </c>
      <c r="G399" t="s">
        <v>670</v>
      </c>
      <c r="H399" t="s">
        <v>670</v>
      </c>
      <c r="I399" t="s">
        <v>673</v>
      </c>
      <c r="J399" t="s">
        <v>673</v>
      </c>
      <c r="K399" t="s">
        <v>673</v>
      </c>
      <c r="L399" t="s">
        <v>673</v>
      </c>
      <c r="M399" t="s">
        <v>673</v>
      </c>
      <c r="N399" t="s">
        <v>673</v>
      </c>
      <c r="O399" t="s">
        <v>673</v>
      </c>
      <c r="P399" t="s">
        <v>673</v>
      </c>
      <c r="Q399" t="s">
        <v>673</v>
      </c>
      <c r="R399" t="s">
        <v>673</v>
      </c>
      <c r="S399" t="s">
        <v>673</v>
      </c>
      <c r="T399" t="s">
        <v>673</v>
      </c>
      <c r="U399" t="s">
        <v>673</v>
      </c>
      <c r="V399" t="s">
        <v>673</v>
      </c>
      <c r="W399" t="s">
        <v>673</v>
      </c>
      <c r="X399">
        <v>-1.9400000000000001E-2</v>
      </c>
      <c r="Y399">
        <v>-0.06</v>
      </c>
      <c r="Z399">
        <v>-5.0200000000000002E-2</v>
      </c>
      <c r="AA399">
        <v>-6.7000000000000004E-2</v>
      </c>
      <c r="AB399">
        <v>-5.5999999999999999E-3</v>
      </c>
      <c r="AC399">
        <v>5.8099999999999999E-2</v>
      </c>
      <c r="AD399">
        <v>6.7000000000000004E-2</v>
      </c>
      <c r="AE399">
        <v>8.1299999999999997E-2</v>
      </c>
      <c r="AF399">
        <v>0.11459999999999999</v>
      </c>
      <c r="AG399">
        <v>0.1065</v>
      </c>
      <c r="AH399">
        <v>0.1208</v>
      </c>
      <c r="AI399">
        <v>0.1646</v>
      </c>
      <c r="AJ399">
        <v>0.11799999999999999</v>
      </c>
      <c r="AK399">
        <v>0.1426</v>
      </c>
      <c r="AL399">
        <v>0.10050000000000001</v>
      </c>
      <c r="AM399">
        <v>6.2899999999999998E-2</v>
      </c>
      <c r="AN399">
        <v>5.6099999999999997E-2</v>
      </c>
      <c r="AO399">
        <v>4.6699999999999998E-2</v>
      </c>
      <c r="AP399">
        <v>6.3100000000000003E-2</v>
      </c>
      <c r="AQ399">
        <v>3.2800000000000003E-2</v>
      </c>
      <c r="AR399">
        <v>3.2000000000000001E-2</v>
      </c>
      <c r="AS399">
        <v>2.1399999999999999E-2</v>
      </c>
      <c r="AT399">
        <v>3.0599999999999999E-2</v>
      </c>
      <c r="AU399">
        <v>8.14E-2</v>
      </c>
      <c r="AV399">
        <v>6.2300000000000001E-2</v>
      </c>
    </row>
    <row r="400" spans="1:48" x14ac:dyDescent="0.25">
      <c r="A400" t="s">
        <v>496</v>
      </c>
      <c r="B400" t="s">
        <v>2</v>
      </c>
      <c r="C400" t="s">
        <v>496</v>
      </c>
      <c r="D400">
        <v>37020</v>
      </c>
      <c r="E400" t="s">
        <v>672</v>
      </c>
      <c r="F400" t="s">
        <v>117</v>
      </c>
      <c r="G400" t="s">
        <v>670</v>
      </c>
      <c r="H400" t="s">
        <v>670</v>
      </c>
      <c r="I400" t="s">
        <v>673</v>
      </c>
      <c r="J400" t="s">
        <v>673</v>
      </c>
      <c r="K400" t="s">
        <v>673</v>
      </c>
      <c r="L400" t="s">
        <v>673</v>
      </c>
      <c r="M400" t="s">
        <v>673</v>
      </c>
      <c r="N400" t="s">
        <v>673</v>
      </c>
      <c r="O400" t="s">
        <v>673</v>
      </c>
      <c r="P400" t="s">
        <v>673</v>
      </c>
      <c r="Q400" t="s">
        <v>673</v>
      </c>
      <c r="R400" t="s">
        <v>673</v>
      </c>
      <c r="S400" t="s">
        <v>673</v>
      </c>
      <c r="T400" t="s">
        <v>673</v>
      </c>
      <c r="U400" t="s">
        <v>673</v>
      </c>
      <c r="V400" t="s">
        <v>673</v>
      </c>
      <c r="W400" t="s">
        <v>673</v>
      </c>
      <c r="X400" t="s">
        <v>673</v>
      </c>
      <c r="Y400" t="s">
        <v>673</v>
      </c>
      <c r="Z400" t="s">
        <v>673</v>
      </c>
      <c r="AA400" t="s">
        <v>673</v>
      </c>
      <c r="AB400" t="s">
        <v>673</v>
      </c>
      <c r="AC400" t="s">
        <v>673</v>
      </c>
      <c r="AD400" t="s">
        <v>673</v>
      </c>
      <c r="AE400" t="s">
        <v>673</v>
      </c>
      <c r="AF400" t="s">
        <v>673</v>
      </c>
      <c r="AG400" t="s">
        <v>673</v>
      </c>
      <c r="AH400" t="s">
        <v>673</v>
      </c>
      <c r="AI400" t="s">
        <v>673</v>
      </c>
      <c r="AJ400" t="s">
        <v>673</v>
      </c>
      <c r="AK400" t="s">
        <v>673</v>
      </c>
      <c r="AL400" t="s">
        <v>673</v>
      </c>
      <c r="AM400" t="s">
        <v>673</v>
      </c>
      <c r="AN400">
        <v>-4.7000000000000002E-3</v>
      </c>
      <c r="AO400">
        <v>-1.34E-2</v>
      </c>
      <c r="AP400">
        <v>-1.41E-2</v>
      </c>
      <c r="AQ400">
        <v>8.3500000000000005E-2</v>
      </c>
      <c r="AR400">
        <v>0.42720000000000002</v>
      </c>
      <c r="AS400">
        <v>0.47870000000000001</v>
      </c>
      <c r="AT400">
        <v>0.49880000000000002</v>
      </c>
      <c r="AU400">
        <v>0.33960000000000001</v>
      </c>
      <c r="AV400">
        <v>3.85E-2</v>
      </c>
    </row>
    <row r="401" spans="1:48" x14ac:dyDescent="0.25">
      <c r="A401" t="s">
        <v>497</v>
      </c>
      <c r="B401" t="s">
        <v>2</v>
      </c>
      <c r="C401" t="s">
        <v>497</v>
      </c>
      <c r="D401">
        <v>37060</v>
      </c>
      <c r="E401" t="s">
        <v>672</v>
      </c>
      <c r="F401" t="s">
        <v>117</v>
      </c>
      <c r="G401" t="s">
        <v>670</v>
      </c>
      <c r="H401" t="s">
        <v>670</v>
      </c>
      <c r="I401">
        <v>0.1595</v>
      </c>
      <c r="J401">
        <v>0.18690000000000001</v>
      </c>
      <c r="K401">
        <v>0.17319999999999999</v>
      </c>
      <c r="L401">
        <v>0.16209999999999999</v>
      </c>
      <c r="M401">
        <v>2.3699999999999999E-2</v>
      </c>
      <c r="N401">
        <v>1.66E-2</v>
      </c>
      <c r="O401">
        <v>9.7000000000000003E-3</v>
      </c>
      <c r="P401">
        <v>1.6000000000000001E-3</v>
      </c>
      <c r="Q401">
        <v>1.2800000000000001E-2</v>
      </c>
      <c r="R401">
        <v>-4.3E-3</v>
      </c>
      <c r="S401">
        <v>-8.3999999999999995E-3</v>
      </c>
      <c r="T401">
        <v>3.7000000000000002E-3</v>
      </c>
      <c r="U401">
        <v>3.8E-3</v>
      </c>
      <c r="V401">
        <v>1.4E-2</v>
      </c>
      <c r="W401">
        <v>-6.5699999999999995E-2</v>
      </c>
      <c r="X401">
        <v>2.9600000000000001E-2</v>
      </c>
      <c r="Y401">
        <v>2.0199999999999999E-2</v>
      </c>
      <c r="Z401">
        <v>-3.7000000000000002E-3</v>
      </c>
      <c r="AA401">
        <v>-4.5199999999999997E-2</v>
      </c>
      <c r="AB401">
        <v>-1.6999999999999999E-3</v>
      </c>
      <c r="AC401">
        <v>-0.10100000000000001</v>
      </c>
      <c r="AD401">
        <v>2.5399999999999999E-2</v>
      </c>
      <c r="AE401">
        <v>0.21609999999999999</v>
      </c>
      <c r="AF401">
        <v>4.9000000000000002E-2</v>
      </c>
      <c r="AG401">
        <v>0.1852</v>
      </c>
      <c r="AH401">
        <v>9.8799999999999999E-2</v>
      </c>
      <c r="AI401">
        <v>9.8599999999999993E-2</v>
      </c>
      <c r="AJ401">
        <v>0.11799999999999999</v>
      </c>
      <c r="AK401">
        <v>0.11700000000000001</v>
      </c>
      <c r="AL401">
        <v>0.1384</v>
      </c>
      <c r="AM401">
        <v>0.1361</v>
      </c>
      <c r="AN401">
        <v>0.1744</v>
      </c>
      <c r="AO401">
        <v>0.1804</v>
      </c>
      <c r="AP401">
        <v>0.17699999999999999</v>
      </c>
      <c r="AQ401">
        <v>0.1817</v>
      </c>
      <c r="AR401">
        <v>0.13789999999999999</v>
      </c>
      <c r="AS401">
        <v>0.16220000000000001</v>
      </c>
      <c r="AT401">
        <v>0.17280000000000001</v>
      </c>
      <c r="AU401">
        <v>0.1273</v>
      </c>
      <c r="AV401">
        <v>9.6299999999999997E-2</v>
      </c>
    </row>
    <row r="402" spans="1:48" x14ac:dyDescent="0.25">
      <c r="A402" t="s">
        <v>498</v>
      </c>
      <c r="B402" t="s">
        <v>2</v>
      </c>
      <c r="C402" t="s">
        <v>498</v>
      </c>
      <c r="D402">
        <v>37100</v>
      </c>
      <c r="E402" t="s">
        <v>672</v>
      </c>
      <c r="F402" t="s">
        <v>117</v>
      </c>
      <c r="G402" t="s">
        <v>670</v>
      </c>
      <c r="H402" t="s">
        <v>670</v>
      </c>
      <c r="I402">
        <v>7.1300000000000002E-2</v>
      </c>
      <c r="J402">
        <v>5.2999999999999999E-2</v>
      </c>
      <c r="K402">
        <v>3.8199999999999998E-2</v>
      </c>
      <c r="L402">
        <v>4.2999999999999997E-2</v>
      </c>
      <c r="M402">
        <v>3.6400000000000002E-2</v>
      </c>
      <c r="N402">
        <v>5.57E-2</v>
      </c>
      <c r="O402">
        <v>5.5500000000000001E-2</v>
      </c>
      <c r="P402">
        <v>3.2899999999999999E-2</v>
      </c>
      <c r="Q402">
        <v>3.7600000000000001E-2</v>
      </c>
      <c r="R402">
        <v>2.5499999999999998E-2</v>
      </c>
      <c r="S402">
        <v>3.6700000000000003E-2</v>
      </c>
      <c r="T402">
        <v>4.8800000000000003E-2</v>
      </c>
      <c r="U402">
        <v>4.5900000000000003E-2</v>
      </c>
      <c r="V402">
        <v>4.2299999999999997E-2</v>
      </c>
      <c r="W402">
        <v>3.39E-2</v>
      </c>
      <c r="X402">
        <v>4.2200000000000001E-2</v>
      </c>
      <c r="Y402">
        <v>3.56E-2</v>
      </c>
      <c r="Z402">
        <v>-1.11E-2</v>
      </c>
      <c r="AA402">
        <v>7.1999999999999998E-3</v>
      </c>
      <c r="AB402">
        <v>3.6799999999999999E-2</v>
      </c>
      <c r="AC402">
        <v>5.5399999999999998E-2</v>
      </c>
      <c r="AD402">
        <v>0.1273</v>
      </c>
      <c r="AE402">
        <v>0.1492</v>
      </c>
      <c r="AF402">
        <v>0.17780000000000001</v>
      </c>
      <c r="AG402">
        <v>0.16639999999999999</v>
      </c>
      <c r="AH402">
        <v>0.1394</v>
      </c>
      <c r="AI402">
        <v>0.10440000000000001</v>
      </c>
      <c r="AJ402">
        <v>3.5400000000000001E-2</v>
      </c>
      <c r="AK402">
        <v>2.3599999999999999E-2</v>
      </c>
      <c r="AL402">
        <v>3.0800000000000001E-2</v>
      </c>
      <c r="AM402">
        <v>2.8000000000000001E-2</v>
      </c>
      <c r="AN402">
        <v>3.8100000000000002E-2</v>
      </c>
      <c r="AO402">
        <v>3.4799999999999998E-2</v>
      </c>
      <c r="AP402">
        <v>1.43E-2</v>
      </c>
      <c r="AQ402">
        <v>7.7999999999999996E-3</v>
      </c>
      <c r="AR402">
        <v>-7.1000000000000004E-3</v>
      </c>
      <c r="AS402">
        <v>1.21E-2</v>
      </c>
      <c r="AT402">
        <v>2.9700000000000001E-2</v>
      </c>
      <c r="AU402">
        <v>3.0999999999999999E-3</v>
      </c>
      <c r="AV402">
        <v>1.03E-2</v>
      </c>
    </row>
    <row r="403" spans="1:48" x14ac:dyDescent="0.25">
      <c r="A403" t="s">
        <v>499</v>
      </c>
      <c r="B403" t="s">
        <v>2</v>
      </c>
      <c r="C403" t="s">
        <v>499</v>
      </c>
      <c r="D403">
        <v>37140</v>
      </c>
      <c r="E403" t="s">
        <v>672</v>
      </c>
      <c r="F403" t="s">
        <v>117</v>
      </c>
      <c r="G403" t="s">
        <v>670</v>
      </c>
      <c r="H403" t="s">
        <v>670</v>
      </c>
      <c r="I403" t="s">
        <v>673</v>
      </c>
      <c r="J403" t="s">
        <v>673</v>
      </c>
      <c r="K403" t="s">
        <v>673</v>
      </c>
      <c r="L403" t="s">
        <v>673</v>
      </c>
      <c r="M403" t="s">
        <v>673</v>
      </c>
      <c r="N403" t="s">
        <v>673</v>
      </c>
      <c r="O403" t="s">
        <v>673</v>
      </c>
      <c r="P403" t="s">
        <v>673</v>
      </c>
      <c r="Q403" t="s">
        <v>673</v>
      </c>
      <c r="R403" t="s">
        <v>673</v>
      </c>
      <c r="S403" t="s">
        <v>673</v>
      </c>
      <c r="T403" t="s">
        <v>673</v>
      </c>
      <c r="U403" t="s">
        <v>673</v>
      </c>
      <c r="V403" t="s">
        <v>673</v>
      </c>
      <c r="W403" t="s">
        <v>673</v>
      </c>
      <c r="X403" t="s">
        <v>673</v>
      </c>
      <c r="Y403" t="s">
        <v>673</v>
      </c>
      <c r="Z403" t="s">
        <v>673</v>
      </c>
      <c r="AA403" t="s">
        <v>673</v>
      </c>
      <c r="AB403" t="s">
        <v>673</v>
      </c>
      <c r="AC403" t="s">
        <v>673</v>
      </c>
      <c r="AD403" t="s">
        <v>673</v>
      </c>
      <c r="AE403" t="s">
        <v>673</v>
      </c>
      <c r="AF403" t="s">
        <v>673</v>
      </c>
      <c r="AG403" t="s">
        <v>673</v>
      </c>
      <c r="AH403" t="s">
        <v>673</v>
      </c>
      <c r="AI403" t="s">
        <v>673</v>
      </c>
      <c r="AJ403" t="s">
        <v>673</v>
      </c>
      <c r="AK403" t="s">
        <v>673</v>
      </c>
      <c r="AL403" t="s">
        <v>673</v>
      </c>
      <c r="AM403" t="s">
        <v>673</v>
      </c>
      <c r="AN403">
        <v>4.9799999999999997E-2</v>
      </c>
      <c r="AO403">
        <v>0.20649999999999999</v>
      </c>
      <c r="AP403">
        <v>0.1198</v>
      </c>
      <c r="AQ403">
        <v>9.0300000000000005E-2</v>
      </c>
      <c r="AR403">
        <v>1.9099999999999999E-2</v>
      </c>
      <c r="AS403">
        <v>7.0000000000000001E-3</v>
      </c>
      <c r="AT403">
        <v>4.4499999999999998E-2</v>
      </c>
      <c r="AU403">
        <v>4.2700000000000002E-2</v>
      </c>
      <c r="AV403">
        <v>-3.8999999999999998E-3</v>
      </c>
    </row>
    <row r="404" spans="1:48" x14ac:dyDescent="0.25">
      <c r="A404" t="s">
        <v>500</v>
      </c>
      <c r="B404" t="s">
        <v>2</v>
      </c>
      <c r="C404" t="s">
        <v>500</v>
      </c>
      <c r="D404">
        <v>37260</v>
      </c>
      <c r="E404" t="s">
        <v>672</v>
      </c>
      <c r="F404" t="s">
        <v>117</v>
      </c>
      <c r="G404" t="s">
        <v>670</v>
      </c>
      <c r="H404" t="s">
        <v>670</v>
      </c>
      <c r="I404" t="s">
        <v>673</v>
      </c>
      <c r="J404">
        <v>1.23E-2</v>
      </c>
      <c r="K404" t="s">
        <v>673</v>
      </c>
      <c r="L404" t="s">
        <v>673</v>
      </c>
      <c r="M404" t="s">
        <v>673</v>
      </c>
      <c r="N404">
        <v>0.12989999999999999</v>
      </c>
      <c r="O404">
        <v>0.1691</v>
      </c>
      <c r="P404">
        <v>0.27289999999999998</v>
      </c>
      <c r="Q404">
        <v>0.10050000000000001</v>
      </c>
      <c r="R404">
        <v>0.15160000000000001</v>
      </c>
      <c r="S404">
        <v>7.8899999999999998E-2</v>
      </c>
      <c r="T404">
        <v>-0.18990000000000001</v>
      </c>
      <c r="U404">
        <v>-0.1202</v>
      </c>
      <c r="V404">
        <v>-0.10780000000000001</v>
      </c>
      <c r="W404">
        <v>-0.15709999999999999</v>
      </c>
      <c r="X404">
        <v>1.6E-2</v>
      </c>
      <c r="Y404">
        <v>5.3100000000000001E-2</v>
      </c>
      <c r="Z404">
        <v>1.1900000000000001E-2</v>
      </c>
      <c r="AA404">
        <v>5.4800000000000001E-2</v>
      </c>
      <c r="AB404">
        <v>0.1158</v>
      </c>
      <c r="AC404">
        <v>0.14829999999999999</v>
      </c>
      <c r="AD404">
        <v>0.1464</v>
      </c>
      <c r="AE404">
        <v>0.1429</v>
      </c>
      <c r="AF404">
        <v>8.5300000000000001E-2</v>
      </c>
      <c r="AG404" t="s">
        <v>673</v>
      </c>
      <c r="AH404" t="s">
        <v>673</v>
      </c>
      <c r="AI404" t="s">
        <v>673</v>
      </c>
      <c r="AJ404" t="s">
        <v>673</v>
      </c>
      <c r="AK404" t="s">
        <v>673</v>
      </c>
      <c r="AL404" t="s">
        <v>673</v>
      </c>
      <c r="AM404" t="s">
        <v>673</v>
      </c>
      <c r="AN404" t="s">
        <v>673</v>
      </c>
      <c r="AO404" t="s">
        <v>673</v>
      </c>
      <c r="AP404" t="s">
        <v>673</v>
      </c>
      <c r="AQ404" t="s">
        <v>673</v>
      </c>
      <c r="AR404" t="s">
        <v>673</v>
      </c>
      <c r="AS404" t="s">
        <v>673</v>
      </c>
      <c r="AT404" t="s">
        <v>673</v>
      </c>
      <c r="AU404" t="s">
        <v>673</v>
      </c>
      <c r="AV404" t="s">
        <v>673</v>
      </c>
    </row>
    <row r="405" spans="1:48" x14ac:dyDescent="0.25">
      <c r="A405" t="s">
        <v>501</v>
      </c>
      <c r="B405" t="s">
        <v>2</v>
      </c>
      <c r="C405" t="s">
        <v>501</v>
      </c>
      <c r="D405">
        <v>37340</v>
      </c>
      <c r="E405" t="s">
        <v>672</v>
      </c>
      <c r="F405" t="s">
        <v>117</v>
      </c>
      <c r="G405" t="s">
        <v>670</v>
      </c>
      <c r="H405" t="s">
        <v>670</v>
      </c>
      <c r="I405">
        <v>7.0599999999999996E-2</v>
      </c>
      <c r="J405">
        <v>7.0599999999999996E-2</v>
      </c>
      <c r="K405">
        <v>6.5100000000000005E-2</v>
      </c>
      <c r="L405">
        <v>6.6699999999999995E-2</v>
      </c>
      <c r="M405">
        <v>8.6800000000000002E-2</v>
      </c>
      <c r="N405">
        <v>6.6799999999999998E-2</v>
      </c>
      <c r="O405">
        <v>5.67E-2</v>
      </c>
      <c r="P405">
        <v>5.3600000000000002E-2</v>
      </c>
      <c r="Q405">
        <v>2.2700000000000001E-2</v>
      </c>
      <c r="R405">
        <v>5.3900000000000003E-2</v>
      </c>
      <c r="S405">
        <v>6.9599999999999995E-2</v>
      </c>
      <c r="T405">
        <v>6.3600000000000004E-2</v>
      </c>
      <c r="U405">
        <v>4.36E-2</v>
      </c>
      <c r="V405">
        <v>2.3900000000000001E-2</v>
      </c>
      <c r="W405">
        <v>1.7100000000000001E-2</v>
      </c>
      <c r="X405">
        <v>4.4499999999999998E-2</v>
      </c>
      <c r="Y405">
        <v>8.5500000000000007E-2</v>
      </c>
      <c r="Z405">
        <v>5.5399999999999998E-2</v>
      </c>
      <c r="AA405">
        <v>7.0999999999999994E-2</v>
      </c>
      <c r="AB405">
        <v>4.2700000000000002E-2</v>
      </c>
      <c r="AC405">
        <v>4.3499999999999997E-2</v>
      </c>
      <c r="AD405">
        <v>0.12479999999999999</v>
      </c>
      <c r="AE405">
        <v>0.2104</v>
      </c>
      <c r="AF405">
        <v>0.2571</v>
      </c>
      <c r="AG405">
        <v>0.25779999999999997</v>
      </c>
      <c r="AH405">
        <v>0.2341</v>
      </c>
      <c r="AI405">
        <v>0.16220000000000001</v>
      </c>
      <c r="AJ405">
        <v>0.1148</v>
      </c>
      <c r="AK405">
        <v>9.9900000000000003E-2</v>
      </c>
      <c r="AL405">
        <v>6.5500000000000003E-2</v>
      </c>
      <c r="AM405">
        <v>1.7000000000000001E-2</v>
      </c>
      <c r="AN405">
        <v>-9.4999999999999998E-3</v>
      </c>
      <c r="AO405">
        <v>-2.2200000000000001E-2</v>
      </c>
      <c r="AP405">
        <v>-2.06E-2</v>
      </c>
      <c r="AQ405">
        <v>-1.34E-2</v>
      </c>
      <c r="AR405">
        <v>1.4999999999999999E-2</v>
      </c>
      <c r="AS405">
        <v>1.04E-2</v>
      </c>
      <c r="AT405">
        <v>1.38E-2</v>
      </c>
      <c r="AU405">
        <v>5.8999999999999999E-3</v>
      </c>
      <c r="AV405">
        <v>4.0000000000000002E-4</v>
      </c>
    </row>
    <row r="406" spans="1:48" x14ac:dyDescent="0.25">
      <c r="A406" t="s">
        <v>502</v>
      </c>
      <c r="B406" t="s">
        <v>2</v>
      </c>
      <c r="C406" t="s">
        <v>502</v>
      </c>
      <c r="D406">
        <v>37460</v>
      </c>
      <c r="E406" t="s">
        <v>672</v>
      </c>
      <c r="F406" t="s">
        <v>117</v>
      </c>
      <c r="G406" t="s">
        <v>670</v>
      </c>
      <c r="H406" t="s">
        <v>670</v>
      </c>
      <c r="I406">
        <v>1.7999999999999999E-2</v>
      </c>
      <c r="J406">
        <v>1.49E-2</v>
      </c>
      <c r="K406">
        <v>3.2800000000000003E-2</v>
      </c>
      <c r="L406">
        <v>1.8700000000000001E-2</v>
      </c>
      <c r="M406">
        <v>3.2000000000000001E-2</v>
      </c>
      <c r="N406">
        <v>5.2299999999999999E-2</v>
      </c>
      <c r="O406">
        <v>5.6500000000000002E-2</v>
      </c>
      <c r="P406">
        <v>4.9299999999999997E-2</v>
      </c>
      <c r="Q406">
        <v>3.7400000000000003E-2</v>
      </c>
      <c r="R406">
        <v>3.1199999999999999E-2</v>
      </c>
      <c r="S406">
        <v>3.6999999999999998E-2</v>
      </c>
      <c r="T406">
        <v>0.11550000000000001</v>
      </c>
      <c r="U406">
        <v>0.22539999999999999</v>
      </c>
      <c r="V406">
        <v>0.27189999999999998</v>
      </c>
      <c r="W406">
        <v>0.31950000000000001</v>
      </c>
      <c r="X406">
        <v>0.1915</v>
      </c>
      <c r="Y406">
        <v>8.8000000000000005E-3</v>
      </c>
      <c r="Z406">
        <v>-0.1139</v>
      </c>
      <c r="AA406">
        <v>-0.1348</v>
      </c>
      <c r="AB406">
        <v>-6.9699999999999998E-2</v>
      </c>
      <c r="AC406">
        <v>0.01</v>
      </c>
      <c r="AD406">
        <v>0.13100000000000001</v>
      </c>
      <c r="AE406">
        <v>0.16300000000000001</v>
      </c>
      <c r="AF406">
        <v>0.17929999999999999</v>
      </c>
      <c r="AG406">
        <v>0.16569999999999999</v>
      </c>
      <c r="AH406">
        <v>0.13009999999999999</v>
      </c>
      <c r="AI406">
        <v>9.1200000000000003E-2</v>
      </c>
      <c r="AJ406">
        <v>4.0800000000000003E-2</v>
      </c>
      <c r="AK406">
        <v>2.5499999999999998E-2</v>
      </c>
      <c r="AL406">
        <v>6.6E-3</v>
      </c>
      <c r="AM406">
        <v>-8.3000000000000001E-3</v>
      </c>
      <c r="AN406">
        <v>-1.52E-2</v>
      </c>
      <c r="AO406">
        <v>-7.7999999999999996E-3</v>
      </c>
      <c r="AP406">
        <v>3.5000000000000001E-3</v>
      </c>
      <c r="AQ406">
        <v>1.4E-2</v>
      </c>
      <c r="AR406">
        <v>-1.1999999999999999E-3</v>
      </c>
      <c r="AS406">
        <v>-1.46E-2</v>
      </c>
      <c r="AT406">
        <v>-1.32E-2</v>
      </c>
      <c r="AU406">
        <v>-3.3799999999999997E-2</v>
      </c>
      <c r="AV406">
        <v>-9.5999999999999992E-3</v>
      </c>
    </row>
    <row r="407" spans="1:48" x14ac:dyDescent="0.25">
      <c r="A407" t="s">
        <v>503</v>
      </c>
      <c r="B407" t="s">
        <v>2</v>
      </c>
      <c r="C407" t="s">
        <v>503</v>
      </c>
      <c r="D407">
        <v>37580</v>
      </c>
      <c r="E407" t="s">
        <v>672</v>
      </c>
      <c r="F407" t="s">
        <v>117</v>
      </c>
      <c r="G407" t="s">
        <v>670</v>
      </c>
      <c r="H407" t="s">
        <v>670</v>
      </c>
      <c r="I407" t="s">
        <v>673</v>
      </c>
      <c r="J407" t="s">
        <v>673</v>
      </c>
      <c r="K407" t="s">
        <v>673</v>
      </c>
      <c r="L407" t="s">
        <v>673</v>
      </c>
      <c r="M407" t="s">
        <v>673</v>
      </c>
      <c r="N407" t="s">
        <v>673</v>
      </c>
      <c r="O407" t="s">
        <v>673</v>
      </c>
      <c r="P407" t="s">
        <v>673</v>
      </c>
      <c r="Q407" t="s">
        <v>673</v>
      </c>
      <c r="R407" t="s">
        <v>673</v>
      </c>
      <c r="S407" t="s">
        <v>673</v>
      </c>
      <c r="T407" t="s">
        <v>673</v>
      </c>
      <c r="U407" t="s">
        <v>673</v>
      </c>
      <c r="V407" t="s">
        <v>673</v>
      </c>
      <c r="W407" t="s">
        <v>673</v>
      </c>
      <c r="X407" t="s">
        <v>673</v>
      </c>
      <c r="Y407" t="s">
        <v>673</v>
      </c>
      <c r="Z407" t="s">
        <v>673</v>
      </c>
      <c r="AA407" t="s">
        <v>673</v>
      </c>
      <c r="AB407" t="s">
        <v>673</v>
      </c>
      <c r="AC407" t="s">
        <v>673</v>
      </c>
      <c r="AD407" t="s">
        <v>673</v>
      </c>
      <c r="AE407" t="s">
        <v>673</v>
      </c>
      <c r="AF407" t="s">
        <v>673</v>
      </c>
      <c r="AG407" t="s">
        <v>673</v>
      </c>
      <c r="AH407" t="s">
        <v>673</v>
      </c>
      <c r="AI407" t="s">
        <v>673</v>
      </c>
      <c r="AJ407" t="s">
        <v>673</v>
      </c>
      <c r="AK407" t="s">
        <v>673</v>
      </c>
      <c r="AL407" t="s">
        <v>673</v>
      </c>
      <c r="AM407" t="s">
        <v>673</v>
      </c>
      <c r="AN407" t="s">
        <v>673</v>
      </c>
      <c r="AO407" t="s">
        <v>673</v>
      </c>
      <c r="AP407" t="s">
        <v>673</v>
      </c>
      <c r="AQ407" t="s">
        <v>673</v>
      </c>
      <c r="AR407" t="s">
        <v>673</v>
      </c>
      <c r="AS407" t="s">
        <v>673</v>
      </c>
      <c r="AT407" t="s">
        <v>673</v>
      </c>
      <c r="AU407" t="s">
        <v>673</v>
      </c>
      <c r="AV407" t="s">
        <v>673</v>
      </c>
    </row>
    <row r="408" spans="1:48" x14ac:dyDescent="0.25">
      <c r="A408" t="s">
        <v>504</v>
      </c>
      <c r="B408" t="s">
        <v>2</v>
      </c>
      <c r="C408" t="s">
        <v>504</v>
      </c>
      <c r="D408">
        <v>37620</v>
      </c>
      <c r="E408" t="s">
        <v>672</v>
      </c>
      <c r="F408" t="s">
        <v>117</v>
      </c>
      <c r="G408" t="s">
        <v>670</v>
      </c>
      <c r="H408" t="s">
        <v>670</v>
      </c>
      <c r="I408" t="s">
        <v>673</v>
      </c>
      <c r="J408" t="s">
        <v>673</v>
      </c>
      <c r="K408" t="s">
        <v>673</v>
      </c>
      <c r="L408" t="s">
        <v>673</v>
      </c>
      <c r="M408" t="s">
        <v>673</v>
      </c>
      <c r="N408" t="s">
        <v>673</v>
      </c>
      <c r="O408" t="s">
        <v>673</v>
      </c>
      <c r="P408" t="s">
        <v>673</v>
      </c>
      <c r="Q408" t="s">
        <v>673</v>
      </c>
      <c r="R408" t="s">
        <v>673</v>
      </c>
      <c r="S408" t="s">
        <v>673</v>
      </c>
      <c r="T408" t="s">
        <v>673</v>
      </c>
      <c r="U408" t="s">
        <v>673</v>
      </c>
      <c r="V408" t="s">
        <v>673</v>
      </c>
      <c r="W408" t="s">
        <v>673</v>
      </c>
      <c r="X408" t="s">
        <v>673</v>
      </c>
      <c r="Y408" t="s">
        <v>673</v>
      </c>
      <c r="Z408" t="s">
        <v>673</v>
      </c>
      <c r="AA408" t="s">
        <v>673</v>
      </c>
      <c r="AB408" t="s">
        <v>673</v>
      </c>
      <c r="AC408" t="s">
        <v>673</v>
      </c>
      <c r="AD408" t="s">
        <v>673</v>
      </c>
      <c r="AE408" t="s">
        <v>673</v>
      </c>
      <c r="AF408" t="s">
        <v>673</v>
      </c>
      <c r="AG408" t="s">
        <v>673</v>
      </c>
      <c r="AH408" t="s">
        <v>673</v>
      </c>
      <c r="AI408" t="s">
        <v>673</v>
      </c>
      <c r="AJ408" t="s">
        <v>673</v>
      </c>
      <c r="AK408" t="s">
        <v>673</v>
      </c>
      <c r="AL408" t="s">
        <v>673</v>
      </c>
      <c r="AM408" t="s">
        <v>673</v>
      </c>
      <c r="AN408" t="s">
        <v>673</v>
      </c>
      <c r="AO408" t="s">
        <v>673</v>
      </c>
      <c r="AP408" t="s">
        <v>673</v>
      </c>
      <c r="AQ408" t="s">
        <v>673</v>
      </c>
      <c r="AR408" t="s">
        <v>673</v>
      </c>
      <c r="AS408" t="s">
        <v>673</v>
      </c>
      <c r="AT408" t="s">
        <v>673</v>
      </c>
      <c r="AU408" t="s">
        <v>673</v>
      </c>
      <c r="AV408" t="s">
        <v>673</v>
      </c>
    </row>
    <row r="409" spans="1:48" x14ac:dyDescent="0.25">
      <c r="A409" t="s">
        <v>505</v>
      </c>
      <c r="B409" t="s">
        <v>2</v>
      </c>
      <c r="C409" t="s">
        <v>505</v>
      </c>
      <c r="D409">
        <v>37860</v>
      </c>
      <c r="E409" t="s">
        <v>672</v>
      </c>
      <c r="F409" t="s">
        <v>117</v>
      </c>
      <c r="G409" t="s">
        <v>670</v>
      </c>
      <c r="H409" t="s">
        <v>670</v>
      </c>
      <c r="I409">
        <v>2.7099999999999999E-2</v>
      </c>
      <c r="J409">
        <v>2.35E-2</v>
      </c>
      <c r="K409">
        <v>1.4500000000000001E-2</v>
      </c>
      <c r="L409">
        <v>1.89E-2</v>
      </c>
      <c r="M409">
        <v>4.2799999999999998E-2</v>
      </c>
      <c r="N409">
        <v>3.5700000000000003E-2</v>
      </c>
      <c r="O409">
        <v>5.21E-2</v>
      </c>
      <c r="P409">
        <v>5.1900000000000002E-2</v>
      </c>
      <c r="Q409">
        <v>4.9599999999999998E-2</v>
      </c>
      <c r="R409">
        <v>6.7100000000000007E-2</v>
      </c>
      <c r="S409">
        <v>9.1999999999999998E-2</v>
      </c>
      <c r="T409">
        <v>8.6999999999999994E-2</v>
      </c>
      <c r="U409">
        <v>7.8700000000000006E-2</v>
      </c>
      <c r="V409">
        <v>7.4300000000000005E-2</v>
      </c>
      <c r="W409">
        <v>6.6699999999999995E-2</v>
      </c>
      <c r="X409">
        <v>6.4399999999999999E-2</v>
      </c>
      <c r="Y409">
        <v>7.4200000000000002E-2</v>
      </c>
      <c r="Z409">
        <v>5.5199999999999999E-2</v>
      </c>
      <c r="AA409">
        <v>4.7199999999999999E-2</v>
      </c>
      <c r="AB409">
        <v>6.83E-2</v>
      </c>
      <c r="AC409">
        <v>7.6600000000000001E-2</v>
      </c>
      <c r="AD409">
        <v>0.1108</v>
      </c>
      <c r="AE409">
        <v>0.17460000000000001</v>
      </c>
      <c r="AF409">
        <v>0.19570000000000001</v>
      </c>
      <c r="AG409">
        <v>0.20169999999999999</v>
      </c>
      <c r="AH409">
        <v>0.19189999999999999</v>
      </c>
      <c r="AI409">
        <v>0.13109999999999999</v>
      </c>
      <c r="AJ409">
        <v>7.9799999999999996E-2</v>
      </c>
      <c r="AK409">
        <v>5.0200000000000002E-2</v>
      </c>
      <c r="AL409">
        <v>2.6800000000000001E-2</v>
      </c>
      <c r="AM409">
        <v>-8.9999999999999993E-3</v>
      </c>
      <c r="AN409">
        <v>-8.9999999999999993E-3</v>
      </c>
      <c r="AO409">
        <v>-1.0500000000000001E-2</v>
      </c>
      <c r="AP409">
        <v>1.7999999999999999E-2</v>
      </c>
      <c r="AQ409">
        <v>4.8800000000000003E-2</v>
      </c>
      <c r="AR409">
        <v>3.44E-2</v>
      </c>
      <c r="AS409">
        <v>3.5299999999999998E-2</v>
      </c>
      <c r="AT409">
        <v>1.6799999999999999E-2</v>
      </c>
      <c r="AU409">
        <v>1.2999999999999999E-3</v>
      </c>
      <c r="AV409">
        <v>1.89E-2</v>
      </c>
    </row>
    <row r="410" spans="1:48" x14ac:dyDescent="0.25">
      <c r="A410" t="s">
        <v>506</v>
      </c>
      <c r="B410" t="s">
        <v>2</v>
      </c>
      <c r="C410" t="s">
        <v>506</v>
      </c>
      <c r="D410">
        <v>37900</v>
      </c>
      <c r="E410" t="s">
        <v>672</v>
      </c>
      <c r="F410" t="s">
        <v>117</v>
      </c>
      <c r="G410" t="s">
        <v>670</v>
      </c>
      <c r="H410" t="s">
        <v>670</v>
      </c>
      <c r="I410">
        <v>2.29E-2</v>
      </c>
      <c r="J410">
        <v>4.7800000000000002E-2</v>
      </c>
      <c r="K410">
        <v>-6.4100000000000004E-2</v>
      </c>
      <c r="L410">
        <v>-7.8299999999999995E-2</v>
      </c>
      <c r="M410">
        <v>-6.7900000000000002E-2</v>
      </c>
      <c r="N410">
        <v>-0.13700000000000001</v>
      </c>
      <c r="O410">
        <v>-2.7900000000000001E-2</v>
      </c>
      <c r="P410">
        <v>7.4999999999999997E-3</v>
      </c>
      <c r="Q410">
        <v>4.3499999999999997E-2</v>
      </c>
      <c r="R410">
        <v>3.0200000000000001E-2</v>
      </c>
      <c r="S410">
        <v>7.6E-3</v>
      </c>
      <c r="T410">
        <v>-1.5800000000000002E-2</v>
      </c>
      <c r="U410">
        <v>-4.4999999999999997E-3</v>
      </c>
      <c r="V410">
        <v>3.9800000000000002E-2</v>
      </c>
      <c r="W410">
        <v>4.9799999999999997E-2</v>
      </c>
      <c r="X410">
        <v>5.74E-2</v>
      </c>
      <c r="Y410">
        <v>4.6199999999999998E-2</v>
      </c>
      <c r="Z410">
        <v>-3.0999999999999999E-3</v>
      </c>
      <c r="AA410">
        <v>1.2999999999999999E-2</v>
      </c>
      <c r="AB410">
        <v>2.12E-2</v>
      </c>
      <c r="AC410">
        <v>1.38E-2</v>
      </c>
      <c r="AD410">
        <v>3.6499999999999998E-2</v>
      </c>
      <c r="AE410">
        <v>5.2299999999999999E-2</v>
      </c>
      <c r="AF410">
        <v>3.2399999999999998E-2</v>
      </c>
      <c r="AG410">
        <v>7.9100000000000004E-2</v>
      </c>
      <c r="AH410">
        <v>0.1019</v>
      </c>
      <c r="AI410">
        <v>0.1195</v>
      </c>
      <c r="AJ410">
        <v>0.13089999999999999</v>
      </c>
      <c r="AK410">
        <v>0.10920000000000001</v>
      </c>
      <c r="AL410">
        <v>8.6400000000000005E-2</v>
      </c>
      <c r="AM410">
        <v>9.1600000000000001E-2</v>
      </c>
      <c r="AN410">
        <v>0.1169</v>
      </c>
      <c r="AO410">
        <v>8.2699999999999996E-2</v>
      </c>
      <c r="AP410">
        <v>0.1065</v>
      </c>
      <c r="AQ410">
        <v>7.3099999999999998E-2</v>
      </c>
      <c r="AR410">
        <v>2.1700000000000001E-2</v>
      </c>
      <c r="AS410">
        <v>4.6699999999999998E-2</v>
      </c>
      <c r="AT410">
        <v>2.1700000000000001E-2</v>
      </c>
      <c r="AU410">
        <v>-1.9E-3</v>
      </c>
      <c r="AV410">
        <v>3.7100000000000001E-2</v>
      </c>
    </row>
    <row r="411" spans="1:48" x14ac:dyDescent="0.25">
      <c r="A411" t="s">
        <v>507</v>
      </c>
      <c r="B411" t="s">
        <v>2</v>
      </c>
      <c r="C411" t="s">
        <v>507</v>
      </c>
      <c r="D411">
        <v>37940</v>
      </c>
      <c r="E411" t="s">
        <v>672</v>
      </c>
      <c r="F411" t="s">
        <v>117</v>
      </c>
      <c r="G411" t="s">
        <v>670</v>
      </c>
      <c r="H411" t="s">
        <v>670</v>
      </c>
      <c r="I411" t="s">
        <v>673</v>
      </c>
      <c r="J411" t="s">
        <v>673</v>
      </c>
      <c r="K411" t="s">
        <v>673</v>
      </c>
      <c r="L411" t="s">
        <v>673</v>
      </c>
      <c r="M411" t="s">
        <v>673</v>
      </c>
      <c r="N411" t="s">
        <v>673</v>
      </c>
      <c r="O411" t="s">
        <v>673</v>
      </c>
      <c r="P411" t="s">
        <v>673</v>
      </c>
      <c r="Q411" t="s">
        <v>673</v>
      </c>
      <c r="R411" t="s">
        <v>673</v>
      </c>
      <c r="S411" t="s">
        <v>673</v>
      </c>
      <c r="T411" t="s">
        <v>673</v>
      </c>
      <c r="U411" t="s">
        <v>673</v>
      </c>
      <c r="V411" t="s">
        <v>673</v>
      </c>
      <c r="W411" t="s">
        <v>673</v>
      </c>
      <c r="X411" t="s">
        <v>673</v>
      </c>
      <c r="Y411" t="s">
        <v>673</v>
      </c>
      <c r="Z411" t="s">
        <v>673</v>
      </c>
      <c r="AA411" t="s">
        <v>673</v>
      </c>
      <c r="AB411" t="s">
        <v>673</v>
      </c>
      <c r="AC411" t="s">
        <v>673</v>
      </c>
      <c r="AD411" t="s">
        <v>673</v>
      </c>
      <c r="AE411" t="s">
        <v>673</v>
      </c>
      <c r="AF411" t="s">
        <v>673</v>
      </c>
      <c r="AG411" t="s">
        <v>673</v>
      </c>
      <c r="AH411" t="s">
        <v>673</v>
      </c>
      <c r="AI411" t="s">
        <v>673</v>
      </c>
      <c r="AJ411" t="s">
        <v>673</v>
      </c>
      <c r="AK411" t="s">
        <v>673</v>
      </c>
      <c r="AL411" t="s">
        <v>673</v>
      </c>
      <c r="AM411" t="s">
        <v>673</v>
      </c>
      <c r="AN411" t="s">
        <v>673</v>
      </c>
      <c r="AO411" t="s">
        <v>673</v>
      </c>
      <c r="AP411" t="s">
        <v>673</v>
      </c>
      <c r="AQ411" t="s">
        <v>673</v>
      </c>
      <c r="AR411" t="s">
        <v>673</v>
      </c>
      <c r="AS411" t="s">
        <v>673</v>
      </c>
      <c r="AT411" t="s">
        <v>673</v>
      </c>
      <c r="AU411" t="s">
        <v>673</v>
      </c>
      <c r="AV411" t="s">
        <v>673</v>
      </c>
    </row>
    <row r="412" spans="1:48" x14ac:dyDescent="0.25">
      <c r="A412" t="s">
        <v>508</v>
      </c>
      <c r="B412" t="s">
        <v>2</v>
      </c>
      <c r="C412" t="s">
        <v>508</v>
      </c>
      <c r="D412">
        <v>37980</v>
      </c>
      <c r="E412" t="s">
        <v>672</v>
      </c>
      <c r="F412" t="s">
        <v>117</v>
      </c>
      <c r="G412" t="s">
        <v>670</v>
      </c>
      <c r="H412" t="s">
        <v>670</v>
      </c>
      <c r="I412">
        <v>1.9300000000000001E-2</v>
      </c>
      <c r="J412">
        <v>2.87E-2</v>
      </c>
      <c r="K412">
        <v>1.26E-2</v>
      </c>
      <c r="L412">
        <v>1.7899999999999999E-2</v>
      </c>
      <c r="M412">
        <v>2.24E-2</v>
      </c>
      <c r="N412">
        <v>1.49E-2</v>
      </c>
      <c r="O412">
        <v>3.0800000000000001E-2</v>
      </c>
      <c r="P412">
        <v>3.1899999999999998E-2</v>
      </c>
      <c r="Q412">
        <v>3.4000000000000002E-2</v>
      </c>
      <c r="R412">
        <v>2.87E-2</v>
      </c>
      <c r="S412">
        <v>4.1500000000000002E-2</v>
      </c>
      <c r="T412">
        <v>5.1700000000000003E-2</v>
      </c>
      <c r="U412">
        <v>4.9200000000000001E-2</v>
      </c>
      <c r="V412">
        <v>5.6099999999999997E-2</v>
      </c>
      <c r="W412">
        <v>5.6500000000000002E-2</v>
      </c>
      <c r="X412">
        <v>4.9200000000000001E-2</v>
      </c>
      <c r="Y412">
        <v>5.5300000000000002E-2</v>
      </c>
      <c r="Z412">
        <v>2.6800000000000001E-2</v>
      </c>
      <c r="AA412">
        <v>1.61E-2</v>
      </c>
      <c r="AB412">
        <v>2.1600000000000001E-2</v>
      </c>
      <c r="AC412">
        <v>1.8599999999999998E-2</v>
      </c>
      <c r="AD412">
        <v>5.5300000000000002E-2</v>
      </c>
      <c r="AE412">
        <v>0.10249999999999999</v>
      </c>
      <c r="AF412">
        <v>0.13370000000000001</v>
      </c>
      <c r="AG412">
        <v>0.14929999999999999</v>
      </c>
      <c r="AH412">
        <v>0.1457</v>
      </c>
      <c r="AI412">
        <v>0.12509999999999999</v>
      </c>
      <c r="AJ412">
        <v>8.8700000000000001E-2</v>
      </c>
      <c r="AK412">
        <v>6.5199999999999994E-2</v>
      </c>
      <c r="AL412">
        <v>5.0999999999999997E-2</v>
      </c>
      <c r="AM412">
        <v>2.92E-2</v>
      </c>
      <c r="AN412">
        <v>2.8500000000000001E-2</v>
      </c>
      <c r="AO412">
        <v>2.9700000000000001E-2</v>
      </c>
      <c r="AP412">
        <v>2.58E-2</v>
      </c>
      <c r="AQ412">
        <v>2.6800000000000001E-2</v>
      </c>
      <c r="AR412">
        <v>2.1000000000000001E-2</v>
      </c>
      <c r="AS412">
        <v>2.8899999999999999E-2</v>
      </c>
      <c r="AT412">
        <v>4.1300000000000003E-2</v>
      </c>
      <c r="AU412">
        <v>4.2599999999999999E-2</v>
      </c>
      <c r="AV412">
        <v>3.8199999999999998E-2</v>
      </c>
    </row>
    <row r="413" spans="1:48" x14ac:dyDescent="0.25">
      <c r="A413" t="s">
        <v>31</v>
      </c>
      <c r="B413" t="s">
        <v>2</v>
      </c>
      <c r="C413" t="s">
        <v>31</v>
      </c>
      <c r="D413">
        <v>38060</v>
      </c>
      <c r="E413" t="s">
        <v>672</v>
      </c>
      <c r="F413" t="s">
        <v>117</v>
      </c>
      <c r="G413" t="s">
        <v>670</v>
      </c>
      <c r="H413" t="s">
        <v>670</v>
      </c>
      <c r="I413">
        <v>7.85E-2</v>
      </c>
      <c r="J413">
        <v>9.1499999999999998E-2</v>
      </c>
      <c r="K413">
        <v>7.7100000000000002E-2</v>
      </c>
      <c r="L413">
        <v>6.3299999999999995E-2</v>
      </c>
      <c r="M413">
        <v>6.9699999999999998E-2</v>
      </c>
      <c r="N413">
        <v>6.8099999999999994E-2</v>
      </c>
      <c r="O413">
        <v>6.9199999999999998E-2</v>
      </c>
      <c r="P413">
        <v>6.9500000000000006E-2</v>
      </c>
      <c r="Q413">
        <v>6.0999999999999999E-2</v>
      </c>
      <c r="R413">
        <v>5.4100000000000002E-2</v>
      </c>
      <c r="S413">
        <v>6.6500000000000004E-2</v>
      </c>
      <c r="T413">
        <v>8.14E-2</v>
      </c>
      <c r="U413">
        <v>9.9900000000000003E-2</v>
      </c>
      <c r="V413">
        <v>0.1079</v>
      </c>
      <c r="W413">
        <v>0.10489999999999999</v>
      </c>
      <c r="X413">
        <v>0.104</v>
      </c>
      <c r="Y413">
        <v>9.5299999999999996E-2</v>
      </c>
      <c r="Z413">
        <v>3.9899999999999998E-2</v>
      </c>
      <c r="AA413">
        <v>4.0899999999999999E-2</v>
      </c>
      <c r="AB413">
        <v>4.9799999999999997E-2</v>
      </c>
      <c r="AC413">
        <v>5.7000000000000002E-2</v>
      </c>
      <c r="AD413">
        <v>0.16850000000000001</v>
      </c>
      <c r="AE413">
        <v>0.26050000000000001</v>
      </c>
      <c r="AF413">
        <v>0.2863</v>
      </c>
      <c r="AG413">
        <v>0.28000000000000003</v>
      </c>
      <c r="AH413">
        <v>0.2089</v>
      </c>
      <c r="AI413">
        <v>9.8500000000000004E-2</v>
      </c>
      <c r="AJ413">
        <v>2.2800000000000001E-2</v>
      </c>
      <c r="AK413">
        <v>-1.0200000000000001E-2</v>
      </c>
      <c r="AL413">
        <v>-3.6799999999999999E-2</v>
      </c>
      <c r="AM413">
        <v>-4.0599999999999997E-2</v>
      </c>
      <c r="AN413">
        <v>-3.7499999999999999E-2</v>
      </c>
      <c r="AO413">
        <v>-2.8199999999999999E-2</v>
      </c>
      <c r="AP413">
        <v>-2.3900000000000001E-2</v>
      </c>
      <c r="AQ413">
        <v>-3.4799999999999998E-2</v>
      </c>
      <c r="AR413">
        <v>-3.56E-2</v>
      </c>
      <c r="AS413">
        <v>-3.9E-2</v>
      </c>
      <c r="AT413">
        <v>-3.4099999999999998E-2</v>
      </c>
      <c r="AU413">
        <v>-3.5200000000000002E-2</v>
      </c>
      <c r="AV413">
        <v>-3.7400000000000003E-2</v>
      </c>
    </row>
    <row r="414" spans="1:48" x14ac:dyDescent="0.25">
      <c r="A414" t="s">
        <v>509</v>
      </c>
      <c r="B414" t="s">
        <v>2</v>
      </c>
      <c r="C414" t="s">
        <v>509</v>
      </c>
      <c r="D414">
        <v>38180</v>
      </c>
      <c r="E414" t="s">
        <v>672</v>
      </c>
      <c r="F414" t="s">
        <v>117</v>
      </c>
      <c r="G414" t="s">
        <v>670</v>
      </c>
      <c r="H414" t="s">
        <v>670</v>
      </c>
      <c r="I414" t="s">
        <v>673</v>
      </c>
      <c r="J414" t="s">
        <v>673</v>
      </c>
      <c r="K414" t="s">
        <v>673</v>
      </c>
      <c r="L414" t="s">
        <v>673</v>
      </c>
      <c r="M414" t="s">
        <v>673</v>
      </c>
      <c r="N414" t="s">
        <v>673</v>
      </c>
      <c r="O414" t="s">
        <v>673</v>
      </c>
      <c r="P414" t="s">
        <v>673</v>
      </c>
      <c r="Q414" t="s">
        <v>673</v>
      </c>
      <c r="R414" t="s">
        <v>673</v>
      </c>
      <c r="S414" t="s">
        <v>673</v>
      </c>
      <c r="T414" t="s">
        <v>673</v>
      </c>
      <c r="U414" t="s">
        <v>673</v>
      </c>
      <c r="V414" t="s">
        <v>673</v>
      </c>
      <c r="W414" t="s">
        <v>673</v>
      </c>
      <c r="X414" t="s">
        <v>673</v>
      </c>
      <c r="Y414" t="s">
        <v>673</v>
      </c>
      <c r="Z414" t="s">
        <v>673</v>
      </c>
      <c r="AA414" t="s">
        <v>673</v>
      </c>
      <c r="AB414" t="s">
        <v>673</v>
      </c>
      <c r="AC414" t="s">
        <v>673</v>
      </c>
      <c r="AD414" t="s">
        <v>673</v>
      </c>
      <c r="AE414" t="s">
        <v>673</v>
      </c>
      <c r="AF414" t="s">
        <v>673</v>
      </c>
      <c r="AG414" t="s">
        <v>673</v>
      </c>
      <c r="AH414" t="s">
        <v>673</v>
      </c>
      <c r="AI414" t="s">
        <v>673</v>
      </c>
      <c r="AJ414" t="s">
        <v>673</v>
      </c>
      <c r="AK414" t="s">
        <v>673</v>
      </c>
      <c r="AL414" t="s">
        <v>673</v>
      </c>
      <c r="AM414" t="s">
        <v>673</v>
      </c>
      <c r="AN414" t="s">
        <v>673</v>
      </c>
      <c r="AO414" t="s">
        <v>673</v>
      </c>
      <c r="AP414" t="s">
        <v>673</v>
      </c>
      <c r="AQ414" t="s">
        <v>673</v>
      </c>
      <c r="AR414" t="s">
        <v>673</v>
      </c>
      <c r="AS414" t="s">
        <v>673</v>
      </c>
      <c r="AT414" t="s">
        <v>673</v>
      </c>
      <c r="AU414" t="s">
        <v>673</v>
      </c>
      <c r="AV414" t="s">
        <v>673</v>
      </c>
    </row>
    <row r="415" spans="1:48" x14ac:dyDescent="0.25">
      <c r="A415" t="s">
        <v>510</v>
      </c>
      <c r="B415" t="s">
        <v>2</v>
      </c>
      <c r="C415" t="s">
        <v>510</v>
      </c>
      <c r="D415">
        <v>38220</v>
      </c>
      <c r="E415" t="s">
        <v>672</v>
      </c>
      <c r="F415" t="s">
        <v>117</v>
      </c>
      <c r="G415" t="s">
        <v>670</v>
      </c>
      <c r="H415" t="s">
        <v>670</v>
      </c>
      <c r="I415" t="s">
        <v>673</v>
      </c>
      <c r="J415" t="s">
        <v>673</v>
      </c>
      <c r="K415" t="s">
        <v>673</v>
      </c>
      <c r="L415" t="s">
        <v>673</v>
      </c>
      <c r="M415" t="s">
        <v>673</v>
      </c>
      <c r="N415" t="s">
        <v>673</v>
      </c>
      <c r="O415" t="s">
        <v>673</v>
      </c>
      <c r="P415" t="s">
        <v>673</v>
      </c>
      <c r="Q415" t="s">
        <v>673</v>
      </c>
      <c r="R415" t="s">
        <v>673</v>
      </c>
      <c r="S415" t="s">
        <v>673</v>
      </c>
      <c r="T415" t="s">
        <v>673</v>
      </c>
      <c r="U415" t="s">
        <v>673</v>
      </c>
      <c r="V415" t="s">
        <v>673</v>
      </c>
      <c r="W415" t="s">
        <v>673</v>
      </c>
      <c r="X415" t="s">
        <v>673</v>
      </c>
      <c r="Y415" t="s">
        <v>673</v>
      </c>
      <c r="Z415" t="s">
        <v>673</v>
      </c>
      <c r="AA415" t="s">
        <v>673</v>
      </c>
      <c r="AB415" t="s">
        <v>673</v>
      </c>
      <c r="AC415" t="s">
        <v>673</v>
      </c>
      <c r="AD415" t="s">
        <v>673</v>
      </c>
      <c r="AE415" t="s">
        <v>673</v>
      </c>
      <c r="AF415" t="s">
        <v>673</v>
      </c>
      <c r="AG415" t="s">
        <v>673</v>
      </c>
      <c r="AH415" t="s">
        <v>673</v>
      </c>
      <c r="AI415" t="s">
        <v>673</v>
      </c>
      <c r="AJ415" t="s">
        <v>673</v>
      </c>
      <c r="AK415" t="s">
        <v>673</v>
      </c>
      <c r="AL415" t="s">
        <v>673</v>
      </c>
      <c r="AM415" t="s">
        <v>673</v>
      </c>
      <c r="AN415" t="s">
        <v>673</v>
      </c>
      <c r="AO415" t="s">
        <v>673</v>
      </c>
      <c r="AP415" t="s">
        <v>673</v>
      </c>
      <c r="AQ415" t="s">
        <v>673</v>
      </c>
      <c r="AR415" t="s">
        <v>673</v>
      </c>
      <c r="AS415" t="s">
        <v>673</v>
      </c>
      <c r="AT415" t="s">
        <v>673</v>
      </c>
      <c r="AU415" t="s">
        <v>673</v>
      </c>
      <c r="AV415" t="s">
        <v>673</v>
      </c>
    </row>
    <row r="416" spans="1:48" x14ac:dyDescent="0.25">
      <c r="A416" t="s">
        <v>511</v>
      </c>
      <c r="B416" t="s">
        <v>2</v>
      </c>
      <c r="C416" t="s">
        <v>511</v>
      </c>
      <c r="D416">
        <v>38240</v>
      </c>
      <c r="E416" t="s">
        <v>672</v>
      </c>
      <c r="F416" t="s">
        <v>117</v>
      </c>
      <c r="G416" t="s">
        <v>670</v>
      </c>
      <c r="H416" t="s">
        <v>670</v>
      </c>
      <c r="I416" t="s">
        <v>673</v>
      </c>
      <c r="J416" t="s">
        <v>673</v>
      </c>
      <c r="K416" t="s">
        <v>673</v>
      </c>
      <c r="L416" t="s">
        <v>673</v>
      </c>
      <c r="M416" t="s">
        <v>673</v>
      </c>
      <c r="N416" t="s">
        <v>673</v>
      </c>
      <c r="O416">
        <v>0.36859999999999998</v>
      </c>
      <c r="P416">
        <v>0.26019999999999999</v>
      </c>
      <c r="Q416">
        <v>0.26229999999999998</v>
      </c>
      <c r="R416">
        <v>0.184</v>
      </c>
      <c r="S416">
        <v>2.9399999999999999E-2</v>
      </c>
      <c r="T416">
        <v>9.2999999999999992E-3</v>
      </c>
      <c r="U416">
        <v>3.6400000000000002E-2</v>
      </c>
      <c r="V416">
        <v>7.8100000000000003E-2</v>
      </c>
      <c r="W416">
        <v>5.2600000000000001E-2</v>
      </c>
      <c r="X416">
        <v>9.4399999999999998E-2</v>
      </c>
      <c r="Y416">
        <v>9.4100000000000003E-2</v>
      </c>
      <c r="Z416">
        <v>0.1056</v>
      </c>
      <c r="AA416">
        <v>0.11990000000000001</v>
      </c>
      <c r="AB416">
        <v>5.8000000000000003E-2</v>
      </c>
      <c r="AC416">
        <v>6.8599999999999994E-2</v>
      </c>
      <c r="AD416">
        <v>6.4799999999999996E-2</v>
      </c>
      <c r="AE416">
        <v>7.85E-2</v>
      </c>
      <c r="AF416">
        <v>0.1328</v>
      </c>
      <c r="AG416">
        <v>0.25159999999999999</v>
      </c>
      <c r="AH416">
        <v>0.26129999999999998</v>
      </c>
      <c r="AI416">
        <v>0.21859999999999999</v>
      </c>
      <c r="AJ416">
        <v>0.19289999999999999</v>
      </c>
      <c r="AK416">
        <v>8.9200000000000002E-2</v>
      </c>
      <c r="AL416">
        <v>4.4499999999999998E-2</v>
      </c>
      <c r="AM416">
        <v>4.0099999999999997E-2</v>
      </c>
      <c r="AN416">
        <v>-3.6499999999999998E-2</v>
      </c>
      <c r="AO416">
        <v>-3.85E-2</v>
      </c>
      <c r="AP416">
        <v>-5.7099999999999998E-2</v>
      </c>
      <c r="AQ416">
        <v>-7.0000000000000007E-2</v>
      </c>
      <c r="AR416">
        <v>1.35E-2</v>
      </c>
      <c r="AS416">
        <v>1.2800000000000001E-2</v>
      </c>
      <c r="AT416">
        <v>2.1399999999999999E-2</v>
      </c>
      <c r="AU416">
        <v>5.1999999999999998E-3</v>
      </c>
      <c r="AV416">
        <v>-7.7100000000000002E-2</v>
      </c>
    </row>
    <row r="417" spans="1:48" x14ac:dyDescent="0.25">
      <c r="A417" t="s">
        <v>512</v>
      </c>
      <c r="B417" t="s">
        <v>2</v>
      </c>
      <c r="C417" t="s">
        <v>512</v>
      </c>
      <c r="D417">
        <v>38300</v>
      </c>
      <c r="E417" t="s">
        <v>672</v>
      </c>
      <c r="F417" t="s">
        <v>117</v>
      </c>
      <c r="G417" t="s">
        <v>670</v>
      </c>
      <c r="H417" t="s">
        <v>670</v>
      </c>
      <c r="I417">
        <v>1.3899999999999999E-2</v>
      </c>
      <c r="J417">
        <v>1.47E-2</v>
      </c>
      <c r="K417">
        <v>-7.3000000000000001E-3</v>
      </c>
      <c r="L417">
        <v>-8.0000000000000004E-4</v>
      </c>
      <c r="M417">
        <v>2.8E-3</v>
      </c>
      <c r="N417">
        <v>1.67E-2</v>
      </c>
      <c r="O417">
        <v>2.76E-2</v>
      </c>
      <c r="P417">
        <v>1.72E-2</v>
      </c>
      <c r="Q417">
        <v>2.3E-2</v>
      </c>
      <c r="R417">
        <v>2.01E-2</v>
      </c>
      <c r="S417">
        <v>3.4500000000000003E-2</v>
      </c>
      <c r="T417">
        <v>4.7199999999999999E-2</v>
      </c>
      <c r="U417">
        <v>6.0699999999999997E-2</v>
      </c>
      <c r="V417">
        <v>7.7100000000000002E-2</v>
      </c>
      <c r="W417">
        <v>5.8500000000000003E-2</v>
      </c>
      <c r="X417">
        <v>6.3299999999999995E-2</v>
      </c>
      <c r="Y417">
        <v>5.28E-2</v>
      </c>
      <c r="Z417">
        <v>1.47E-2</v>
      </c>
      <c r="AA417">
        <v>1.2200000000000001E-2</v>
      </c>
      <c r="AB417">
        <v>-6.1000000000000004E-3</v>
      </c>
      <c r="AC417">
        <v>1.1999999999999999E-3</v>
      </c>
      <c r="AD417">
        <v>1.52E-2</v>
      </c>
      <c r="AE417">
        <v>5.0299999999999997E-2</v>
      </c>
      <c r="AF417">
        <v>9.74E-2</v>
      </c>
      <c r="AG417">
        <v>0.10580000000000001</v>
      </c>
      <c r="AH417">
        <v>0.1358</v>
      </c>
      <c r="AI417">
        <v>0.13020000000000001</v>
      </c>
      <c r="AJ417">
        <v>0.1074</v>
      </c>
      <c r="AK417">
        <v>0.11</v>
      </c>
      <c r="AL417">
        <v>7.8899999999999998E-2</v>
      </c>
      <c r="AM417">
        <v>5.4199999999999998E-2</v>
      </c>
      <c r="AN417">
        <v>4.3499999999999997E-2</v>
      </c>
      <c r="AO417">
        <v>3.5799999999999998E-2</v>
      </c>
      <c r="AP417">
        <v>3.8899999999999997E-2</v>
      </c>
      <c r="AQ417">
        <v>3.2599999999999997E-2</v>
      </c>
      <c r="AR417">
        <v>3.6299999999999999E-2</v>
      </c>
      <c r="AS417">
        <v>4.1799999999999997E-2</v>
      </c>
      <c r="AT417">
        <v>4.8000000000000001E-2</v>
      </c>
      <c r="AU417">
        <v>5.8900000000000001E-2</v>
      </c>
      <c r="AV417">
        <v>4.19E-2</v>
      </c>
    </row>
    <row r="418" spans="1:48" x14ac:dyDescent="0.25">
      <c r="A418" t="s">
        <v>513</v>
      </c>
      <c r="B418" t="s">
        <v>2</v>
      </c>
      <c r="C418" t="s">
        <v>513</v>
      </c>
      <c r="D418">
        <v>38540</v>
      </c>
      <c r="E418" t="s">
        <v>672</v>
      </c>
      <c r="F418" t="s">
        <v>117</v>
      </c>
      <c r="G418" t="s">
        <v>670</v>
      </c>
      <c r="H418" t="s">
        <v>670</v>
      </c>
      <c r="I418" t="s">
        <v>673</v>
      </c>
      <c r="J418" t="s">
        <v>673</v>
      </c>
      <c r="K418" t="s">
        <v>673</v>
      </c>
      <c r="L418" t="s">
        <v>673</v>
      </c>
      <c r="M418" t="s">
        <v>673</v>
      </c>
      <c r="N418" t="s">
        <v>673</v>
      </c>
      <c r="O418" t="s">
        <v>673</v>
      </c>
      <c r="P418" t="s">
        <v>673</v>
      </c>
      <c r="Q418" t="s">
        <v>673</v>
      </c>
      <c r="R418" t="s">
        <v>673</v>
      </c>
      <c r="S418">
        <v>0.19500000000000001</v>
      </c>
      <c r="T418">
        <v>0.16689999999999999</v>
      </c>
      <c r="U418">
        <v>0.17480000000000001</v>
      </c>
      <c r="V418">
        <v>0.1903</v>
      </c>
      <c r="W418">
        <v>-3.5999999999999999E-3</v>
      </c>
      <c r="X418">
        <v>3.1399999999999997E-2</v>
      </c>
      <c r="Y418">
        <v>1.5299999999999999E-2</v>
      </c>
      <c r="Z418">
        <v>1.9E-3</v>
      </c>
      <c r="AA418">
        <v>1.55E-2</v>
      </c>
      <c r="AB418">
        <v>5.2900000000000003E-2</v>
      </c>
      <c r="AC418">
        <v>6.3299999999999995E-2</v>
      </c>
      <c r="AD418">
        <v>7.2700000000000001E-2</v>
      </c>
      <c r="AE418">
        <v>0.10390000000000001</v>
      </c>
      <c r="AF418">
        <v>6.8199999999999997E-2</v>
      </c>
      <c r="AG418" t="s">
        <v>673</v>
      </c>
      <c r="AH418" t="s">
        <v>673</v>
      </c>
      <c r="AI418" t="s">
        <v>673</v>
      </c>
      <c r="AJ418" t="s">
        <v>673</v>
      </c>
      <c r="AK418" t="s">
        <v>673</v>
      </c>
      <c r="AL418" t="s">
        <v>673</v>
      </c>
      <c r="AM418" t="s">
        <v>673</v>
      </c>
      <c r="AN418" t="s">
        <v>673</v>
      </c>
      <c r="AO418">
        <v>-5.1799999999999999E-2</v>
      </c>
      <c r="AP418">
        <v>0.33379999999999999</v>
      </c>
      <c r="AQ418">
        <v>0.4672</v>
      </c>
      <c r="AR418">
        <v>0.33160000000000001</v>
      </c>
      <c r="AS418">
        <v>0.1457</v>
      </c>
      <c r="AT418">
        <v>0.15820000000000001</v>
      </c>
      <c r="AU418">
        <v>0.25619999999999998</v>
      </c>
      <c r="AV418">
        <v>0.30130000000000001</v>
      </c>
    </row>
    <row r="419" spans="1:48" x14ac:dyDescent="0.25">
      <c r="A419" t="s">
        <v>514</v>
      </c>
      <c r="B419" t="s">
        <v>2</v>
      </c>
      <c r="C419" t="s">
        <v>514</v>
      </c>
      <c r="D419">
        <v>38620</v>
      </c>
      <c r="E419" t="s">
        <v>672</v>
      </c>
      <c r="F419" t="s">
        <v>117</v>
      </c>
      <c r="G419" t="s">
        <v>670</v>
      </c>
      <c r="H419" t="s">
        <v>670</v>
      </c>
      <c r="I419" t="s">
        <v>673</v>
      </c>
      <c r="J419" t="s">
        <v>673</v>
      </c>
      <c r="K419" t="s">
        <v>673</v>
      </c>
      <c r="L419" t="s">
        <v>673</v>
      </c>
      <c r="M419" t="s">
        <v>673</v>
      </c>
      <c r="N419" t="s">
        <v>673</v>
      </c>
      <c r="O419" t="s">
        <v>673</v>
      </c>
      <c r="P419" t="s">
        <v>673</v>
      </c>
      <c r="Q419" t="s">
        <v>673</v>
      </c>
      <c r="R419" t="s">
        <v>673</v>
      </c>
      <c r="S419" t="s">
        <v>673</v>
      </c>
      <c r="T419" t="s">
        <v>673</v>
      </c>
      <c r="U419" t="s">
        <v>673</v>
      </c>
      <c r="V419" t="s">
        <v>673</v>
      </c>
      <c r="W419" t="s">
        <v>673</v>
      </c>
      <c r="X419" t="s">
        <v>673</v>
      </c>
      <c r="Y419" t="s">
        <v>673</v>
      </c>
      <c r="Z419" t="s">
        <v>673</v>
      </c>
      <c r="AA419" t="s">
        <v>673</v>
      </c>
      <c r="AB419" t="s">
        <v>673</v>
      </c>
      <c r="AC419" t="s">
        <v>673</v>
      </c>
      <c r="AD419" t="s">
        <v>673</v>
      </c>
      <c r="AE419" t="s">
        <v>673</v>
      </c>
      <c r="AF419" t="s">
        <v>673</v>
      </c>
      <c r="AG419" t="s">
        <v>673</v>
      </c>
      <c r="AH419" t="s">
        <v>673</v>
      </c>
      <c r="AI419" t="s">
        <v>673</v>
      </c>
      <c r="AJ419" t="s">
        <v>673</v>
      </c>
      <c r="AK419" t="s">
        <v>673</v>
      </c>
      <c r="AL419" t="s">
        <v>673</v>
      </c>
      <c r="AM419" t="s">
        <v>673</v>
      </c>
      <c r="AN419" t="s">
        <v>673</v>
      </c>
      <c r="AO419" t="s">
        <v>673</v>
      </c>
      <c r="AP419" t="s">
        <v>673</v>
      </c>
      <c r="AQ419" t="s">
        <v>673</v>
      </c>
      <c r="AR419" t="s">
        <v>673</v>
      </c>
      <c r="AS419" t="s">
        <v>673</v>
      </c>
      <c r="AT419" t="s">
        <v>673</v>
      </c>
      <c r="AU419" t="s">
        <v>673</v>
      </c>
      <c r="AV419" t="s">
        <v>673</v>
      </c>
    </row>
    <row r="420" spans="1:48" x14ac:dyDescent="0.25">
      <c r="A420" t="s">
        <v>515</v>
      </c>
      <c r="B420" t="s">
        <v>2</v>
      </c>
      <c r="C420" t="s">
        <v>515</v>
      </c>
      <c r="D420">
        <v>38860</v>
      </c>
      <c r="E420" t="s">
        <v>672</v>
      </c>
      <c r="F420" t="s">
        <v>117</v>
      </c>
      <c r="G420" t="s">
        <v>670</v>
      </c>
      <c r="H420" t="s">
        <v>670</v>
      </c>
      <c r="I420">
        <v>9.5699999999999993E-2</v>
      </c>
      <c r="J420">
        <v>4.41E-2</v>
      </c>
      <c r="K420">
        <v>4.7399999999999998E-2</v>
      </c>
      <c r="L420">
        <v>7.7899999999999997E-2</v>
      </c>
      <c r="M420">
        <v>4.8899999999999999E-2</v>
      </c>
      <c r="N420">
        <v>7.7299999999999994E-2</v>
      </c>
      <c r="O420">
        <v>6.2300000000000001E-2</v>
      </c>
      <c r="P420">
        <v>5.9200000000000003E-2</v>
      </c>
      <c r="Q420">
        <v>6.7100000000000007E-2</v>
      </c>
      <c r="R420">
        <v>3.9300000000000002E-2</v>
      </c>
      <c r="S420">
        <v>7.4399999999999994E-2</v>
      </c>
      <c r="T420">
        <v>4.3200000000000002E-2</v>
      </c>
      <c r="U420">
        <v>4.2099999999999999E-2</v>
      </c>
      <c r="V420">
        <v>5.0099999999999999E-2</v>
      </c>
      <c r="W420">
        <v>6.7500000000000004E-2</v>
      </c>
      <c r="X420">
        <v>2.3E-2</v>
      </c>
      <c r="Y420">
        <v>3.0800000000000001E-2</v>
      </c>
      <c r="Z420">
        <v>1.04E-2</v>
      </c>
      <c r="AA420">
        <v>-1.4200000000000001E-2</v>
      </c>
      <c r="AB420">
        <v>8.2100000000000006E-2</v>
      </c>
      <c r="AC420">
        <v>7.2400000000000006E-2</v>
      </c>
      <c r="AD420">
        <v>0.1124</v>
      </c>
      <c r="AE420">
        <v>0.1474</v>
      </c>
      <c r="AF420">
        <v>7.8299999999999995E-2</v>
      </c>
      <c r="AG420">
        <v>6.6400000000000001E-2</v>
      </c>
      <c r="AH420">
        <v>7.6799999999999993E-2</v>
      </c>
      <c r="AI420">
        <v>6.1400000000000003E-2</v>
      </c>
      <c r="AJ420">
        <v>7.0099999999999996E-2</v>
      </c>
      <c r="AK420">
        <v>7.7100000000000002E-2</v>
      </c>
      <c r="AL420">
        <v>5.1700000000000003E-2</v>
      </c>
      <c r="AM420">
        <v>3.6799999999999999E-2</v>
      </c>
      <c r="AN420">
        <v>3.2000000000000001E-2</v>
      </c>
      <c r="AO420">
        <v>3.5799999999999998E-2</v>
      </c>
      <c r="AP420">
        <v>1.9900000000000001E-2</v>
      </c>
      <c r="AQ420">
        <v>5.21E-2</v>
      </c>
      <c r="AR420">
        <v>8.0299999999999996E-2</v>
      </c>
      <c r="AS420">
        <v>9.0300000000000005E-2</v>
      </c>
      <c r="AT420">
        <v>0.1109</v>
      </c>
      <c r="AU420">
        <v>9.4500000000000001E-2</v>
      </c>
      <c r="AV420">
        <v>5.2900000000000003E-2</v>
      </c>
    </row>
    <row r="421" spans="1:48" x14ac:dyDescent="0.25">
      <c r="A421" t="s">
        <v>21</v>
      </c>
      <c r="B421" t="s">
        <v>2</v>
      </c>
      <c r="C421" t="s">
        <v>21</v>
      </c>
      <c r="D421">
        <v>38900</v>
      </c>
      <c r="E421" t="s">
        <v>672</v>
      </c>
      <c r="F421" t="s">
        <v>117</v>
      </c>
      <c r="G421" t="s">
        <v>670</v>
      </c>
      <c r="H421" t="s">
        <v>670</v>
      </c>
      <c r="I421">
        <v>0.13750000000000001</v>
      </c>
      <c r="J421">
        <v>0.1085</v>
      </c>
      <c r="K421">
        <v>6.8099999999999994E-2</v>
      </c>
      <c r="L421">
        <v>5.62E-2</v>
      </c>
      <c r="M421">
        <v>4.3999999999999997E-2</v>
      </c>
      <c r="N421">
        <v>3.9100000000000003E-2</v>
      </c>
      <c r="O421">
        <v>3.9600000000000003E-2</v>
      </c>
      <c r="P421">
        <v>3.3599999999999998E-2</v>
      </c>
      <c r="Q421">
        <v>1.95E-2</v>
      </c>
      <c r="R421">
        <v>1.0800000000000001E-2</v>
      </c>
      <c r="S421">
        <v>2.4799999999999999E-2</v>
      </c>
      <c r="T421">
        <v>3.1800000000000002E-2</v>
      </c>
      <c r="U421">
        <v>4.2000000000000003E-2</v>
      </c>
      <c r="V421">
        <v>4.9200000000000001E-2</v>
      </c>
      <c r="W421">
        <v>4.19E-2</v>
      </c>
      <c r="X421">
        <v>3.95E-2</v>
      </c>
      <c r="Y421">
        <v>4.2200000000000001E-2</v>
      </c>
      <c r="Z421">
        <v>7.4000000000000003E-3</v>
      </c>
      <c r="AA421">
        <v>-6.8999999999999999E-3</v>
      </c>
      <c r="AB421">
        <v>-3.0999999999999999E-3</v>
      </c>
      <c r="AC421">
        <v>1.2999999999999999E-3</v>
      </c>
      <c r="AD421">
        <v>5.0200000000000002E-2</v>
      </c>
      <c r="AE421">
        <v>0.1036</v>
      </c>
      <c r="AF421">
        <v>0.13769999999999999</v>
      </c>
      <c r="AG421">
        <v>0.13739999999999999</v>
      </c>
      <c r="AH421">
        <v>0.1338</v>
      </c>
      <c r="AI421">
        <v>0.113</v>
      </c>
      <c r="AJ421">
        <v>7.6799999999999993E-2</v>
      </c>
      <c r="AK421">
        <v>6.3899999999999998E-2</v>
      </c>
      <c r="AL421">
        <v>2.4400000000000002E-2</v>
      </c>
      <c r="AM421">
        <v>-1.7100000000000001E-2</v>
      </c>
      <c r="AN421">
        <v>-2.6200000000000001E-2</v>
      </c>
      <c r="AO421">
        <v>-2.23E-2</v>
      </c>
      <c r="AP421">
        <v>-5.0000000000000001E-3</v>
      </c>
      <c r="AQ421">
        <v>7.1999999999999998E-3</v>
      </c>
      <c r="AR421">
        <v>1.0500000000000001E-2</v>
      </c>
      <c r="AS421">
        <v>9.1000000000000004E-3</v>
      </c>
      <c r="AT421">
        <v>1.3299999999999999E-2</v>
      </c>
      <c r="AU421">
        <v>4.8999999999999998E-3</v>
      </c>
      <c r="AV421">
        <v>-1E-3</v>
      </c>
    </row>
    <row r="422" spans="1:48" x14ac:dyDescent="0.25">
      <c r="A422" t="s">
        <v>516</v>
      </c>
      <c r="B422" t="s">
        <v>2</v>
      </c>
      <c r="C422" t="s">
        <v>516</v>
      </c>
      <c r="D422">
        <v>238940</v>
      </c>
      <c r="E422" t="s">
        <v>672</v>
      </c>
      <c r="F422" t="s">
        <v>117</v>
      </c>
      <c r="G422" t="s">
        <v>670</v>
      </c>
      <c r="H422" t="s">
        <v>670</v>
      </c>
      <c r="I422">
        <v>7.7200000000000005E-2</v>
      </c>
      <c r="J422">
        <v>0.1004</v>
      </c>
      <c r="K422">
        <v>8.4500000000000006E-2</v>
      </c>
      <c r="L422">
        <v>7.22E-2</v>
      </c>
      <c r="M422">
        <v>7.7700000000000005E-2</v>
      </c>
      <c r="N422">
        <v>6.3299999999999995E-2</v>
      </c>
      <c r="O422">
        <v>6.4799999999999996E-2</v>
      </c>
      <c r="P422">
        <v>6.25E-2</v>
      </c>
      <c r="Q422">
        <v>3.8399999999999997E-2</v>
      </c>
      <c r="R422">
        <v>3.8600000000000002E-2</v>
      </c>
      <c r="S422">
        <v>3.6700000000000003E-2</v>
      </c>
      <c r="T422">
        <v>3.09E-2</v>
      </c>
      <c r="U422">
        <v>3.2599999999999997E-2</v>
      </c>
      <c r="V422">
        <v>2.06E-2</v>
      </c>
      <c r="W422">
        <v>2.7300000000000001E-2</v>
      </c>
      <c r="X422">
        <v>4.5999999999999999E-2</v>
      </c>
      <c r="Y422">
        <v>7.2499999999999995E-2</v>
      </c>
      <c r="Z422">
        <v>5.8599999999999999E-2</v>
      </c>
      <c r="AA422">
        <v>5.8700000000000002E-2</v>
      </c>
      <c r="AB422">
        <v>6.0400000000000002E-2</v>
      </c>
      <c r="AC422">
        <v>4.36E-2</v>
      </c>
      <c r="AD422">
        <v>0.13619999999999999</v>
      </c>
      <c r="AE422">
        <v>0.24529999999999999</v>
      </c>
      <c r="AF422">
        <v>0.28399999999999997</v>
      </c>
      <c r="AG422">
        <v>0.30330000000000001</v>
      </c>
      <c r="AH422">
        <v>0.25290000000000001</v>
      </c>
      <c r="AI422">
        <v>0.14169999999999999</v>
      </c>
      <c r="AJ422">
        <v>9.6600000000000005E-2</v>
      </c>
      <c r="AK422">
        <v>5.5399999999999998E-2</v>
      </c>
      <c r="AL422">
        <v>2.2100000000000002E-2</v>
      </c>
      <c r="AM422">
        <v>1.9599999999999999E-2</v>
      </c>
      <c r="AN422">
        <v>4.7999999999999996E-3</v>
      </c>
      <c r="AO422">
        <v>-1.4800000000000001E-2</v>
      </c>
      <c r="AP422">
        <v>-1.61E-2</v>
      </c>
      <c r="AQ422">
        <v>-4.1999999999999997E-3</v>
      </c>
      <c r="AR422">
        <v>4.0000000000000002E-4</v>
      </c>
      <c r="AS422">
        <v>6.5500000000000003E-2</v>
      </c>
      <c r="AT422">
        <v>6.2E-2</v>
      </c>
      <c r="AU422">
        <v>4.1200000000000001E-2</v>
      </c>
      <c r="AV422">
        <v>2.3400000000000001E-2</v>
      </c>
    </row>
    <row r="423" spans="1:48" x14ac:dyDescent="0.25">
      <c r="A423" t="s">
        <v>517</v>
      </c>
      <c r="B423" t="s">
        <v>2</v>
      </c>
      <c r="C423" t="s">
        <v>517</v>
      </c>
      <c r="D423">
        <v>39060</v>
      </c>
      <c r="E423" t="s">
        <v>672</v>
      </c>
      <c r="F423" t="s">
        <v>117</v>
      </c>
      <c r="G423" t="s">
        <v>670</v>
      </c>
      <c r="H423" t="s">
        <v>670</v>
      </c>
      <c r="I423" t="s">
        <v>673</v>
      </c>
      <c r="J423" t="s">
        <v>673</v>
      </c>
      <c r="K423" t="s">
        <v>673</v>
      </c>
      <c r="L423" t="s">
        <v>673</v>
      </c>
      <c r="M423" t="s">
        <v>673</v>
      </c>
      <c r="N423" t="s">
        <v>673</v>
      </c>
      <c r="O423" t="s">
        <v>673</v>
      </c>
      <c r="P423" t="s">
        <v>673</v>
      </c>
      <c r="Q423" t="s">
        <v>673</v>
      </c>
      <c r="R423" t="s">
        <v>673</v>
      </c>
      <c r="S423" t="s">
        <v>673</v>
      </c>
      <c r="T423" t="s">
        <v>673</v>
      </c>
      <c r="U423" t="s">
        <v>673</v>
      </c>
      <c r="V423" t="s">
        <v>673</v>
      </c>
      <c r="W423" t="s">
        <v>673</v>
      </c>
      <c r="X423" t="s">
        <v>673</v>
      </c>
      <c r="Y423" t="s">
        <v>673</v>
      </c>
      <c r="Z423" t="s">
        <v>673</v>
      </c>
      <c r="AA423" t="s">
        <v>673</v>
      </c>
      <c r="AB423" t="s">
        <v>673</v>
      </c>
      <c r="AC423" t="s">
        <v>673</v>
      </c>
      <c r="AD423" t="s">
        <v>673</v>
      </c>
      <c r="AE423" t="s">
        <v>673</v>
      </c>
      <c r="AF423" t="s">
        <v>673</v>
      </c>
      <c r="AG423" t="s">
        <v>673</v>
      </c>
      <c r="AH423" t="s">
        <v>673</v>
      </c>
      <c r="AI423" t="s">
        <v>673</v>
      </c>
      <c r="AJ423" t="s">
        <v>673</v>
      </c>
      <c r="AK423" t="s">
        <v>673</v>
      </c>
      <c r="AL423" t="s">
        <v>673</v>
      </c>
      <c r="AM423" t="s">
        <v>673</v>
      </c>
      <c r="AN423" t="s">
        <v>673</v>
      </c>
      <c r="AO423" t="s">
        <v>673</v>
      </c>
      <c r="AP423" t="s">
        <v>673</v>
      </c>
      <c r="AQ423" t="s">
        <v>673</v>
      </c>
      <c r="AR423" t="s">
        <v>673</v>
      </c>
      <c r="AS423" t="s">
        <v>673</v>
      </c>
      <c r="AT423" t="s">
        <v>673</v>
      </c>
      <c r="AU423" t="s">
        <v>673</v>
      </c>
      <c r="AV423" t="s">
        <v>673</v>
      </c>
    </row>
    <row r="424" spans="1:48" x14ac:dyDescent="0.25">
      <c r="A424" t="s">
        <v>518</v>
      </c>
      <c r="B424" t="s">
        <v>2</v>
      </c>
      <c r="C424" t="s">
        <v>518</v>
      </c>
      <c r="D424">
        <v>39150</v>
      </c>
      <c r="E424" t="s">
        <v>672</v>
      </c>
      <c r="F424" t="s">
        <v>117</v>
      </c>
      <c r="G424" t="s">
        <v>670</v>
      </c>
      <c r="H424" t="s">
        <v>670</v>
      </c>
      <c r="I424">
        <v>7.1400000000000005E-2</v>
      </c>
      <c r="J424">
        <v>0.1123</v>
      </c>
      <c r="K424">
        <v>-6.3299999999999995E-2</v>
      </c>
      <c r="L424">
        <v>-6.8599999999999994E-2</v>
      </c>
      <c r="M424">
        <v>-6.4399999999999999E-2</v>
      </c>
      <c r="N424">
        <v>-6.1800000000000001E-2</v>
      </c>
      <c r="O424">
        <v>7.2999999999999995E-2</v>
      </c>
      <c r="P424">
        <v>5.4699999999999999E-2</v>
      </c>
      <c r="Q424">
        <v>4.7399999999999998E-2</v>
      </c>
      <c r="R424">
        <v>4.19E-2</v>
      </c>
      <c r="S424">
        <v>2.1700000000000001E-2</v>
      </c>
      <c r="T424">
        <v>3.3599999999999998E-2</v>
      </c>
      <c r="U424">
        <v>-7.8799999999999995E-2</v>
      </c>
      <c r="V424">
        <v>-7.2499999999999995E-2</v>
      </c>
      <c r="W424">
        <v>-3.04E-2</v>
      </c>
      <c r="X424">
        <v>0.20960000000000001</v>
      </c>
      <c r="Y424">
        <v>0.35709999999999997</v>
      </c>
      <c r="Z424">
        <v>0.39750000000000002</v>
      </c>
      <c r="AA424">
        <v>0.38279999999999997</v>
      </c>
      <c r="AB424">
        <v>0.17399999999999999</v>
      </c>
      <c r="AC424">
        <v>0.1578</v>
      </c>
      <c r="AD424">
        <v>0.1716</v>
      </c>
      <c r="AE424">
        <v>0.20050000000000001</v>
      </c>
      <c r="AF424">
        <v>0.13519999999999999</v>
      </c>
      <c r="AG424">
        <v>0.155</v>
      </c>
      <c r="AH424">
        <v>0.1226</v>
      </c>
      <c r="AI424">
        <v>0.14399999999999999</v>
      </c>
      <c r="AJ424">
        <v>0.14580000000000001</v>
      </c>
      <c r="AK424">
        <v>0.11070000000000001</v>
      </c>
      <c r="AL424">
        <v>0.1191</v>
      </c>
      <c r="AM424">
        <v>4.2099999999999999E-2</v>
      </c>
      <c r="AN424">
        <v>1.29E-2</v>
      </c>
      <c r="AO424">
        <v>5.1000000000000004E-3</v>
      </c>
      <c r="AP424">
        <v>-2.8899999999999999E-2</v>
      </c>
      <c r="AQ424">
        <v>-6.7699999999999996E-2</v>
      </c>
      <c r="AR424">
        <v>-5.4300000000000001E-2</v>
      </c>
      <c r="AS424">
        <v>-1.11E-2</v>
      </c>
      <c r="AT424">
        <v>1.6999999999999999E-3</v>
      </c>
      <c r="AU424">
        <v>3.4799999999999998E-2</v>
      </c>
      <c r="AV424">
        <v>3.85E-2</v>
      </c>
    </row>
    <row r="425" spans="1:48" x14ac:dyDescent="0.25">
      <c r="A425" t="s">
        <v>519</v>
      </c>
      <c r="B425" t="s">
        <v>2</v>
      </c>
      <c r="C425" t="s">
        <v>519</v>
      </c>
      <c r="D425">
        <v>39300</v>
      </c>
      <c r="E425" t="s">
        <v>672</v>
      </c>
      <c r="F425" t="s">
        <v>117</v>
      </c>
      <c r="G425" t="s">
        <v>670</v>
      </c>
      <c r="H425" t="s">
        <v>670</v>
      </c>
      <c r="I425">
        <v>5.1999999999999998E-2</v>
      </c>
      <c r="J425">
        <v>4.5900000000000003E-2</v>
      </c>
      <c r="K425">
        <v>2.9000000000000001E-2</v>
      </c>
      <c r="L425">
        <v>1.8200000000000001E-2</v>
      </c>
      <c r="M425">
        <v>2.58E-2</v>
      </c>
      <c r="N425">
        <v>2.53E-2</v>
      </c>
      <c r="O425">
        <v>4.7E-2</v>
      </c>
      <c r="P425">
        <v>5.3400000000000003E-2</v>
      </c>
      <c r="Q425">
        <v>3.1099999999999999E-2</v>
      </c>
      <c r="R425">
        <v>4.4999999999999998E-2</v>
      </c>
      <c r="S425">
        <v>3.4500000000000003E-2</v>
      </c>
      <c r="T425">
        <v>1.7600000000000001E-2</v>
      </c>
      <c r="U425">
        <v>3.2300000000000002E-2</v>
      </c>
      <c r="V425">
        <v>2.1899999999999999E-2</v>
      </c>
      <c r="W425">
        <v>0.03</v>
      </c>
      <c r="X425">
        <v>5.8700000000000002E-2</v>
      </c>
      <c r="Y425">
        <v>5.5899999999999998E-2</v>
      </c>
      <c r="Z425">
        <v>3.3399999999999999E-2</v>
      </c>
      <c r="AA425">
        <v>3.4299999999999997E-2</v>
      </c>
      <c r="AB425">
        <v>3.4599999999999999E-2</v>
      </c>
      <c r="AC425">
        <v>3.39E-2</v>
      </c>
      <c r="AD425">
        <v>6.6100000000000006E-2</v>
      </c>
      <c r="AE425">
        <v>8.9700000000000002E-2</v>
      </c>
      <c r="AF425">
        <v>9.3700000000000006E-2</v>
      </c>
      <c r="AG425">
        <v>0.111</v>
      </c>
      <c r="AH425">
        <v>0.1187</v>
      </c>
      <c r="AI425">
        <v>0.10929999999999999</v>
      </c>
      <c r="AJ425">
        <v>9.3100000000000002E-2</v>
      </c>
      <c r="AK425">
        <v>7.8200000000000006E-2</v>
      </c>
      <c r="AL425">
        <v>6.6799999999999998E-2</v>
      </c>
      <c r="AM425">
        <v>4.8099999999999997E-2</v>
      </c>
      <c r="AN425">
        <v>4.8500000000000001E-2</v>
      </c>
      <c r="AO425">
        <v>4.48E-2</v>
      </c>
      <c r="AP425">
        <v>0.04</v>
      </c>
      <c r="AQ425">
        <v>4.4900000000000002E-2</v>
      </c>
      <c r="AR425">
        <v>4.7600000000000003E-2</v>
      </c>
      <c r="AS425">
        <v>6.9599999999999995E-2</v>
      </c>
      <c r="AT425">
        <v>7.6200000000000004E-2</v>
      </c>
      <c r="AU425">
        <v>6.6500000000000004E-2</v>
      </c>
      <c r="AV425">
        <v>5.0200000000000002E-2</v>
      </c>
    </row>
    <row r="426" spans="1:48" x14ac:dyDescent="0.25">
      <c r="A426" t="s">
        <v>520</v>
      </c>
      <c r="B426" t="s">
        <v>2</v>
      </c>
      <c r="C426" t="s">
        <v>520</v>
      </c>
      <c r="D426">
        <v>39340</v>
      </c>
      <c r="E426" t="s">
        <v>672</v>
      </c>
      <c r="F426" t="s">
        <v>117</v>
      </c>
      <c r="G426" t="s">
        <v>670</v>
      </c>
      <c r="H426" t="s">
        <v>670</v>
      </c>
      <c r="I426">
        <v>0.1409</v>
      </c>
      <c r="J426">
        <v>0.1125</v>
      </c>
      <c r="K426">
        <v>7.3999999999999996E-2</v>
      </c>
      <c r="L426">
        <v>5.8799999999999998E-2</v>
      </c>
      <c r="M426">
        <v>3.0700000000000002E-2</v>
      </c>
      <c r="N426">
        <v>5.21E-2</v>
      </c>
      <c r="O426">
        <v>5.4300000000000001E-2</v>
      </c>
      <c r="P426">
        <v>0.05</v>
      </c>
      <c r="Q426">
        <v>6.2E-2</v>
      </c>
      <c r="R426">
        <v>3.1399999999999997E-2</v>
      </c>
      <c r="S426">
        <v>1.2200000000000001E-2</v>
      </c>
      <c r="T426">
        <v>7.7999999999999996E-3</v>
      </c>
      <c r="U426">
        <v>1.2999999999999999E-3</v>
      </c>
      <c r="V426">
        <v>2.9600000000000001E-2</v>
      </c>
      <c r="W426">
        <v>4.6199999999999998E-2</v>
      </c>
      <c r="X426">
        <v>4.3099999999999999E-2</v>
      </c>
      <c r="Y426">
        <v>1.5900000000000001E-2</v>
      </c>
      <c r="Z426">
        <v>-1.17E-2</v>
      </c>
      <c r="AA426">
        <v>-6.4000000000000003E-3</v>
      </c>
      <c r="AB426">
        <v>2.7000000000000001E-3</v>
      </c>
      <c r="AC426">
        <v>4.7699999999999999E-2</v>
      </c>
      <c r="AD426">
        <v>0.1075</v>
      </c>
      <c r="AE426">
        <v>0.14680000000000001</v>
      </c>
      <c r="AF426">
        <v>0.18</v>
      </c>
      <c r="AG426">
        <v>0.18609999999999999</v>
      </c>
      <c r="AH426">
        <v>0.18</v>
      </c>
      <c r="AI426">
        <v>0.14319999999999999</v>
      </c>
      <c r="AJ426">
        <v>8.8700000000000001E-2</v>
      </c>
      <c r="AK426">
        <v>5.1499999999999997E-2</v>
      </c>
      <c r="AL426">
        <v>6.6E-3</v>
      </c>
      <c r="AM426">
        <v>-1.0699999999999999E-2</v>
      </c>
      <c r="AN426">
        <v>-1.7000000000000001E-2</v>
      </c>
      <c r="AO426">
        <v>-1.1999999999999999E-3</v>
      </c>
      <c r="AP426">
        <v>1.8E-3</v>
      </c>
      <c r="AQ426">
        <v>-9.1999999999999998E-3</v>
      </c>
      <c r="AR426">
        <v>-2.0299999999999999E-2</v>
      </c>
      <c r="AS426">
        <v>-3.15E-2</v>
      </c>
      <c r="AT426">
        <v>-1.37E-2</v>
      </c>
      <c r="AU426">
        <v>-4.4000000000000003E-3</v>
      </c>
      <c r="AV426">
        <v>4.1000000000000003E-3</v>
      </c>
    </row>
    <row r="427" spans="1:48" x14ac:dyDescent="0.25">
      <c r="A427" t="s">
        <v>521</v>
      </c>
      <c r="B427" t="s">
        <v>2</v>
      </c>
      <c r="C427" t="s">
        <v>521</v>
      </c>
      <c r="D427">
        <v>39380</v>
      </c>
      <c r="E427" t="s">
        <v>672</v>
      </c>
      <c r="F427" t="s">
        <v>117</v>
      </c>
      <c r="G427" t="s">
        <v>670</v>
      </c>
      <c r="H427" t="s">
        <v>670</v>
      </c>
      <c r="I427">
        <v>-9.2399999999999996E-2</v>
      </c>
      <c r="J427">
        <v>-7.9799999999999996E-2</v>
      </c>
      <c r="K427">
        <v>-7.0499999999999993E-2</v>
      </c>
      <c r="L427">
        <v>4.4400000000000002E-2</v>
      </c>
      <c r="M427">
        <v>8.2500000000000004E-2</v>
      </c>
      <c r="N427">
        <v>0.2351</v>
      </c>
      <c r="O427">
        <v>0.31459999999999999</v>
      </c>
      <c r="P427">
        <v>0.31369999999999998</v>
      </c>
      <c r="Q427">
        <v>0.2429</v>
      </c>
      <c r="R427">
        <v>9.7000000000000003E-2</v>
      </c>
      <c r="S427">
        <v>2.5000000000000001E-2</v>
      </c>
      <c r="T427">
        <v>3.0599999999999999E-2</v>
      </c>
      <c r="U427">
        <v>1.8599999999999998E-2</v>
      </c>
      <c r="V427">
        <v>1.2999999999999999E-2</v>
      </c>
      <c r="W427">
        <v>1.4800000000000001E-2</v>
      </c>
      <c r="X427">
        <v>1.4999999999999999E-2</v>
      </c>
      <c r="Y427">
        <v>1.3299999999999999E-2</v>
      </c>
      <c r="Z427">
        <v>9.2999999999999992E-3</v>
      </c>
      <c r="AA427">
        <v>2.18E-2</v>
      </c>
      <c r="AB427">
        <v>4.87E-2</v>
      </c>
      <c r="AC427">
        <v>8.1199999999999994E-2</v>
      </c>
      <c r="AD427">
        <v>0.1303</v>
      </c>
      <c r="AE427">
        <v>0.1201</v>
      </c>
      <c r="AF427">
        <v>8.0500000000000002E-2</v>
      </c>
      <c r="AG427">
        <v>0.13619999999999999</v>
      </c>
      <c r="AH427">
        <v>0.1241</v>
      </c>
      <c r="AI427">
        <v>0.1615</v>
      </c>
      <c r="AJ427">
        <v>0.17369999999999999</v>
      </c>
      <c r="AK427">
        <v>7.0599999999999996E-2</v>
      </c>
      <c r="AL427">
        <v>6.6299999999999998E-2</v>
      </c>
      <c r="AM427">
        <v>6.1000000000000004E-3</v>
      </c>
      <c r="AN427">
        <v>5.7500000000000002E-2</v>
      </c>
      <c r="AO427">
        <v>9.0999999999999998E-2</v>
      </c>
      <c r="AP427">
        <v>5.2600000000000001E-2</v>
      </c>
      <c r="AQ427">
        <v>4.7899999999999998E-2</v>
      </c>
      <c r="AR427">
        <v>-3.4000000000000002E-2</v>
      </c>
      <c r="AS427">
        <v>-1.5699999999999999E-2</v>
      </c>
      <c r="AT427">
        <v>-4.7300000000000002E-2</v>
      </c>
      <c r="AU427">
        <v>-4.1399999999999999E-2</v>
      </c>
      <c r="AV427">
        <v>-3.6400000000000002E-2</v>
      </c>
    </row>
    <row r="428" spans="1:48" x14ac:dyDescent="0.25">
      <c r="A428" t="s">
        <v>522</v>
      </c>
      <c r="B428" t="s">
        <v>2</v>
      </c>
      <c r="C428" t="s">
        <v>522</v>
      </c>
      <c r="D428">
        <v>39420</v>
      </c>
      <c r="E428" t="s">
        <v>672</v>
      </c>
      <c r="F428" t="s">
        <v>117</v>
      </c>
      <c r="G428" t="s">
        <v>670</v>
      </c>
      <c r="H428" t="s">
        <v>670</v>
      </c>
      <c r="I428">
        <v>1.46E-2</v>
      </c>
      <c r="J428">
        <v>-1.84E-2</v>
      </c>
      <c r="K428">
        <v>-3.1300000000000001E-2</v>
      </c>
      <c r="L428">
        <v>3.0000000000000001E-3</v>
      </c>
      <c r="M428">
        <v>4.1599999999999998E-2</v>
      </c>
      <c r="N428">
        <v>4.2099999999999999E-2</v>
      </c>
      <c r="O428">
        <v>7.9100000000000004E-2</v>
      </c>
      <c r="P428">
        <v>5.4699999999999999E-2</v>
      </c>
      <c r="Q428">
        <v>2.7199999999999998E-2</v>
      </c>
      <c r="R428">
        <v>4.9500000000000002E-2</v>
      </c>
      <c r="S428">
        <v>4.7100000000000003E-2</v>
      </c>
      <c r="T428">
        <v>5.0999999999999997E-2</v>
      </c>
      <c r="U428">
        <v>6.1400000000000003E-2</v>
      </c>
      <c r="V428">
        <v>5.5199999999999999E-2</v>
      </c>
      <c r="W428">
        <v>7.6499999999999999E-2</v>
      </c>
      <c r="X428">
        <v>5.6800000000000003E-2</v>
      </c>
      <c r="Y428">
        <v>4.1099999999999998E-2</v>
      </c>
      <c r="Z428">
        <v>2.9399999999999999E-2</v>
      </c>
      <c r="AA428">
        <v>-1.38E-2</v>
      </c>
      <c r="AB428">
        <v>-5.7000000000000002E-3</v>
      </c>
      <c r="AC428">
        <v>-1.9900000000000001E-2</v>
      </c>
      <c r="AD428">
        <v>-3.15E-2</v>
      </c>
      <c r="AE428">
        <v>2.18E-2</v>
      </c>
      <c r="AF428">
        <v>6.0000000000000001E-3</v>
      </c>
      <c r="AG428">
        <v>4.4699999999999997E-2</v>
      </c>
      <c r="AH428">
        <v>6.7299999999999999E-2</v>
      </c>
      <c r="AI428">
        <v>2.47E-2</v>
      </c>
      <c r="AJ428">
        <v>4.1300000000000003E-2</v>
      </c>
      <c r="AK428">
        <v>5.6800000000000003E-2</v>
      </c>
      <c r="AL428">
        <v>6.2600000000000003E-2</v>
      </c>
      <c r="AM428">
        <v>7.4200000000000002E-2</v>
      </c>
      <c r="AN428">
        <v>9.0800000000000006E-2</v>
      </c>
      <c r="AO428">
        <v>5.3400000000000003E-2</v>
      </c>
      <c r="AP428">
        <v>4.1099999999999998E-2</v>
      </c>
      <c r="AQ428">
        <v>2.7E-2</v>
      </c>
      <c r="AR428">
        <v>-5.0000000000000001E-4</v>
      </c>
      <c r="AS428">
        <v>-4.7000000000000002E-3</v>
      </c>
      <c r="AT428">
        <v>-1.4999999999999999E-2</v>
      </c>
      <c r="AU428">
        <v>-2.2599999999999999E-2</v>
      </c>
      <c r="AV428">
        <v>-3.0099999999999998E-2</v>
      </c>
    </row>
    <row r="429" spans="1:48" x14ac:dyDescent="0.25">
      <c r="A429" t="s">
        <v>33</v>
      </c>
      <c r="B429" t="s">
        <v>2</v>
      </c>
      <c r="C429" t="s">
        <v>33</v>
      </c>
      <c r="D429">
        <v>239580</v>
      </c>
      <c r="E429" t="s">
        <v>672</v>
      </c>
      <c r="F429" t="s">
        <v>117</v>
      </c>
      <c r="G429" t="s">
        <v>670</v>
      </c>
      <c r="H429" t="s">
        <v>670</v>
      </c>
      <c r="I429">
        <v>6.5600000000000006E-2</v>
      </c>
      <c r="J429">
        <v>7.0699999999999999E-2</v>
      </c>
      <c r="K429">
        <v>7.0099999999999996E-2</v>
      </c>
      <c r="L429">
        <v>6.5600000000000006E-2</v>
      </c>
      <c r="M429">
        <v>5.8799999999999998E-2</v>
      </c>
      <c r="N429">
        <v>4.3400000000000001E-2</v>
      </c>
      <c r="O429">
        <v>2.4500000000000001E-2</v>
      </c>
      <c r="P429">
        <v>2.4500000000000001E-2</v>
      </c>
      <c r="Q429">
        <v>2.41E-2</v>
      </c>
      <c r="R429">
        <v>2.3699999999999999E-2</v>
      </c>
      <c r="S429">
        <v>3.3300000000000003E-2</v>
      </c>
      <c r="T429">
        <v>4.3299999999999998E-2</v>
      </c>
      <c r="U429">
        <v>4.5600000000000002E-2</v>
      </c>
      <c r="V429">
        <v>5.8400000000000001E-2</v>
      </c>
      <c r="W429">
        <v>6.3799999999999996E-2</v>
      </c>
      <c r="X429">
        <v>5.7099999999999998E-2</v>
      </c>
      <c r="Y429">
        <v>5.4199999999999998E-2</v>
      </c>
      <c r="Z429">
        <v>9.4000000000000004E-3</v>
      </c>
      <c r="AA429">
        <v>6.0000000000000001E-3</v>
      </c>
      <c r="AB429">
        <v>1.2800000000000001E-2</v>
      </c>
      <c r="AC429">
        <v>1.37E-2</v>
      </c>
      <c r="AD429">
        <v>8.5400000000000004E-2</v>
      </c>
      <c r="AE429">
        <v>0.17649999999999999</v>
      </c>
      <c r="AF429">
        <v>0.22289999999999999</v>
      </c>
      <c r="AG429">
        <v>0.23710000000000001</v>
      </c>
      <c r="AH429">
        <v>0.21629999999999999</v>
      </c>
      <c r="AI429">
        <v>0.14760000000000001</v>
      </c>
      <c r="AJ429">
        <v>7.5999999999999998E-2</v>
      </c>
      <c r="AK429">
        <v>4.7600000000000003E-2</v>
      </c>
      <c r="AL429">
        <v>1.41E-2</v>
      </c>
      <c r="AM429">
        <v>-2.0899999999999998E-2</v>
      </c>
      <c r="AN429">
        <v>-1.7600000000000001E-2</v>
      </c>
      <c r="AO429">
        <v>-1.9800000000000002E-2</v>
      </c>
      <c r="AP429">
        <v>-3.1899999999999998E-2</v>
      </c>
      <c r="AQ429">
        <v>-3.6200000000000003E-2</v>
      </c>
      <c r="AR429">
        <v>-3.3000000000000002E-2</v>
      </c>
      <c r="AS429">
        <v>-2.0799999999999999E-2</v>
      </c>
      <c r="AT429">
        <v>-4.7000000000000002E-3</v>
      </c>
      <c r="AU429">
        <v>-9.5999999999999992E-3</v>
      </c>
      <c r="AV429">
        <v>-1.49E-2</v>
      </c>
    </row>
    <row r="430" spans="1:48" x14ac:dyDescent="0.25">
      <c r="A430" t="s">
        <v>523</v>
      </c>
      <c r="B430" t="s">
        <v>2</v>
      </c>
      <c r="C430" t="s">
        <v>523</v>
      </c>
      <c r="D430">
        <v>39660</v>
      </c>
      <c r="E430" t="s">
        <v>672</v>
      </c>
      <c r="F430" t="s">
        <v>117</v>
      </c>
      <c r="G430" t="s">
        <v>670</v>
      </c>
      <c r="H430" t="s">
        <v>670</v>
      </c>
      <c r="I430" t="s">
        <v>673</v>
      </c>
      <c r="J430">
        <v>4.5400000000000003E-2</v>
      </c>
      <c r="K430">
        <v>0.11899999999999999</v>
      </c>
      <c r="L430">
        <v>0.21310000000000001</v>
      </c>
      <c r="M430">
        <v>0.12889999999999999</v>
      </c>
      <c r="N430">
        <v>0.21229999999999999</v>
      </c>
      <c r="O430">
        <v>0.128</v>
      </c>
      <c r="P430">
        <v>-1.35E-2</v>
      </c>
      <c r="Q430">
        <v>-3.7199999999999997E-2</v>
      </c>
      <c r="R430">
        <v>-5.7200000000000001E-2</v>
      </c>
      <c r="S430">
        <v>3.3999999999999998E-3</v>
      </c>
      <c r="T430">
        <v>9.9599999999999994E-2</v>
      </c>
      <c r="U430">
        <v>7.7799999999999994E-2</v>
      </c>
      <c r="V430">
        <v>8.2199999999999995E-2</v>
      </c>
      <c r="W430">
        <v>3.39E-2</v>
      </c>
      <c r="X430">
        <v>-1.15E-2</v>
      </c>
      <c r="Y430">
        <v>4.7500000000000001E-2</v>
      </c>
      <c r="Z430">
        <v>3.0599999999999999E-2</v>
      </c>
      <c r="AA430">
        <v>2.8199999999999999E-2</v>
      </c>
      <c r="AB430">
        <v>3.9899999999999998E-2</v>
      </c>
      <c r="AC430">
        <v>2.9499999999999998E-2</v>
      </c>
      <c r="AD430">
        <v>5.4199999999999998E-2</v>
      </c>
      <c r="AE430">
        <v>7.0400000000000004E-2</v>
      </c>
      <c r="AF430">
        <v>0.1038</v>
      </c>
      <c r="AG430">
        <v>0.1198</v>
      </c>
      <c r="AH430">
        <v>0.1234</v>
      </c>
      <c r="AI430">
        <v>0.15629999999999999</v>
      </c>
      <c r="AJ430">
        <v>0.1623</v>
      </c>
      <c r="AK430">
        <v>0.1095</v>
      </c>
      <c r="AL430">
        <v>8.5900000000000004E-2</v>
      </c>
      <c r="AM430">
        <v>3.3500000000000002E-2</v>
      </c>
      <c r="AN430">
        <v>4.1000000000000003E-3</v>
      </c>
      <c r="AO430">
        <v>-7.0000000000000001E-3</v>
      </c>
      <c r="AP430">
        <v>1.6199999999999999E-2</v>
      </c>
      <c r="AQ430">
        <v>-1.6999999999999999E-3</v>
      </c>
      <c r="AR430">
        <v>-3.2500000000000001E-2</v>
      </c>
      <c r="AS430">
        <v>2.0999999999999999E-3</v>
      </c>
      <c r="AT430">
        <v>-1.21E-2</v>
      </c>
      <c r="AU430">
        <v>2.3699999999999999E-2</v>
      </c>
      <c r="AV430">
        <v>2.7300000000000001E-2</v>
      </c>
    </row>
    <row r="431" spans="1:48" x14ac:dyDescent="0.25">
      <c r="A431" t="s">
        <v>524</v>
      </c>
      <c r="B431" t="s">
        <v>2</v>
      </c>
      <c r="C431" t="s">
        <v>524</v>
      </c>
      <c r="D431">
        <v>39740</v>
      </c>
      <c r="E431" t="s">
        <v>672</v>
      </c>
      <c r="F431" t="s">
        <v>117</v>
      </c>
      <c r="G431" t="s">
        <v>670</v>
      </c>
      <c r="H431" t="s">
        <v>670</v>
      </c>
      <c r="I431">
        <v>-5.62E-2</v>
      </c>
      <c r="J431">
        <v>-5.0000000000000001E-3</v>
      </c>
      <c r="K431">
        <v>-4.3499999999999997E-2</v>
      </c>
      <c r="L431">
        <v>-4.65E-2</v>
      </c>
      <c r="M431">
        <v>-1.4E-3</v>
      </c>
      <c r="N431">
        <v>-2.87E-2</v>
      </c>
      <c r="O431">
        <v>4.4999999999999997E-3</v>
      </c>
      <c r="P431">
        <v>2.23E-2</v>
      </c>
      <c r="Q431">
        <v>3.8899999999999997E-2</v>
      </c>
      <c r="R431">
        <v>3.1300000000000001E-2</v>
      </c>
      <c r="S431">
        <v>4.4999999999999998E-2</v>
      </c>
      <c r="T431">
        <v>4.8899999999999999E-2</v>
      </c>
      <c r="U431">
        <v>-1.5E-3</v>
      </c>
      <c r="V431">
        <v>-1.2999999999999999E-3</v>
      </c>
      <c r="W431">
        <v>2.8E-3</v>
      </c>
      <c r="X431">
        <v>8.6E-3</v>
      </c>
      <c r="Y431">
        <v>0.08</v>
      </c>
      <c r="Z431">
        <v>6.3200000000000006E-2</v>
      </c>
      <c r="AA431">
        <v>6.0900000000000003E-2</v>
      </c>
      <c r="AB431">
        <v>7.9500000000000001E-2</v>
      </c>
      <c r="AC431">
        <v>6.3799999999999996E-2</v>
      </c>
      <c r="AD431">
        <v>8.7499999999999994E-2</v>
      </c>
      <c r="AE431">
        <v>0.1043</v>
      </c>
      <c r="AF431">
        <v>9.5500000000000002E-2</v>
      </c>
      <c r="AG431">
        <v>0.13700000000000001</v>
      </c>
      <c r="AH431">
        <v>0.16</v>
      </c>
      <c r="AI431">
        <v>0.13830000000000001</v>
      </c>
      <c r="AJ431">
        <v>0.1179</v>
      </c>
      <c r="AK431">
        <v>5.7299999999999997E-2</v>
      </c>
      <c r="AL431">
        <v>2.2100000000000002E-2</v>
      </c>
      <c r="AM431">
        <v>1.5599999999999999E-2</v>
      </c>
      <c r="AN431">
        <v>1.9699999999999999E-2</v>
      </c>
      <c r="AO431">
        <v>3.1699999999999999E-2</v>
      </c>
      <c r="AP431">
        <v>6.0199999999999997E-2</v>
      </c>
      <c r="AQ431">
        <v>5.7500000000000002E-2</v>
      </c>
      <c r="AR431">
        <v>4.24E-2</v>
      </c>
      <c r="AS431">
        <v>4.5900000000000003E-2</v>
      </c>
      <c r="AT431">
        <v>2.7199999999999998E-2</v>
      </c>
      <c r="AU431">
        <v>5.6399999999999999E-2</v>
      </c>
      <c r="AV431">
        <v>4.19E-2</v>
      </c>
    </row>
    <row r="432" spans="1:48" x14ac:dyDescent="0.25">
      <c r="A432" t="s">
        <v>525</v>
      </c>
      <c r="B432" t="s">
        <v>2</v>
      </c>
      <c r="C432" t="s">
        <v>525</v>
      </c>
      <c r="D432">
        <v>39780</v>
      </c>
      <c r="E432" t="s">
        <v>672</v>
      </c>
      <c r="F432" t="s">
        <v>117</v>
      </c>
      <c r="G432" t="s">
        <v>670</v>
      </c>
      <c r="H432" t="s">
        <v>670</v>
      </c>
      <c r="I432" t="s">
        <v>673</v>
      </c>
      <c r="J432" t="s">
        <v>673</v>
      </c>
      <c r="K432" t="s">
        <v>673</v>
      </c>
      <c r="L432" t="s">
        <v>673</v>
      </c>
      <c r="M432" t="s">
        <v>673</v>
      </c>
      <c r="N432" t="s">
        <v>673</v>
      </c>
      <c r="O432" t="s">
        <v>673</v>
      </c>
      <c r="P432" t="s">
        <v>673</v>
      </c>
      <c r="Q432" t="s">
        <v>673</v>
      </c>
      <c r="R432" t="s">
        <v>673</v>
      </c>
      <c r="S432" t="s">
        <v>673</v>
      </c>
      <c r="T432" t="s">
        <v>673</v>
      </c>
      <c r="U432" t="s">
        <v>673</v>
      </c>
      <c r="V432" t="s">
        <v>673</v>
      </c>
      <c r="W432" t="s">
        <v>673</v>
      </c>
      <c r="X432" t="s">
        <v>673</v>
      </c>
      <c r="Y432" t="s">
        <v>673</v>
      </c>
      <c r="Z432" t="s">
        <v>673</v>
      </c>
      <c r="AA432" t="s">
        <v>673</v>
      </c>
      <c r="AB432" t="s">
        <v>673</v>
      </c>
      <c r="AC432" t="s">
        <v>673</v>
      </c>
      <c r="AD432" t="s">
        <v>673</v>
      </c>
      <c r="AE432" t="s">
        <v>673</v>
      </c>
      <c r="AF432" t="s">
        <v>673</v>
      </c>
      <c r="AG432" t="s">
        <v>673</v>
      </c>
      <c r="AH432" t="s">
        <v>673</v>
      </c>
      <c r="AI432" t="s">
        <v>673</v>
      </c>
      <c r="AJ432" t="s">
        <v>673</v>
      </c>
      <c r="AK432" t="s">
        <v>673</v>
      </c>
      <c r="AL432" t="s">
        <v>673</v>
      </c>
      <c r="AM432" t="s">
        <v>673</v>
      </c>
      <c r="AN432" t="s">
        <v>673</v>
      </c>
      <c r="AO432" t="s">
        <v>673</v>
      </c>
      <c r="AP432" t="s">
        <v>673</v>
      </c>
      <c r="AQ432" t="s">
        <v>673</v>
      </c>
      <c r="AR432" t="s">
        <v>673</v>
      </c>
      <c r="AS432" t="s">
        <v>673</v>
      </c>
      <c r="AT432" t="s">
        <v>673</v>
      </c>
      <c r="AU432" t="s">
        <v>673</v>
      </c>
      <c r="AV432" t="s">
        <v>673</v>
      </c>
    </row>
    <row r="433" spans="1:48" x14ac:dyDescent="0.25">
      <c r="A433" t="s">
        <v>526</v>
      </c>
      <c r="B433" t="s">
        <v>2</v>
      </c>
      <c r="C433" t="s">
        <v>526</v>
      </c>
      <c r="D433">
        <v>39820</v>
      </c>
      <c r="E433" t="s">
        <v>672</v>
      </c>
      <c r="F433" t="s">
        <v>117</v>
      </c>
      <c r="G433" t="s">
        <v>670</v>
      </c>
      <c r="H433" t="s">
        <v>670</v>
      </c>
      <c r="I433" t="s">
        <v>673</v>
      </c>
      <c r="J433" t="s">
        <v>673</v>
      </c>
      <c r="K433" t="s">
        <v>673</v>
      </c>
      <c r="L433" t="s">
        <v>673</v>
      </c>
      <c r="M433" t="s">
        <v>673</v>
      </c>
      <c r="N433" t="s">
        <v>673</v>
      </c>
      <c r="O433" t="s">
        <v>673</v>
      </c>
      <c r="P433" t="s">
        <v>673</v>
      </c>
      <c r="Q433">
        <v>3.5700000000000003E-2</v>
      </c>
      <c r="R433">
        <v>2.0299999999999999E-2</v>
      </c>
      <c r="S433">
        <v>3.73E-2</v>
      </c>
      <c r="T433">
        <v>4.99E-2</v>
      </c>
      <c r="U433">
        <v>6.9599999999999995E-2</v>
      </c>
      <c r="V433">
        <v>6.7199999999999996E-2</v>
      </c>
      <c r="W433">
        <v>3.1399999999999997E-2</v>
      </c>
      <c r="X433">
        <v>1.2999999999999999E-2</v>
      </c>
      <c r="Y433">
        <v>2.4299999999999999E-2</v>
      </c>
      <c r="Z433">
        <v>3.9199999999999999E-2</v>
      </c>
      <c r="AA433">
        <v>3.4299999999999997E-2</v>
      </c>
      <c r="AB433">
        <v>3.6999999999999998E-2</v>
      </c>
      <c r="AC433">
        <v>1.7500000000000002E-2</v>
      </c>
      <c r="AD433">
        <v>3.09E-2</v>
      </c>
      <c r="AE433">
        <v>7.5399999999999995E-2</v>
      </c>
      <c r="AF433">
        <v>9.9099999999999994E-2</v>
      </c>
      <c r="AG433">
        <v>9.4700000000000006E-2</v>
      </c>
      <c r="AH433">
        <v>9.11E-2</v>
      </c>
      <c r="AI433">
        <v>6.6799999999999998E-2</v>
      </c>
      <c r="AJ433">
        <v>5.0599999999999999E-2</v>
      </c>
      <c r="AK433">
        <v>6.9199999999999998E-2</v>
      </c>
      <c r="AL433">
        <v>7.7399999999999997E-2</v>
      </c>
      <c r="AM433">
        <v>0.1018</v>
      </c>
      <c r="AN433">
        <v>0.14399999999999999</v>
      </c>
      <c r="AO433">
        <v>0.13150000000000001</v>
      </c>
      <c r="AP433">
        <v>0.15989999999999999</v>
      </c>
      <c r="AQ433">
        <v>-8.2000000000000007E-3</v>
      </c>
      <c r="AR433">
        <v>-5.5E-2</v>
      </c>
      <c r="AS433">
        <v>-3.3700000000000001E-2</v>
      </c>
      <c r="AT433">
        <v>-8.48E-2</v>
      </c>
      <c r="AU433">
        <v>0.1164</v>
      </c>
      <c r="AV433">
        <v>7.3099999999999998E-2</v>
      </c>
    </row>
    <row r="434" spans="1:48" x14ac:dyDescent="0.25">
      <c r="A434" t="s">
        <v>527</v>
      </c>
      <c r="B434" t="s">
        <v>2</v>
      </c>
      <c r="C434" t="s">
        <v>527</v>
      </c>
      <c r="D434">
        <v>39860</v>
      </c>
      <c r="E434" t="s">
        <v>672</v>
      </c>
      <c r="F434" t="s">
        <v>117</v>
      </c>
      <c r="G434" t="s">
        <v>670</v>
      </c>
      <c r="H434" t="s">
        <v>670</v>
      </c>
      <c r="I434" t="s">
        <v>673</v>
      </c>
      <c r="J434" t="s">
        <v>673</v>
      </c>
      <c r="K434" t="s">
        <v>673</v>
      </c>
      <c r="L434" t="s">
        <v>673</v>
      </c>
      <c r="M434" t="s">
        <v>673</v>
      </c>
      <c r="N434" t="s">
        <v>673</v>
      </c>
      <c r="O434" t="s">
        <v>673</v>
      </c>
      <c r="P434" t="s">
        <v>673</v>
      </c>
      <c r="Q434" t="s">
        <v>673</v>
      </c>
      <c r="R434" t="s">
        <v>673</v>
      </c>
      <c r="S434" t="s">
        <v>673</v>
      </c>
      <c r="T434" t="s">
        <v>673</v>
      </c>
      <c r="U434" t="s">
        <v>673</v>
      </c>
      <c r="V434" t="s">
        <v>673</v>
      </c>
      <c r="W434" t="s">
        <v>673</v>
      </c>
      <c r="X434" t="s">
        <v>673</v>
      </c>
      <c r="Y434" t="s">
        <v>673</v>
      </c>
      <c r="Z434" t="s">
        <v>673</v>
      </c>
      <c r="AA434" t="s">
        <v>673</v>
      </c>
      <c r="AB434" t="s">
        <v>673</v>
      </c>
      <c r="AC434" t="s">
        <v>673</v>
      </c>
      <c r="AD434" t="s">
        <v>673</v>
      </c>
      <c r="AE434" t="s">
        <v>673</v>
      </c>
      <c r="AF434" t="s">
        <v>673</v>
      </c>
      <c r="AG434" t="s">
        <v>673</v>
      </c>
      <c r="AH434" t="s">
        <v>673</v>
      </c>
      <c r="AI434" t="s">
        <v>673</v>
      </c>
      <c r="AJ434" t="s">
        <v>673</v>
      </c>
      <c r="AK434" t="s">
        <v>673</v>
      </c>
      <c r="AL434" t="s">
        <v>673</v>
      </c>
      <c r="AM434" t="s">
        <v>673</v>
      </c>
      <c r="AN434" t="s">
        <v>673</v>
      </c>
      <c r="AO434" t="s">
        <v>673</v>
      </c>
      <c r="AP434" t="s">
        <v>673</v>
      </c>
      <c r="AQ434" t="s">
        <v>673</v>
      </c>
      <c r="AR434" t="s">
        <v>673</v>
      </c>
      <c r="AS434" t="s">
        <v>673</v>
      </c>
      <c r="AT434" t="s">
        <v>673</v>
      </c>
      <c r="AU434" t="s">
        <v>673</v>
      </c>
      <c r="AV434" t="s">
        <v>673</v>
      </c>
    </row>
    <row r="435" spans="1:48" x14ac:dyDescent="0.25">
      <c r="A435" t="s">
        <v>8</v>
      </c>
      <c r="B435" t="s">
        <v>2</v>
      </c>
      <c r="C435" t="s">
        <v>8</v>
      </c>
      <c r="D435">
        <v>39900</v>
      </c>
      <c r="E435" t="s">
        <v>672</v>
      </c>
      <c r="F435" t="s">
        <v>117</v>
      </c>
      <c r="G435" t="s">
        <v>670</v>
      </c>
      <c r="H435" t="s">
        <v>670</v>
      </c>
      <c r="I435">
        <v>0.10349999999999999</v>
      </c>
      <c r="J435">
        <v>0.12130000000000001</v>
      </c>
      <c r="K435">
        <v>0.1147</v>
      </c>
      <c r="L435">
        <v>0.11509999999999999</v>
      </c>
      <c r="M435">
        <v>9.1700000000000004E-2</v>
      </c>
      <c r="N435">
        <v>9.4799999999999995E-2</v>
      </c>
      <c r="O435">
        <v>0.113</v>
      </c>
      <c r="P435">
        <v>0.10440000000000001</v>
      </c>
      <c r="Q435">
        <v>9.01E-2</v>
      </c>
      <c r="R435">
        <v>7.8E-2</v>
      </c>
      <c r="S435">
        <v>7.6700000000000004E-2</v>
      </c>
      <c r="T435">
        <v>8.8200000000000001E-2</v>
      </c>
      <c r="U435">
        <v>0.1009</v>
      </c>
      <c r="V435">
        <v>9.0499999999999997E-2</v>
      </c>
      <c r="W435">
        <v>7.4700000000000003E-2</v>
      </c>
      <c r="X435">
        <v>5.1700000000000003E-2</v>
      </c>
      <c r="Y435">
        <v>5.6300000000000003E-2</v>
      </c>
      <c r="Z435">
        <v>2.7E-2</v>
      </c>
      <c r="AA435">
        <v>3.4799999999999998E-2</v>
      </c>
      <c r="AB435">
        <v>7.1499999999999994E-2</v>
      </c>
      <c r="AC435">
        <v>7.7700000000000005E-2</v>
      </c>
      <c r="AD435">
        <v>0.13700000000000001</v>
      </c>
      <c r="AE435">
        <v>0.1719</v>
      </c>
      <c r="AF435">
        <v>0.1404</v>
      </c>
      <c r="AG435">
        <v>0.13270000000000001</v>
      </c>
      <c r="AH435">
        <v>9.9900000000000003E-2</v>
      </c>
      <c r="AI435">
        <v>3.6600000000000001E-2</v>
      </c>
      <c r="AJ435">
        <v>1.8499999999999999E-2</v>
      </c>
      <c r="AK435">
        <v>-3.2000000000000002E-3</v>
      </c>
      <c r="AL435">
        <v>-1.5299999999999999E-2</v>
      </c>
      <c r="AM435">
        <v>-1.26E-2</v>
      </c>
      <c r="AN435">
        <v>-1.3299999999999999E-2</v>
      </c>
      <c r="AO435">
        <v>-4.5999999999999999E-3</v>
      </c>
      <c r="AP435">
        <v>1.46E-2</v>
      </c>
      <c r="AQ435">
        <v>2.8199999999999999E-2</v>
      </c>
      <c r="AR435">
        <v>2.7799999999999998E-2</v>
      </c>
      <c r="AS435">
        <v>0.05</v>
      </c>
      <c r="AT435">
        <v>4.9000000000000002E-2</v>
      </c>
      <c r="AU435">
        <v>4.4699999999999997E-2</v>
      </c>
      <c r="AV435">
        <v>6.6500000000000004E-2</v>
      </c>
    </row>
    <row r="436" spans="1:48" x14ac:dyDescent="0.25">
      <c r="A436" t="s">
        <v>528</v>
      </c>
      <c r="B436" t="s">
        <v>2</v>
      </c>
      <c r="C436" t="s">
        <v>528</v>
      </c>
      <c r="D436">
        <v>39940</v>
      </c>
      <c r="E436" t="s">
        <v>672</v>
      </c>
      <c r="F436" t="s">
        <v>117</v>
      </c>
      <c r="G436" t="s">
        <v>670</v>
      </c>
      <c r="H436" t="s">
        <v>670</v>
      </c>
      <c r="I436" t="s">
        <v>673</v>
      </c>
      <c r="J436" t="s">
        <v>673</v>
      </c>
      <c r="K436" t="s">
        <v>673</v>
      </c>
      <c r="L436" t="s">
        <v>673</v>
      </c>
      <c r="M436" t="s">
        <v>673</v>
      </c>
      <c r="N436" t="s">
        <v>673</v>
      </c>
      <c r="O436" t="s">
        <v>673</v>
      </c>
      <c r="P436" t="s">
        <v>673</v>
      </c>
      <c r="Q436" t="s">
        <v>673</v>
      </c>
      <c r="R436" t="s">
        <v>673</v>
      </c>
      <c r="S436" t="s">
        <v>673</v>
      </c>
      <c r="T436" t="s">
        <v>673</v>
      </c>
      <c r="U436" t="s">
        <v>673</v>
      </c>
      <c r="V436" t="s">
        <v>673</v>
      </c>
      <c r="W436" t="s">
        <v>673</v>
      </c>
      <c r="X436" t="s">
        <v>673</v>
      </c>
      <c r="Y436" t="s">
        <v>673</v>
      </c>
      <c r="Z436" t="s">
        <v>673</v>
      </c>
      <c r="AA436" t="s">
        <v>673</v>
      </c>
      <c r="AB436" t="s">
        <v>673</v>
      </c>
      <c r="AC436" t="s">
        <v>673</v>
      </c>
      <c r="AD436">
        <v>5.8000000000000003E-2</v>
      </c>
      <c r="AE436">
        <v>0.12189999999999999</v>
      </c>
      <c r="AF436">
        <v>0.16239999999999999</v>
      </c>
      <c r="AG436">
        <v>0.17080000000000001</v>
      </c>
      <c r="AH436">
        <v>0.107</v>
      </c>
      <c r="AI436">
        <v>4.7E-2</v>
      </c>
      <c r="AJ436">
        <v>6.2199999999999998E-2</v>
      </c>
      <c r="AK436">
        <v>4.7399999999999998E-2</v>
      </c>
      <c r="AL436">
        <v>4.2000000000000003E-2</v>
      </c>
      <c r="AM436">
        <v>1.83E-2</v>
      </c>
      <c r="AN436">
        <v>-9.1999999999999998E-3</v>
      </c>
      <c r="AO436">
        <v>-1.1299999999999999E-2</v>
      </c>
      <c r="AP436">
        <v>-3.0000000000000001E-3</v>
      </c>
      <c r="AQ436">
        <v>6.6E-3</v>
      </c>
      <c r="AR436">
        <v>2.01E-2</v>
      </c>
      <c r="AS436">
        <v>1.9E-2</v>
      </c>
      <c r="AT436">
        <v>2.1299999999999999E-2</v>
      </c>
      <c r="AU436">
        <v>4.48E-2</v>
      </c>
      <c r="AV436">
        <v>4.3999999999999997E-2</v>
      </c>
    </row>
    <row r="437" spans="1:48" x14ac:dyDescent="0.25">
      <c r="A437" t="s">
        <v>529</v>
      </c>
      <c r="B437" t="s">
        <v>2</v>
      </c>
      <c r="C437" t="s">
        <v>529</v>
      </c>
      <c r="D437">
        <v>40080</v>
      </c>
      <c r="E437" t="s">
        <v>672</v>
      </c>
      <c r="F437" t="s">
        <v>117</v>
      </c>
      <c r="G437" t="s">
        <v>670</v>
      </c>
      <c r="H437" t="s">
        <v>670</v>
      </c>
      <c r="I437" t="s">
        <v>673</v>
      </c>
      <c r="J437" t="s">
        <v>673</v>
      </c>
      <c r="K437">
        <v>2.2700000000000001E-2</v>
      </c>
      <c r="L437">
        <v>9.4999999999999998E-3</v>
      </c>
      <c r="M437">
        <v>4.5699999999999998E-2</v>
      </c>
      <c r="N437">
        <v>-1.8E-3</v>
      </c>
      <c r="O437">
        <v>4.8800000000000003E-2</v>
      </c>
      <c r="P437">
        <v>9.9099999999999994E-2</v>
      </c>
      <c r="Q437">
        <v>2.1499999999999998E-2</v>
      </c>
      <c r="R437">
        <v>-1.2699999999999999E-2</v>
      </c>
      <c r="S437">
        <v>-4.19E-2</v>
      </c>
      <c r="T437">
        <v>-6.4399999999999999E-2</v>
      </c>
      <c r="U437">
        <v>-7.4000000000000003E-3</v>
      </c>
      <c r="V437" t="s">
        <v>673</v>
      </c>
      <c r="W437" t="s">
        <v>673</v>
      </c>
      <c r="X437" t="s">
        <v>673</v>
      </c>
      <c r="Y437" t="s">
        <v>673</v>
      </c>
      <c r="Z437" t="s">
        <v>673</v>
      </c>
      <c r="AA437">
        <v>0.1174</v>
      </c>
      <c r="AB437">
        <v>8.2000000000000003E-2</v>
      </c>
      <c r="AC437">
        <v>4.3299999999999998E-2</v>
      </c>
      <c r="AD437">
        <v>9.7000000000000003E-2</v>
      </c>
      <c r="AE437">
        <v>0.13600000000000001</v>
      </c>
      <c r="AF437">
        <v>0.1406</v>
      </c>
      <c r="AG437">
        <v>8.8900000000000007E-2</v>
      </c>
      <c r="AH437">
        <v>6.9199999999999998E-2</v>
      </c>
      <c r="AI437">
        <v>2.0500000000000001E-2</v>
      </c>
      <c r="AJ437">
        <v>5.9700000000000003E-2</v>
      </c>
      <c r="AK437">
        <v>0.1013</v>
      </c>
      <c r="AL437">
        <v>0.1167</v>
      </c>
      <c r="AM437">
        <v>0.10290000000000001</v>
      </c>
      <c r="AN437">
        <v>5.91E-2</v>
      </c>
      <c r="AO437" t="s">
        <v>673</v>
      </c>
      <c r="AP437" t="s">
        <v>673</v>
      </c>
      <c r="AQ437" t="s">
        <v>673</v>
      </c>
      <c r="AR437" t="s">
        <v>673</v>
      </c>
      <c r="AS437" t="s">
        <v>673</v>
      </c>
      <c r="AT437">
        <v>5.1499999999999997E-2</v>
      </c>
      <c r="AU437" t="s">
        <v>673</v>
      </c>
      <c r="AV437" t="s">
        <v>673</v>
      </c>
    </row>
    <row r="438" spans="1:48" x14ac:dyDescent="0.25">
      <c r="A438" t="s">
        <v>530</v>
      </c>
      <c r="B438" t="s">
        <v>2</v>
      </c>
      <c r="C438" t="s">
        <v>530</v>
      </c>
      <c r="D438">
        <v>39980</v>
      </c>
      <c r="E438" t="s">
        <v>672</v>
      </c>
      <c r="F438" t="s">
        <v>117</v>
      </c>
      <c r="G438" t="s">
        <v>670</v>
      </c>
      <c r="H438" t="s">
        <v>670</v>
      </c>
      <c r="I438">
        <v>8.8599999999999998E-2</v>
      </c>
      <c r="J438" t="s">
        <v>673</v>
      </c>
      <c r="K438" t="s">
        <v>673</v>
      </c>
      <c r="L438" t="s">
        <v>673</v>
      </c>
      <c r="M438" t="s">
        <v>673</v>
      </c>
      <c r="N438">
        <v>4.1999999999999997E-3</v>
      </c>
      <c r="O438">
        <v>-8.5699999999999998E-2</v>
      </c>
      <c r="P438">
        <v>-3.4099999999999998E-2</v>
      </c>
      <c r="Q438">
        <v>-1.5800000000000002E-2</v>
      </c>
      <c r="R438">
        <v>3.7400000000000003E-2</v>
      </c>
      <c r="S438">
        <v>3.9600000000000003E-2</v>
      </c>
      <c r="T438">
        <v>2.63E-2</v>
      </c>
      <c r="U438">
        <v>2.1399999999999999E-2</v>
      </c>
      <c r="V438">
        <v>1.8599999999999998E-2</v>
      </c>
      <c r="W438">
        <v>2.24E-2</v>
      </c>
      <c r="X438">
        <v>4.5999999999999999E-2</v>
      </c>
      <c r="Y438">
        <v>2.18E-2</v>
      </c>
      <c r="Z438">
        <v>1.5699999999999999E-2</v>
      </c>
      <c r="AA438">
        <v>9.4100000000000003E-2</v>
      </c>
      <c r="AB438">
        <v>2.75E-2</v>
      </c>
      <c r="AC438">
        <v>3.1699999999999999E-2</v>
      </c>
      <c r="AD438">
        <v>3.4200000000000001E-2</v>
      </c>
      <c r="AE438">
        <v>-3.9800000000000002E-2</v>
      </c>
      <c r="AF438" t="s">
        <v>673</v>
      </c>
      <c r="AG438" t="s">
        <v>673</v>
      </c>
      <c r="AH438" t="s">
        <v>673</v>
      </c>
      <c r="AI438" t="s">
        <v>673</v>
      </c>
      <c r="AJ438" t="s">
        <v>673</v>
      </c>
      <c r="AK438" t="s">
        <v>673</v>
      </c>
      <c r="AL438" t="s">
        <v>673</v>
      </c>
      <c r="AM438" t="s">
        <v>673</v>
      </c>
      <c r="AN438" t="s">
        <v>673</v>
      </c>
      <c r="AO438" t="s">
        <v>673</v>
      </c>
      <c r="AP438" t="s">
        <v>673</v>
      </c>
      <c r="AQ438" t="s">
        <v>673</v>
      </c>
      <c r="AR438" t="s">
        <v>673</v>
      </c>
      <c r="AS438" t="s">
        <v>673</v>
      </c>
      <c r="AT438" t="s">
        <v>673</v>
      </c>
      <c r="AU438" t="s">
        <v>673</v>
      </c>
      <c r="AV438" t="s">
        <v>673</v>
      </c>
    </row>
    <row r="439" spans="1:48" x14ac:dyDescent="0.25">
      <c r="A439" t="s">
        <v>9</v>
      </c>
      <c r="B439" t="s">
        <v>2</v>
      </c>
      <c r="C439" t="s">
        <v>9</v>
      </c>
      <c r="D439">
        <v>40060</v>
      </c>
      <c r="E439" t="s">
        <v>672</v>
      </c>
      <c r="F439" t="s">
        <v>117</v>
      </c>
      <c r="G439" t="s">
        <v>670</v>
      </c>
      <c r="H439" t="s">
        <v>670</v>
      </c>
      <c r="I439">
        <v>3.7999999999999999E-2</v>
      </c>
      <c r="J439">
        <v>4.3499999999999997E-2</v>
      </c>
      <c r="K439">
        <v>5.0599999999999999E-2</v>
      </c>
      <c r="L439">
        <v>4.0500000000000001E-2</v>
      </c>
      <c r="M439">
        <v>4.4499999999999998E-2</v>
      </c>
      <c r="N439">
        <v>4.48E-2</v>
      </c>
      <c r="O439">
        <v>4.6699999999999998E-2</v>
      </c>
      <c r="P439">
        <v>5.28E-2</v>
      </c>
      <c r="Q439">
        <v>5.0200000000000002E-2</v>
      </c>
      <c r="R439">
        <v>4.6899999999999997E-2</v>
      </c>
      <c r="S439">
        <v>4.0099999999999997E-2</v>
      </c>
      <c r="T439">
        <v>4.8500000000000001E-2</v>
      </c>
      <c r="U439">
        <v>5.2600000000000001E-2</v>
      </c>
      <c r="V439">
        <v>5.6300000000000003E-2</v>
      </c>
      <c r="W439">
        <v>5.8099999999999999E-2</v>
      </c>
      <c r="X439">
        <v>3.95E-2</v>
      </c>
      <c r="Y439">
        <v>3.4599999999999999E-2</v>
      </c>
      <c r="Z439">
        <v>1.43E-2</v>
      </c>
      <c r="AA439">
        <v>3.4299999999999997E-2</v>
      </c>
      <c r="AB439">
        <v>5.3499999999999999E-2</v>
      </c>
      <c r="AC439">
        <v>7.7399999999999997E-2</v>
      </c>
      <c r="AD439">
        <v>0.11269999999999999</v>
      </c>
      <c r="AE439">
        <v>0.13009999999999999</v>
      </c>
      <c r="AF439">
        <v>0.156</v>
      </c>
      <c r="AG439">
        <v>0.14360000000000001</v>
      </c>
      <c r="AH439">
        <v>0.14460000000000001</v>
      </c>
      <c r="AI439">
        <v>0.1235</v>
      </c>
      <c r="AJ439">
        <v>8.6300000000000002E-2</v>
      </c>
      <c r="AK439">
        <v>7.1099999999999997E-2</v>
      </c>
      <c r="AL439">
        <v>4.3200000000000002E-2</v>
      </c>
      <c r="AM439">
        <v>2.1700000000000001E-2</v>
      </c>
      <c r="AN439">
        <v>7.7000000000000002E-3</v>
      </c>
      <c r="AO439">
        <v>1.1599999999999999E-2</v>
      </c>
      <c r="AP439">
        <v>1.0999999999999999E-2</v>
      </c>
      <c r="AQ439">
        <v>2.4199999999999999E-2</v>
      </c>
      <c r="AR439">
        <v>4.2299999999999997E-2</v>
      </c>
      <c r="AS439">
        <v>3.7199999999999997E-2</v>
      </c>
      <c r="AT439">
        <v>3.9199999999999999E-2</v>
      </c>
      <c r="AU439">
        <v>2.23E-2</v>
      </c>
      <c r="AV439">
        <v>1.1299999999999999E-2</v>
      </c>
    </row>
    <row r="440" spans="1:48" x14ac:dyDescent="0.25">
      <c r="A440" t="s">
        <v>531</v>
      </c>
      <c r="B440" t="s">
        <v>2</v>
      </c>
      <c r="C440" t="s">
        <v>531</v>
      </c>
      <c r="D440">
        <v>40090</v>
      </c>
      <c r="E440" t="s">
        <v>672</v>
      </c>
      <c r="F440" t="s">
        <v>117</v>
      </c>
      <c r="G440" t="s">
        <v>670</v>
      </c>
      <c r="H440" t="s">
        <v>670</v>
      </c>
      <c r="I440" t="s">
        <v>673</v>
      </c>
      <c r="J440" t="s">
        <v>673</v>
      </c>
      <c r="K440" t="s">
        <v>673</v>
      </c>
      <c r="L440" t="s">
        <v>673</v>
      </c>
      <c r="M440" t="s">
        <v>673</v>
      </c>
      <c r="N440" t="s">
        <v>673</v>
      </c>
      <c r="O440" t="s">
        <v>673</v>
      </c>
      <c r="P440" t="s">
        <v>673</v>
      </c>
      <c r="Q440" t="s">
        <v>673</v>
      </c>
      <c r="R440" t="s">
        <v>673</v>
      </c>
      <c r="S440" t="s">
        <v>673</v>
      </c>
      <c r="T440" t="s">
        <v>673</v>
      </c>
      <c r="U440" t="s">
        <v>673</v>
      </c>
      <c r="V440" t="s">
        <v>673</v>
      </c>
      <c r="W440" t="s">
        <v>673</v>
      </c>
      <c r="X440" t="s">
        <v>673</v>
      </c>
      <c r="Y440" t="s">
        <v>673</v>
      </c>
      <c r="Z440" t="s">
        <v>673</v>
      </c>
      <c r="AA440" t="s">
        <v>673</v>
      </c>
      <c r="AB440">
        <v>0.11219999999999999</v>
      </c>
      <c r="AC440">
        <v>0.12470000000000001</v>
      </c>
      <c r="AD440">
        <v>0.14030000000000001</v>
      </c>
      <c r="AE440">
        <v>0.1958</v>
      </c>
      <c r="AF440">
        <v>0.1143</v>
      </c>
      <c r="AG440">
        <v>0.12790000000000001</v>
      </c>
      <c r="AH440">
        <v>0.12039999999999999</v>
      </c>
      <c r="AI440">
        <v>0.1406</v>
      </c>
      <c r="AJ440">
        <v>0.15609999999999999</v>
      </c>
      <c r="AK440">
        <v>0.16919999999999999</v>
      </c>
      <c r="AL440">
        <v>0.1651</v>
      </c>
      <c r="AM440">
        <v>0.12909999999999999</v>
      </c>
      <c r="AN440">
        <v>7.4300000000000005E-2</v>
      </c>
      <c r="AO440">
        <v>0.12920000000000001</v>
      </c>
      <c r="AP440">
        <v>0.14680000000000001</v>
      </c>
      <c r="AQ440">
        <v>0.1537</v>
      </c>
      <c r="AR440">
        <v>0.15040000000000001</v>
      </c>
      <c r="AS440">
        <v>5.3699999999999998E-2</v>
      </c>
      <c r="AT440">
        <v>6.6500000000000004E-2</v>
      </c>
      <c r="AU440">
        <v>4.8500000000000001E-2</v>
      </c>
      <c r="AV440">
        <v>1.18E-2</v>
      </c>
    </row>
    <row r="441" spans="1:48" x14ac:dyDescent="0.25">
      <c r="A441" t="s">
        <v>11</v>
      </c>
      <c r="B441" t="s">
        <v>2</v>
      </c>
      <c r="C441" t="s">
        <v>11</v>
      </c>
      <c r="D441">
        <v>40140</v>
      </c>
      <c r="E441" t="s">
        <v>672</v>
      </c>
      <c r="F441" t="s">
        <v>117</v>
      </c>
      <c r="G441" t="s">
        <v>670</v>
      </c>
      <c r="H441" t="s">
        <v>670</v>
      </c>
      <c r="I441">
        <v>8.0299999999999996E-2</v>
      </c>
      <c r="J441">
        <v>7.9299999999999995E-2</v>
      </c>
      <c r="K441">
        <v>7.1199999999999999E-2</v>
      </c>
      <c r="L441">
        <v>6.7500000000000004E-2</v>
      </c>
      <c r="M441">
        <v>5.0799999999999998E-2</v>
      </c>
      <c r="N441">
        <v>4.7699999999999999E-2</v>
      </c>
      <c r="O441">
        <v>5.0799999999999998E-2</v>
      </c>
      <c r="P441">
        <v>5.21E-2</v>
      </c>
      <c r="Q441">
        <v>5.4399999999999997E-2</v>
      </c>
      <c r="R441">
        <v>5.3800000000000001E-2</v>
      </c>
      <c r="S441">
        <v>5.4300000000000001E-2</v>
      </c>
      <c r="T441">
        <v>4.87E-2</v>
      </c>
      <c r="U441">
        <v>5.45E-2</v>
      </c>
      <c r="V441">
        <v>5.3100000000000001E-2</v>
      </c>
      <c r="W441">
        <v>4.9700000000000001E-2</v>
      </c>
      <c r="X441">
        <v>5.04E-2</v>
      </c>
      <c r="Y441">
        <v>5.6899999999999999E-2</v>
      </c>
      <c r="Z441">
        <v>3.2500000000000001E-2</v>
      </c>
      <c r="AA441">
        <v>5.57E-2</v>
      </c>
      <c r="AB441">
        <v>9.2799999999999994E-2</v>
      </c>
      <c r="AC441">
        <v>0.1076</v>
      </c>
      <c r="AD441">
        <v>0.16200000000000001</v>
      </c>
      <c r="AE441">
        <v>0.18279999999999999</v>
      </c>
      <c r="AF441">
        <v>0.18240000000000001</v>
      </c>
      <c r="AG441">
        <v>0.18099999999999999</v>
      </c>
      <c r="AH441">
        <v>0.1736</v>
      </c>
      <c r="AI441">
        <v>0.13619999999999999</v>
      </c>
      <c r="AJ441">
        <v>7.9899999999999999E-2</v>
      </c>
      <c r="AK441">
        <v>5.3900000000000003E-2</v>
      </c>
      <c r="AL441">
        <v>2.7400000000000001E-2</v>
      </c>
      <c r="AM441">
        <v>3.5999999999999999E-3</v>
      </c>
      <c r="AN441">
        <v>0</v>
      </c>
      <c r="AO441">
        <v>-3.5000000000000001E-3</v>
      </c>
      <c r="AP441">
        <v>-1.5E-3</v>
      </c>
      <c r="AQ441">
        <v>3.8E-3</v>
      </c>
      <c r="AR441">
        <v>9.1000000000000004E-3</v>
      </c>
      <c r="AS441">
        <v>1.67E-2</v>
      </c>
      <c r="AT441">
        <v>2.1899999999999999E-2</v>
      </c>
      <c r="AU441">
        <v>3.2099999999999997E-2</v>
      </c>
      <c r="AV441">
        <v>3.4799999999999998E-2</v>
      </c>
    </row>
    <row r="442" spans="1:48" x14ac:dyDescent="0.25">
      <c r="A442" t="s">
        <v>532</v>
      </c>
      <c r="B442" t="s">
        <v>2</v>
      </c>
      <c r="C442" t="s">
        <v>532</v>
      </c>
      <c r="D442">
        <v>40220</v>
      </c>
      <c r="E442" t="s">
        <v>672</v>
      </c>
      <c r="F442" t="s">
        <v>117</v>
      </c>
      <c r="G442" t="s">
        <v>670</v>
      </c>
      <c r="H442" t="s">
        <v>670</v>
      </c>
      <c r="I442">
        <v>0.01</v>
      </c>
      <c r="J442">
        <v>2.0999999999999999E-3</v>
      </c>
      <c r="K442">
        <v>-2.0000000000000001E-4</v>
      </c>
      <c r="L442">
        <v>1.8700000000000001E-2</v>
      </c>
      <c r="M442">
        <v>-2.5899999999999999E-2</v>
      </c>
      <c r="N442">
        <v>-2.98E-2</v>
      </c>
      <c r="O442">
        <v>-0.02</v>
      </c>
      <c r="P442">
        <v>-3.3599999999999998E-2</v>
      </c>
      <c r="Q442">
        <v>1.35E-2</v>
      </c>
      <c r="R442">
        <v>1.4200000000000001E-2</v>
      </c>
      <c r="S442">
        <v>4.07E-2</v>
      </c>
      <c r="T442">
        <v>8.8300000000000003E-2</v>
      </c>
      <c r="U442">
        <v>0.104</v>
      </c>
      <c r="V442">
        <v>0.12189999999999999</v>
      </c>
      <c r="W442">
        <v>0.12659999999999999</v>
      </c>
      <c r="X442">
        <v>8.2100000000000006E-2</v>
      </c>
      <c r="Y442">
        <v>3.2399999999999998E-2</v>
      </c>
      <c r="Z442">
        <v>-8.8000000000000005E-3</v>
      </c>
      <c r="AA442">
        <v>-2.75E-2</v>
      </c>
      <c r="AB442">
        <v>-7.7000000000000002E-3</v>
      </c>
      <c r="AC442">
        <v>2.3400000000000001E-2</v>
      </c>
      <c r="AD442">
        <v>8.5900000000000004E-2</v>
      </c>
      <c r="AE442">
        <v>0.15970000000000001</v>
      </c>
      <c r="AF442">
        <v>0.15590000000000001</v>
      </c>
      <c r="AG442">
        <v>0.17219999999999999</v>
      </c>
      <c r="AH442">
        <v>0.2049</v>
      </c>
      <c r="AI442">
        <v>0.14580000000000001</v>
      </c>
      <c r="AJ442">
        <v>9.6699999999999994E-2</v>
      </c>
      <c r="AK442">
        <v>7.0300000000000001E-2</v>
      </c>
      <c r="AL442">
        <v>5.5399999999999998E-2</v>
      </c>
      <c r="AM442">
        <v>3.7999999999999999E-2</v>
      </c>
      <c r="AN442">
        <v>6.3899999999999998E-2</v>
      </c>
      <c r="AO442">
        <v>5.3999999999999999E-2</v>
      </c>
      <c r="AP442">
        <v>1.9699999999999999E-2</v>
      </c>
      <c r="AQ442">
        <v>0.03</v>
      </c>
      <c r="AR442">
        <v>5.79E-2</v>
      </c>
      <c r="AS442">
        <v>7.6200000000000004E-2</v>
      </c>
      <c r="AT442">
        <v>6.2700000000000006E-2</v>
      </c>
      <c r="AU442">
        <v>5.7099999999999998E-2</v>
      </c>
      <c r="AV442">
        <v>4.4699999999999997E-2</v>
      </c>
    </row>
    <row r="443" spans="1:48" x14ac:dyDescent="0.25">
      <c r="A443" t="s">
        <v>533</v>
      </c>
      <c r="B443" t="s">
        <v>2</v>
      </c>
      <c r="C443" t="s">
        <v>533</v>
      </c>
      <c r="D443">
        <v>40340</v>
      </c>
      <c r="E443" t="s">
        <v>672</v>
      </c>
      <c r="F443" t="s">
        <v>117</v>
      </c>
      <c r="G443" t="s">
        <v>670</v>
      </c>
      <c r="H443" t="s">
        <v>670</v>
      </c>
      <c r="I443">
        <v>-2.8400000000000002E-2</v>
      </c>
      <c r="J443">
        <v>4.8999999999999998E-3</v>
      </c>
      <c r="K443">
        <v>6.59E-2</v>
      </c>
      <c r="L443">
        <v>-1.7100000000000001E-2</v>
      </c>
      <c r="M443">
        <v>-3.8600000000000002E-2</v>
      </c>
      <c r="N443">
        <v>-8.48E-2</v>
      </c>
      <c r="O443">
        <v>-7.9100000000000004E-2</v>
      </c>
      <c r="P443">
        <v>-2.93E-2</v>
      </c>
      <c r="Q443">
        <v>-4.1399999999999999E-2</v>
      </c>
      <c r="R443">
        <v>2.0799999999999999E-2</v>
      </c>
      <c r="S443">
        <v>3.5900000000000001E-2</v>
      </c>
      <c r="T443">
        <v>4.1500000000000002E-2</v>
      </c>
      <c r="U443">
        <v>7.8100000000000003E-2</v>
      </c>
      <c r="V443">
        <v>4.4400000000000002E-2</v>
      </c>
      <c r="W443">
        <v>5.5399999999999998E-2</v>
      </c>
      <c r="X443">
        <v>4.5100000000000001E-2</v>
      </c>
      <c r="Y443">
        <v>3.1899999999999998E-2</v>
      </c>
      <c r="Z443">
        <v>-2.7000000000000001E-3</v>
      </c>
      <c r="AA443">
        <v>-1.7299999999999999E-2</v>
      </c>
      <c r="AB443">
        <v>-1.12E-2</v>
      </c>
      <c r="AC443">
        <v>-2.2000000000000001E-3</v>
      </c>
      <c r="AD443">
        <v>4.0899999999999999E-2</v>
      </c>
      <c r="AE443">
        <v>4.4999999999999998E-2</v>
      </c>
      <c r="AF443">
        <v>0.16619999999999999</v>
      </c>
      <c r="AG443">
        <v>0.17249999999999999</v>
      </c>
      <c r="AH443">
        <v>0.1681</v>
      </c>
      <c r="AI443">
        <v>0.1484</v>
      </c>
      <c r="AJ443">
        <v>4.3099999999999999E-2</v>
      </c>
      <c r="AK443">
        <v>2.47E-2</v>
      </c>
      <c r="AL443">
        <v>1.9599999999999999E-2</v>
      </c>
      <c r="AM443">
        <v>1.9099999999999999E-2</v>
      </c>
      <c r="AN443">
        <v>1.6199999999999999E-2</v>
      </c>
      <c r="AO443">
        <v>2.7199999999999998E-2</v>
      </c>
      <c r="AP443">
        <v>2.0299999999999999E-2</v>
      </c>
      <c r="AQ443">
        <v>2.0199999999999999E-2</v>
      </c>
      <c r="AR443">
        <v>2.6700000000000002E-2</v>
      </c>
      <c r="AS443">
        <v>3.73E-2</v>
      </c>
      <c r="AT443">
        <v>5.3100000000000001E-2</v>
      </c>
      <c r="AU443">
        <v>4.7600000000000003E-2</v>
      </c>
      <c r="AV443">
        <v>5.3400000000000003E-2</v>
      </c>
    </row>
    <row r="444" spans="1:48" x14ac:dyDescent="0.25">
      <c r="A444" t="s">
        <v>534</v>
      </c>
      <c r="B444" t="s">
        <v>2</v>
      </c>
      <c r="C444" t="s">
        <v>534</v>
      </c>
      <c r="D444">
        <v>40380</v>
      </c>
      <c r="E444" t="s">
        <v>672</v>
      </c>
      <c r="F444" t="s">
        <v>117</v>
      </c>
      <c r="G444" t="s">
        <v>670</v>
      </c>
      <c r="H444" t="s">
        <v>670</v>
      </c>
      <c r="I444">
        <v>4.1099999999999998E-2</v>
      </c>
      <c r="J444">
        <v>5.4199999999999998E-2</v>
      </c>
      <c r="K444">
        <v>3.8800000000000001E-2</v>
      </c>
      <c r="L444">
        <v>4.9700000000000001E-2</v>
      </c>
      <c r="M444">
        <v>4.6899999999999997E-2</v>
      </c>
      <c r="N444">
        <v>4.7699999999999999E-2</v>
      </c>
      <c r="O444">
        <v>6.3799999999999996E-2</v>
      </c>
      <c r="P444">
        <v>4.4499999999999998E-2</v>
      </c>
      <c r="Q444">
        <v>3.27E-2</v>
      </c>
      <c r="R444">
        <v>2.9700000000000001E-2</v>
      </c>
      <c r="S444">
        <v>3.2500000000000001E-2</v>
      </c>
      <c r="T444">
        <v>3.5900000000000001E-2</v>
      </c>
      <c r="U444">
        <v>3.9E-2</v>
      </c>
      <c r="V444">
        <v>3.9699999999999999E-2</v>
      </c>
      <c r="W444">
        <v>2.7799999999999998E-2</v>
      </c>
      <c r="X444">
        <v>2.86E-2</v>
      </c>
      <c r="Y444">
        <v>2.92E-2</v>
      </c>
      <c r="Z444">
        <v>2.1399999999999999E-2</v>
      </c>
      <c r="AA444">
        <v>3.5299999999999998E-2</v>
      </c>
      <c r="AB444">
        <v>4.8399999999999999E-2</v>
      </c>
      <c r="AC444">
        <v>6.7000000000000004E-2</v>
      </c>
      <c r="AD444">
        <v>7.5399999999999995E-2</v>
      </c>
      <c r="AE444">
        <v>8.3000000000000004E-2</v>
      </c>
      <c r="AF444">
        <v>7.8399999999999997E-2</v>
      </c>
      <c r="AG444">
        <v>7.5200000000000003E-2</v>
      </c>
      <c r="AH444">
        <v>9.4100000000000003E-2</v>
      </c>
      <c r="AI444">
        <v>0.1094</v>
      </c>
      <c r="AJ444">
        <v>0.1012</v>
      </c>
      <c r="AK444">
        <v>8.9300000000000004E-2</v>
      </c>
      <c r="AL444">
        <v>9.1499999999999998E-2</v>
      </c>
      <c r="AM444">
        <v>6.4399999999999999E-2</v>
      </c>
      <c r="AN444">
        <v>7.4200000000000002E-2</v>
      </c>
      <c r="AO444">
        <v>7.2599999999999998E-2</v>
      </c>
      <c r="AP444">
        <v>5.0599999999999999E-2</v>
      </c>
      <c r="AQ444">
        <v>5.0900000000000001E-2</v>
      </c>
      <c r="AR444">
        <v>4.9599999999999998E-2</v>
      </c>
      <c r="AS444">
        <v>5.11E-2</v>
      </c>
      <c r="AT444">
        <v>5.04E-2</v>
      </c>
      <c r="AU444">
        <v>5.2200000000000003E-2</v>
      </c>
      <c r="AV444">
        <v>4.36E-2</v>
      </c>
    </row>
    <row r="445" spans="1:48" x14ac:dyDescent="0.25">
      <c r="A445" t="s">
        <v>535</v>
      </c>
      <c r="B445" t="s">
        <v>2</v>
      </c>
      <c r="C445" t="s">
        <v>535</v>
      </c>
      <c r="D445">
        <v>40420</v>
      </c>
      <c r="E445" t="s">
        <v>672</v>
      </c>
      <c r="F445" t="s">
        <v>117</v>
      </c>
      <c r="G445" t="s">
        <v>670</v>
      </c>
      <c r="H445" t="s">
        <v>670</v>
      </c>
      <c r="I445">
        <v>1.89E-2</v>
      </c>
      <c r="J445">
        <v>1.5299999999999999E-2</v>
      </c>
      <c r="K445">
        <v>8.7499999999999994E-2</v>
      </c>
      <c r="L445">
        <v>0.1792</v>
      </c>
      <c r="M445">
        <v>0.19209999999999999</v>
      </c>
      <c r="N445">
        <v>0.20019999999999999</v>
      </c>
      <c r="O445">
        <v>0.17849999999999999</v>
      </c>
      <c r="P445">
        <v>6.9400000000000003E-2</v>
      </c>
      <c r="Q445">
        <v>4.2700000000000002E-2</v>
      </c>
      <c r="R445">
        <v>4.3900000000000002E-2</v>
      </c>
      <c r="S445">
        <v>4.1999999999999997E-3</v>
      </c>
      <c r="T445">
        <v>-6.1000000000000004E-3</v>
      </c>
      <c r="U445">
        <v>9.1000000000000004E-3</v>
      </c>
      <c r="V445">
        <v>7.1000000000000004E-3</v>
      </c>
      <c r="W445">
        <v>2.7099999999999999E-2</v>
      </c>
      <c r="X445">
        <v>5.0500000000000003E-2</v>
      </c>
      <c r="Y445">
        <v>8.4599999999999995E-2</v>
      </c>
      <c r="Z445">
        <v>8.5199999999999998E-2</v>
      </c>
      <c r="AA445">
        <v>6.9699999999999998E-2</v>
      </c>
      <c r="AB445">
        <v>5.8999999999999997E-2</v>
      </c>
      <c r="AC445">
        <v>3.5799999999999998E-2</v>
      </c>
      <c r="AD445">
        <v>4.5999999999999999E-2</v>
      </c>
      <c r="AE445">
        <v>5.9900000000000002E-2</v>
      </c>
      <c r="AF445">
        <v>0.1022</v>
      </c>
      <c r="AG445">
        <v>0.15679999999999999</v>
      </c>
      <c r="AH445">
        <v>0.15859999999999999</v>
      </c>
      <c r="AI445">
        <v>0.1249</v>
      </c>
      <c r="AJ445">
        <v>0.1137</v>
      </c>
      <c r="AK445">
        <v>8.5400000000000004E-2</v>
      </c>
      <c r="AL445">
        <v>8.3099999999999993E-2</v>
      </c>
      <c r="AM445">
        <v>0.1094</v>
      </c>
      <c r="AN445">
        <v>0.1103</v>
      </c>
      <c r="AO445">
        <v>7.8399999999999997E-2</v>
      </c>
      <c r="AP445">
        <v>8.9499999999999996E-2</v>
      </c>
      <c r="AQ445">
        <v>7.4999999999999997E-2</v>
      </c>
      <c r="AR445">
        <v>5.45E-2</v>
      </c>
      <c r="AS445">
        <v>5.16E-2</v>
      </c>
      <c r="AT445">
        <v>1.29E-2</v>
      </c>
      <c r="AU445">
        <v>2.9899999999999999E-2</v>
      </c>
      <c r="AV445">
        <v>3.9199999999999999E-2</v>
      </c>
    </row>
    <row r="446" spans="1:48" x14ac:dyDescent="0.25">
      <c r="A446" t="s">
        <v>536</v>
      </c>
      <c r="B446" t="s">
        <v>2</v>
      </c>
      <c r="C446" t="s">
        <v>536</v>
      </c>
      <c r="D446">
        <v>40540</v>
      </c>
      <c r="E446" t="s">
        <v>672</v>
      </c>
      <c r="F446" t="s">
        <v>117</v>
      </c>
      <c r="G446" t="s">
        <v>670</v>
      </c>
      <c r="H446" t="s">
        <v>670</v>
      </c>
      <c r="I446">
        <v>-0.16950000000000001</v>
      </c>
      <c r="J446">
        <v>0.10100000000000001</v>
      </c>
      <c r="K446">
        <v>-0.12230000000000001</v>
      </c>
      <c r="L446">
        <v>-0.1492</v>
      </c>
      <c r="M446">
        <v>-4.7999999999999996E-3</v>
      </c>
      <c r="N446">
        <v>-0.2344</v>
      </c>
      <c r="O446">
        <v>-0.16550000000000001</v>
      </c>
      <c r="P446">
        <v>-4.0399999999999998E-2</v>
      </c>
      <c r="Q446">
        <v>-5.8500000000000003E-2</v>
      </c>
      <c r="R446">
        <v>0.14269999999999999</v>
      </c>
      <c r="S446">
        <v>4.9700000000000001E-2</v>
      </c>
      <c r="T446">
        <v>-5.5899999999999998E-2</v>
      </c>
      <c r="U446">
        <v>-3.7600000000000001E-2</v>
      </c>
      <c r="V446">
        <v>4.8999999999999998E-3</v>
      </c>
      <c r="W446">
        <v>2.4500000000000001E-2</v>
      </c>
      <c r="X446">
        <v>7.1900000000000006E-2</v>
      </c>
      <c r="Y446">
        <v>-1.5699999999999999E-2</v>
      </c>
      <c r="Z446">
        <v>-0.1245</v>
      </c>
      <c r="AA446">
        <v>-7.0599999999999996E-2</v>
      </c>
      <c r="AB446">
        <v>-9.6000000000000002E-2</v>
      </c>
      <c r="AC446">
        <v>-2.8000000000000001E-2</v>
      </c>
      <c r="AD446">
        <v>0.123</v>
      </c>
      <c r="AE446">
        <v>0.14630000000000001</v>
      </c>
      <c r="AF446">
        <v>0.24440000000000001</v>
      </c>
      <c r="AG446">
        <v>0.246</v>
      </c>
      <c r="AH446">
        <v>0.1678</v>
      </c>
      <c r="AI446">
        <v>0.1618</v>
      </c>
      <c r="AJ446">
        <v>0.1283</v>
      </c>
      <c r="AK446">
        <v>5.8200000000000002E-2</v>
      </c>
      <c r="AL446">
        <v>2.7699999999999999E-2</v>
      </c>
      <c r="AM446">
        <v>-1.1000000000000001E-3</v>
      </c>
      <c r="AN446">
        <v>-7.9000000000000008E-3</v>
      </c>
      <c r="AO446">
        <v>3.9600000000000003E-2</v>
      </c>
      <c r="AP446">
        <v>5.2600000000000001E-2</v>
      </c>
      <c r="AQ446">
        <v>7.1199999999999999E-2</v>
      </c>
      <c r="AR446">
        <v>6.3700000000000007E-2</v>
      </c>
      <c r="AS446">
        <v>-5.9400000000000001E-2</v>
      </c>
      <c r="AT446">
        <v>-3.5400000000000001E-2</v>
      </c>
      <c r="AU446">
        <v>-7.4700000000000003E-2</v>
      </c>
      <c r="AV446">
        <v>-0.12590000000000001</v>
      </c>
    </row>
    <row r="447" spans="1:48" x14ac:dyDescent="0.25">
      <c r="A447" t="s">
        <v>537</v>
      </c>
      <c r="B447" t="s">
        <v>2</v>
      </c>
      <c r="C447" t="s">
        <v>537</v>
      </c>
      <c r="D447">
        <v>40580</v>
      </c>
      <c r="E447" t="s">
        <v>672</v>
      </c>
      <c r="F447" t="s">
        <v>117</v>
      </c>
      <c r="G447" t="s">
        <v>670</v>
      </c>
      <c r="H447" t="s">
        <v>670</v>
      </c>
      <c r="I447">
        <v>-5.33E-2</v>
      </c>
      <c r="J447">
        <v>-4.0599999999999997E-2</v>
      </c>
      <c r="K447">
        <v>-2.9600000000000001E-2</v>
      </c>
      <c r="L447">
        <v>5.57E-2</v>
      </c>
      <c r="M447">
        <v>7.1800000000000003E-2</v>
      </c>
      <c r="N447">
        <v>4.48E-2</v>
      </c>
      <c r="O447">
        <v>9.6500000000000002E-2</v>
      </c>
      <c r="P447">
        <v>7.2999999999999995E-2</v>
      </c>
      <c r="Q447">
        <v>9.2200000000000004E-2</v>
      </c>
      <c r="R447">
        <v>7.9500000000000001E-2</v>
      </c>
      <c r="S447">
        <v>-1.3599999999999999E-2</v>
      </c>
      <c r="T447">
        <v>-2.4E-2</v>
      </c>
      <c r="U447">
        <v>-6.1000000000000004E-3</v>
      </c>
      <c r="V447">
        <v>1.7399999999999999E-2</v>
      </c>
      <c r="W447">
        <v>1.9E-3</v>
      </c>
      <c r="X447">
        <v>4.2099999999999999E-2</v>
      </c>
      <c r="Y447">
        <v>4.1300000000000003E-2</v>
      </c>
      <c r="Z447">
        <v>-3.0000000000000001E-3</v>
      </c>
      <c r="AA447">
        <v>9.2600000000000002E-2</v>
      </c>
      <c r="AB447">
        <v>9.4200000000000006E-2</v>
      </c>
      <c r="AC447">
        <v>9.01E-2</v>
      </c>
      <c r="AD447">
        <v>0.10340000000000001</v>
      </c>
      <c r="AE447">
        <v>7.46E-2</v>
      </c>
      <c r="AF447">
        <v>9.2899999999999996E-2</v>
      </c>
      <c r="AG447">
        <v>0.14860000000000001</v>
      </c>
      <c r="AH447">
        <v>0.21229999999999999</v>
      </c>
      <c r="AI447">
        <v>0.17219999999999999</v>
      </c>
      <c r="AJ447">
        <v>0.17480000000000001</v>
      </c>
      <c r="AK447">
        <v>0.2021</v>
      </c>
      <c r="AL447">
        <v>0.17349999999999999</v>
      </c>
      <c r="AM447">
        <v>0.1119</v>
      </c>
      <c r="AN447">
        <v>9.3600000000000003E-2</v>
      </c>
      <c r="AO447">
        <v>-1.1299999999999999E-2</v>
      </c>
      <c r="AP447">
        <v>-1.66E-2</v>
      </c>
      <c r="AQ447">
        <v>1.06E-2</v>
      </c>
      <c r="AR447">
        <v>-4.3799999999999999E-2</v>
      </c>
      <c r="AS447">
        <v>-2.7799999999999998E-2</v>
      </c>
      <c r="AT447">
        <v>-3.0200000000000001E-2</v>
      </c>
      <c r="AU447">
        <v>0.13850000000000001</v>
      </c>
      <c r="AV447">
        <v>0.13109999999999999</v>
      </c>
    </row>
    <row r="448" spans="1:48" x14ac:dyDescent="0.25">
      <c r="A448" t="s">
        <v>538</v>
      </c>
      <c r="B448" t="s">
        <v>2</v>
      </c>
      <c r="C448" t="s">
        <v>538</v>
      </c>
      <c r="D448">
        <v>40660</v>
      </c>
      <c r="E448" t="s">
        <v>672</v>
      </c>
      <c r="F448" t="s">
        <v>117</v>
      </c>
      <c r="G448" t="s">
        <v>670</v>
      </c>
      <c r="H448" t="s">
        <v>670</v>
      </c>
      <c r="I448">
        <v>4.3200000000000002E-2</v>
      </c>
      <c r="J448">
        <v>0.12839999999999999</v>
      </c>
      <c r="K448">
        <v>0.13059999999999999</v>
      </c>
      <c r="L448">
        <v>0.1265</v>
      </c>
      <c r="M448">
        <v>0.1381</v>
      </c>
      <c r="N448">
        <v>6.08E-2</v>
      </c>
      <c r="O448">
        <v>-3.3500000000000002E-2</v>
      </c>
      <c r="P448">
        <v>-2.98E-2</v>
      </c>
      <c r="Q448">
        <v>-4.6899999999999997E-2</v>
      </c>
      <c r="R448">
        <v>-4.8000000000000001E-2</v>
      </c>
      <c r="S448">
        <v>2.1600000000000001E-2</v>
      </c>
      <c r="T448">
        <v>0.217</v>
      </c>
      <c r="U448">
        <v>0.22090000000000001</v>
      </c>
      <c r="V448">
        <v>0.20899999999999999</v>
      </c>
      <c r="W448">
        <v>0.25030000000000002</v>
      </c>
      <c r="X448">
        <v>6.9900000000000004E-2</v>
      </c>
      <c r="Y448">
        <v>0.1198</v>
      </c>
      <c r="Z448">
        <v>0.24460000000000001</v>
      </c>
      <c r="AA448">
        <v>0.26440000000000002</v>
      </c>
      <c r="AB448">
        <v>0.2787</v>
      </c>
      <c r="AC448">
        <v>0.2399</v>
      </c>
      <c r="AD448">
        <v>0.1346</v>
      </c>
      <c r="AE448">
        <v>0.15859999999999999</v>
      </c>
      <c r="AF448">
        <v>0.1429</v>
      </c>
      <c r="AG448">
        <v>0.13850000000000001</v>
      </c>
      <c r="AH448">
        <v>0.152</v>
      </c>
      <c r="AI448">
        <v>0.1714</v>
      </c>
      <c r="AJ448">
        <v>0.1545</v>
      </c>
      <c r="AK448">
        <v>0.1216</v>
      </c>
      <c r="AL448">
        <v>0.107</v>
      </c>
      <c r="AM448">
        <v>1.55E-2</v>
      </c>
      <c r="AN448">
        <v>-6.2600000000000003E-2</v>
      </c>
      <c r="AO448">
        <v>-2.2599999999999999E-2</v>
      </c>
      <c r="AP448">
        <v>-2.0000000000000001E-4</v>
      </c>
      <c r="AQ448">
        <v>2.3900000000000001E-2</v>
      </c>
      <c r="AR448">
        <v>0.13420000000000001</v>
      </c>
      <c r="AS448">
        <v>0.11219999999999999</v>
      </c>
      <c r="AT448">
        <v>0.1114</v>
      </c>
      <c r="AU448">
        <v>0.1211</v>
      </c>
      <c r="AV448">
        <v>6.3100000000000003E-2</v>
      </c>
    </row>
    <row r="449" spans="1:48" x14ac:dyDescent="0.25">
      <c r="A449" t="s">
        <v>539</v>
      </c>
      <c r="B449" t="s">
        <v>2</v>
      </c>
      <c r="C449" t="s">
        <v>539</v>
      </c>
      <c r="D449">
        <v>40740</v>
      </c>
      <c r="E449" t="s">
        <v>672</v>
      </c>
      <c r="F449" t="s">
        <v>117</v>
      </c>
      <c r="G449" t="s">
        <v>670</v>
      </c>
      <c r="H449" t="s">
        <v>670</v>
      </c>
      <c r="I449" t="s">
        <v>673</v>
      </c>
      <c r="J449" t="s">
        <v>673</v>
      </c>
      <c r="K449" t="s">
        <v>673</v>
      </c>
      <c r="L449" t="s">
        <v>673</v>
      </c>
      <c r="M449" t="s">
        <v>673</v>
      </c>
      <c r="N449" t="s">
        <v>673</v>
      </c>
      <c r="O449" t="s">
        <v>673</v>
      </c>
      <c r="P449" t="s">
        <v>673</v>
      </c>
      <c r="Q449" t="s">
        <v>673</v>
      </c>
      <c r="R449" t="s">
        <v>673</v>
      </c>
      <c r="S449" t="s">
        <v>673</v>
      </c>
      <c r="T449" t="s">
        <v>673</v>
      </c>
      <c r="U449" t="s">
        <v>673</v>
      </c>
      <c r="V449" t="s">
        <v>673</v>
      </c>
      <c r="W449" t="s">
        <v>673</v>
      </c>
      <c r="X449" t="s">
        <v>673</v>
      </c>
      <c r="Y449" t="s">
        <v>673</v>
      </c>
      <c r="Z449" t="s">
        <v>673</v>
      </c>
      <c r="AA449">
        <v>-0.22040000000000001</v>
      </c>
      <c r="AB449">
        <v>-0.2457</v>
      </c>
      <c r="AC449">
        <v>-0.24329999999999999</v>
      </c>
      <c r="AD449">
        <v>-0.21929999999999999</v>
      </c>
      <c r="AE449">
        <v>2.5600000000000001E-2</v>
      </c>
      <c r="AF449">
        <v>4.4999999999999998E-2</v>
      </c>
      <c r="AG449">
        <v>3.5000000000000003E-2</v>
      </c>
      <c r="AH449">
        <v>2.3E-2</v>
      </c>
      <c r="AI449">
        <v>1.47E-2</v>
      </c>
      <c r="AJ449">
        <v>-2.0899999999999998E-2</v>
      </c>
      <c r="AK449">
        <v>8.8999999999999999E-3</v>
      </c>
      <c r="AL449">
        <v>4.4400000000000002E-2</v>
      </c>
      <c r="AM449">
        <v>3.9699999999999999E-2</v>
      </c>
      <c r="AN449">
        <v>0.126</v>
      </c>
      <c r="AO449">
        <v>6.59E-2</v>
      </c>
      <c r="AP449">
        <v>1.8700000000000001E-2</v>
      </c>
      <c r="AQ449">
        <v>1.9699999999999999E-2</v>
      </c>
      <c r="AR449">
        <v>-1.6299999999999999E-2</v>
      </c>
      <c r="AS449">
        <v>5.16E-2</v>
      </c>
      <c r="AT449">
        <v>0.26379999999999998</v>
      </c>
      <c r="AU449">
        <v>0.3841</v>
      </c>
      <c r="AV449">
        <v>0.28389999999999999</v>
      </c>
    </row>
    <row r="450" spans="1:48" x14ac:dyDescent="0.25">
      <c r="A450" t="s">
        <v>540</v>
      </c>
      <c r="B450" t="s">
        <v>2</v>
      </c>
      <c r="C450" t="s">
        <v>540</v>
      </c>
      <c r="D450">
        <v>40780</v>
      </c>
      <c r="E450" t="s">
        <v>672</v>
      </c>
      <c r="F450" t="s">
        <v>117</v>
      </c>
      <c r="G450" t="s">
        <v>670</v>
      </c>
      <c r="H450" t="s">
        <v>670</v>
      </c>
      <c r="I450" t="s">
        <v>673</v>
      </c>
      <c r="J450" t="s">
        <v>673</v>
      </c>
      <c r="K450" t="s">
        <v>673</v>
      </c>
      <c r="L450">
        <v>3.04E-2</v>
      </c>
      <c r="M450">
        <v>2.69E-2</v>
      </c>
      <c r="N450">
        <v>3.0499999999999999E-2</v>
      </c>
      <c r="O450">
        <v>2.9499999999999998E-2</v>
      </c>
      <c r="P450">
        <v>5.1999999999999998E-3</v>
      </c>
      <c r="Q450">
        <v>9.7000000000000003E-3</v>
      </c>
      <c r="R450">
        <v>3.3E-3</v>
      </c>
      <c r="S450">
        <v>1.8100000000000002E-2</v>
      </c>
      <c r="T450">
        <v>1.1900000000000001E-2</v>
      </c>
      <c r="U450">
        <v>1.0200000000000001E-2</v>
      </c>
      <c r="V450">
        <v>0.1187</v>
      </c>
      <c r="W450">
        <v>4.3900000000000002E-2</v>
      </c>
      <c r="X450">
        <v>2.7799999999999998E-2</v>
      </c>
      <c r="Y450">
        <v>1.9599999999999999E-2</v>
      </c>
      <c r="Z450">
        <v>-6.4199999999999993E-2</v>
      </c>
      <c r="AA450">
        <v>-1.9699999999999999E-2</v>
      </c>
      <c r="AB450">
        <v>1.84E-2</v>
      </c>
      <c r="AC450">
        <v>4.36E-2</v>
      </c>
      <c r="AD450">
        <v>3.1E-2</v>
      </c>
      <c r="AE450">
        <v>3.6700000000000003E-2</v>
      </c>
      <c r="AF450">
        <v>3.9199999999999999E-2</v>
      </c>
      <c r="AG450" t="s">
        <v>673</v>
      </c>
      <c r="AH450" t="s">
        <v>673</v>
      </c>
      <c r="AI450" t="s">
        <v>673</v>
      </c>
      <c r="AJ450" t="s">
        <v>673</v>
      </c>
      <c r="AK450" t="s">
        <v>673</v>
      </c>
      <c r="AL450" t="s">
        <v>673</v>
      </c>
      <c r="AM450" t="s">
        <v>673</v>
      </c>
      <c r="AN450" t="s">
        <v>673</v>
      </c>
      <c r="AO450" t="s">
        <v>673</v>
      </c>
      <c r="AP450" t="s">
        <v>673</v>
      </c>
      <c r="AQ450" t="s">
        <v>673</v>
      </c>
      <c r="AR450" t="s">
        <v>673</v>
      </c>
      <c r="AS450" t="s">
        <v>673</v>
      </c>
      <c r="AT450" t="s">
        <v>673</v>
      </c>
      <c r="AU450" t="s">
        <v>673</v>
      </c>
      <c r="AV450" t="s">
        <v>673</v>
      </c>
    </row>
    <row r="451" spans="1:48" x14ac:dyDescent="0.25">
      <c r="A451" t="s">
        <v>17</v>
      </c>
      <c r="B451" t="s">
        <v>2</v>
      </c>
      <c r="C451" t="s">
        <v>17</v>
      </c>
      <c r="D451">
        <v>40900</v>
      </c>
      <c r="E451" t="s">
        <v>672</v>
      </c>
      <c r="F451" t="s">
        <v>117</v>
      </c>
      <c r="G451" t="s">
        <v>670</v>
      </c>
      <c r="H451" t="s">
        <v>670</v>
      </c>
      <c r="I451">
        <v>0.1027</v>
      </c>
      <c r="J451">
        <v>0.1061</v>
      </c>
      <c r="K451">
        <v>0.1108</v>
      </c>
      <c r="L451">
        <v>0.1032</v>
      </c>
      <c r="M451">
        <v>9.1999999999999998E-2</v>
      </c>
      <c r="N451">
        <v>9.2899999999999996E-2</v>
      </c>
      <c r="O451">
        <v>8.14E-2</v>
      </c>
      <c r="P451">
        <v>6.8699999999999997E-2</v>
      </c>
      <c r="Q451">
        <v>7.0300000000000001E-2</v>
      </c>
      <c r="R451">
        <v>5.1299999999999998E-2</v>
      </c>
      <c r="S451">
        <v>3.8300000000000001E-2</v>
      </c>
      <c r="T451">
        <v>4.8099999999999997E-2</v>
      </c>
      <c r="U451">
        <v>5.33E-2</v>
      </c>
      <c r="V451">
        <v>4.6800000000000001E-2</v>
      </c>
      <c r="W451">
        <v>5.9200000000000003E-2</v>
      </c>
      <c r="X451">
        <v>5.9700000000000003E-2</v>
      </c>
      <c r="Y451">
        <v>5.0099999999999999E-2</v>
      </c>
      <c r="Z451">
        <v>3.1300000000000001E-2</v>
      </c>
      <c r="AA451">
        <v>4.02E-2</v>
      </c>
      <c r="AB451">
        <v>6.4000000000000001E-2</v>
      </c>
      <c r="AC451">
        <v>7.5399999999999995E-2</v>
      </c>
      <c r="AD451">
        <v>0.13070000000000001</v>
      </c>
      <c r="AE451">
        <v>0.1633</v>
      </c>
      <c r="AF451">
        <v>0.1656</v>
      </c>
      <c r="AG451">
        <v>0.15190000000000001</v>
      </c>
      <c r="AH451">
        <v>0.1321</v>
      </c>
      <c r="AI451">
        <v>7.6600000000000001E-2</v>
      </c>
      <c r="AJ451">
        <v>3.27E-2</v>
      </c>
      <c r="AK451">
        <v>1.72E-2</v>
      </c>
      <c r="AL451">
        <v>-3.0000000000000001E-3</v>
      </c>
      <c r="AM451">
        <v>-4.1000000000000003E-3</v>
      </c>
      <c r="AN451">
        <v>6.7999999999999996E-3</v>
      </c>
      <c r="AO451">
        <v>1.61E-2</v>
      </c>
      <c r="AP451">
        <v>1.6500000000000001E-2</v>
      </c>
      <c r="AQ451">
        <v>1.7600000000000001E-2</v>
      </c>
      <c r="AR451">
        <v>1.3100000000000001E-2</v>
      </c>
      <c r="AS451">
        <v>7.4999999999999997E-3</v>
      </c>
      <c r="AT451">
        <v>1.1299999999999999E-2</v>
      </c>
      <c r="AU451">
        <v>4.5999999999999999E-3</v>
      </c>
      <c r="AV451">
        <v>1.1000000000000001E-3</v>
      </c>
    </row>
    <row r="452" spans="1:48" x14ac:dyDescent="0.25">
      <c r="A452" t="s">
        <v>541</v>
      </c>
      <c r="B452" t="s">
        <v>2</v>
      </c>
      <c r="C452" t="s">
        <v>541</v>
      </c>
      <c r="D452">
        <v>340980</v>
      </c>
      <c r="E452" t="s">
        <v>672</v>
      </c>
      <c r="F452" t="s">
        <v>117</v>
      </c>
      <c r="G452" t="s">
        <v>670</v>
      </c>
      <c r="H452" t="s">
        <v>670</v>
      </c>
      <c r="I452">
        <v>-2.5600000000000001E-2</v>
      </c>
      <c r="J452">
        <v>-1.8800000000000001E-2</v>
      </c>
      <c r="K452">
        <v>4.7000000000000002E-3</v>
      </c>
      <c r="L452">
        <v>1E-4</v>
      </c>
      <c r="M452">
        <v>4.9099999999999998E-2</v>
      </c>
      <c r="N452">
        <v>3.7499999999999999E-2</v>
      </c>
      <c r="O452">
        <v>3.4099999999999998E-2</v>
      </c>
      <c r="P452">
        <v>4.3099999999999999E-2</v>
      </c>
      <c r="Q452">
        <v>2.8799999999999999E-2</v>
      </c>
      <c r="R452">
        <v>2.8000000000000001E-2</v>
      </c>
      <c r="S452">
        <v>3.73E-2</v>
      </c>
      <c r="T452">
        <v>3.3399999999999999E-2</v>
      </c>
      <c r="U452">
        <v>5.3199999999999997E-2</v>
      </c>
      <c r="V452">
        <v>5.3800000000000001E-2</v>
      </c>
      <c r="W452">
        <v>1.9699999999999999E-2</v>
      </c>
      <c r="X452">
        <v>4.9700000000000001E-2</v>
      </c>
      <c r="Y452">
        <v>3.7999999999999999E-2</v>
      </c>
      <c r="Z452">
        <v>3.2500000000000001E-2</v>
      </c>
      <c r="AA452">
        <v>5.0299999999999997E-2</v>
      </c>
      <c r="AB452">
        <v>5.6399999999999999E-2</v>
      </c>
      <c r="AC452">
        <v>5.7299999999999997E-2</v>
      </c>
      <c r="AD452">
        <v>7.5800000000000006E-2</v>
      </c>
      <c r="AE452">
        <v>0.1042</v>
      </c>
      <c r="AF452">
        <v>0.10340000000000001</v>
      </c>
      <c r="AG452">
        <v>9.0800000000000006E-2</v>
      </c>
      <c r="AH452">
        <v>8.5699999999999998E-2</v>
      </c>
      <c r="AI452">
        <v>7.4300000000000005E-2</v>
      </c>
      <c r="AJ452">
        <v>6.0900000000000003E-2</v>
      </c>
      <c r="AK452">
        <v>5.0700000000000002E-2</v>
      </c>
      <c r="AL452">
        <v>3.1E-2</v>
      </c>
      <c r="AM452">
        <v>-1E-3</v>
      </c>
      <c r="AN452">
        <v>-9.2999999999999992E-3</v>
      </c>
      <c r="AO452">
        <v>1.9800000000000002E-2</v>
      </c>
      <c r="AP452">
        <v>2.0400000000000001E-2</v>
      </c>
      <c r="AQ452">
        <v>4.2700000000000002E-2</v>
      </c>
      <c r="AR452">
        <v>5.4600000000000003E-2</v>
      </c>
      <c r="AS452">
        <v>2.9899999999999999E-2</v>
      </c>
      <c r="AT452">
        <v>4.82E-2</v>
      </c>
      <c r="AU452">
        <v>2.5999999999999999E-2</v>
      </c>
      <c r="AV452">
        <v>2.6800000000000001E-2</v>
      </c>
    </row>
    <row r="453" spans="1:48" x14ac:dyDescent="0.25">
      <c r="A453" t="s">
        <v>542</v>
      </c>
      <c r="B453" t="s">
        <v>2</v>
      </c>
      <c r="C453" t="s">
        <v>542</v>
      </c>
      <c r="D453">
        <v>41420</v>
      </c>
      <c r="E453" t="s">
        <v>672</v>
      </c>
      <c r="F453" t="s">
        <v>117</v>
      </c>
      <c r="G453" t="s">
        <v>670</v>
      </c>
      <c r="H453" t="s">
        <v>670</v>
      </c>
      <c r="I453">
        <v>9.4700000000000006E-2</v>
      </c>
      <c r="J453">
        <v>0.1215</v>
      </c>
      <c r="K453">
        <v>0.11219999999999999</v>
      </c>
      <c r="L453">
        <v>0.1053</v>
      </c>
      <c r="M453">
        <v>0.113</v>
      </c>
      <c r="N453">
        <v>0.109</v>
      </c>
      <c r="O453">
        <v>0.10059999999999999</v>
      </c>
      <c r="P453">
        <v>7.3599999999999999E-2</v>
      </c>
      <c r="Q453">
        <v>6.0199999999999997E-2</v>
      </c>
      <c r="R453">
        <v>4.4699999999999997E-2</v>
      </c>
      <c r="S453">
        <v>4.5600000000000002E-2</v>
      </c>
      <c r="T453">
        <v>4.8899999999999999E-2</v>
      </c>
      <c r="U453">
        <v>4.9200000000000001E-2</v>
      </c>
      <c r="V453">
        <v>5.5E-2</v>
      </c>
      <c r="W453">
        <v>5.16E-2</v>
      </c>
      <c r="X453">
        <v>4.4900000000000002E-2</v>
      </c>
      <c r="Y453">
        <v>6.0199999999999997E-2</v>
      </c>
      <c r="Z453">
        <v>3.2099999999999997E-2</v>
      </c>
      <c r="AA453">
        <v>4.6899999999999997E-2</v>
      </c>
      <c r="AB453">
        <v>6.2100000000000002E-2</v>
      </c>
      <c r="AC453">
        <v>5.6899999999999999E-2</v>
      </c>
      <c r="AD453">
        <v>9.3399999999999997E-2</v>
      </c>
      <c r="AE453">
        <v>0.1065</v>
      </c>
      <c r="AF453">
        <v>0.12470000000000001</v>
      </c>
      <c r="AG453">
        <v>0.13120000000000001</v>
      </c>
      <c r="AH453">
        <v>0.13500000000000001</v>
      </c>
      <c r="AI453">
        <v>0.14530000000000001</v>
      </c>
      <c r="AJ453">
        <v>0.1191</v>
      </c>
      <c r="AK453">
        <v>0.1055</v>
      </c>
      <c r="AL453">
        <v>8.1100000000000005E-2</v>
      </c>
      <c r="AM453">
        <v>3.39E-2</v>
      </c>
      <c r="AN453">
        <v>4.3099999999999999E-2</v>
      </c>
      <c r="AO453">
        <v>1.47E-2</v>
      </c>
      <c r="AP453">
        <v>1.5800000000000002E-2</v>
      </c>
      <c r="AQ453">
        <v>1.49E-2</v>
      </c>
      <c r="AR453">
        <v>-1.18E-2</v>
      </c>
      <c r="AS453">
        <v>9.7999999999999997E-3</v>
      </c>
      <c r="AT453">
        <v>2.07E-2</v>
      </c>
      <c r="AU453">
        <v>3.8300000000000001E-2</v>
      </c>
      <c r="AV453">
        <v>4.4200000000000003E-2</v>
      </c>
    </row>
    <row r="454" spans="1:48" x14ac:dyDescent="0.25">
      <c r="A454" t="s">
        <v>543</v>
      </c>
      <c r="B454" t="s">
        <v>2</v>
      </c>
      <c r="C454" t="s">
        <v>543</v>
      </c>
      <c r="D454">
        <v>41500</v>
      </c>
      <c r="E454" t="s">
        <v>672</v>
      </c>
      <c r="F454" t="s">
        <v>117</v>
      </c>
      <c r="G454" t="s">
        <v>670</v>
      </c>
      <c r="H454" t="s">
        <v>670</v>
      </c>
      <c r="I454">
        <v>0.1041</v>
      </c>
      <c r="J454">
        <v>0.1087</v>
      </c>
      <c r="K454">
        <v>9.8299999999999998E-2</v>
      </c>
      <c r="L454">
        <v>7.5200000000000003E-2</v>
      </c>
      <c r="M454">
        <v>8.8499999999999995E-2</v>
      </c>
      <c r="N454">
        <v>0.06</v>
      </c>
      <c r="O454">
        <v>6.25E-2</v>
      </c>
      <c r="P454">
        <v>0.06</v>
      </c>
      <c r="Q454">
        <v>5.0500000000000003E-2</v>
      </c>
      <c r="R454">
        <v>5.2499999999999998E-2</v>
      </c>
      <c r="S454">
        <v>6.4699999999999994E-2</v>
      </c>
      <c r="T454">
        <v>5.2600000000000001E-2</v>
      </c>
      <c r="U454">
        <v>4.7100000000000003E-2</v>
      </c>
      <c r="V454">
        <v>5.4199999999999998E-2</v>
      </c>
      <c r="W454">
        <v>4.0500000000000001E-2</v>
      </c>
      <c r="X454">
        <v>6.1699999999999998E-2</v>
      </c>
      <c r="Y454">
        <v>3.8399999999999997E-2</v>
      </c>
      <c r="Z454">
        <v>1.9699999999999999E-2</v>
      </c>
      <c r="AA454">
        <v>4.07E-2</v>
      </c>
      <c r="AB454">
        <v>4.5400000000000003E-2</v>
      </c>
      <c r="AC454">
        <v>6.3700000000000007E-2</v>
      </c>
      <c r="AD454">
        <v>9.1499999999999998E-2</v>
      </c>
      <c r="AE454">
        <v>0.10390000000000001</v>
      </c>
      <c r="AF454">
        <v>0.11409999999999999</v>
      </c>
      <c r="AG454">
        <v>0.12709999999999999</v>
      </c>
      <c r="AH454">
        <v>9.2700000000000005E-2</v>
      </c>
      <c r="AI454">
        <v>7.1400000000000005E-2</v>
      </c>
      <c r="AJ454">
        <v>4.6399999999999997E-2</v>
      </c>
      <c r="AK454">
        <v>3.2800000000000003E-2</v>
      </c>
      <c r="AL454">
        <v>3.8800000000000001E-2</v>
      </c>
      <c r="AM454">
        <v>2.9000000000000001E-2</v>
      </c>
      <c r="AN454">
        <v>4.2099999999999999E-2</v>
      </c>
      <c r="AO454">
        <v>6.3799999999999996E-2</v>
      </c>
      <c r="AP454">
        <v>5.4899999999999997E-2</v>
      </c>
      <c r="AQ454">
        <v>3.4299999999999997E-2</v>
      </c>
      <c r="AR454">
        <v>6.0499999999999998E-2</v>
      </c>
      <c r="AS454">
        <v>2.7E-2</v>
      </c>
      <c r="AT454">
        <v>1.0999999999999999E-2</v>
      </c>
      <c r="AU454">
        <v>3.3799999999999997E-2</v>
      </c>
      <c r="AV454">
        <v>-1.3299999999999999E-2</v>
      </c>
    </row>
    <row r="455" spans="1:48" x14ac:dyDescent="0.25">
      <c r="A455" t="s">
        <v>544</v>
      </c>
      <c r="B455" t="s">
        <v>2</v>
      </c>
      <c r="C455" t="s">
        <v>544</v>
      </c>
      <c r="D455">
        <v>341540</v>
      </c>
      <c r="E455" t="s">
        <v>672</v>
      </c>
      <c r="F455" t="s">
        <v>117</v>
      </c>
      <c r="G455" t="s">
        <v>670</v>
      </c>
      <c r="H455" t="s">
        <v>670</v>
      </c>
      <c r="I455">
        <v>4.7899999999999998E-2</v>
      </c>
      <c r="J455">
        <v>9.6000000000000002E-2</v>
      </c>
      <c r="K455">
        <v>7.1999999999999995E-2</v>
      </c>
      <c r="L455">
        <v>8.2400000000000001E-2</v>
      </c>
      <c r="M455">
        <v>2.3E-2</v>
      </c>
      <c r="N455">
        <v>1.4E-2</v>
      </c>
      <c r="O455">
        <v>4.8599999999999997E-2</v>
      </c>
      <c r="P455">
        <v>4.4499999999999998E-2</v>
      </c>
      <c r="Q455">
        <v>1.9300000000000001E-2</v>
      </c>
      <c r="R455">
        <v>9.9000000000000008E-3</v>
      </c>
      <c r="S455">
        <v>1.7399999999999999E-2</v>
      </c>
      <c r="T455">
        <v>2.76E-2</v>
      </c>
      <c r="U455">
        <v>4.6800000000000001E-2</v>
      </c>
      <c r="V455">
        <v>4.7899999999999998E-2</v>
      </c>
      <c r="W455">
        <v>6.2399999999999997E-2</v>
      </c>
      <c r="X455">
        <v>3.9300000000000002E-2</v>
      </c>
      <c r="Y455">
        <v>5.16E-2</v>
      </c>
      <c r="Z455">
        <v>4.58E-2</v>
      </c>
      <c r="AA455">
        <v>9.7100000000000006E-2</v>
      </c>
      <c r="AB455">
        <v>9.98E-2</v>
      </c>
      <c r="AC455">
        <v>7.3300000000000004E-2</v>
      </c>
      <c r="AD455">
        <v>0.1208</v>
      </c>
      <c r="AE455">
        <v>8.2000000000000003E-2</v>
      </c>
      <c r="AF455">
        <v>9.8000000000000004E-2</v>
      </c>
      <c r="AG455">
        <v>0.1351</v>
      </c>
      <c r="AH455">
        <v>0.12809999999999999</v>
      </c>
      <c r="AI455">
        <v>0.11990000000000001</v>
      </c>
      <c r="AJ455">
        <v>0.10920000000000001</v>
      </c>
      <c r="AK455">
        <v>8.4000000000000005E-2</v>
      </c>
      <c r="AL455">
        <v>4.8599999999999997E-2</v>
      </c>
      <c r="AM455">
        <v>4.2299999999999997E-2</v>
      </c>
      <c r="AN455">
        <v>5.1299999999999998E-2</v>
      </c>
      <c r="AO455">
        <v>4.4999999999999998E-2</v>
      </c>
      <c r="AP455">
        <v>5.3999999999999999E-2</v>
      </c>
      <c r="AQ455">
        <v>3.8100000000000002E-2</v>
      </c>
      <c r="AR455">
        <v>3.5400000000000001E-2</v>
      </c>
      <c r="AS455">
        <v>4.6899999999999997E-2</v>
      </c>
      <c r="AT455">
        <v>4.9500000000000002E-2</v>
      </c>
      <c r="AU455">
        <v>3.0800000000000001E-2</v>
      </c>
      <c r="AV455">
        <v>1.6400000000000001E-2</v>
      </c>
    </row>
    <row r="456" spans="1:48" x14ac:dyDescent="0.25">
      <c r="A456" t="s">
        <v>10</v>
      </c>
      <c r="B456" t="s">
        <v>2</v>
      </c>
      <c r="C456" t="s">
        <v>10</v>
      </c>
      <c r="D456">
        <v>341620</v>
      </c>
      <c r="E456" t="s">
        <v>672</v>
      </c>
      <c r="F456" t="s">
        <v>117</v>
      </c>
      <c r="G456" t="s">
        <v>670</v>
      </c>
      <c r="H456" t="s">
        <v>670</v>
      </c>
      <c r="I456">
        <v>7.5899999999999995E-2</v>
      </c>
      <c r="J456">
        <v>7.2900000000000006E-2</v>
      </c>
      <c r="K456">
        <v>7.8399999999999997E-2</v>
      </c>
      <c r="L456">
        <v>7.0199999999999999E-2</v>
      </c>
      <c r="M456">
        <v>6.2799999999999995E-2</v>
      </c>
      <c r="N456">
        <v>7.0099999999999996E-2</v>
      </c>
      <c r="O456">
        <v>5.21E-2</v>
      </c>
      <c r="P456">
        <v>4.65E-2</v>
      </c>
      <c r="Q456">
        <v>5.6099999999999997E-2</v>
      </c>
      <c r="R456">
        <v>5.1499999999999997E-2</v>
      </c>
      <c r="S456">
        <v>6.6000000000000003E-2</v>
      </c>
      <c r="T456">
        <v>6.1899999999999997E-2</v>
      </c>
      <c r="U456">
        <v>5.3999999999999999E-2</v>
      </c>
      <c r="V456">
        <v>5.8099999999999999E-2</v>
      </c>
      <c r="W456">
        <v>4.2500000000000003E-2</v>
      </c>
      <c r="X456">
        <v>3.6499999999999998E-2</v>
      </c>
      <c r="Y456">
        <v>3.9199999999999999E-2</v>
      </c>
      <c r="Z456">
        <v>0.01</v>
      </c>
      <c r="AA456">
        <v>1.32E-2</v>
      </c>
      <c r="AB456">
        <v>2.64E-2</v>
      </c>
      <c r="AC456">
        <v>4.0899999999999999E-2</v>
      </c>
      <c r="AD456">
        <v>0.10879999999999999</v>
      </c>
      <c r="AE456">
        <v>0.17780000000000001</v>
      </c>
      <c r="AF456">
        <v>0.2293</v>
      </c>
      <c r="AG456">
        <v>0.23419999999999999</v>
      </c>
      <c r="AH456">
        <v>0.20899999999999999</v>
      </c>
      <c r="AI456">
        <v>0.1431</v>
      </c>
      <c r="AJ456">
        <v>7.7299999999999994E-2</v>
      </c>
      <c r="AK456">
        <v>4.2299999999999997E-2</v>
      </c>
      <c r="AL456">
        <v>6.8999999999999999E-3</v>
      </c>
      <c r="AM456">
        <v>-1.32E-2</v>
      </c>
      <c r="AN456">
        <v>-2.5499999999999998E-2</v>
      </c>
      <c r="AO456">
        <v>-1.66E-2</v>
      </c>
      <c r="AP456">
        <v>-2.29E-2</v>
      </c>
      <c r="AQ456">
        <v>-2.9100000000000001E-2</v>
      </c>
      <c r="AR456">
        <v>-2.1499999999999998E-2</v>
      </c>
      <c r="AS456">
        <v>-2.4400000000000002E-2</v>
      </c>
      <c r="AT456">
        <v>-8.0999999999999996E-3</v>
      </c>
      <c r="AU456">
        <v>-2.8E-3</v>
      </c>
      <c r="AV456">
        <v>-1.26E-2</v>
      </c>
    </row>
    <row r="457" spans="1:48" x14ac:dyDescent="0.25">
      <c r="A457" t="s">
        <v>545</v>
      </c>
      <c r="B457" t="s">
        <v>2</v>
      </c>
      <c r="C457" t="s">
        <v>545</v>
      </c>
      <c r="D457">
        <v>41660</v>
      </c>
      <c r="E457" t="s">
        <v>672</v>
      </c>
      <c r="F457" t="s">
        <v>117</v>
      </c>
      <c r="G457" t="s">
        <v>670</v>
      </c>
      <c r="H457" t="s">
        <v>670</v>
      </c>
      <c r="I457">
        <v>-3.8100000000000002E-2</v>
      </c>
      <c r="J457">
        <v>-3.6299999999999999E-2</v>
      </c>
      <c r="K457">
        <v>2.5000000000000001E-2</v>
      </c>
      <c r="L457">
        <v>-3.4500000000000003E-2</v>
      </c>
      <c r="M457">
        <v>2.3900000000000001E-2</v>
      </c>
      <c r="N457">
        <v>4.7199999999999999E-2</v>
      </c>
      <c r="O457">
        <v>5.9400000000000001E-2</v>
      </c>
      <c r="P457">
        <v>7.6399999999999996E-2</v>
      </c>
      <c r="Q457">
        <v>8.5400000000000004E-2</v>
      </c>
      <c r="R457">
        <v>8.3400000000000002E-2</v>
      </c>
      <c r="S457">
        <v>3.27E-2</v>
      </c>
      <c r="T457">
        <v>4.7800000000000002E-2</v>
      </c>
      <c r="U457">
        <v>3.7600000000000001E-2</v>
      </c>
      <c r="V457">
        <v>4.3900000000000002E-2</v>
      </c>
      <c r="W457">
        <v>5.9700000000000003E-2</v>
      </c>
      <c r="X457">
        <v>6.7299999999999999E-2</v>
      </c>
      <c r="Y457">
        <v>4.7199999999999999E-2</v>
      </c>
      <c r="Z457">
        <v>3.4700000000000002E-2</v>
      </c>
      <c r="AA457">
        <v>3.2300000000000002E-2</v>
      </c>
      <c r="AB457">
        <v>4.5999999999999999E-3</v>
      </c>
      <c r="AC457">
        <v>1.7999999999999999E-2</v>
      </c>
      <c r="AD457">
        <v>2.2100000000000002E-2</v>
      </c>
      <c r="AE457">
        <v>6.7500000000000004E-2</v>
      </c>
      <c r="AF457">
        <v>7.3400000000000007E-2</v>
      </c>
      <c r="AG457">
        <v>9.6000000000000002E-2</v>
      </c>
      <c r="AH457">
        <v>0.1011</v>
      </c>
      <c r="AI457">
        <v>6.0600000000000001E-2</v>
      </c>
      <c r="AJ457">
        <v>3.6400000000000002E-2</v>
      </c>
      <c r="AK457">
        <v>2.0199999999999999E-2</v>
      </c>
      <c r="AL457">
        <v>6.9000000000000006E-2</v>
      </c>
      <c r="AM457">
        <v>4.2900000000000001E-2</v>
      </c>
      <c r="AN457">
        <v>5.7099999999999998E-2</v>
      </c>
      <c r="AO457">
        <v>6.1199999999999997E-2</v>
      </c>
      <c r="AP457">
        <v>-7.4000000000000003E-3</v>
      </c>
      <c r="AQ457">
        <v>7.4000000000000003E-3</v>
      </c>
      <c r="AR457">
        <v>1.5100000000000001E-2</v>
      </c>
      <c r="AS457">
        <v>9.7999999999999997E-3</v>
      </c>
      <c r="AT457">
        <v>2.9600000000000001E-2</v>
      </c>
      <c r="AU457">
        <v>2.2100000000000002E-2</v>
      </c>
      <c r="AV457">
        <v>-2.7000000000000001E-3</v>
      </c>
    </row>
    <row r="458" spans="1:48" x14ac:dyDescent="0.25">
      <c r="A458" t="s">
        <v>40</v>
      </c>
      <c r="B458" t="s">
        <v>2</v>
      </c>
      <c r="C458" t="s">
        <v>40</v>
      </c>
      <c r="D458">
        <v>41700</v>
      </c>
      <c r="E458" t="s">
        <v>672</v>
      </c>
      <c r="F458" t="s">
        <v>117</v>
      </c>
      <c r="G458" t="s">
        <v>670</v>
      </c>
      <c r="H458" t="s">
        <v>670</v>
      </c>
      <c r="I458">
        <v>4.9299999999999997E-2</v>
      </c>
      <c r="J458">
        <v>3.8600000000000002E-2</v>
      </c>
      <c r="K458">
        <v>4.1599999999999998E-2</v>
      </c>
      <c r="L458">
        <v>4.5699999999999998E-2</v>
      </c>
      <c r="M458">
        <v>3.1300000000000001E-2</v>
      </c>
      <c r="N458">
        <v>3.6600000000000001E-2</v>
      </c>
      <c r="O458">
        <v>3.1E-2</v>
      </c>
      <c r="P458">
        <v>2.1399999999999999E-2</v>
      </c>
      <c r="Q458">
        <v>3.1E-2</v>
      </c>
      <c r="R458">
        <v>2.4899999999999999E-2</v>
      </c>
      <c r="S458">
        <v>3.1899999999999998E-2</v>
      </c>
      <c r="T458">
        <v>4.4699999999999997E-2</v>
      </c>
      <c r="U458">
        <v>5.5300000000000002E-2</v>
      </c>
      <c r="V458">
        <v>5.62E-2</v>
      </c>
      <c r="W458">
        <v>5.3199999999999997E-2</v>
      </c>
      <c r="X458">
        <v>4.3200000000000002E-2</v>
      </c>
      <c r="Y458">
        <v>2.87E-2</v>
      </c>
      <c r="Z458">
        <v>7.4999999999999997E-3</v>
      </c>
      <c r="AA458">
        <v>-1.6000000000000001E-3</v>
      </c>
      <c r="AB458">
        <v>-2.3E-3</v>
      </c>
      <c r="AC458">
        <v>7.9000000000000008E-3</v>
      </c>
      <c r="AD458">
        <v>5.3999999999999999E-2</v>
      </c>
      <c r="AE458">
        <v>0.1167</v>
      </c>
      <c r="AF458">
        <v>0.16370000000000001</v>
      </c>
      <c r="AG458">
        <v>0.17929999999999999</v>
      </c>
      <c r="AH458">
        <v>0.17810000000000001</v>
      </c>
      <c r="AI458">
        <v>0.1333</v>
      </c>
      <c r="AJ458">
        <v>7.9299999999999995E-2</v>
      </c>
      <c r="AK458">
        <v>4.8599999999999997E-2</v>
      </c>
      <c r="AL458">
        <v>1.9300000000000001E-2</v>
      </c>
      <c r="AM458">
        <v>-1.0500000000000001E-2</v>
      </c>
      <c r="AN458">
        <v>-2.0199999999999999E-2</v>
      </c>
      <c r="AO458">
        <v>-3.09E-2</v>
      </c>
      <c r="AP458">
        <v>-3.73E-2</v>
      </c>
      <c r="AQ458">
        <v>-3.9300000000000002E-2</v>
      </c>
      <c r="AR458">
        <v>-4.4400000000000002E-2</v>
      </c>
      <c r="AS458">
        <v>-3.0499999999999999E-2</v>
      </c>
      <c r="AT458">
        <v>-2.1000000000000001E-2</v>
      </c>
      <c r="AU458">
        <v>-2.7400000000000001E-2</v>
      </c>
      <c r="AV458">
        <v>-3.1899999999999998E-2</v>
      </c>
    </row>
    <row r="459" spans="1:48" x14ac:dyDescent="0.25">
      <c r="A459" t="s">
        <v>546</v>
      </c>
      <c r="B459" t="s">
        <v>2</v>
      </c>
      <c r="C459" t="s">
        <v>546</v>
      </c>
      <c r="D459">
        <v>41740</v>
      </c>
      <c r="E459" t="s">
        <v>672</v>
      </c>
      <c r="F459" t="s">
        <v>117</v>
      </c>
      <c r="G459" t="s">
        <v>670</v>
      </c>
      <c r="H459" t="s">
        <v>670</v>
      </c>
      <c r="I459">
        <v>6.9000000000000006E-2</v>
      </c>
      <c r="J459">
        <v>7.5499999999999998E-2</v>
      </c>
      <c r="K459">
        <v>6.0499999999999998E-2</v>
      </c>
      <c r="L459">
        <v>5.2999999999999999E-2</v>
      </c>
      <c r="M459">
        <v>5.4699999999999999E-2</v>
      </c>
      <c r="N459">
        <v>6.2600000000000003E-2</v>
      </c>
      <c r="O459">
        <v>5.91E-2</v>
      </c>
      <c r="P459">
        <v>4.7300000000000002E-2</v>
      </c>
      <c r="Q459">
        <v>5.1799999999999999E-2</v>
      </c>
      <c r="R459">
        <v>4.4900000000000002E-2</v>
      </c>
      <c r="S459">
        <v>4.8099999999999997E-2</v>
      </c>
      <c r="T459">
        <v>4.9299999999999997E-2</v>
      </c>
      <c r="U459">
        <v>3.8199999999999998E-2</v>
      </c>
      <c r="V459">
        <v>3.09E-2</v>
      </c>
      <c r="W459">
        <v>3.1199999999999999E-2</v>
      </c>
      <c r="X459">
        <v>3.8800000000000001E-2</v>
      </c>
      <c r="Y459">
        <v>4.2099999999999999E-2</v>
      </c>
      <c r="Z459">
        <v>4.7999999999999996E-3</v>
      </c>
      <c r="AA459">
        <v>-1.23E-2</v>
      </c>
      <c r="AB459">
        <v>1.0999999999999999E-2</v>
      </c>
      <c r="AC459">
        <v>2.69E-2</v>
      </c>
      <c r="AD459">
        <v>7.9799999999999996E-2</v>
      </c>
      <c r="AE459">
        <v>0.14879999999999999</v>
      </c>
      <c r="AF459">
        <v>0.18329999999999999</v>
      </c>
      <c r="AG459">
        <v>0.19719999999999999</v>
      </c>
      <c r="AH459">
        <v>0.21149999999999999</v>
      </c>
      <c r="AI459">
        <v>0.19270000000000001</v>
      </c>
      <c r="AJ459">
        <v>0.13089999999999999</v>
      </c>
      <c r="AK459">
        <v>9.6000000000000002E-2</v>
      </c>
      <c r="AL459">
        <v>7.3599999999999999E-2</v>
      </c>
      <c r="AM459">
        <v>3.1300000000000001E-2</v>
      </c>
      <c r="AN459">
        <v>1.61E-2</v>
      </c>
      <c r="AO459">
        <v>7.4000000000000003E-3</v>
      </c>
      <c r="AP459">
        <v>-8.0999999999999996E-3</v>
      </c>
      <c r="AQ459">
        <v>-1.55E-2</v>
      </c>
      <c r="AR459">
        <v>-5.1999999999999998E-3</v>
      </c>
      <c r="AS459">
        <v>7.0000000000000001E-3</v>
      </c>
      <c r="AT459">
        <v>8.6E-3</v>
      </c>
      <c r="AU459">
        <v>3.3E-3</v>
      </c>
      <c r="AV459">
        <v>-3.2000000000000002E-3</v>
      </c>
    </row>
    <row r="460" spans="1:48" x14ac:dyDescent="0.25">
      <c r="A460" t="s">
        <v>547</v>
      </c>
      <c r="B460" t="s">
        <v>2</v>
      </c>
      <c r="C460" t="s">
        <v>547</v>
      </c>
      <c r="D460">
        <v>41780</v>
      </c>
      <c r="E460" t="s">
        <v>672</v>
      </c>
      <c r="F460" t="s">
        <v>117</v>
      </c>
      <c r="G460" t="s">
        <v>670</v>
      </c>
      <c r="H460" t="s">
        <v>670</v>
      </c>
      <c r="I460" t="s">
        <v>673</v>
      </c>
      <c r="J460" t="s">
        <v>673</v>
      </c>
      <c r="K460" t="s">
        <v>673</v>
      </c>
      <c r="L460" t="s">
        <v>673</v>
      </c>
      <c r="M460" t="s">
        <v>673</v>
      </c>
      <c r="N460">
        <v>-0.1933</v>
      </c>
      <c r="O460">
        <v>-0.496</v>
      </c>
      <c r="P460">
        <v>-0.45440000000000003</v>
      </c>
      <c r="Q460">
        <v>-0.4556</v>
      </c>
      <c r="R460">
        <v>-2.5100000000000001E-2</v>
      </c>
      <c r="S460">
        <v>-6.7299999999999999E-2</v>
      </c>
      <c r="T460">
        <v>-3.8800000000000001E-2</v>
      </c>
      <c r="U460">
        <v>-1.04E-2</v>
      </c>
      <c r="V460">
        <v>0</v>
      </c>
      <c r="W460" t="s">
        <v>673</v>
      </c>
      <c r="X460" t="s">
        <v>673</v>
      </c>
      <c r="Y460" t="s">
        <v>673</v>
      </c>
      <c r="Z460" t="s">
        <v>673</v>
      </c>
      <c r="AA460" t="s">
        <v>673</v>
      </c>
      <c r="AB460" t="s">
        <v>673</v>
      </c>
      <c r="AC460" t="s">
        <v>673</v>
      </c>
      <c r="AD460" t="s">
        <v>673</v>
      </c>
      <c r="AE460" t="s">
        <v>673</v>
      </c>
      <c r="AF460" t="s">
        <v>673</v>
      </c>
      <c r="AG460" t="s">
        <v>673</v>
      </c>
      <c r="AH460">
        <v>0.35639999999999999</v>
      </c>
      <c r="AI460">
        <v>0.39269999999999999</v>
      </c>
      <c r="AJ460">
        <v>0.47989999999999999</v>
      </c>
      <c r="AK460">
        <v>0.52190000000000003</v>
      </c>
      <c r="AL460">
        <v>0.14019999999999999</v>
      </c>
      <c r="AM460">
        <v>0.10199999999999999</v>
      </c>
      <c r="AN460">
        <v>2.18E-2</v>
      </c>
      <c r="AO460">
        <v>-6.1999999999999998E-3</v>
      </c>
      <c r="AP460">
        <v>7.1000000000000004E-3</v>
      </c>
      <c r="AQ460">
        <v>2.5000000000000001E-2</v>
      </c>
      <c r="AR460">
        <v>0.1971</v>
      </c>
      <c r="AS460">
        <v>0.216</v>
      </c>
      <c r="AT460">
        <v>0.20499999999999999</v>
      </c>
      <c r="AU460">
        <v>0.33629999999999999</v>
      </c>
      <c r="AV460">
        <v>0.21490000000000001</v>
      </c>
    </row>
    <row r="461" spans="1:48" x14ac:dyDescent="0.25">
      <c r="A461" t="s">
        <v>548</v>
      </c>
      <c r="B461" t="s">
        <v>2</v>
      </c>
      <c r="C461" t="s">
        <v>548</v>
      </c>
      <c r="D461">
        <v>41820</v>
      </c>
      <c r="E461" t="s">
        <v>672</v>
      </c>
      <c r="F461" t="s">
        <v>117</v>
      </c>
      <c r="G461" t="s">
        <v>670</v>
      </c>
      <c r="H461" t="s">
        <v>670</v>
      </c>
      <c r="I461">
        <v>1.9300000000000001E-2</v>
      </c>
      <c r="J461">
        <v>1.37E-2</v>
      </c>
      <c r="K461">
        <v>5.4999999999999997E-3</v>
      </c>
      <c r="L461">
        <v>2.7000000000000001E-3</v>
      </c>
      <c r="M461">
        <v>5.7999999999999996E-3</v>
      </c>
      <c r="N461">
        <v>1.37E-2</v>
      </c>
      <c r="O461">
        <v>2.8400000000000002E-2</v>
      </c>
      <c r="P461">
        <v>3.78E-2</v>
      </c>
      <c r="Q461">
        <v>8.6099999999999996E-2</v>
      </c>
      <c r="R461">
        <v>8.4000000000000005E-2</v>
      </c>
      <c r="S461">
        <v>7.1300000000000002E-2</v>
      </c>
      <c r="T461">
        <v>6.3200000000000006E-2</v>
      </c>
      <c r="U461">
        <v>1.8599999999999998E-2</v>
      </c>
      <c r="V461">
        <v>2.4899999999999999E-2</v>
      </c>
      <c r="W461">
        <v>2.4500000000000001E-2</v>
      </c>
      <c r="X461">
        <v>6.9199999999999998E-2</v>
      </c>
      <c r="Y461">
        <v>5.7799999999999997E-2</v>
      </c>
      <c r="Z461">
        <v>5.4399999999999997E-2</v>
      </c>
      <c r="AA461">
        <v>7.1099999999999997E-2</v>
      </c>
      <c r="AB461">
        <v>3.39E-2</v>
      </c>
      <c r="AC461">
        <v>6.4699999999999994E-2</v>
      </c>
      <c r="AD461">
        <v>5.0599999999999999E-2</v>
      </c>
      <c r="AE461">
        <v>9.1499999999999998E-2</v>
      </c>
      <c r="AF461">
        <v>8.8700000000000001E-2</v>
      </c>
      <c r="AG461">
        <v>8.8400000000000006E-2</v>
      </c>
      <c r="AH461">
        <v>0.22439999999999999</v>
      </c>
      <c r="AI461">
        <v>0.184</v>
      </c>
      <c r="AJ461">
        <v>0.22090000000000001</v>
      </c>
      <c r="AK461">
        <v>0.20169999999999999</v>
      </c>
      <c r="AL461">
        <v>8.7400000000000005E-2</v>
      </c>
      <c r="AM461">
        <v>6.4000000000000001E-2</v>
      </c>
      <c r="AN461">
        <v>3.4700000000000002E-2</v>
      </c>
      <c r="AO461">
        <v>2.8400000000000002E-2</v>
      </c>
      <c r="AP461">
        <v>4.3099999999999999E-2</v>
      </c>
      <c r="AQ461">
        <v>3.44E-2</v>
      </c>
      <c r="AR461">
        <v>1.7899999999999999E-2</v>
      </c>
      <c r="AS461">
        <v>2.1299999999999999E-2</v>
      </c>
      <c r="AT461">
        <v>-1.67E-2</v>
      </c>
      <c r="AU461">
        <v>3.3799999999999997E-2</v>
      </c>
      <c r="AV461">
        <v>3.9699999999999999E-2</v>
      </c>
    </row>
    <row r="462" spans="1:48" x14ac:dyDescent="0.25">
      <c r="A462" t="s">
        <v>549</v>
      </c>
      <c r="B462" t="s">
        <v>2</v>
      </c>
      <c r="C462" t="s">
        <v>549</v>
      </c>
      <c r="D462">
        <v>41860</v>
      </c>
      <c r="E462" t="s">
        <v>672</v>
      </c>
      <c r="F462" t="s">
        <v>117</v>
      </c>
      <c r="G462" t="s">
        <v>670</v>
      </c>
      <c r="H462" t="s">
        <v>670</v>
      </c>
      <c r="I462">
        <v>6.4600000000000005E-2</v>
      </c>
      <c r="J462">
        <v>3.7999999999999999E-2</v>
      </c>
      <c r="K462">
        <v>6.9999999999999999E-4</v>
      </c>
      <c r="L462">
        <v>7.3000000000000001E-3</v>
      </c>
      <c r="M462">
        <v>2.3599999999999999E-2</v>
      </c>
      <c r="N462">
        <v>5.5800000000000002E-2</v>
      </c>
      <c r="O462">
        <v>4.8500000000000001E-2</v>
      </c>
      <c r="P462">
        <v>3.61E-2</v>
      </c>
      <c r="Q462">
        <v>4.4600000000000001E-2</v>
      </c>
      <c r="R462">
        <v>3.5999999999999997E-2</v>
      </c>
      <c r="S462">
        <v>3.6700000000000003E-2</v>
      </c>
      <c r="T462">
        <v>4.36E-2</v>
      </c>
      <c r="U462">
        <v>3.5900000000000001E-2</v>
      </c>
      <c r="V462">
        <v>2.92E-2</v>
      </c>
      <c r="W462">
        <v>3.39E-2</v>
      </c>
      <c r="X462">
        <v>2.98E-2</v>
      </c>
      <c r="Y462">
        <v>2.0899999999999998E-2</v>
      </c>
      <c r="Z462">
        <v>-3.6400000000000002E-2</v>
      </c>
      <c r="AA462">
        <v>-0.1166</v>
      </c>
      <c r="AB462">
        <v>-0.188</v>
      </c>
      <c r="AC462">
        <v>-0.20180000000000001</v>
      </c>
      <c r="AD462">
        <v>-0.14680000000000001</v>
      </c>
      <c r="AE462">
        <v>-1.6E-2</v>
      </c>
      <c r="AF462">
        <v>8.5500000000000007E-2</v>
      </c>
      <c r="AG462">
        <v>0.1171</v>
      </c>
      <c r="AH462">
        <v>0.1162</v>
      </c>
      <c r="AI462">
        <v>7.0800000000000002E-2</v>
      </c>
      <c r="AJ462">
        <v>5.0900000000000001E-2</v>
      </c>
      <c r="AK462">
        <v>2.2100000000000002E-2</v>
      </c>
      <c r="AL462">
        <v>-5.0000000000000001E-3</v>
      </c>
      <c r="AM462">
        <v>-2.1000000000000001E-2</v>
      </c>
      <c r="AN462">
        <v>-1.4E-2</v>
      </c>
      <c r="AO462">
        <v>1.17E-2</v>
      </c>
      <c r="AP462">
        <v>2.46E-2</v>
      </c>
      <c r="AQ462">
        <v>3.2899999999999999E-2</v>
      </c>
      <c r="AR462">
        <v>3.7600000000000001E-2</v>
      </c>
      <c r="AS462">
        <v>3.4500000000000003E-2</v>
      </c>
      <c r="AT462">
        <v>5.96E-2</v>
      </c>
      <c r="AU462">
        <v>7.5999999999999998E-2</v>
      </c>
      <c r="AV462">
        <v>8.8400000000000006E-2</v>
      </c>
    </row>
    <row r="463" spans="1:48" x14ac:dyDescent="0.25">
      <c r="A463" t="s">
        <v>550</v>
      </c>
      <c r="B463" t="s">
        <v>2</v>
      </c>
      <c r="C463" t="s">
        <v>550</v>
      </c>
      <c r="D463">
        <v>41940</v>
      </c>
      <c r="E463" t="s">
        <v>672</v>
      </c>
      <c r="F463" t="s">
        <v>117</v>
      </c>
      <c r="G463" t="s">
        <v>670</v>
      </c>
      <c r="H463" t="s">
        <v>670</v>
      </c>
      <c r="I463">
        <v>5.8799999999999998E-2</v>
      </c>
      <c r="J463">
        <v>2.2599999999999999E-2</v>
      </c>
      <c r="K463">
        <v>-6.4999999999999997E-3</v>
      </c>
      <c r="L463">
        <v>-1.15E-2</v>
      </c>
      <c r="M463">
        <v>4.0000000000000002E-4</v>
      </c>
      <c r="N463">
        <v>2.8199999999999999E-2</v>
      </c>
      <c r="O463">
        <v>3.5400000000000001E-2</v>
      </c>
      <c r="P463">
        <v>4.3299999999999998E-2</v>
      </c>
      <c r="Q463">
        <v>4.4400000000000002E-2</v>
      </c>
      <c r="R463">
        <v>5.16E-2</v>
      </c>
      <c r="S463">
        <v>6.0400000000000002E-2</v>
      </c>
      <c r="T463">
        <v>5.2900000000000003E-2</v>
      </c>
      <c r="U463">
        <v>3.4700000000000002E-2</v>
      </c>
      <c r="V463">
        <v>1.2200000000000001E-2</v>
      </c>
      <c r="W463">
        <v>1.78E-2</v>
      </c>
      <c r="X463">
        <v>2.23E-2</v>
      </c>
      <c r="Y463">
        <v>3.8100000000000002E-2</v>
      </c>
      <c r="Z463">
        <v>-2.8500000000000001E-2</v>
      </c>
      <c r="AA463">
        <v>-0.1138</v>
      </c>
      <c r="AB463">
        <v>-0.1492</v>
      </c>
      <c r="AC463">
        <v>-0.16930000000000001</v>
      </c>
      <c r="AD463">
        <v>-0.1031</v>
      </c>
      <c r="AE463">
        <v>4.65E-2</v>
      </c>
      <c r="AF463">
        <v>0.1258</v>
      </c>
      <c r="AG463">
        <v>0.15529999999999999</v>
      </c>
      <c r="AH463">
        <v>0.17219999999999999</v>
      </c>
      <c r="AI463">
        <v>0.1305</v>
      </c>
      <c r="AJ463">
        <v>0.1002</v>
      </c>
      <c r="AK463">
        <v>7.0400000000000004E-2</v>
      </c>
      <c r="AL463">
        <v>3.61E-2</v>
      </c>
      <c r="AM463">
        <v>-1.26E-2</v>
      </c>
      <c r="AN463">
        <v>-1.6799999999999999E-2</v>
      </c>
      <c r="AO463">
        <v>0</v>
      </c>
      <c r="AP463">
        <v>1.0500000000000001E-2</v>
      </c>
      <c r="AQ463">
        <v>3.1199999999999999E-2</v>
      </c>
      <c r="AR463">
        <v>4.4299999999999999E-2</v>
      </c>
      <c r="AS463">
        <v>4.6199999999999998E-2</v>
      </c>
      <c r="AT463">
        <v>4.9000000000000002E-2</v>
      </c>
      <c r="AU463">
        <v>4.8099999999999997E-2</v>
      </c>
      <c r="AV463">
        <v>4.87E-2</v>
      </c>
    </row>
    <row r="464" spans="1:48" x14ac:dyDescent="0.25">
      <c r="A464" t="s">
        <v>551</v>
      </c>
      <c r="B464" t="s">
        <v>2</v>
      </c>
      <c r="C464" t="s">
        <v>551</v>
      </c>
      <c r="D464">
        <v>42020</v>
      </c>
      <c r="E464" t="s">
        <v>672</v>
      </c>
      <c r="F464" t="s">
        <v>117</v>
      </c>
      <c r="G464" t="s">
        <v>670</v>
      </c>
      <c r="H464" t="s">
        <v>670</v>
      </c>
      <c r="I464">
        <v>0.1027</v>
      </c>
      <c r="J464">
        <v>9.7799999999999998E-2</v>
      </c>
      <c r="K464">
        <v>3.4500000000000003E-2</v>
      </c>
      <c r="L464">
        <v>1.4E-2</v>
      </c>
      <c r="M464">
        <v>2.86E-2</v>
      </c>
      <c r="N464">
        <v>2.87E-2</v>
      </c>
      <c r="O464">
        <v>5.21E-2</v>
      </c>
      <c r="P464">
        <v>4.3400000000000001E-2</v>
      </c>
      <c r="Q464">
        <v>3.8899999999999997E-2</v>
      </c>
      <c r="R464">
        <v>4.5499999999999999E-2</v>
      </c>
      <c r="S464">
        <v>4.02E-2</v>
      </c>
      <c r="T464">
        <v>4.4999999999999998E-2</v>
      </c>
      <c r="U464">
        <v>3.8199999999999998E-2</v>
      </c>
      <c r="V464">
        <v>3.78E-2</v>
      </c>
      <c r="W464">
        <v>4.24E-2</v>
      </c>
      <c r="X464">
        <v>5.7000000000000002E-2</v>
      </c>
      <c r="Y464">
        <v>9.5000000000000001E-2</v>
      </c>
      <c r="Z464">
        <v>6.5299999999999997E-2</v>
      </c>
      <c r="AA464">
        <v>5.3699999999999998E-2</v>
      </c>
      <c r="AB464">
        <v>4.53E-2</v>
      </c>
      <c r="AC464">
        <v>2.3400000000000001E-2</v>
      </c>
      <c r="AD464">
        <v>5.16E-2</v>
      </c>
      <c r="AE464">
        <v>8.4000000000000005E-2</v>
      </c>
      <c r="AF464">
        <v>0.11219999999999999</v>
      </c>
      <c r="AG464">
        <v>0.17219999999999999</v>
      </c>
      <c r="AH464">
        <v>0.21560000000000001</v>
      </c>
      <c r="AI464">
        <v>0.24079999999999999</v>
      </c>
      <c r="AJ464">
        <v>0.16889999999999999</v>
      </c>
      <c r="AK464">
        <v>8.7400000000000005E-2</v>
      </c>
      <c r="AL464">
        <v>6.0699999999999997E-2</v>
      </c>
      <c r="AM464">
        <v>1.5800000000000002E-2</v>
      </c>
      <c r="AN464">
        <v>3.6400000000000002E-2</v>
      </c>
      <c r="AO464">
        <v>2.8199999999999999E-2</v>
      </c>
      <c r="AP464">
        <v>1.1000000000000001E-3</v>
      </c>
      <c r="AQ464">
        <v>1.09E-2</v>
      </c>
      <c r="AR464">
        <v>6.0000000000000001E-3</v>
      </c>
      <c r="AS464">
        <v>5.9299999999999999E-2</v>
      </c>
      <c r="AT464">
        <v>0.1234</v>
      </c>
      <c r="AU464">
        <v>8.7999999999999995E-2</v>
      </c>
      <c r="AV464">
        <v>5.0999999999999997E-2</v>
      </c>
    </row>
    <row r="465" spans="1:48" x14ac:dyDescent="0.25">
      <c r="A465" t="s">
        <v>552</v>
      </c>
      <c r="B465" t="s">
        <v>2</v>
      </c>
      <c r="C465" t="s">
        <v>552</v>
      </c>
      <c r="D465">
        <v>42100</v>
      </c>
      <c r="E465" t="s">
        <v>672</v>
      </c>
      <c r="F465" t="s">
        <v>117</v>
      </c>
      <c r="G465" t="s">
        <v>670</v>
      </c>
      <c r="H465" t="s">
        <v>670</v>
      </c>
      <c r="I465">
        <v>6.2399999999999997E-2</v>
      </c>
      <c r="J465">
        <v>9.98E-2</v>
      </c>
      <c r="K465">
        <v>8.3599999999999994E-2</v>
      </c>
      <c r="L465">
        <v>0.11409999999999999</v>
      </c>
      <c r="M465">
        <v>0.1268</v>
      </c>
      <c r="N465">
        <v>7.1599999999999997E-2</v>
      </c>
      <c r="O465">
        <v>6.5199999999999994E-2</v>
      </c>
      <c r="P465">
        <v>1.66E-2</v>
      </c>
      <c r="Q465">
        <v>3.6700000000000003E-2</v>
      </c>
      <c r="R465">
        <v>5.7200000000000001E-2</v>
      </c>
      <c r="S465">
        <v>8.8800000000000004E-2</v>
      </c>
      <c r="T465">
        <v>8.7999999999999995E-2</v>
      </c>
      <c r="U465">
        <v>4.7699999999999999E-2</v>
      </c>
      <c r="V465">
        <v>4.4600000000000001E-2</v>
      </c>
      <c r="W465">
        <v>5.3900000000000003E-2</v>
      </c>
      <c r="X465">
        <v>6.4600000000000005E-2</v>
      </c>
      <c r="Y465">
        <v>9.0300000000000005E-2</v>
      </c>
      <c r="Z465">
        <v>2.1000000000000001E-2</v>
      </c>
      <c r="AA465">
        <v>-8.6099999999999996E-2</v>
      </c>
      <c r="AB465">
        <v>-8.5900000000000004E-2</v>
      </c>
      <c r="AC465">
        <v>-5.8200000000000002E-2</v>
      </c>
      <c r="AD465">
        <v>2.5000000000000001E-3</v>
      </c>
      <c r="AE465">
        <v>0.1666</v>
      </c>
      <c r="AF465">
        <v>0.23400000000000001</v>
      </c>
      <c r="AG465">
        <v>0.18759999999999999</v>
      </c>
      <c r="AH465">
        <v>0.1666</v>
      </c>
      <c r="AI465">
        <v>0.14460000000000001</v>
      </c>
      <c r="AJ465">
        <v>9.9599999999999994E-2</v>
      </c>
      <c r="AK465">
        <v>9.9299999999999999E-2</v>
      </c>
      <c r="AL465">
        <v>0.1033</v>
      </c>
      <c r="AM465">
        <v>4.1399999999999999E-2</v>
      </c>
      <c r="AN465">
        <v>-2.98E-2</v>
      </c>
      <c r="AO465">
        <v>-2.3800000000000002E-2</v>
      </c>
      <c r="AP465">
        <v>-2.46E-2</v>
      </c>
      <c r="AQ465">
        <v>-2.35E-2</v>
      </c>
      <c r="AR465">
        <v>1.7399999999999999E-2</v>
      </c>
      <c r="AS465">
        <v>-3.0200000000000001E-2</v>
      </c>
      <c r="AT465">
        <v>-4.6600000000000003E-2</v>
      </c>
      <c r="AU465">
        <v>-2.9700000000000001E-2</v>
      </c>
      <c r="AV465">
        <v>-5.2499999999999998E-2</v>
      </c>
    </row>
    <row r="466" spans="1:48" x14ac:dyDescent="0.25">
      <c r="A466" t="s">
        <v>553</v>
      </c>
      <c r="B466" t="s">
        <v>2</v>
      </c>
      <c r="C466" t="s">
        <v>553</v>
      </c>
      <c r="D466">
        <v>42140</v>
      </c>
      <c r="E466" t="s">
        <v>672</v>
      </c>
      <c r="F466" t="s">
        <v>117</v>
      </c>
      <c r="G466" t="s">
        <v>670</v>
      </c>
      <c r="H466" t="s">
        <v>670</v>
      </c>
      <c r="I466">
        <v>4.7500000000000001E-2</v>
      </c>
      <c r="J466">
        <v>2.2499999999999999E-2</v>
      </c>
      <c r="K466">
        <v>6.59E-2</v>
      </c>
      <c r="L466">
        <v>7.1099999999999997E-2</v>
      </c>
      <c r="M466">
        <v>5.8200000000000002E-2</v>
      </c>
      <c r="N466">
        <v>4.1599999999999998E-2</v>
      </c>
      <c r="O466">
        <v>3.5999999999999997E-2</v>
      </c>
      <c r="P466">
        <v>4.5199999999999997E-2</v>
      </c>
      <c r="Q466">
        <v>7.22E-2</v>
      </c>
      <c r="R466">
        <v>0.10639999999999999</v>
      </c>
      <c r="S466">
        <v>0.1368</v>
      </c>
      <c r="T466">
        <v>0.14829999999999999</v>
      </c>
      <c r="U466">
        <v>0.15679999999999999</v>
      </c>
      <c r="V466">
        <v>0.14449999999999999</v>
      </c>
      <c r="W466">
        <v>0.1135</v>
      </c>
      <c r="X466">
        <v>7.6999999999999999E-2</v>
      </c>
      <c r="Y466">
        <v>5.7500000000000002E-2</v>
      </c>
      <c r="Z466">
        <v>6.4000000000000003E-3</v>
      </c>
      <c r="AA466">
        <v>-2.1999999999999999E-2</v>
      </c>
      <c r="AB466">
        <v>4.7000000000000002E-3</v>
      </c>
      <c r="AC466">
        <v>2.9999999999999997E-4</v>
      </c>
      <c r="AD466">
        <v>8.5400000000000004E-2</v>
      </c>
      <c r="AE466">
        <v>0.16819999999999999</v>
      </c>
      <c r="AF466">
        <v>0.15640000000000001</v>
      </c>
      <c r="AG466">
        <v>0.2087</v>
      </c>
      <c r="AH466">
        <v>0.16189999999999999</v>
      </c>
      <c r="AI466">
        <v>6.8699999999999997E-2</v>
      </c>
      <c r="AJ466">
        <v>0.1177</v>
      </c>
      <c r="AK466">
        <v>9.4299999999999995E-2</v>
      </c>
      <c r="AL466">
        <v>0.13450000000000001</v>
      </c>
      <c r="AM466">
        <v>0.16589999999999999</v>
      </c>
      <c r="AN466">
        <v>8.5599999999999996E-2</v>
      </c>
      <c r="AO466">
        <v>6.8000000000000005E-2</v>
      </c>
      <c r="AP466">
        <v>4.3700000000000003E-2</v>
      </c>
      <c r="AQ466">
        <v>2.4199999999999999E-2</v>
      </c>
      <c r="AR466">
        <v>2.5000000000000001E-3</v>
      </c>
      <c r="AS466">
        <v>-2.5399999999999999E-2</v>
      </c>
      <c r="AT466">
        <v>-5.0200000000000002E-2</v>
      </c>
      <c r="AU466">
        <v>-8.1100000000000005E-2</v>
      </c>
      <c r="AV466">
        <v>-8.4500000000000006E-2</v>
      </c>
    </row>
    <row r="467" spans="1:48" x14ac:dyDescent="0.25">
      <c r="A467" t="s">
        <v>554</v>
      </c>
      <c r="B467" t="s">
        <v>2</v>
      </c>
      <c r="C467" t="s">
        <v>554</v>
      </c>
      <c r="D467">
        <v>42200</v>
      </c>
      <c r="E467" t="s">
        <v>672</v>
      </c>
      <c r="F467" t="s">
        <v>117</v>
      </c>
      <c r="G467" t="s">
        <v>670</v>
      </c>
      <c r="H467" t="s">
        <v>670</v>
      </c>
      <c r="I467">
        <v>4.6300000000000001E-2</v>
      </c>
      <c r="J467">
        <v>7.6700000000000004E-2</v>
      </c>
      <c r="K467">
        <v>7.0000000000000007E-2</v>
      </c>
      <c r="L467">
        <v>8.6800000000000002E-2</v>
      </c>
      <c r="M467">
        <v>5.2900000000000003E-2</v>
      </c>
      <c r="N467">
        <v>6.5299999999999997E-2</v>
      </c>
      <c r="O467">
        <v>0.1135</v>
      </c>
      <c r="P467">
        <v>7.7499999999999999E-2</v>
      </c>
      <c r="Q467">
        <v>5.2900000000000003E-2</v>
      </c>
      <c r="R467">
        <v>4.41E-2</v>
      </c>
      <c r="S467">
        <v>1.41E-2</v>
      </c>
      <c r="T467">
        <v>3.3500000000000002E-2</v>
      </c>
      <c r="U467">
        <v>7.17E-2</v>
      </c>
      <c r="V467">
        <v>6.9400000000000003E-2</v>
      </c>
      <c r="W467">
        <v>8.14E-2</v>
      </c>
      <c r="X467">
        <v>6.3799999999999996E-2</v>
      </c>
      <c r="Y467">
        <v>4.4499999999999998E-2</v>
      </c>
      <c r="Z467">
        <v>2.4799999999999999E-2</v>
      </c>
      <c r="AA467">
        <v>3.8999999999999998E-3</v>
      </c>
      <c r="AB467">
        <v>-5.0000000000000001E-4</v>
      </c>
      <c r="AC467">
        <v>7.6E-3</v>
      </c>
      <c r="AD467">
        <v>3.9199999999999999E-2</v>
      </c>
      <c r="AE467">
        <v>8.9700000000000002E-2</v>
      </c>
      <c r="AF467">
        <v>0.1368</v>
      </c>
      <c r="AG467">
        <v>0.16450000000000001</v>
      </c>
      <c r="AH467">
        <v>0.18509999999999999</v>
      </c>
      <c r="AI467">
        <v>0.193</v>
      </c>
      <c r="AJ467">
        <v>0.1474</v>
      </c>
      <c r="AK467">
        <v>0.12330000000000001</v>
      </c>
      <c r="AL467">
        <v>7.6899999999999996E-2</v>
      </c>
      <c r="AM467">
        <v>3.1399999999999997E-2</v>
      </c>
      <c r="AN467">
        <v>3.3399999999999999E-2</v>
      </c>
      <c r="AO467">
        <v>1.37E-2</v>
      </c>
      <c r="AP467">
        <v>2.2200000000000001E-2</v>
      </c>
      <c r="AQ467">
        <v>3.5999999999999999E-3</v>
      </c>
      <c r="AR467">
        <v>-3.7000000000000002E-3</v>
      </c>
      <c r="AS467">
        <v>-1.43E-2</v>
      </c>
      <c r="AT467">
        <v>-2.8299999999999999E-2</v>
      </c>
      <c r="AU467">
        <v>-1.18E-2</v>
      </c>
      <c r="AV467">
        <v>-1.23E-2</v>
      </c>
    </row>
    <row r="468" spans="1:48" x14ac:dyDescent="0.25">
      <c r="A468" t="s">
        <v>555</v>
      </c>
      <c r="B468" t="s">
        <v>2</v>
      </c>
      <c r="C468" t="s">
        <v>555</v>
      </c>
      <c r="D468">
        <v>42220</v>
      </c>
      <c r="E468" t="s">
        <v>672</v>
      </c>
      <c r="F468" t="s">
        <v>117</v>
      </c>
      <c r="G468" t="s">
        <v>670</v>
      </c>
      <c r="H468" t="s">
        <v>670</v>
      </c>
      <c r="I468">
        <v>9.8100000000000007E-2</v>
      </c>
      <c r="J468">
        <v>9.2899999999999996E-2</v>
      </c>
      <c r="K468">
        <v>6.59E-2</v>
      </c>
      <c r="L468">
        <v>7.3800000000000004E-2</v>
      </c>
      <c r="M468">
        <v>5.9499999999999997E-2</v>
      </c>
      <c r="N468">
        <v>5.3699999999999998E-2</v>
      </c>
      <c r="O468">
        <v>7.1900000000000006E-2</v>
      </c>
      <c r="P468">
        <v>6.9900000000000004E-2</v>
      </c>
      <c r="Q468">
        <v>9.9699999999999997E-2</v>
      </c>
      <c r="R468">
        <v>8.6099999999999996E-2</v>
      </c>
      <c r="S468">
        <v>6.0100000000000001E-2</v>
      </c>
      <c r="T468">
        <v>2.5899999999999999E-2</v>
      </c>
      <c r="U468">
        <v>-1.2200000000000001E-2</v>
      </c>
      <c r="V468">
        <v>-8.8999999999999999E-3</v>
      </c>
      <c r="W468">
        <v>2.75E-2</v>
      </c>
      <c r="X468">
        <v>2.5100000000000001E-2</v>
      </c>
      <c r="Y468">
        <v>2.5399999999999999E-2</v>
      </c>
      <c r="Z468">
        <v>-5.7000000000000002E-3</v>
      </c>
      <c r="AA468">
        <v>-4.2099999999999999E-2</v>
      </c>
      <c r="AB468">
        <v>-2.4799999999999999E-2</v>
      </c>
      <c r="AC468">
        <v>-8.2000000000000007E-3</v>
      </c>
      <c r="AD468">
        <v>5.5E-2</v>
      </c>
      <c r="AE468">
        <v>0.1174</v>
      </c>
      <c r="AF468">
        <v>0.13200000000000001</v>
      </c>
      <c r="AG468">
        <v>0.1321</v>
      </c>
      <c r="AH468">
        <v>0.12959999999999999</v>
      </c>
      <c r="AI468">
        <v>8.5300000000000001E-2</v>
      </c>
      <c r="AJ468">
        <v>5.5899999999999998E-2</v>
      </c>
      <c r="AK468">
        <v>3.9399999999999998E-2</v>
      </c>
      <c r="AL468">
        <v>1.0699999999999999E-2</v>
      </c>
      <c r="AM468">
        <v>2.5000000000000001E-3</v>
      </c>
      <c r="AN468">
        <v>1.11E-2</v>
      </c>
      <c r="AO468">
        <v>1.6299999999999999E-2</v>
      </c>
      <c r="AP468">
        <v>9.5999999999999992E-3</v>
      </c>
      <c r="AQ468">
        <v>1.9E-3</v>
      </c>
      <c r="AR468">
        <v>9.5999999999999992E-3</v>
      </c>
      <c r="AS468">
        <v>7.3000000000000001E-3</v>
      </c>
      <c r="AT468">
        <v>1.5299999999999999E-2</v>
      </c>
      <c r="AU468">
        <v>1E-4</v>
      </c>
      <c r="AV468">
        <v>-1.43E-2</v>
      </c>
    </row>
    <row r="469" spans="1:48" x14ac:dyDescent="0.25">
      <c r="A469" t="s">
        <v>556</v>
      </c>
      <c r="B469" t="s">
        <v>2</v>
      </c>
      <c r="C469" t="s">
        <v>556</v>
      </c>
      <c r="D469">
        <v>42300</v>
      </c>
      <c r="E469" t="s">
        <v>672</v>
      </c>
      <c r="F469" t="s">
        <v>117</v>
      </c>
      <c r="G469" t="s">
        <v>670</v>
      </c>
      <c r="H469" t="s">
        <v>670</v>
      </c>
      <c r="I469" t="s">
        <v>673</v>
      </c>
      <c r="J469" t="s">
        <v>673</v>
      </c>
      <c r="K469" t="s">
        <v>673</v>
      </c>
      <c r="L469" t="s">
        <v>673</v>
      </c>
      <c r="M469" t="s">
        <v>673</v>
      </c>
      <c r="N469" t="s">
        <v>673</v>
      </c>
      <c r="O469" t="s">
        <v>673</v>
      </c>
      <c r="P469" t="s">
        <v>673</v>
      </c>
      <c r="Q469" t="s">
        <v>673</v>
      </c>
      <c r="R469" t="s">
        <v>673</v>
      </c>
      <c r="S469" t="s">
        <v>673</v>
      </c>
      <c r="T469" t="s">
        <v>673</v>
      </c>
      <c r="U469" t="s">
        <v>673</v>
      </c>
      <c r="V469" t="s">
        <v>673</v>
      </c>
      <c r="W469" t="s">
        <v>673</v>
      </c>
      <c r="X469" t="s">
        <v>673</v>
      </c>
      <c r="Y469" t="s">
        <v>673</v>
      </c>
      <c r="Z469" t="s">
        <v>673</v>
      </c>
      <c r="AA469" t="s">
        <v>673</v>
      </c>
      <c r="AB469" t="s">
        <v>673</v>
      </c>
      <c r="AC469" t="s">
        <v>673</v>
      </c>
      <c r="AD469" t="s">
        <v>673</v>
      </c>
      <c r="AE469" t="s">
        <v>673</v>
      </c>
      <c r="AF469" t="s">
        <v>673</v>
      </c>
      <c r="AG469" t="s">
        <v>673</v>
      </c>
      <c r="AH469" t="s">
        <v>673</v>
      </c>
      <c r="AI469" t="s">
        <v>673</v>
      </c>
      <c r="AJ469" t="s">
        <v>673</v>
      </c>
      <c r="AK469" t="s">
        <v>673</v>
      </c>
      <c r="AL469" t="s">
        <v>673</v>
      </c>
      <c r="AM469" t="s">
        <v>673</v>
      </c>
      <c r="AN469" t="s">
        <v>673</v>
      </c>
      <c r="AO469" t="s">
        <v>673</v>
      </c>
      <c r="AP469" t="s">
        <v>673</v>
      </c>
      <c r="AQ469" t="s">
        <v>673</v>
      </c>
      <c r="AR469" t="s">
        <v>673</v>
      </c>
      <c r="AS469" t="s">
        <v>673</v>
      </c>
      <c r="AT469" t="s">
        <v>673</v>
      </c>
      <c r="AU469" t="s">
        <v>673</v>
      </c>
      <c r="AV469" t="s">
        <v>673</v>
      </c>
    </row>
    <row r="470" spans="1:48" x14ac:dyDescent="0.25">
      <c r="A470" t="s">
        <v>557</v>
      </c>
      <c r="B470" t="s">
        <v>2</v>
      </c>
      <c r="C470" t="s">
        <v>557</v>
      </c>
      <c r="D470">
        <v>42340</v>
      </c>
      <c r="E470" t="s">
        <v>672</v>
      </c>
      <c r="F470" t="s">
        <v>117</v>
      </c>
      <c r="G470" t="s">
        <v>670</v>
      </c>
      <c r="H470" t="s">
        <v>670</v>
      </c>
      <c r="I470">
        <v>4.6699999999999998E-2</v>
      </c>
      <c r="J470">
        <v>3.5900000000000001E-2</v>
      </c>
      <c r="K470">
        <v>-8.8000000000000005E-3</v>
      </c>
      <c r="L470">
        <v>6.0000000000000001E-3</v>
      </c>
      <c r="M470">
        <v>2.4899999999999999E-2</v>
      </c>
      <c r="N470">
        <v>3.1399999999999997E-2</v>
      </c>
      <c r="O470">
        <v>3.8100000000000002E-2</v>
      </c>
      <c r="P470">
        <v>2.1299999999999999E-2</v>
      </c>
      <c r="Q470">
        <v>2.4299999999999999E-2</v>
      </c>
      <c r="R470">
        <v>2.2200000000000001E-2</v>
      </c>
      <c r="S470">
        <v>4.5100000000000001E-2</v>
      </c>
      <c r="T470">
        <v>5.1299999999999998E-2</v>
      </c>
      <c r="U470">
        <v>3.1899999999999998E-2</v>
      </c>
      <c r="V470">
        <v>2.9000000000000001E-2</v>
      </c>
      <c r="W470">
        <v>3.6200000000000003E-2</v>
      </c>
      <c r="X470">
        <v>4.3999999999999997E-2</v>
      </c>
      <c r="Y470">
        <v>3.4200000000000001E-2</v>
      </c>
      <c r="Z470">
        <v>2.7000000000000001E-3</v>
      </c>
      <c r="AA470">
        <v>-1.8700000000000001E-2</v>
      </c>
      <c r="AB470">
        <v>3.5000000000000001E-3</v>
      </c>
      <c r="AC470">
        <v>3.9800000000000002E-2</v>
      </c>
      <c r="AD470">
        <v>0.10970000000000001</v>
      </c>
      <c r="AE470">
        <v>0.21299999999999999</v>
      </c>
      <c r="AF470">
        <v>0.26179999999999998</v>
      </c>
      <c r="AG470">
        <v>0.26019999999999999</v>
      </c>
      <c r="AH470">
        <v>0.26279999999999998</v>
      </c>
      <c r="AI470">
        <v>0.2097</v>
      </c>
      <c r="AJ470">
        <v>0.1547</v>
      </c>
      <c r="AK470">
        <v>0.1249</v>
      </c>
      <c r="AL470">
        <v>8.0100000000000005E-2</v>
      </c>
      <c r="AM470">
        <v>2.8000000000000001E-2</v>
      </c>
      <c r="AN470">
        <v>1.1299999999999999E-2</v>
      </c>
      <c r="AO470">
        <v>1.9599999999999999E-2</v>
      </c>
      <c r="AP470">
        <v>1.55E-2</v>
      </c>
      <c r="AQ470">
        <v>1.18E-2</v>
      </c>
      <c r="AR470">
        <v>1.4200000000000001E-2</v>
      </c>
      <c r="AS470">
        <v>1.2500000000000001E-2</v>
      </c>
      <c r="AT470">
        <v>1.0500000000000001E-2</v>
      </c>
      <c r="AU470">
        <v>2.2000000000000001E-3</v>
      </c>
      <c r="AV470">
        <v>-2.1700000000000001E-2</v>
      </c>
    </row>
    <row r="471" spans="1:48" x14ac:dyDescent="0.25">
      <c r="A471" t="s">
        <v>558</v>
      </c>
      <c r="B471" t="s">
        <v>2</v>
      </c>
      <c r="C471" t="s">
        <v>558</v>
      </c>
      <c r="D471">
        <v>42540</v>
      </c>
      <c r="E471" t="s">
        <v>672</v>
      </c>
      <c r="F471" t="s">
        <v>117</v>
      </c>
      <c r="G471" t="s">
        <v>670</v>
      </c>
      <c r="H471" t="s">
        <v>670</v>
      </c>
      <c r="I471">
        <v>4.5100000000000001E-2</v>
      </c>
      <c r="J471">
        <v>7.8700000000000006E-2</v>
      </c>
      <c r="K471">
        <v>5.0500000000000003E-2</v>
      </c>
      <c r="L471">
        <v>6.5199999999999994E-2</v>
      </c>
      <c r="M471">
        <v>2.2599999999999999E-2</v>
      </c>
      <c r="N471">
        <v>2.18E-2</v>
      </c>
      <c r="O471">
        <v>4.6899999999999997E-2</v>
      </c>
      <c r="P471">
        <v>2.3199999999999998E-2</v>
      </c>
      <c r="Q471">
        <v>5.0099999999999999E-2</v>
      </c>
      <c r="R471">
        <v>4.2700000000000002E-2</v>
      </c>
      <c r="S471">
        <v>1.6500000000000001E-2</v>
      </c>
      <c r="T471">
        <v>-2.35E-2</v>
      </c>
      <c r="U471">
        <v>-1.4500000000000001E-2</v>
      </c>
      <c r="V471">
        <v>-2.1000000000000001E-2</v>
      </c>
      <c r="W471">
        <v>-1.5E-3</v>
      </c>
      <c r="X471">
        <v>1.6199999999999999E-2</v>
      </c>
      <c r="Y471">
        <v>-6.9999999999999999E-4</v>
      </c>
      <c r="Z471">
        <v>2.81E-2</v>
      </c>
      <c r="AA471">
        <v>6.1499999999999999E-2</v>
      </c>
      <c r="AB471">
        <v>9.3899999999999997E-2</v>
      </c>
      <c r="AC471">
        <v>0.12590000000000001</v>
      </c>
      <c r="AD471">
        <v>0.15240000000000001</v>
      </c>
      <c r="AE471">
        <v>0.15670000000000001</v>
      </c>
      <c r="AF471">
        <v>0.13719999999999999</v>
      </c>
      <c r="AG471">
        <v>0.1779</v>
      </c>
      <c r="AH471">
        <v>0.1479</v>
      </c>
      <c r="AI471">
        <v>9.1300000000000006E-2</v>
      </c>
      <c r="AJ471">
        <v>4.82E-2</v>
      </c>
      <c r="AK471">
        <v>-3.5400000000000001E-2</v>
      </c>
      <c r="AL471">
        <v>-3.8600000000000002E-2</v>
      </c>
      <c r="AM471">
        <v>-2.2499999999999999E-2</v>
      </c>
      <c r="AN471">
        <v>7.4999999999999997E-3</v>
      </c>
      <c r="AO471">
        <v>1.2999999999999999E-2</v>
      </c>
      <c r="AP471">
        <v>2.4899999999999999E-2</v>
      </c>
      <c r="AQ471">
        <v>5.96E-2</v>
      </c>
      <c r="AR471">
        <v>7.0900000000000005E-2</v>
      </c>
      <c r="AS471">
        <v>8.4699999999999998E-2</v>
      </c>
      <c r="AT471">
        <v>4.07E-2</v>
      </c>
      <c r="AU471">
        <v>3.2399999999999998E-2</v>
      </c>
      <c r="AV471">
        <v>2.7000000000000001E-3</v>
      </c>
    </row>
    <row r="472" spans="1:48" x14ac:dyDescent="0.25">
      <c r="A472" t="s">
        <v>16</v>
      </c>
      <c r="B472" t="s">
        <v>2</v>
      </c>
      <c r="C472" t="s">
        <v>16</v>
      </c>
      <c r="D472">
        <v>42644</v>
      </c>
      <c r="E472" t="s">
        <v>672</v>
      </c>
      <c r="F472" t="s">
        <v>117</v>
      </c>
      <c r="G472" t="s">
        <v>670</v>
      </c>
      <c r="H472" t="s">
        <v>670</v>
      </c>
      <c r="I472">
        <v>9.7600000000000006E-2</v>
      </c>
      <c r="J472">
        <v>9.6799999999999997E-2</v>
      </c>
      <c r="K472">
        <v>8.3400000000000002E-2</v>
      </c>
      <c r="L472">
        <v>7.51E-2</v>
      </c>
      <c r="M472">
        <v>7.1800000000000003E-2</v>
      </c>
      <c r="N472">
        <v>8.1299999999999997E-2</v>
      </c>
      <c r="O472">
        <v>6.7799999999999999E-2</v>
      </c>
      <c r="P472">
        <v>5.4600000000000003E-2</v>
      </c>
      <c r="Q472">
        <v>3.6499999999999998E-2</v>
      </c>
      <c r="R472">
        <v>2.1100000000000001E-2</v>
      </c>
      <c r="S472">
        <v>2.4199999999999999E-2</v>
      </c>
      <c r="T472">
        <v>3.6600000000000001E-2</v>
      </c>
      <c r="U472">
        <v>3.6600000000000001E-2</v>
      </c>
      <c r="V472">
        <v>2.8899999999999999E-2</v>
      </c>
      <c r="W472">
        <v>4.24E-2</v>
      </c>
      <c r="X472">
        <v>5.8400000000000001E-2</v>
      </c>
      <c r="Y472">
        <v>7.8600000000000003E-2</v>
      </c>
      <c r="Z472">
        <v>3.2599999999999997E-2</v>
      </c>
      <c r="AA472">
        <v>-1.29E-2</v>
      </c>
      <c r="AB472">
        <v>-5.1299999999999998E-2</v>
      </c>
      <c r="AC472">
        <v>-7.8600000000000003E-2</v>
      </c>
      <c r="AD472">
        <v>-3.1399999999999997E-2</v>
      </c>
      <c r="AE472">
        <v>5.6899999999999999E-2</v>
      </c>
      <c r="AF472">
        <v>0.12</v>
      </c>
      <c r="AG472">
        <v>0.14480000000000001</v>
      </c>
      <c r="AH472">
        <v>0.1467</v>
      </c>
      <c r="AI472">
        <v>0.1164</v>
      </c>
      <c r="AJ472">
        <v>7.85E-2</v>
      </c>
      <c r="AK472">
        <v>5.4199999999999998E-2</v>
      </c>
      <c r="AL472">
        <v>1.83E-2</v>
      </c>
      <c r="AM472">
        <v>2.3E-3</v>
      </c>
      <c r="AN472">
        <v>1.2999999999999999E-3</v>
      </c>
      <c r="AO472">
        <v>1.78E-2</v>
      </c>
      <c r="AP472">
        <v>2.8899999999999999E-2</v>
      </c>
      <c r="AQ472">
        <v>1.6E-2</v>
      </c>
      <c r="AR472">
        <v>2.06E-2</v>
      </c>
      <c r="AS472">
        <v>1.8800000000000001E-2</v>
      </c>
      <c r="AT472">
        <v>2.3599999999999999E-2</v>
      </c>
      <c r="AU472">
        <v>2.1899999999999999E-2</v>
      </c>
      <c r="AV472">
        <v>1.7100000000000001E-2</v>
      </c>
    </row>
    <row r="473" spans="1:48" x14ac:dyDescent="0.25">
      <c r="A473" t="s">
        <v>559</v>
      </c>
      <c r="B473" t="s">
        <v>2</v>
      </c>
      <c r="C473" t="s">
        <v>559</v>
      </c>
      <c r="D473">
        <v>42900</v>
      </c>
      <c r="E473" t="s">
        <v>672</v>
      </c>
      <c r="F473" t="s">
        <v>117</v>
      </c>
      <c r="G473" t="s">
        <v>670</v>
      </c>
      <c r="H473" t="s">
        <v>670</v>
      </c>
      <c r="I473" t="s">
        <v>673</v>
      </c>
      <c r="J473" t="s">
        <v>673</v>
      </c>
      <c r="K473" t="s">
        <v>673</v>
      </c>
      <c r="L473" t="s">
        <v>673</v>
      </c>
      <c r="M473" t="s">
        <v>673</v>
      </c>
      <c r="N473" t="s">
        <v>673</v>
      </c>
      <c r="O473" t="s">
        <v>673</v>
      </c>
      <c r="P473" t="s">
        <v>673</v>
      </c>
      <c r="Q473" t="s">
        <v>673</v>
      </c>
      <c r="R473" t="s">
        <v>673</v>
      </c>
      <c r="S473" t="s">
        <v>673</v>
      </c>
      <c r="T473" t="s">
        <v>673</v>
      </c>
      <c r="U473" t="s">
        <v>673</v>
      </c>
      <c r="V473" t="s">
        <v>673</v>
      </c>
      <c r="W473" t="s">
        <v>673</v>
      </c>
      <c r="X473" t="s">
        <v>673</v>
      </c>
      <c r="Y473" t="s">
        <v>673</v>
      </c>
      <c r="Z473" t="s">
        <v>673</v>
      </c>
      <c r="AA473" t="s">
        <v>673</v>
      </c>
      <c r="AB473" t="s">
        <v>673</v>
      </c>
      <c r="AC473" t="s">
        <v>673</v>
      </c>
      <c r="AD473" t="s">
        <v>673</v>
      </c>
      <c r="AE473" t="s">
        <v>673</v>
      </c>
      <c r="AF473" t="s">
        <v>673</v>
      </c>
      <c r="AG473" t="s">
        <v>673</v>
      </c>
      <c r="AH473" t="s">
        <v>673</v>
      </c>
      <c r="AI473" t="s">
        <v>673</v>
      </c>
      <c r="AJ473" t="s">
        <v>673</v>
      </c>
      <c r="AK473" t="s">
        <v>673</v>
      </c>
      <c r="AL473" t="s">
        <v>673</v>
      </c>
      <c r="AM473" t="s">
        <v>673</v>
      </c>
      <c r="AN473" t="s">
        <v>673</v>
      </c>
      <c r="AO473" t="s">
        <v>673</v>
      </c>
      <c r="AP473" t="s">
        <v>673</v>
      </c>
      <c r="AQ473" t="s">
        <v>673</v>
      </c>
      <c r="AR473" t="s">
        <v>673</v>
      </c>
      <c r="AS473" t="s">
        <v>673</v>
      </c>
      <c r="AT473" t="s">
        <v>673</v>
      </c>
      <c r="AU473" t="s">
        <v>673</v>
      </c>
      <c r="AV473" t="s">
        <v>673</v>
      </c>
    </row>
    <row r="474" spans="1:48" x14ac:dyDescent="0.25">
      <c r="A474" t="s">
        <v>560</v>
      </c>
      <c r="B474" t="s">
        <v>2</v>
      </c>
      <c r="C474" t="s">
        <v>560</v>
      </c>
      <c r="D474">
        <v>42860</v>
      </c>
      <c r="E474" t="s">
        <v>672</v>
      </c>
      <c r="F474" t="s">
        <v>117</v>
      </c>
      <c r="G474" t="s">
        <v>670</v>
      </c>
      <c r="H474" t="s">
        <v>670</v>
      </c>
      <c r="I474">
        <v>4.07E-2</v>
      </c>
      <c r="J474">
        <v>0.16189999999999999</v>
      </c>
      <c r="K474">
        <v>8.2100000000000006E-2</v>
      </c>
      <c r="L474">
        <v>8.7999999999999995E-2</v>
      </c>
      <c r="M474">
        <v>1.6799999999999999E-2</v>
      </c>
      <c r="N474">
        <v>-5.0700000000000002E-2</v>
      </c>
      <c r="O474">
        <v>3.0499999999999999E-2</v>
      </c>
      <c r="P474">
        <v>4.4999999999999998E-2</v>
      </c>
      <c r="Q474">
        <v>2.8000000000000001E-2</v>
      </c>
      <c r="R474">
        <v>4.2700000000000002E-2</v>
      </c>
      <c r="S474">
        <v>2.7799999999999998E-2</v>
      </c>
      <c r="T474">
        <v>-7.1099999999999997E-2</v>
      </c>
      <c r="U474">
        <v>-5.6899999999999999E-2</v>
      </c>
      <c r="V474">
        <v>-4.4600000000000001E-2</v>
      </c>
      <c r="W474">
        <v>-6.2300000000000001E-2</v>
      </c>
      <c r="X474">
        <v>0.1263</v>
      </c>
      <c r="Y474">
        <v>0.15570000000000001</v>
      </c>
      <c r="Z474">
        <v>0.18920000000000001</v>
      </c>
      <c r="AA474">
        <v>0.17910000000000001</v>
      </c>
      <c r="AB474">
        <v>7.5999999999999998E-2</v>
      </c>
      <c r="AC474">
        <v>9.3200000000000005E-2</v>
      </c>
      <c r="AD474">
        <v>7.4099999999999999E-2</v>
      </c>
      <c r="AE474">
        <v>0.13750000000000001</v>
      </c>
      <c r="AF474">
        <v>0.1804</v>
      </c>
      <c r="AG474">
        <v>0.14480000000000001</v>
      </c>
      <c r="AH474">
        <v>0.1193</v>
      </c>
      <c r="AI474">
        <v>0.192</v>
      </c>
      <c r="AJ474">
        <v>0.23680000000000001</v>
      </c>
      <c r="AK474">
        <v>0.16370000000000001</v>
      </c>
      <c r="AL474">
        <v>0.13120000000000001</v>
      </c>
      <c r="AM474">
        <v>-2.3E-3</v>
      </c>
      <c r="AN474">
        <v>-6.2799999999999995E-2</v>
      </c>
      <c r="AO474">
        <v>2.8999999999999998E-3</v>
      </c>
      <c r="AP474">
        <v>5.5500000000000001E-2</v>
      </c>
      <c r="AQ474">
        <v>0.15809999999999999</v>
      </c>
      <c r="AR474">
        <v>0.1091</v>
      </c>
      <c r="AS474">
        <v>9.2600000000000002E-2</v>
      </c>
      <c r="AT474">
        <v>3.3599999999999998E-2</v>
      </c>
      <c r="AU474">
        <v>3.8E-3</v>
      </c>
      <c r="AV474">
        <v>3.7400000000000003E-2</v>
      </c>
    </row>
    <row r="475" spans="1:48" x14ac:dyDescent="0.25">
      <c r="A475" t="s">
        <v>561</v>
      </c>
      <c r="B475" t="s">
        <v>2</v>
      </c>
      <c r="C475" t="s">
        <v>561</v>
      </c>
      <c r="D475">
        <v>42940</v>
      </c>
      <c r="E475" t="s">
        <v>672</v>
      </c>
      <c r="F475" t="s">
        <v>117</v>
      </c>
      <c r="G475" t="s">
        <v>670</v>
      </c>
      <c r="H475" t="s">
        <v>670</v>
      </c>
      <c r="I475">
        <v>3.1800000000000002E-2</v>
      </c>
      <c r="J475">
        <v>3.7199999999999997E-2</v>
      </c>
      <c r="K475">
        <v>1.03E-2</v>
      </c>
      <c r="L475">
        <v>2.4199999999999999E-2</v>
      </c>
      <c r="M475">
        <v>4.48E-2</v>
      </c>
      <c r="N475">
        <v>8.8900000000000007E-2</v>
      </c>
      <c r="O475">
        <v>4.8899999999999999E-2</v>
      </c>
      <c r="P475">
        <v>3.9699999999999999E-2</v>
      </c>
      <c r="Q475">
        <v>5.3900000000000003E-2</v>
      </c>
      <c r="R475">
        <v>1.54E-2</v>
      </c>
      <c r="S475">
        <v>7.0499999999999993E-2</v>
      </c>
      <c r="T475">
        <v>6.9099999999999995E-2</v>
      </c>
      <c r="U475">
        <v>7.4999999999999997E-3</v>
      </c>
      <c r="V475">
        <v>7.4999999999999997E-2</v>
      </c>
      <c r="W475">
        <v>1.6500000000000001E-2</v>
      </c>
      <c r="X475">
        <v>2.5000000000000001E-3</v>
      </c>
      <c r="Y475">
        <v>2.6700000000000002E-2</v>
      </c>
      <c r="Z475">
        <v>-9.8299999999999998E-2</v>
      </c>
      <c r="AA475">
        <v>2.1399999999999999E-2</v>
      </c>
      <c r="AB475">
        <v>7.4499999999999997E-2</v>
      </c>
      <c r="AC475">
        <v>0.11849999999999999</v>
      </c>
      <c r="AD475">
        <v>0.19850000000000001</v>
      </c>
      <c r="AE475">
        <v>0.1462</v>
      </c>
      <c r="AF475">
        <v>0.1618</v>
      </c>
      <c r="AG475">
        <v>0.14199999999999999</v>
      </c>
      <c r="AH475">
        <v>0.18790000000000001</v>
      </c>
      <c r="AI475">
        <v>0.18340000000000001</v>
      </c>
      <c r="AJ475">
        <v>0.13200000000000001</v>
      </c>
      <c r="AK475">
        <v>0.1123</v>
      </c>
      <c r="AL475">
        <v>8.9399999999999993E-2</v>
      </c>
      <c r="AM475">
        <v>8.48E-2</v>
      </c>
      <c r="AN475">
        <v>7.7499999999999999E-2</v>
      </c>
      <c r="AO475">
        <v>9.5500000000000002E-2</v>
      </c>
      <c r="AP475">
        <v>6.3899999999999998E-2</v>
      </c>
      <c r="AQ475">
        <v>3.7499999999999999E-2</v>
      </c>
      <c r="AR475">
        <v>3.4500000000000003E-2</v>
      </c>
      <c r="AS475">
        <v>2.7000000000000001E-3</v>
      </c>
      <c r="AT475">
        <v>-2.1000000000000001E-2</v>
      </c>
      <c r="AU475">
        <v>-2.5899999999999999E-2</v>
      </c>
      <c r="AV475">
        <v>-1.7999999999999999E-2</v>
      </c>
    </row>
    <row r="476" spans="1:48" x14ac:dyDescent="0.25">
      <c r="A476" t="s">
        <v>562</v>
      </c>
      <c r="B476" t="s">
        <v>2</v>
      </c>
      <c r="C476" t="s">
        <v>562</v>
      </c>
      <c r="D476">
        <v>42980</v>
      </c>
      <c r="E476" t="s">
        <v>672</v>
      </c>
      <c r="F476" t="s">
        <v>117</v>
      </c>
      <c r="G476" t="s">
        <v>670</v>
      </c>
      <c r="H476" t="s">
        <v>670</v>
      </c>
      <c r="I476" t="s">
        <v>673</v>
      </c>
      <c r="J476" t="s">
        <v>673</v>
      </c>
      <c r="K476" t="s">
        <v>673</v>
      </c>
      <c r="L476" t="s">
        <v>673</v>
      </c>
      <c r="M476" t="s">
        <v>673</v>
      </c>
      <c r="N476" t="s">
        <v>673</v>
      </c>
      <c r="O476" t="s">
        <v>673</v>
      </c>
      <c r="P476" t="s">
        <v>673</v>
      </c>
      <c r="Q476" t="s">
        <v>673</v>
      </c>
      <c r="R476" t="s">
        <v>673</v>
      </c>
      <c r="S476" t="s">
        <v>673</v>
      </c>
      <c r="T476" t="s">
        <v>673</v>
      </c>
      <c r="U476" t="s">
        <v>673</v>
      </c>
      <c r="V476" t="s">
        <v>673</v>
      </c>
      <c r="W476" t="s">
        <v>673</v>
      </c>
      <c r="X476" t="s">
        <v>673</v>
      </c>
      <c r="Y476" t="s">
        <v>673</v>
      </c>
      <c r="Z476" t="s">
        <v>673</v>
      </c>
      <c r="AA476" t="s">
        <v>673</v>
      </c>
      <c r="AB476" t="s">
        <v>673</v>
      </c>
      <c r="AC476" t="s">
        <v>673</v>
      </c>
      <c r="AD476" t="s">
        <v>673</v>
      </c>
      <c r="AE476" t="s">
        <v>673</v>
      </c>
      <c r="AF476" t="s">
        <v>673</v>
      </c>
      <c r="AG476" t="s">
        <v>673</v>
      </c>
      <c r="AH476" t="s">
        <v>673</v>
      </c>
      <c r="AI476" t="s">
        <v>673</v>
      </c>
      <c r="AJ476" t="s">
        <v>673</v>
      </c>
      <c r="AK476" t="s">
        <v>673</v>
      </c>
      <c r="AL476" t="s">
        <v>673</v>
      </c>
      <c r="AM476" t="s">
        <v>673</v>
      </c>
      <c r="AN476" t="s">
        <v>673</v>
      </c>
      <c r="AO476" t="s">
        <v>673</v>
      </c>
      <c r="AP476" t="s">
        <v>673</v>
      </c>
      <c r="AQ476" t="s">
        <v>673</v>
      </c>
      <c r="AR476" t="s">
        <v>673</v>
      </c>
      <c r="AS476" t="s">
        <v>673</v>
      </c>
      <c r="AT476" t="s">
        <v>673</v>
      </c>
      <c r="AU476" t="s">
        <v>673</v>
      </c>
      <c r="AV476" t="s">
        <v>673</v>
      </c>
    </row>
    <row r="477" spans="1:48" x14ac:dyDescent="0.25">
      <c r="A477" t="s">
        <v>563</v>
      </c>
      <c r="B477" t="s">
        <v>2</v>
      </c>
      <c r="C477" t="s">
        <v>563</v>
      </c>
      <c r="D477">
        <v>43020</v>
      </c>
      <c r="E477" t="s">
        <v>672</v>
      </c>
      <c r="F477" t="s">
        <v>117</v>
      </c>
      <c r="G477" t="s">
        <v>670</v>
      </c>
      <c r="H477" t="s">
        <v>670</v>
      </c>
      <c r="I477" t="s">
        <v>673</v>
      </c>
      <c r="J477" t="s">
        <v>673</v>
      </c>
      <c r="K477" t="s">
        <v>673</v>
      </c>
      <c r="L477" t="s">
        <v>673</v>
      </c>
      <c r="M477" t="s">
        <v>673</v>
      </c>
      <c r="N477" t="s">
        <v>673</v>
      </c>
      <c r="O477" t="s">
        <v>673</v>
      </c>
      <c r="P477" t="s">
        <v>673</v>
      </c>
      <c r="Q477" t="s">
        <v>673</v>
      </c>
      <c r="R477" t="s">
        <v>673</v>
      </c>
      <c r="S477" t="s">
        <v>673</v>
      </c>
      <c r="T477" t="s">
        <v>673</v>
      </c>
      <c r="U477" t="s">
        <v>673</v>
      </c>
      <c r="V477" t="s">
        <v>673</v>
      </c>
      <c r="W477" t="s">
        <v>673</v>
      </c>
      <c r="X477" t="s">
        <v>673</v>
      </c>
      <c r="Y477" t="s">
        <v>673</v>
      </c>
      <c r="Z477" t="s">
        <v>673</v>
      </c>
      <c r="AA477" t="s">
        <v>673</v>
      </c>
      <c r="AB477" t="s">
        <v>673</v>
      </c>
      <c r="AC477" t="s">
        <v>673</v>
      </c>
      <c r="AD477" t="s">
        <v>673</v>
      </c>
      <c r="AE477" t="s">
        <v>673</v>
      </c>
      <c r="AF477" t="s">
        <v>673</v>
      </c>
      <c r="AG477" t="s">
        <v>673</v>
      </c>
      <c r="AH477" t="s">
        <v>673</v>
      </c>
      <c r="AI477" t="s">
        <v>673</v>
      </c>
      <c r="AJ477" t="s">
        <v>673</v>
      </c>
      <c r="AK477" t="s">
        <v>673</v>
      </c>
      <c r="AL477" t="s">
        <v>673</v>
      </c>
      <c r="AM477" t="s">
        <v>673</v>
      </c>
      <c r="AN477" t="s">
        <v>673</v>
      </c>
      <c r="AO477" t="s">
        <v>673</v>
      </c>
      <c r="AP477" t="s">
        <v>673</v>
      </c>
      <c r="AQ477" t="s">
        <v>673</v>
      </c>
      <c r="AR477" t="s">
        <v>673</v>
      </c>
      <c r="AS477" t="s">
        <v>673</v>
      </c>
      <c r="AT477" t="s">
        <v>673</v>
      </c>
      <c r="AU477" t="s">
        <v>673</v>
      </c>
      <c r="AV477" t="s">
        <v>673</v>
      </c>
    </row>
    <row r="478" spans="1:48" x14ac:dyDescent="0.25">
      <c r="A478" t="s">
        <v>564</v>
      </c>
      <c r="B478" t="s">
        <v>2</v>
      </c>
      <c r="C478" t="s">
        <v>564</v>
      </c>
      <c r="D478">
        <v>43100</v>
      </c>
      <c r="E478" t="s">
        <v>672</v>
      </c>
      <c r="F478" t="s">
        <v>117</v>
      </c>
      <c r="G478" t="s">
        <v>670</v>
      </c>
      <c r="H478" t="s">
        <v>670</v>
      </c>
      <c r="I478">
        <v>3.5299999999999998E-2</v>
      </c>
      <c r="J478">
        <v>2.7E-2</v>
      </c>
      <c r="K478">
        <v>3.7699999999999997E-2</v>
      </c>
      <c r="L478">
        <v>3.6799999999999999E-2</v>
      </c>
      <c r="M478">
        <v>3.8399999999999997E-2</v>
      </c>
      <c r="N478">
        <v>2.0500000000000001E-2</v>
      </c>
      <c r="O478">
        <v>1E-4</v>
      </c>
      <c r="P478">
        <v>4.1599999999999998E-2</v>
      </c>
      <c r="Q478">
        <v>5.5199999999999999E-2</v>
      </c>
      <c r="R478">
        <v>0.12180000000000001</v>
      </c>
      <c r="S478">
        <v>0.1113</v>
      </c>
      <c r="T478">
        <v>8.09E-2</v>
      </c>
      <c r="U478">
        <v>9.74E-2</v>
      </c>
      <c r="V478">
        <v>7.0900000000000005E-2</v>
      </c>
      <c r="W478">
        <v>6.4199999999999993E-2</v>
      </c>
      <c r="X478">
        <v>7.6E-3</v>
      </c>
      <c r="Y478">
        <v>-2.1600000000000001E-2</v>
      </c>
      <c r="Z478">
        <v>-9.0200000000000002E-2</v>
      </c>
      <c r="AA478">
        <v>-4.1999999999999997E-3</v>
      </c>
      <c r="AB478">
        <v>5.8200000000000002E-2</v>
      </c>
      <c r="AC478">
        <v>7.1300000000000002E-2</v>
      </c>
      <c r="AD478">
        <v>7.8899999999999998E-2</v>
      </c>
      <c r="AE478">
        <v>6.8400000000000002E-2</v>
      </c>
      <c r="AF478">
        <v>2.8500000000000001E-2</v>
      </c>
      <c r="AG478">
        <v>-8.3999999999999995E-3</v>
      </c>
      <c r="AH478">
        <v>6.2600000000000003E-2</v>
      </c>
      <c r="AI478">
        <v>-1.6000000000000001E-3</v>
      </c>
      <c r="AJ478">
        <v>8.2400000000000001E-2</v>
      </c>
      <c r="AK478">
        <v>0.13950000000000001</v>
      </c>
      <c r="AL478">
        <v>0.1404</v>
      </c>
      <c r="AM478">
        <v>0.1583</v>
      </c>
      <c r="AN478">
        <v>6.9000000000000006E-2</v>
      </c>
      <c r="AO478">
        <v>5.5300000000000002E-2</v>
      </c>
      <c r="AP478">
        <v>3.4099999999999998E-2</v>
      </c>
      <c r="AQ478">
        <v>1.8800000000000001E-2</v>
      </c>
      <c r="AR478">
        <v>3.0800000000000001E-2</v>
      </c>
      <c r="AS478">
        <v>2.4400000000000002E-2</v>
      </c>
      <c r="AT478">
        <v>-9.1999999999999998E-3</v>
      </c>
      <c r="AU478">
        <v>1.9E-2</v>
      </c>
      <c r="AV478">
        <v>1.9400000000000001E-2</v>
      </c>
    </row>
    <row r="479" spans="1:48" x14ac:dyDescent="0.25">
      <c r="A479" t="s">
        <v>565</v>
      </c>
      <c r="B479" t="s">
        <v>2</v>
      </c>
      <c r="C479" t="s">
        <v>565</v>
      </c>
      <c r="D479">
        <v>43140</v>
      </c>
      <c r="E479" t="s">
        <v>672</v>
      </c>
      <c r="F479" t="s">
        <v>117</v>
      </c>
      <c r="G479" t="s">
        <v>670</v>
      </c>
      <c r="H479" t="s">
        <v>670</v>
      </c>
      <c r="I479" t="s">
        <v>673</v>
      </c>
      <c r="J479">
        <v>0.2414</v>
      </c>
      <c r="K479" t="s">
        <v>673</v>
      </c>
      <c r="L479" t="s">
        <v>673</v>
      </c>
      <c r="M479" t="s">
        <v>673</v>
      </c>
      <c r="N479">
        <v>-0.14849999999999999</v>
      </c>
      <c r="O479">
        <v>-0.124</v>
      </c>
      <c r="P479">
        <v>-0.1246</v>
      </c>
      <c r="Q479">
        <v>-0.12470000000000001</v>
      </c>
      <c r="R479">
        <v>-5.0999999999999997E-2</v>
      </c>
      <c r="S479">
        <v>6.7199999999999996E-2</v>
      </c>
      <c r="T479">
        <v>7.1400000000000005E-2</v>
      </c>
      <c r="U479">
        <v>8.1299999999999997E-2</v>
      </c>
      <c r="V479">
        <v>0.1343</v>
      </c>
      <c r="W479">
        <v>0.104</v>
      </c>
      <c r="X479">
        <v>0.10539999999999999</v>
      </c>
      <c r="Y479">
        <v>0.1173</v>
      </c>
      <c r="Z479">
        <v>8.6300000000000002E-2</v>
      </c>
      <c r="AA479">
        <v>5.57E-2</v>
      </c>
      <c r="AB479">
        <v>5.6899999999999999E-2</v>
      </c>
      <c r="AC479">
        <v>9.1899999999999996E-2</v>
      </c>
      <c r="AD479">
        <v>0.1255</v>
      </c>
      <c r="AE479">
        <v>0.1474</v>
      </c>
      <c r="AF479">
        <v>0.2009</v>
      </c>
      <c r="AG479">
        <v>0.153</v>
      </c>
      <c r="AH479">
        <v>0.1091</v>
      </c>
      <c r="AI479">
        <v>0.11650000000000001</v>
      </c>
      <c r="AJ479">
        <v>7.5399999999999995E-2</v>
      </c>
      <c r="AK479">
        <v>6.2300000000000001E-2</v>
      </c>
      <c r="AL479">
        <v>0.12180000000000001</v>
      </c>
      <c r="AM479">
        <v>0.17699999999999999</v>
      </c>
      <c r="AN479">
        <v>0.18479999999999999</v>
      </c>
      <c r="AO479">
        <v>0.13669999999999999</v>
      </c>
      <c r="AP479">
        <v>5.9700000000000003E-2</v>
      </c>
      <c r="AQ479">
        <v>-1.2200000000000001E-2</v>
      </c>
      <c r="AR479">
        <v>-3.0700000000000002E-2</v>
      </c>
      <c r="AS479">
        <v>1.8E-3</v>
      </c>
      <c r="AT479">
        <v>2.5000000000000001E-2</v>
      </c>
      <c r="AU479">
        <v>9.1999999999999998E-2</v>
      </c>
      <c r="AV479">
        <v>0.10929999999999999</v>
      </c>
    </row>
    <row r="480" spans="1:48" x14ac:dyDescent="0.25">
      <c r="A480" t="s">
        <v>566</v>
      </c>
      <c r="B480" t="s">
        <v>2</v>
      </c>
      <c r="C480" t="s">
        <v>566</v>
      </c>
      <c r="D480">
        <v>43220</v>
      </c>
      <c r="E480" t="s">
        <v>672</v>
      </c>
      <c r="F480" t="s">
        <v>117</v>
      </c>
      <c r="G480" t="s">
        <v>670</v>
      </c>
      <c r="H480" t="s">
        <v>670</v>
      </c>
      <c r="I480" t="s">
        <v>673</v>
      </c>
      <c r="J480" t="s">
        <v>673</v>
      </c>
      <c r="K480" t="s">
        <v>673</v>
      </c>
      <c r="L480" t="s">
        <v>673</v>
      </c>
      <c r="M480" t="s">
        <v>673</v>
      </c>
      <c r="N480" t="s">
        <v>673</v>
      </c>
      <c r="O480" t="s">
        <v>673</v>
      </c>
      <c r="P480" t="s">
        <v>673</v>
      </c>
      <c r="Q480" t="s">
        <v>673</v>
      </c>
      <c r="R480" t="s">
        <v>673</v>
      </c>
      <c r="S480" t="s">
        <v>673</v>
      </c>
      <c r="T480" t="s">
        <v>673</v>
      </c>
      <c r="U480" t="s">
        <v>673</v>
      </c>
      <c r="V480" t="s">
        <v>673</v>
      </c>
      <c r="W480" t="s">
        <v>673</v>
      </c>
      <c r="X480" t="s">
        <v>673</v>
      </c>
      <c r="Y480" t="s">
        <v>673</v>
      </c>
      <c r="Z480" t="s">
        <v>673</v>
      </c>
      <c r="AA480" t="s">
        <v>673</v>
      </c>
      <c r="AB480" t="s">
        <v>673</v>
      </c>
      <c r="AC480" t="s">
        <v>673</v>
      </c>
      <c r="AD480" t="s">
        <v>673</v>
      </c>
      <c r="AE480" t="s">
        <v>673</v>
      </c>
      <c r="AF480" t="s">
        <v>673</v>
      </c>
      <c r="AG480" t="s">
        <v>673</v>
      </c>
      <c r="AH480" t="s">
        <v>673</v>
      </c>
      <c r="AI480" t="s">
        <v>673</v>
      </c>
      <c r="AJ480" t="s">
        <v>673</v>
      </c>
      <c r="AK480" t="s">
        <v>673</v>
      </c>
      <c r="AL480" t="s">
        <v>673</v>
      </c>
      <c r="AM480" t="s">
        <v>673</v>
      </c>
      <c r="AN480" t="s">
        <v>673</v>
      </c>
      <c r="AO480" t="s">
        <v>673</v>
      </c>
      <c r="AP480" t="s">
        <v>673</v>
      </c>
      <c r="AQ480" t="s">
        <v>673</v>
      </c>
      <c r="AR480" t="s">
        <v>673</v>
      </c>
      <c r="AS480" t="s">
        <v>673</v>
      </c>
      <c r="AT480" t="s">
        <v>673</v>
      </c>
      <c r="AU480" t="s">
        <v>673</v>
      </c>
      <c r="AV480" t="s">
        <v>673</v>
      </c>
    </row>
    <row r="481" spans="1:48" x14ac:dyDescent="0.25">
      <c r="A481" t="s">
        <v>567</v>
      </c>
      <c r="B481" t="s">
        <v>2</v>
      </c>
      <c r="C481" t="s">
        <v>567</v>
      </c>
      <c r="D481">
        <v>43300</v>
      </c>
      <c r="E481" t="s">
        <v>672</v>
      </c>
      <c r="F481" t="s">
        <v>117</v>
      </c>
      <c r="G481" t="s">
        <v>670</v>
      </c>
      <c r="H481" t="s">
        <v>670</v>
      </c>
      <c r="I481">
        <v>0.18310000000000001</v>
      </c>
      <c r="J481">
        <v>9.7199999999999995E-2</v>
      </c>
      <c r="K481">
        <v>1.4E-2</v>
      </c>
      <c r="L481">
        <v>9.7999999999999997E-3</v>
      </c>
      <c r="M481">
        <v>8.9999999999999993E-3</v>
      </c>
      <c r="N481">
        <v>2.63E-2</v>
      </c>
      <c r="O481">
        <v>6.0699999999999997E-2</v>
      </c>
      <c r="P481">
        <v>6.9599999999999995E-2</v>
      </c>
      <c r="Q481">
        <v>4.3200000000000002E-2</v>
      </c>
      <c r="R481">
        <v>4.5400000000000003E-2</v>
      </c>
      <c r="S481">
        <v>4.8800000000000003E-2</v>
      </c>
      <c r="T481">
        <v>7.5200000000000003E-2</v>
      </c>
      <c r="U481">
        <v>8.4900000000000003E-2</v>
      </c>
      <c r="V481">
        <v>6.9199999999999998E-2</v>
      </c>
      <c r="W481">
        <v>6.4600000000000005E-2</v>
      </c>
      <c r="X481">
        <v>6.0600000000000001E-2</v>
      </c>
      <c r="Y481">
        <v>5.9400000000000001E-2</v>
      </c>
      <c r="Z481">
        <v>6.3E-2</v>
      </c>
      <c r="AA481">
        <v>4.8399999999999999E-2</v>
      </c>
      <c r="AB481">
        <v>4.1000000000000002E-2</v>
      </c>
      <c r="AC481">
        <v>4.1099999999999998E-2</v>
      </c>
      <c r="AD481">
        <v>5.1400000000000001E-2</v>
      </c>
      <c r="AE481">
        <v>8.5900000000000004E-2</v>
      </c>
      <c r="AF481">
        <v>8.0100000000000005E-2</v>
      </c>
      <c r="AG481">
        <v>0.11940000000000001</v>
      </c>
      <c r="AH481">
        <v>0.14760000000000001</v>
      </c>
      <c r="AI481">
        <v>0.15939999999999999</v>
      </c>
      <c r="AJ481">
        <v>0.17599999999999999</v>
      </c>
      <c r="AK481">
        <v>0.106</v>
      </c>
      <c r="AL481">
        <v>7.7499999999999999E-2</v>
      </c>
      <c r="AM481">
        <v>5.5E-2</v>
      </c>
      <c r="AN481">
        <v>2.53E-2</v>
      </c>
      <c r="AO481">
        <v>3.2300000000000002E-2</v>
      </c>
      <c r="AP481">
        <v>3.2199999999999999E-2</v>
      </c>
      <c r="AQ481">
        <v>-2.7300000000000001E-2</v>
      </c>
      <c r="AR481">
        <v>-2.6499999999999999E-2</v>
      </c>
      <c r="AS481">
        <v>-3.1800000000000002E-2</v>
      </c>
      <c r="AT481">
        <v>-7.6499999999999999E-2</v>
      </c>
      <c r="AU481">
        <v>-4.4699999999999997E-2</v>
      </c>
      <c r="AV481">
        <v>-7.1599999999999997E-2</v>
      </c>
    </row>
    <row r="482" spans="1:48" x14ac:dyDescent="0.25">
      <c r="A482" t="s">
        <v>568</v>
      </c>
      <c r="B482" t="s">
        <v>2</v>
      </c>
      <c r="C482" t="s">
        <v>568</v>
      </c>
      <c r="D482">
        <v>243340</v>
      </c>
      <c r="E482" t="s">
        <v>672</v>
      </c>
      <c r="F482" t="s">
        <v>117</v>
      </c>
      <c r="G482" t="s">
        <v>670</v>
      </c>
      <c r="H482" t="s">
        <v>670</v>
      </c>
      <c r="I482">
        <v>2.3999999999999998E-3</v>
      </c>
      <c r="J482">
        <v>4.1000000000000003E-3</v>
      </c>
      <c r="K482">
        <v>7.9000000000000008E-3</v>
      </c>
      <c r="L482">
        <v>1.44E-2</v>
      </c>
      <c r="M482">
        <v>3.2599999999999997E-2</v>
      </c>
      <c r="N482">
        <v>4.0399999999999998E-2</v>
      </c>
      <c r="O482">
        <v>3.3799999999999997E-2</v>
      </c>
      <c r="P482">
        <v>4.0500000000000001E-2</v>
      </c>
      <c r="Q482">
        <v>8.8000000000000005E-3</v>
      </c>
      <c r="R482">
        <v>-6.3E-3</v>
      </c>
      <c r="S482">
        <v>1.2500000000000001E-2</v>
      </c>
      <c r="T482">
        <v>1.7299999999999999E-2</v>
      </c>
      <c r="U482">
        <v>4.24E-2</v>
      </c>
      <c r="V482">
        <v>4.6800000000000001E-2</v>
      </c>
      <c r="W482">
        <v>2.92E-2</v>
      </c>
      <c r="X482">
        <v>-1.2999999999999999E-3</v>
      </c>
      <c r="Y482">
        <v>2.0999999999999999E-3</v>
      </c>
      <c r="Z482">
        <v>8.0000000000000004E-4</v>
      </c>
      <c r="AA482">
        <v>2.2800000000000001E-2</v>
      </c>
      <c r="AB482">
        <v>5.8599999999999999E-2</v>
      </c>
      <c r="AC482">
        <v>4.9200000000000001E-2</v>
      </c>
      <c r="AD482">
        <v>8.1900000000000001E-2</v>
      </c>
      <c r="AE482">
        <v>0.1236</v>
      </c>
      <c r="AF482">
        <v>0.12470000000000001</v>
      </c>
      <c r="AG482">
        <v>0.1048</v>
      </c>
      <c r="AH482">
        <v>8.9300000000000004E-2</v>
      </c>
      <c r="AI482">
        <v>4.9500000000000002E-2</v>
      </c>
      <c r="AJ482">
        <v>2.81E-2</v>
      </c>
      <c r="AK482">
        <v>6.2399999999999997E-2</v>
      </c>
      <c r="AL482">
        <v>5.74E-2</v>
      </c>
      <c r="AM482">
        <v>3.5999999999999997E-2</v>
      </c>
      <c r="AN482">
        <v>2.46E-2</v>
      </c>
      <c r="AO482">
        <v>7.0000000000000001E-3</v>
      </c>
      <c r="AP482">
        <v>-7.7999999999999996E-3</v>
      </c>
      <c r="AQ482">
        <v>1.9E-2</v>
      </c>
      <c r="AR482">
        <v>3.7600000000000001E-2</v>
      </c>
      <c r="AS482">
        <v>3.7699999999999997E-2</v>
      </c>
      <c r="AT482">
        <v>6.4899999999999999E-2</v>
      </c>
      <c r="AU482">
        <v>5.0999999999999997E-2</v>
      </c>
      <c r="AV482">
        <v>4.4699999999999997E-2</v>
      </c>
    </row>
    <row r="483" spans="1:48" x14ac:dyDescent="0.25">
      <c r="A483" t="s">
        <v>569</v>
      </c>
      <c r="B483" t="s">
        <v>2</v>
      </c>
      <c r="C483" t="s">
        <v>569</v>
      </c>
      <c r="D483">
        <v>43420</v>
      </c>
      <c r="E483" t="s">
        <v>672</v>
      </c>
      <c r="F483" t="s">
        <v>117</v>
      </c>
      <c r="G483" t="s">
        <v>670</v>
      </c>
      <c r="H483" t="s">
        <v>670</v>
      </c>
      <c r="I483">
        <v>-4.87E-2</v>
      </c>
      <c r="J483">
        <v>3.15E-2</v>
      </c>
      <c r="K483">
        <v>-3.04E-2</v>
      </c>
      <c r="L483">
        <v>2.5899999999999999E-2</v>
      </c>
      <c r="M483">
        <v>5.28E-2</v>
      </c>
      <c r="N483">
        <v>-3.0999999999999999E-3</v>
      </c>
      <c r="O483">
        <v>1.2999999999999999E-2</v>
      </c>
      <c r="P483">
        <v>3.5000000000000003E-2</v>
      </c>
      <c r="Q483">
        <v>0.1875</v>
      </c>
      <c r="R483">
        <v>0.153</v>
      </c>
      <c r="S483">
        <v>0.1464</v>
      </c>
      <c r="T483">
        <v>0.16270000000000001</v>
      </c>
      <c r="U483">
        <v>6.9699999999999998E-2</v>
      </c>
      <c r="V483">
        <v>0.1409</v>
      </c>
      <c r="W483">
        <v>0.1658</v>
      </c>
      <c r="X483">
        <v>0.1535</v>
      </c>
      <c r="Y483">
        <v>0.11269999999999999</v>
      </c>
      <c r="Z483">
        <v>6.9599999999999995E-2</v>
      </c>
      <c r="AA483">
        <v>4.5100000000000001E-2</v>
      </c>
      <c r="AB483">
        <v>3.6799999999999999E-2</v>
      </c>
      <c r="AC483">
        <v>2.9899999999999999E-2</v>
      </c>
      <c r="AD483">
        <v>5.2699999999999997E-2</v>
      </c>
      <c r="AE483">
        <v>8.1600000000000006E-2</v>
      </c>
      <c r="AF483">
        <v>9.4399999999999998E-2</v>
      </c>
      <c r="AG483">
        <v>0.1358</v>
      </c>
      <c r="AH483">
        <v>0.13139999999999999</v>
      </c>
      <c r="AI483">
        <v>0.14510000000000001</v>
      </c>
      <c r="AJ483">
        <v>0.10979999999999999</v>
      </c>
      <c r="AK483">
        <v>7.8799999999999995E-2</v>
      </c>
      <c r="AL483">
        <v>5.9700000000000003E-2</v>
      </c>
      <c r="AM483">
        <v>-7.7000000000000002E-3</v>
      </c>
      <c r="AN483">
        <v>3.5799999999999998E-2</v>
      </c>
      <c r="AO483">
        <v>3.49E-2</v>
      </c>
      <c r="AP483">
        <v>6.8699999999999997E-2</v>
      </c>
      <c r="AQ483">
        <v>3.4099999999999998E-2</v>
      </c>
      <c r="AR483">
        <v>2.7300000000000001E-2</v>
      </c>
      <c r="AS483">
        <v>2.9399999999999999E-2</v>
      </c>
      <c r="AT483">
        <v>1.95E-2</v>
      </c>
      <c r="AU483">
        <v>-2.6100000000000002E-2</v>
      </c>
      <c r="AV483">
        <v>-5.7299999999999997E-2</v>
      </c>
    </row>
    <row r="484" spans="1:48" x14ac:dyDescent="0.25">
      <c r="A484" t="s">
        <v>570</v>
      </c>
      <c r="B484" t="s">
        <v>2</v>
      </c>
      <c r="C484" t="s">
        <v>570</v>
      </c>
      <c r="D484">
        <v>243580</v>
      </c>
      <c r="E484" t="s">
        <v>672</v>
      </c>
      <c r="F484" t="s">
        <v>117</v>
      </c>
      <c r="G484" t="s">
        <v>670</v>
      </c>
      <c r="H484" t="s">
        <v>670</v>
      </c>
      <c r="I484" t="s">
        <v>673</v>
      </c>
      <c r="J484" t="s">
        <v>673</v>
      </c>
      <c r="K484" t="s">
        <v>673</v>
      </c>
      <c r="L484" t="s">
        <v>673</v>
      </c>
      <c r="M484">
        <v>-0.22489999999999999</v>
      </c>
      <c r="N484">
        <v>-0.2273</v>
      </c>
      <c r="O484">
        <v>-0.1431</v>
      </c>
      <c r="P484">
        <v>3.8100000000000002E-2</v>
      </c>
      <c r="Q484">
        <v>0.1226</v>
      </c>
      <c r="R484">
        <v>0.1142</v>
      </c>
      <c r="S484">
        <v>0.1168</v>
      </c>
      <c r="T484">
        <v>7.6399999999999996E-2</v>
      </c>
      <c r="U484">
        <v>4.2200000000000001E-2</v>
      </c>
      <c r="V484">
        <v>3.15E-2</v>
      </c>
      <c r="W484">
        <v>-0.01</v>
      </c>
      <c r="X484">
        <v>5.1000000000000004E-3</v>
      </c>
      <c r="Y484">
        <v>-6.3E-3</v>
      </c>
      <c r="Z484">
        <v>-1.9E-2</v>
      </c>
      <c r="AA484">
        <v>5.3E-3</v>
      </c>
      <c r="AB484">
        <v>-4.0000000000000001E-3</v>
      </c>
      <c r="AC484">
        <v>-4.4000000000000003E-3</v>
      </c>
      <c r="AD484">
        <v>4.3299999999999998E-2</v>
      </c>
      <c r="AE484">
        <v>4.2299999999999997E-2</v>
      </c>
      <c r="AF484">
        <v>7.6999999999999999E-2</v>
      </c>
      <c r="AG484">
        <v>0.1211</v>
      </c>
      <c r="AH484">
        <v>9.9299999999999999E-2</v>
      </c>
      <c r="AI484">
        <v>0.1174</v>
      </c>
      <c r="AJ484">
        <v>9.7600000000000006E-2</v>
      </c>
      <c r="AK484">
        <v>5.8400000000000001E-2</v>
      </c>
      <c r="AL484">
        <v>2.76E-2</v>
      </c>
      <c r="AM484">
        <v>1.38E-2</v>
      </c>
      <c r="AN484">
        <v>-4.7000000000000002E-3</v>
      </c>
      <c r="AO484">
        <v>6.8999999999999999E-3</v>
      </c>
      <c r="AP484">
        <v>2.3E-2</v>
      </c>
      <c r="AQ484">
        <v>2.3800000000000002E-2</v>
      </c>
      <c r="AR484">
        <v>5.0099999999999999E-2</v>
      </c>
      <c r="AS484">
        <v>5.9799999999999999E-2</v>
      </c>
      <c r="AT484">
        <v>6.4600000000000005E-2</v>
      </c>
      <c r="AU484">
        <v>5.6599999999999998E-2</v>
      </c>
      <c r="AV484">
        <v>3.8199999999999998E-2</v>
      </c>
    </row>
    <row r="485" spans="1:48" x14ac:dyDescent="0.25">
      <c r="A485" t="s">
        <v>571</v>
      </c>
      <c r="B485" t="s">
        <v>2</v>
      </c>
      <c r="C485" t="s">
        <v>571</v>
      </c>
      <c r="D485">
        <v>43620</v>
      </c>
      <c r="E485" t="s">
        <v>672</v>
      </c>
      <c r="F485" t="s">
        <v>117</v>
      </c>
      <c r="G485" t="s">
        <v>670</v>
      </c>
      <c r="H485" t="s">
        <v>670</v>
      </c>
      <c r="I485">
        <v>-8.3000000000000001E-3</v>
      </c>
      <c r="J485">
        <v>4.5999999999999999E-2</v>
      </c>
      <c r="K485">
        <v>7.2599999999999998E-2</v>
      </c>
      <c r="L485">
        <v>5.3100000000000001E-2</v>
      </c>
      <c r="M485">
        <v>3.9199999999999999E-2</v>
      </c>
      <c r="N485">
        <v>4.3299999999999998E-2</v>
      </c>
      <c r="O485">
        <v>5.2600000000000001E-2</v>
      </c>
      <c r="P485">
        <v>3.0499999999999999E-2</v>
      </c>
      <c r="Q485">
        <v>1.12E-2</v>
      </c>
      <c r="R485">
        <v>5.5999999999999999E-3</v>
      </c>
      <c r="S485">
        <v>-3.85E-2</v>
      </c>
      <c r="T485">
        <v>3.1899999999999998E-2</v>
      </c>
      <c r="U485">
        <v>4.2000000000000003E-2</v>
      </c>
      <c r="V485">
        <v>5.1700000000000003E-2</v>
      </c>
      <c r="W485">
        <v>7.3499999999999996E-2</v>
      </c>
      <c r="X485">
        <v>1.7600000000000001E-2</v>
      </c>
      <c r="Y485">
        <v>-1.8200000000000001E-2</v>
      </c>
      <c r="Z485">
        <v>-2.98E-2</v>
      </c>
      <c r="AA485">
        <v>-2.3099999999999999E-2</v>
      </c>
      <c r="AB485">
        <v>2.5999999999999999E-3</v>
      </c>
      <c r="AC485">
        <v>5.8099999999999999E-2</v>
      </c>
      <c r="AD485">
        <v>0.1022</v>
      </c>
      <c r="AE485">
        <v>0.10979999999999999</v>
      </c>
      <c r="AF485">
        <v>9.6699999999999994E-2</v>
      </c>
      <c r="AG485">
        <v>0.1055</v>
      </c>
      <c r="AH485">
        <v>7.7499999999999999E-2</v>
      </c>
      <c r="AI485">
        <v>6.2399999999999997E-2</v>
      </c>
      <c r="AJ485">
        <v>7.9299999999999995E-2</v>
      </c>
      <c r="AK485">
        <v>7.4899999999999994E-2</v>
      </c>
      <c r="AL485">
        <v>7.3599999999999999E-2</v>
      </c>
      <c r="AM485">
        <v>4.7500000000000001E-2</v>
      </c>
      <c r="AN485">
        <v>2.0899999999999998E-2</v>
      </c>
      <c r="AO485">
        <v>1.26E-2</v>
      </c>
      <c r="AP485">
        <v>-3.7000000000000002E-3</v>
      </c>
      <c r="AQ485">
        <v>1.03E-2</v>
      </c>
      <c r="AR485">
        <v>1.3100000000000001E-2</v>
      </c>
      <c r="AS485">
        <v>1.24E-2</v>
      </c>
      <c r="AT485">
        <v>1.6400000000000001E-2</v>
      </c>
      <c r="AU485">
        <v>3.6400000000000002E-2</v>
      </c>
      <c r="AV485">
        <v>2.5399999999999999E-2</v>
      </c>
    </row>
    <row r="486" spans="1:48" x14ac:dyDescent="0.25">
      <c r="A486" t="s">
        <v>572</v>
      </c>
      <c r="B486" t="s">
        <v>2</v>
      </c>
      <c r="C486" t="s">
        <v>572</v>
      </c>
      <c r="D486">
        <v>43780</v>
      </c>
      <c r="E486" t="s">
        <v>672</v>
      </c>
      <c r="F486" t="s">
        <v>117</v>
      </c>
      <c r="G486" t="s">
        <v>670</v>
      </c>
      <c r="H486" t="s">
        <v>670</v>
      </c>
      <c r="I486">
        <v>7.7499999999999999E-2</v>
      </c>
      <c r="J486">
        <v>8.2699999999999996E-2</v>
      </c>
      <c r="K486">
        <v>4.36E-2</v>
      </c>
      <c r="L486">
        <v>2.24E-2</v>
      </c>
      <c r="M486">
        <v>9.4000000000000004E-3</v>
      </c>
      <c r="N486">
        <v>1.2800000000000001E-2</v>
      </c>
      <c r="O486">
        <v>1.9300000000000001E-2</v>
      </c>
      <c r="P486">
        <v>5.0599999999999999E-2</v>
      </c>
      <c r="Q486">
        <v>7.6100000000000001E-2</v>
      </c>
      <c r="R486">
        <v>6.8199999999999997E-2</v>
      </c>
      <c r="S486">
        <v>6.7599999999999993E-2</v>
      </c>
      <c r="T486">
        <v>1.2800000000000001E-2</v>
      </c>
      <c r="U486">
        <v>-4.0000000000000001E-3</v>
      </c>
      <c r="V486">
        <v>5.7000000000000002E-3</v>
      </c>
      <c r="W486">
        <v>1.11E-2</v>
      </c>
      <c r="X486">
        <v>3.1699999999999999E-2</v>
      </c>
      <c r="Y486">
        <v>7.1999999999999998E-3</v>
      </c>
      <c r="Z486">
        <v>9.1999999999999998E-3</v>
      </c>
      <c r="AA486">
        <v>5.0299999999999997E-2</v>
      </c>
      <c r="AB486">
        <v>0.1089</v>
      </c>
      <c r="AC486">
        <v>0.1328</v>
      </c>
      <c r="AD486">
        <v>0.15609999999999999</v>
      </c>
      <c r="AE486">
        <v>0.1623</v>
      </c>
      <c r="AF486">
        <v>0.14399999999999999</v>
      </c>
      <c r="AG486">
        <v>0.16769999999999999</v>
      </c>
      <c r="AH486">
        <v>0.15260000000000001</v>
      </c>
      <c r="AI486">
        <v>0.13200000000000001</v>
      </c>
      <c r="AJ486">
        <v>0.1042</v>
      </c>
      <c r="AK486">
        <v>1.46E-2</v>
      </c>
      <c r="AL486">
        <v>-2E-3</v>
      </c>
      <c r="AM486">
        <v>-1.6E-2</v>
      </c>
      <c r="AN486">
        <v>-2.0299999999999999E-2</v>
      </c>
      <c r="AO486">
        <v>3.6299999999999999E-2</v>
      </c>
      <c r="AP486">
        <v>5.11E-2</v>
      </c>
      <c r="AQ486">
        <v>6.3500000000000001E-2</v>
      </c>
      <c r="AR486">
        <v>9.9099999999999994E-2</v>
      </c>
      <c r="AS486">
        <v>0.1167</v>
      </c>
      <c r="AT486">
        <v>9.4E-2</v>
      </c>
      <c r="AU486">
        <v>8.1799999999999998E-2</v>
      </c>
      <c r="AV486">
        <v>4.8599999999999997E-2</v>
      </c>
    </row>
    <row r="487" spans="1:48" x14ac:dyDescent="0.25">
      <c r="A487" t="s">
        <v>573</v>
      </c>
      <c r="B487" t="s">
        <v>2</v>
      </c>
      <c r="C487" t="s">
        <v>573</v>
      </c>
      <c r="D487">
        <v>43980</v>
      </c>
      <c r="E487" t="s">
        <v>672</v>
      </c>
      <c r="F487" t="s">
        <v>117</v>
      </c>
      <c r="G487" t="s">
        <v>670</v>
      </c>
      <c r="H487" t="s">
        <v>670</v>
      </c>
      <c r="I487" t="s">
        <v>673</v>
      </c>
      <c r="J487" t="s">
        <v>673</v>
      </c>
      <c r="K487" t="s">
        <v>673</v>
      </c>
      <c r="L487" t="s">
        <v>673</v>
      </c>
      <c r="M487" t="s">
        <v>673</v>
      </c>
      <c r="N487" t="s">
        <v>673</v>
      </c>
      <c r="O487" t="s">
        <v>673</v>
      </c>
      <c r="P487" t="s">
        <v>673</v>
      </c>
      <c r="Q487" t="s">
        <v>673</v>
      </c>
      <c r="R487" t="s">
        <v>673</v>
      </c>
      <c r="S487" t="s">
        <v>673</v>
      </c>
      <c r="T487" t="s">
        <v>673</v>
      </c>
      <c r="U487" t="s">
        <v>673</v>
      </c>
      <c r="V487" t="s">
        <v>673</v>
      </c>
      <c r="W487" t="s">
        <v>673</v>
      </c>
      <c r="X487" t="s">
        <v>673</v>
      </c>
      <c r="Y487" t="s">
        <v>673</v>
      </c>
      <c r="Z487" t="s">
        <v>673</v>
      </c>
      <c r="AA487" t="s">
        <v>673</v>
      </c>
      <c r="AB487" t="s">
        <v>673</v>
      </c>
      <c r="AC487" t="s">
        <v>673</v>
      </c>
      <c r="AD487" t="s">
        <v>673</v>
      </c>
      <c r="AE487" t="s">
        <v>673</v>
      </c>
      <c r="AF487" t="s">
        <v>673</v>
      </c>
      <c r="AG487" t="s">
        <v>673</v>
      </c>
      <c r="AH487" t="s">
        <v>673</v>
      </c>
      <c r="AI487" t="s">
        <v>673</v>
      </c>
      <c r="AJ487" t="s">
        <v>673</v>
      </c>
      <c r="AK487" t="s">
        <v>673</v>
      </c>
      <c r="AL487" t="s">
        <v>673</v>
      </c>
      <c r="AM487" t="s">
        <v>673</v>
      </c>
      <c r="AN487" t="s">
        <v>673</v>
      </c>
      <c r="AO487" t="s">
        <v>673</v>
      </c>
      <c r="AP487" t="s">
        <v>673</v>
      </c>
      <c r="AQ487" t="s">
        <v>673</v>
      </c>
      <c r="AR487" t="s">
        <v>673</v>
      </c>
      <c r="AS487" t="s">
        <v>673</v>
      </c>
      <c r="AT487" t="s">
        <v>673</v>
      </c>
      <c r="AU487" t="s">
        <v>673</v>
      </c>
      <c r="AV487" t="s">
        <v>673</v>
      </c>
    </row>
    <row r="488" spans="1:48" x14ac:dyDescent="0.25">
      <c r="A488" t="s">
        <v>574</v>
      </c>
      <c r="B488" t="s">
        <v>2</v>
      </c>
      <c r="C488" t="s">
        <v>574</v>
      </c>
      <c r="D488">
        <v>44060</v>
      </c>
      <c r="E488" t="s">
        <v>672</v>
      </c>
      <c r="F488" t="s">
        <v>117</v>
      </c>
      <c r="G488" t="s">
        <v>670</v>
      </c>
      <c r="H488" t="s">
        <v>670</v>
      </c>
      <c r="I488">
        <v>5.57E-2</v>
      </c>
      <c r="J488">
        <v>5.9799999999999999E-2</v>
      </c>
      <c r="K488">
        <v>6.4500000000000002E-2</v>
      </c>
      <c r="L488">
        <v>6.54E-2</v>
      </c>
      <c r="M488">
        <v>7.4899999999999994E-2</v>
      </c>
      <c r="N488">
        <v>8.0600000000000005E-2</v>
      </c>
      <c r="O488">
        <v>7.17E-2</v>
      </c>
      <c r="P488">
        <v>7.9600000000000004E-2</v>
      </c>
      <c r="Q488">
        <v>3.7699999999999997E-2</v>
      </c>
      <c r="R488">
        <v>2.3400000000000001E-2</v>
      </c>
      <c r="S488">
        <v>5.4600000000000003E-2</v>
      </c>
      <c r="T488">
        <v>4.3999999999999997E-2</v>
      </c>
      <c r="U488">
        <v>6.8599999999999994E-2</v>
      </c>
      <c r="V488">
        <v>7.3300000000000004E-2</v>
      </c>
      <c r="W488">
        <v>5.6899999999999999E-2</v>
      </c>
      <c r="X488">
        <v>4.8500000000000001E-2</v>
      </c>
      <c r="Y488">
        <v>4.7100000000000003E-2</v>
      </c>
      <c r="Z488">
        <v>4.0800000000000003E-2</v>
      </c>
      <c r="AA488">
        <v>4.2299999999999997E-2</v>
      </c>
      <c r="AB488">
        <v>0.06</v>
      </c>
      <c r="AC488">
        <v>7.6100000000000001E-2</v>
      </c>
      <c r="AD488">
        <v>0.1404</v>
      </c>
      <c r="AE488">
        <v>0.20780000000000001</v>
      </c>
      <c r="AF488">
        <v>0.21210000000000001</v>
      </c>
      <c r="AG488">
        <v>0.19869999999999999</v>
      </c>
      <c r="AH488">
        <v>0.17430000000000001</v>
      </c>
      <c r="AI488">
        <v>0.1201</v>
      </c>
      <c r="AJ488">
        <v>0.1009</v>
      </c>
      <c r="AK488">
        <v>7.5200000000000003E-2</v>
      </c>
      <c r="AL488">
        <v>3.3000000000000002E-2</v>
      </c>
      <c r="AM488">
        <v>1.0999999999999999E-2</v>
      </c>
      <c r="AN488">
        <v>-7.3000000000000001E-3</v>
      </c>
      <c r="AO488">
        <v>1.47E-2</v>
      </c>
      <c r="AP488">
        <v>1.14E-2</v>
      </c>
      <c r="AQ488">
        <v>6.1999999999999998E-3</v>
      </c>
      <c r="AR488">
        <v>-2.8999999999999998E-3</v>
      </c>
      <c r="AS488">
        <v>-6.6E-3</v>
      </c>
      <c r="AT488">
        <v>7.1999999999999998E-3</v>
      </c>
      <c r="AU488">
        <v>4.0000000000000002E-4</v>
      </c>
      <c r="AV488">
        <v>1.54E-2</v>
      </c>
    </row>
    <row r="489" spans="1:48" x14ac:dyDescent="0.25">
      <c r="A489" t="s">
        <v>575</v>
      </c>
      <c r="B489" t="s">
        <v>2</v>
      </c>
      <c r="C489" t="s">
        <v>575</v>
      </c>
      <c r="D489">
        <v>344140</v>
      </c>
      <c r="E489" t="s">
        <v>672</v>
      </c>
      <c r="F489" t="s">
        <v>117</v>
      </c>
      <c r="G489" t="s">
        <v>670</v>
      </c>
      <c r="H489" t="s">
        <v>670</v>
      </c>
      <c r="I489">
        <v>2.7099999999999999E-2</v>
      </c>
      <c r="J489">
        <v>0.1003</v>
      </c>
      <c r="K489">
        <v>9.1399999999999995E-2</v>
      </c>
      <c r="L489">
        <v>6.0100000000000001E-2</v>
      </c>
      <c r="M489">
        <v>6.9000000000000006E-2</v>
      </c>
      <c r="N489">
        <v>1.03E-2</v>
      </c>
      <c r="O489">
        <v>9.2999999999999992E-3</v>
      </c>
      <c r="P489">
        <v>2.7300000000000001E-2</v>
      </c>
      <c r="Q489">
        <v>8.3999999999999995E-3</v>
      </c>
      <c r="R489">
        <v>9.9000000000000008E-3</v>
      </c>
      <c r="S489">
        <v>3.0099999999999998E-2</v>
      </c>
      <c r="T489">
        <v>4.5199999999999997E-2</v>
      </c>
      <c r="U489">
        <v>5.6500000000000002E-2</v>
      </c>
      <c r="V489">
        <v>6.1100000000000002E-2</v>
      </c>
      <c r="W489">
        <v>5.33E-2</v>
      </c>
      <c r="X489">
        <v>4.9200000000000001E-2</v>
      </c>
      <c r="Y489">
        <v>5.3800000000000001E-2</v>
      </c>
      <c r="Z489">
        <v>4.5600000000000002E-2</v>
      </c>
      <c r="AA489">
        <v>3.4500000000000003E-2</v>
      </c>
      <c r="AB489">
        <v>3.6799999999999999E-2</v>
      </c>
      <c r="AC489">
        <v>6.0400000000000002E-2</v>
      </c>
      <c r="AD489">
        <v>0.11210000000000001</v>
      </c>
      <c r="AE489">
        <v>0.1363</v>
      </c>
      <c r="AF489">
        <v>0.14779999999999999</v>
      </c>
      <c r="AG489">
        <v>0.14460000000000001</v>
      </c>
      <c r="AH489">
        <v>0.1091</v>
      </c>
      <c r="AI489">
        <v>9.5799999999999996E-2</v>
      </c>
      <c r="AJ489">
        <v>9.2999999999999999E-2</v>
      </c>
      <c r="AK489">
        <v>7.9399999999999998E-2</v>
      </c>
      <c r="AL489">
        <v>8.7800000000000003E-2</v>
      </c>
      <c r="AM489">
        <v>7.6399999999999996E-2</v>
      </c>
      <c r="AN489">
        <v>4.7399999999999998E-2</v>
      </c>
      <c r="AO489">
        <v>4.0099999999999997E-2</v>
      </c>
      <c r="AP489">
        <v>1.8100000000000002E-2</v>
      </c>
      <c r="AQ489">
        <v>2.06E-2</v>
      </c>
      <c r="AR489">
        <v>3.32E-2</v>
      </c>
      <c r="AS489">
        <v>2.6100000000000002E-2</v>
      </c>
      <c r="AT489">
        <v>4.7E-2</v>
      </c>
      <c r="AU489">
        <v>4.4900000000000002E-2</v>
      </c>
      <c r="AV489">
        <v>4.53E-2</v>
      </c>
    </row>
    <row r="490" spans="1:48" x14ac:dyDescent="0.25">
      <c r="A490" t="s">
        <v>576</v>
      </c>
      <c r="B490" t="s">
        <v>2</v>
      </c>
      <c r="C490" t="s">
        <v>576</v>
      </c>
      <c r="D490">
        <v>44100</v>
      </c>
      <c r="E490" t="s">
        <v>672</v>
      </c>
      <c r="F490" t="s">
        <v>117</v>
      </c>
      <c r="G490" t="s">
        <v>670</v>
      </c>
      <c r="H490" t="s">
        <v>670</v>
      </c>
      <c r="I490">
        <v>2.4400000000000002E-2</v>
      </c>
      <c r="J490">
        <v>8.2000000000000007E-3</v>
      </c>
      <c r="K490">
        <v>2.52E-2</v>
      </c>
      <c r="L490">
        <v>-3.2800000000000003E-2</v>
      </c>
      <c r="M490">
        <v>-2.41E-2</v>
      </c>
      <c r="N490">
        <v>-2.3199999999999998E-2</v>
      </c>
      <c r="O490">
        <v>-3.3399999999999999E-2</v>
      </c>
      <c r="P490">
        <v>4.3200000000000002E-2</v>
      </c>
      <c r="Q490">
        <v>4.1099999999999998E-2</v>
      </c>
      <c r="R490">
        <v>3.1899999999999998E-2</v>
      </c>
      <c r="S490">
        <v>2.53E-2</v>
      </c>
      <c r="T490">
        <v>-7.1000000000000004E-3</v>
      </c>
      <c r="U490">
        <v>-7.1999999999999998E-3</v>
      </c>
      <c r="V490">
        <v>2.5000000000000001E-3</v>
      </c>
      <c r="W490">
        <v>-1.24E-2</v>
      </c>
      <c r="X490">
        <v>1.4800000000000001E-2</v>
      </c>
      <c r="Y490">
        <v>1.12E-2</v>
      </c>
      <c r="Z490">
        <v>1.8599999999999998E-2</v>
      </c>
      <c r="AA490">
        <v>3.9899999999999998E-2</v>
      </c>
      <c r="AB490">
        <v>3.6900000000000002E-2</v>
      </c>
      <c r="AC490">
        <v>6.3100000000000003E-2</v>
      </c>
      <c r="AD490">
        <v>4.3299999999999998E-2</v>
      </c>
      <c r="AE490">
        <v>5.6399999999999999E-2</v>
      </c>
      <c r="AF490">
        <v>0.109</v>
      </c>
      <c r="AG490">
        <v>8.9700000000000002E-2</v>
      </c>
      <c r="AH490">
        <v>0.13850000000000001</v>
      </c>
      <c r="AI490">
        <v>0.15890000000000001</v>
      </c>
      <c r="AJ490">
        <v>0.1066</v>
      </c>
      <c r="AK490">
        <v>0.1091</v>
      </c>
      <c r="AL490">
        <v>8.1199999999999994E-2</v>
      </c>
      <c r="AM490">
        <v>2.6800000000000001E-2</v>
      </c>
      <c r="AN490">
        <v>4.6600000000000003E-2</v>
      </c>
      <c r="AO490">
        <v>4.4699999999999997E-2</v>
      </c>
      <c r="AP490">
        <v>5.5100000000000003E-2</v>
      </c>
      <c r="AQ490">
        <v>0.1051</v>
      </c>
      <c r="AR490">
        <v>6.6900000000000001E-2</v>
      </c>
      <c r="AS490">
        <v>3.9899999999999998E-2</v>
      </c>
      <c r="AT490">
        <v>3.5200000000000002E-2</v>
      </c>
      <c r="AU490">
        <v>2.8899999999999999E-2</v>
      </c>
      <c r="AV490">
        <v>2.23E-2</v>
      </c>
    </row>
    <row r="491" spans="1:48" x14ac:dyDescent="0.25">
      <c r="A491" t="s">
        <v>577</v>
      </c>
      <c r="B491" t="s">
        <v>2</v>
      </c>
      <c r="C491" t="s">
        <v>577</v>
      </c>
      <c r="D491">
        <v>44180</v>
      </c>
      <c r="E491" t="s">
        <v>672</v>
      </c>
      <c r="F491" t="s">
        <v>117</v>
      </c>
      <c r="G491" t="s">
        <v>670</v>
      </c>
      <c r="H491" t="s">
        <v>670</v>
      </c>
      <c r="I491">
        <v>6.7699999999999996E-2</v>
      </c>
      <c r="J491">
        <v>2.3099999999999999E-2</v>
      </c>
      <c r="K491">
        <v>1.41E-2</v>
      </c>
      <c r="L491">
        <v>2.4400000000000002E-2</v>
      </c>
      <c r="M491">
        <v>3.8100000000000002E-2</v>
      </c>
      <c r="N491">
        <v>3.5499999999999997E-2</v>
      </c>
      <c r="O491">
        <v>6.3299999999999995E-2</v>
      </c>
      <c r="P491">
        <v>3.6499999999999998E-2</v>
      </c>
      <c r="Q491">
        <v>7.9000000000000008E-3</v>
      </c>
      <c r="R491">
        <v>-1E-3</v>
      </c>
      <c r="S491">
        <v>6.7000000000000002E-3</v>
      </c>
      <c r="T491">
        <v>2.5700000000000001E-2</v>
      </c>
      <c r="U491">
        <v>3.7199999999999997E-2</v>
      </c>
      <c r="V491">
        <v>5.7000000000000002E-2</v>
      </c>
      <c r="W491">
        <v>4.4299999999999999E-2</v>
      </c>
      <c r="X491">
        <v>4.9500000000000002E-2</v>
      </c>
      <c r="Y491">
        <v>6.5199999999999994E-2</v>
      </c>
      <c r="Z491">
        <v>4.5400000000000003E-2</v>
      </c>
      <c r="AA491">
        <v>4.2900000000000001E-2</v>
      </c>
      <c r="AB491">
        <v>2.8299999999999999E-2</v>
      </c>
      <c r="AC491">
        <v>1.34E-2</v>
      </c>
      <c r="AD491">
        <v>6.3200000000000006E-2</v>
      </c>
      <c r="AE491">
        <v>0.1013</v>
      </c>
      <c r="AF491">
        <v>0.1075</v>
      </c>
      <c r="AG491">
        <v>0.15010000000000001</v>
      </c>
      <c r="AH491">
        <v>0.14940000000000001</v>
      </c>
      <c r="AI491">
        <v>0.17860000000000001</v>
      </c>
      <c r="AJ491">
        <v>0.17050000000000001</v>
      </c>
      <c r="AK491">
        <v>0.12989999999999999</v>
      </c>
      <c r="AL491">
        <v>8.8499999999999995E-2</v>
      </c>
      <c r="AM491">
        <v>2.2599999999999999E-2</v>
      </c>
      <c r="AN491">
        <v>2.2800000000000001E-2</v>
      </c>
      <c r="AO491">
        <v>2.5100000000000001E-2</v>
      </c>
      <c r="AP491">
        <v>1.72E-2</v>
      </c>
      <c r="AQ491">
        <v>2.5399999999999999E-2</v>
      </c>
      <c r="AR491">
        <v>2.2599999999999999E-2</v>
      </c>
      <c r="AS491">
        <v>0.06</v>
      </c>
      <c r="AT491">
        <v>8.8900000000000007E-2</v>
      </c>
      <c r="AU491">
        <v>6.2100000000000002E-2</v>
      </c>
      <c r="AV491">
        <v>4.4400000000000002E-2</v>
      </c>
    </row>
    <row r="492" spans="1:48" x14ac:dyDescent="0.25">
      <c r="A492" t="s">
        <v>578</v>
      </c>
      <c r="B492" t="s">
        <v>2</v>
      </c>
      <c r="C492" t="s">
        <v>578</v>
      </c>
      <c r="D492">
        <v>44220</v>
      </c>
      <c r="E492" t="s">
        <v>672</v>
      </c>
      <c r="F492" t="s">
        <v>117</v>
      </c>
      <c r="G492" t="s">
        <v>670</v>
      </c>
      <c r="H492" t="s">
        <v>670</v>
      </c>
      <c r="I492">
        <v>-0.12180000000000001</v>
      </c>
      <c r="J492">
        <v>-4.0599999999999997E-2</v>
      </c>
      <c r="K492">
        <v>-4.0500000000000001E-2</v>
      </c>
      <c r="L492">
        <v>-5.1499999999999997E-2</v>
      </c>
      <c r="M492">
        <v>-9.9400000000000002E-2</v>
      </c>
      <c r="N492">
        <v>-8.4500000000000006E-2</v>
      </c>
      <c r="O492">
        <v>-3.7400000000000003E-2</v>
      </c>
      <c r="P492">
        <v>1.03E-2</v>
      </c>
      <c r="Q492">
        <v>1.9099999999999999E-2</v>
      </c>
      <c r="R492">
        <v>1.5599999999999999E-2</v>
      </c>
      <c r="S492">
        <v>1.0200000000000001E-2</v>
      </c>
      <c r="T492">
        <v>2.2599999999999999E-2</v>
      </c>
      <c r="U492">
        <v>3.6900000000000002E-2</v>
      </c>
      <c r="V492">
        <v>4.2000000000000003E-2</v>
      </c>
      <c r="W492">
        <v>5.2699999999999997E-2</v>
      </c>
      <c r="X492">
        <v>5.0200000000000002E-2</v>
      </c>
      <c r="Y492">
        <v>3.8699999999999998E-2</v>
      </c>
      <c r="Z492">
        <v>3.0499999999999999E-2</v>
      </c>
      <c r="AA492">
        <v>2.06E-2</v>
      </c>
      <c r="AB492">
        <v>7.0599999999999996E-2</v>
      </c>
      <c r="AC492">
        <v>7.8399999999999997E-2</v>
      </c>
      <c r="AD492">
        <v>7.7499999999999999E-2</v>
      </c>
      <c r="AE492">
        <v>9.4500000000000001E-2</v>
      </c>
      <c r="AF492">
        <v>7.3099999999999998E-2</v>
      </c>
      <c r="AG492">
        <v>9.5000000000000001E-2</v>
      </c>
      <c r="AH492">
        <v>0.1123</v>
      </c>
      <c r="AI492">
        <v>0.10580000000000001</v>
      </c>
      <c r="AJ492">
        <v>0.1071</v>
      </c>
      <c r="AK492">
        <v>0.10589999999999999</v>
      </c>
      <c r="AL492">
        <v>9.1899999999999996E-2</v>
      </c>
      <c r="AM492">
        <v>0.12429999999999999</v>
      </c>
      <c r="AN492">
        <v>8.8900000000000007E-2</v>
      </c>
      <c r="AO492">
        <v>8.2100000000000006E-2</v>
      </c>
      <c r="AP492">
        <v>8.1100000000000005E-2</v>
      </c>
      <c r="AQ492">
        <v>3.09E-2</v>
      </c>
      <c r="AR492">
        <v>3.1800000000000002E-2</v>
      </c>
      <c r="AS492">
        <v>1.5100000000000001E-2</v>
      </c>
      <c r="AT492">
        <v>6.8199999999999997E-2</v>
      </c>
      <c r="AU492">
        <v>0.1104</v>
      </c>
      <c r="AV492">
        <v>0.10780000000000001</v>
      </c>
    </row>
    <row r="493" spans="1:48" x14ac:dyDescent="0.25">
      <c r="A493" t="s">
        <v>579</v>
      </c>
      <c r="B493" t="s">
        <v>2</v>
      </c>
      <c r="C493" t="s">
        <v>579</v>
      </c>
      <c r="D493">
        <v>44260</v>
      </c>
      <c r="E493" t="s">
        <v>672</v>
      </c>
      <c r="F493" t="s">
        <v>117</v>
      </c>
      <c r="G493" t="s">
        <v>670</v>
      </c>
      <c r="H493" t="s">
        <v>670</v>
      </c>
      <c r="I493">
        <v>0.16520000000000001</v>
      </c>
      <c r="J493">
        <v>0.1663</v>
      </c>
      <c r="K493">
        <v>8.4000000000000005E-2</v>
      </c>
      <c r="L493">
        <v>0.151</v>
      </c>
      <c r="M493">
        <v>2.29E-2</v>
      </c>
      <c r="N493">
        <v>-7.1900000000000006E-2</v>
      </c>
      <c r="O493">
        <v>4.8999999999999998E-3</v>
      </c>
      <c r="P493">
        <v>-5.3499999999999999E-2</v>
      </c>
      <c r="Q493">
        <v>-9.6299999999999997E-2</v>
      </c>
      <c r="R493">
        <v>-9.9000000000000008E-3</v>
      </c>
      <c r="S493">
        <v>-3.3599999999999998E-2</v>
      </c>
      <c r="T493">
        <v>-1.1599999999999999E-2</v>
      </c>
      <c r="U493">
        <v>3.7100000000000001E-2</v>
      </c>
      <c r="V493">
        <v>4.2500000000000003E-2</v>
      </c>
      <c r="W493">
        <v>3.8100000000000002E-2</v>
      </c>
      <c r="X493">
        <v>2.5999999999999999E-3</v>
      </c>
      <c r="Y493">
        <v>8.9999999999999998E-4</v>
      </c>
      <c r="Z493">
        <v>5.8799999999999998E-2</v>
      </c>
      <c r="AA493">
        <v>0.1033</v>
      </c>
      <c r="AB493">
        <v>4.8300000000000003E-2</v>
      </c>
      <c r="AC493">
        <v>0.1077</v>
      </c>
      <c r="AD493">
        <v>4.1300000000000003E-2</v>
      </c>
      <c r="AE493">
        <v>2.7900000000000001E-2</v>
      </c>
      <c r="AF493">
        <v>9.1899999999999996E-2</v>
      </c>
      <c r="AG493">
        <v>3.2199999999999999E-2</v>
      </c>
      <c r="AH493">
        <v>5.3199999999999997E-2</v>
      </c>
      <c r="AI493">
        <v>0.1371</v>
      </c>
      <c r="AJ493">
        <v>0.1628</v>
      </c>
      <c r="AK493">
        <v>0.19270000000000001</v>
      </c>
      <c r="AL493">
        <v>0.12379999999999999</v>
      </c>
      <c r="AM493">
        <v>1.5299999999999999E-2</v>
      </c>
      <c r="AN493">
        <v>7.0000000000000001E-3</v>
      </c>
      <c r="AO493">
        <v>1.2800000000000001E-2</v>
      </c>
      <c r="AP493">
        <v>3.3799999999999997E-2</v>
      </c>
      <c r="AQ493">
        <v>5.7799999999999997E-2</v>
      </c>
      <c r="AR493">
        <v>4.19E-2</v>
      </c>
      <c r="AS493">
        <v>3.2099999999999997E-2</v>
      </c>
      <c r="AT493">
        <v>0.13830000000000001</v>
      </c>
      <c r="AU493">
        <v>0.1178</v>
      </c>
      <c r="AV493">
        <v>0.1145</v>
      </c>
    </row>
    <row r="494" spans="1:48" x14ac:dyDescent="0.25">
      <c r="A494" t="s">
        <v>580</v>
      </c>
      <c r="B494" t="s">
        <v>2</v>
      </c>
      <c r="C494" t="s">
        <v>580</v>
      </c>
      <c r="D494">
        <v>44300</v>
      </c>
      <c r="E494" t="s">
        <v>672</v>
      </c>
      <c r="F494" t="s">
        <v>117</v>
      </c>
      <c r="G494" t="s">
        <v>670</v>
      </c>
      <c r="H494" t="s">
        <v>670</v>
      </c>
      <c r="I494">
        <v>7.4899999999999994E-2</v>
      </c>
      <c r="J494">
        <v>8.2000000000000003E-2</v>
      </c>
      <c r="K494">
        <v>3.1699999999999999E-2</v>
      </c>
      <c r="L494">
        <v>3.7999999999999999E-2</v>
      </c>
      <c r="M494">
        <v>4.4900000000000002E-2</v>
      </c>
      <c r="N494">
        <v>3.8399999999999997E-2</v>
      </c>
      <c r="O494">
        <v>2.6599999999999999E-2</v>
      </c>
      <c r="P494">
        <v>1.03E-2</v>
      </c>
      <c r="Q494">
        <v>1.11E-2</v>
      </c>
      <c r="R494">
        <v>1.77E-2</v>
      </c>
      <c r="S494">
        <v>1.5699999999999999E-2</v>
      </c>
      <c r="T494">
        <v>5.5199999999999999E-2</v>
      </c>
      <c r="U494">
        <v>4.1599999999999998E-2</v>
      </c>
      <c r="V494">
        <v>4.5600000000000002E-2</v>
      </c>
      <c r="W494">
        <v>3.5099999999999999E-2</v>
      </c>
      <c r="X494">
        <v>4.4000000000000003E-3</v>
      </c>
      <c r="Y494">
        <v>-1.4800000000000001E-2</v>
      </c>
      <c r="Z494">
        <v>-4.1099999999999998E-2</v>
      </c>
      <c r="AA494">
        <v>1.3100000000000001E-2</v>
      </c>
      <c r="AB494">
        <v>-6.9999999999999999E-4</v>
      </c>
      <c r="AC494">
        <v>1.32E-2</v>
      </c>
      <c r="AD494">
        <v>4.5400000000000003E-2</v>
      </c>
      <c r="AE494">
        <v>1.5100000000000001E-2</v>
      </c>
      <c r="AF494">
        <v>2.92E-2</v>
      </c>
      <c r="AG494">
        <v>1.0800000000000001E-2</v>
      </c>
      <c r="AH494">
        <v>-1.6000000000000001E-3</v>
      </c>
      <c r="AI494">
        <v>-2.7199999999999998E-2</v>
      </c>
      <c r="AJ494">
        <v>-2.64E-2</v>
      </c>
      <c r="AK494">
        <v>1.6E-2</v>
      </c>
      <c r="AL494">
        <v>4.4699999999999997E-2</v>
      </c>
      <c r="AM494">
        <v>8.5800000000000001E-2</v>
      </c>
      <c r="AN494">
        <v>9.7799999999999998E-2</v>
      </c>
      <c r="AO494">
        <v>7.3200000000000001E-2</v>
      </c>
      <c r="AP494">
        <v>4.8500000000000001E-2</v>
      </c>
      <c r="AQ494">
        <v>4.02E-2</v>
      </c>
      <c r="AR494">
        <v>7.3000000000000001E-3</v>
      </c>
      <c r="AS494">
        <v>6.5600000000000006E-2</v>
      </c>
      <c r="AT494">
        <v>5.8700000000000002E-2</v>
      </c>
      <c r="AU494">
        <v>4.7899999999999998E-2</v>
      </c>
      <c r="AV494">
        <v>8.9399999999999993E-2</v>
      </c>
    </row>
    <row r="495" spans="1:48" x14ac:dyDescent="0.25">
      <c r="A495" t="s">
        <v>581</v>
      </c>
      <c r="B495" t="s">
        <v>2</v>
      </c>
      <c r="C495" t="s">
        <v>581</v>
      </c>
      <c r="D495">
        <v>44340</v>
      </c>
      <c r="E495" t="s">
        <v>672</v>
      </c>
      <c r="F495" t="s">
        <v>117</v>
      </c>
      <c r="G495" t="s">
        <v>670</v>
      </c>
      <c r="H495" t="s">
        <v>670</v>
      </c>
      <c r="I495" t="s">
        <v>673</v>
      </c>
      <c r="J495">
        <v>3.3000000000000002E-2</v>
      </c>
      <c r="K495">
        <v>-1.8800000000000001E-2</v>
      </c>
      <c r="L495">
        <v>5.6399999999999999E-2</v>
      </c>
      <c r="M495">
        <v>4.8300000000000003E-2</v>
      </c>
      <c r="N495">
        <v>4.1500000000000002E-2</v>
      </c>
      <c r="O495">
        <v>0.1118</v>
      </c>
      <c r="P495">
        <v>5.62E-2</v>
      </c>
      <c r="Q495">
        <v>7.1099999999999997E-2</v>
      </c>
      <c r="R495">
        <v>6.8599999999999994E-2</v>
      </c>
      <c r="S495">
        <v>5.5300000000000002E-2</v>
      </c>
      <c r="T495">
        <v>3.9300000000000002E-2</v>
      </c>
      <c r="U495">
        <v>1.23E-2</v>
      </c>
      <c r="V495">
        <v>-3.0999999999999999E-3</v>
      </c>
      <c r="W495">
        <v>3.0099999999999998E-2</v>
      </c>
      <c r="X495">
        <v>5.5999999999999999E-3</v>
      </c>
      <c r="Y495" t="s">
        <v>673</v>
      </c>
      <c r="Z495">
        <v>-6.0699999999999997E-2</v>
      </c>
      <c r="AA495">
        <v>6.5299999999999997E-2</v>
      </c>
      <c r="AB495">
        <v>0.125</v>
      </c>
      <c r="AC495">
        <v>0.25340000000000001</v>
      </c>
      <c r="AD495">
        <v>0.24540000000000001</v>
      </c>
      <c r="AE495">
        <v>0.25119999999999998</v>
      </c>
      <c r="AF495">
        <v>0.1711</v>
      </c>
      <c r="AG495">
        <v>0.2155</v>
      </c>
      <c r="AH495">
        <v>0.25009999999999999</v>
      </c>
      <c r="AI495">
        <v>7.8200000000000006E-2</v>
      </c>
      <c r="AJ495">
        <v>8.9499999999999996E-2</v>
      </c>
      <c r="AK495">
        <v>7.1800000000000003E-2</v>
      </c>
      <c r="AL495">
        <v>6.0600000000000001E-2</v>
      </c>
      <c r="AM495">
        <v>8.2500000000000004E-2</v>
      </c>
      <c r="AN495">
        <v>0.1719</v>
      </c>
      <c r="AO495">
        <v>0.10440000000000001</v>
      </c>
      <c r="AP495">
        <v>6.8199999999999997E-2</v>
      </c>
      <c r="AQ495">
        <v>5.5E-2</v>
      </c>
      <c r="AR495">
        <v>-6.6100000000000006E-2</v>
      </c>
      <c r="AS495">
        <v>-1.38E-2</v>
      </c>
      <c r="AT495">
        <v>4.87E-2</v>
      </c>
      <c r="AU495">
        <v>0.12790000000000001</v>
      </c>
      <c r="AV495">
        <v>0.19159999999999999</v>
      </c>
    </row>
    <row r="496" spans="1:48" x14ac:dyDescent="0.25">
      <c r="A496" t="s">
        <v>582</v>
      </c>
      <c r="B496" t="s">
        <v>2</v>
      </c>
      <c r="C496" t="s">
        <v>582</v>
      </c>
      <c r="D496">
        <v>44420</v>
      </c>
      <c r="E496" t="s">
        <v>672</v>
      </c>
      <c r="F496" t="s">
        <v>117</v>
      </c>
      <c r="G496" t="s">
        <v>670</v>
      </c>
      <c r="H496" t="s">
        <v>670</v>
      </c>
      <c r="I496" t="s">
        <v>673</v>
      </c>
      <c r="J496" t="s">
        <v>673</v>
      </c>
      <c r="K496" t="s">
        <v>673</v>
      </c>
      <c r="L496" t="s">
        <v>673</v>
      </c>
      <c r="M496" t="s">
        <v>673</v>
      </c>
      <c r="N496" t="s">
        <v>673</v>
      </c>
      <c r="O496" t="s">
        <v>673</v>
      </c>
      <c r="P496" t="s">
        <v>673</v>
      </c>
      <c r="Q496" t="s">
        <v>673</v>
      </c>
      <c r="R496" t="s">
        <v>673</v>
      </c>
      <c r="S496" t="s">
        <v>673</v>
      </c>
      <c r="T496">
        <v>2.5999999999999999E-3</v>
      </c>
      <c r="U496" t="s">
        <v>673</v>
      </c>
      <c r="V496">
        <v>-0.1361</v>
      </c>
      <c r="W496">
        <v>-0.13519999999999999</v>
      </c>
      <c r="X496">
        <v>-9.69E-2</v>
      </c>
      <c r="Y496">
        <v>-6.5500000000000003E-2</v>
      </c>
      <c r="Z496">
        <v>4.0899999999999999E-2</v>
      </c>
      <c r="AA496">
        <v>3.6700000000000003E-2</v>
      </c>
      <c r="AB496">
        <v>5.96E-2</v>
      </c>
      <c r="AC496">
        <v>-1.8499999999999999E-2</v>
      </c>
      <c r="AD496">
        <v>-2.1399999999999999E-2</v>
      </c>
      <c r="AE496">
        <v>6.2799999999999995E-2</v>
      </c>
      <c r="AF496">
        <v>5.5100000000000003E-2</v>
      </c>
      <c r="AG496">
        <v>0.13669999999999999</v>
      </c>
      <c r="AH496">
        <v>0.16830000000000001</v>
      </c>
      <c r="AI496">
        <v>0.15590000000000001</v>
      </c>
      <c r="AJ496">
        <v>0.1462</v>
      </c>
      <c r="AK496">
        <v>0.1487</v>
      </c>
      <c r="AL496">
        <v>0.16200000000000001</v>
      </c>
      <c r="AM496">
        <v>7.3499999999999996E-2</v>
      </c>
      <c r="AN496">
        <v>7.3700000000000002E-2</v>
      </c>
      <c r="AO496">
        <v>7.3300000000000004E-2</v>
      </c>
      <c r="AP496">
        <v>6.5000000000000002E-2</v>
      </c>
      <c r="AQ496">
        <v>7.7600000000000002E-2</v>
      </c>
      <c r="AR496">
        <v>7.17E-2</v>
      </c>
      <c r="AS496">
        <v>6.9599999999999995E-2</v>
      </c>
      <c r="AT496">
        <v>5.8400000000000001E-2</v>
      </c>
      <c r="AU496">
        <v>7.85E-2</v>
      </c>
      <c r="AV496">
        <v>7.7200000000000005E-2</v>
      </c>
    </row>
    <row r="497" spans="1:48" x14ac:dyDescent="0.25">
      <c r="A497" t="s">
        <v>583</v>
      </c>
      <c r="B497" t="s">
        <v>2</v>
      </c>
      <c r="C497" t="s">
        <v>583</v>
      </c>
      <c r="D497">
        <v>41060</v>
      </c>
      <c r="E497" t="s">
        <v>672</v>
      </c>
      <c r="F497" t="s">
        <v>117</v>
      </c>
      <c r="G497" t="s">
        <v>670</v>
      </c>
      <c r="H497" t="s">
        <v>670</v>
      </c>
      <c r="I497">
        <v>0.1196</v>
      </c>
      <c r="J497">
        <v>4.7800000000000002E-2</v>
      </c>
      <c r="K497">
        <v>2.9899999999999999E-2</v>
      </c>
      <c r="L497">
        <v>3.6299999999999999E-2</v>
      </c>
      <c r="M497">
        <v>8.5599999999999996E-2</v>
      </c>
      <c r="N497">
        <v>8.9700000000000002E-2</v>
      </c>
      <c r="O497">
        <v>0.1116</v>
      </c>
      <c r="P497">
        <v>8.3400000000000002E-2</v>
      </c>
      <c r="Q497">
        <v>3.0599999999999999E-2</v>
      </c>
      <c r="R497">
        <v>3.8800000000000001E-2</v>
      </c>
      <c r="S497">
        <v>2.24E-2</v>
      </c>
      <c r="T497">
        <v>3.5099999999999999E-2</v>
      </c>
      <c r="U497">
        <v>4.4499999999999998E-2</v>
      </c>
      <c r="V497">
        <v>3.7600000000000001E-2</v>
      </c>
      <c r="W497">
        <v>1.89E-2</v>
      </c>
      <c r="X497">
        <v>1.32E-2</v>
      </c>
      <c r="Y497">
        <v>-1.01E-2</v>
      </c>
      <c r="Z497">
        <v>-7.3000000000000001E-3</v>
      </c>
      <c r="AA497">
        <v>2.69E-2</v>
      </c>
      <c r="AB497">
        <v>2.3599999999999999E-2</v>
      </c>
      <c r="AC497">
        <v>4.7300000000000002E-2</v>
      </c>
      <c r="AD497">
        <v>6.1499999999999999E-2</v>
      </c>
      <c r="AE497">
        <v>2.3E-2</v>
      </c>
      <c r="AF497">
        <v>0.1084</v>
      </c>
      <c r="AG497">
        <v>0.16470000000000001</v>
      </c>
      <c r="AH497">
        <v>0.13830000000000001</v>
      </c>
      <c r="AI497">
        <v>0.15129999999999999</v>
      </c>
      <c r="AJ497">
        <v>7.1400000000000005E-2</v>
      </c>
      <c r="AK497">
        <v>1.2800000000000001E-2</v>
      </c>
      <c r="AL497">
        <v>2.4E-2</v>
      </c>
      <c r="AM497">
        <v>3.9699999999999999E-2</v>
      </c>
      <c r="AN497">
        <v>3.7400000000000003E-2</v>
      </c>
      <c r="AO497">
        <v>5.04E-2</v>
      </c>
      <c r="AP497">
        <v>4.48E-2</v>
      </c>
      <c r="AQ497">
        <v>3.56E-2</v>
      </c>
      <c r="AR497">
        <v>2.5999999999999999E-2</v>
      </c>
      <c r="AS497">
        <v>4.3499999999999997E-2</v>
      </c>
      <c r="AT497">
        <v>5.4399999999999997E-2</v>
      </c>
      <c r="AU497">
        <v>5.5800000000000002E-2</v>
      </c>
      <c r="AV497">
        <v>6.6299999999999998E-2</v>
      </c>
    </row>
    <row r="498" spans="1:48" x14ac:dyDescent="0.25">
      <c r="A498" t="s">
        <v>584</v>
      </c>
      <c r="B498" t="s">
        <v>2</v>
      </c>
      <c r="C498" t="s">
        <v>584</v>
      </c>
      <c r="D498">
        <v>44460</v>
      </c>
      <c r="E498" t="s">
        <v>672</v>
      </c>
      <c r="F498" t="s">
        <v>117</v>
      </c>
      <c r="G498" t="s">
        <v>670</v>
      </c>
      <c r="H498" t="s">
        <v>670</v>
      </c>
      <c r="I498" t="s">
        <v>673</v>
      </c>
      <c r="J498" t="s">
        <v>673</v>
      </c>
      <c r="K498" t="s">
        <v>673</v>
      </c>
      <c r="L498" t="s">
        <v>673</v>
      </c>
      <c r="M498" t="s">
        <v>673</v>
      </c>
      <c r="N498" t="s">
        <v>673</v>
      </c>
      <c r="O498" t="s">
        <v>673</v>
      </c>
      <c r="P498" t="s">
        <v>673</v>
      </c>
      <c r="Q498" t="s">
        <v>673</v>
      </c>
      <c r="R498" t="s">
        <v>673</v>
      </c>
      <c r="S498" t="s">
        <v>673</v>
      </c>
      <c r="T498" t="s">
        <v>673</v>
      </c>
      <c r="U498" t="s">
        <v>673</v>
      </c>
      <c r="V498" t="s">
        <v>673</v>
      </c>
      <c r="W498" t="s">
        <v>673</v>
      </c>
      <c r="X498" t="s">
        <v>673</v>
      </c>
      <c r="Y498" t="s">
        <v>673</v>
      </c>
      <c r="Z498" t="s">
        <v>673</v>
      </c>
      <c r="AA498" t="s">
        <v>673</v>
      </c>
      <c r="AB498" t="s">
        <v>673</v>
      </c>
      <c r="AC498" t="s">
        <v>673</v>
      </c>
      <c r="AD498" t="s">
        <v>673</v>
      </c>
      <c r="AE498" t="s">
        <v>673</v>
      </c>
      <c r="AF498" t="s">
        <v>673</v>
      </c>
      <c r="AG498" t="s">
        <v>673</v>
      </c>
      <c r="AH498" t="s">
        <v>673</v>
      </c>
      <c r="AI498" t="s">
        <v>673</v>
      </c>
      <c r="AJ498">
        <v>0.1729</v>
      </c>
      <c r="AK498">
        <v>0.15079999999999999</v>
      </c>
      <c r="AL498">
        <v>0.14249999999999999</v>
      </c>
      <c r="AM498">
        <v>0.1331</v>
      </c>
      <c r="AN498" t="s">
        <v>673</v>
      </c>
      <c r="AO498" t="s">
        <v>673</v>
      </c>
      <c r="AP498">
        <v>1.26E-2</v>
      </c>
      <c r="AQ498">
        <v>2.7099999999999999E-2</v>
      </c>
      <c r="AR498">
        <v>3.8100000000000002E-2</v>
      </c>
      <c r="AS498">
        <v>-9.2999999999999992E-3</v>
      </c>
      <c r="AT498" t="s">
        <v>673</v>
      </c>
      <c r="AU498" t="s">
        <v>673</v>
      </c>
      <c r="AV498" t="s">
        <v>673</v>
      </c>
    </row>
    <row r="499" spans="1:48" x14ac:dyDescent="0.25">
      <c r="A499" t="s">
        <v>585</v>
      </c>
      <c r="B499" t="s">
        <v>2</v>
      </c>
      <c r="C499" t="s">
        <v>585</v>
      </c>
      <c r="D499">
        <v>44500</v>
      </c>
      <c r="E499" t="s">
        <v>672</v>
      </c>
      <c r="F499" t="s">
        <v>117</v>
      </c>
      <c r="G499" t="s">
        <v>670</v>
      </c>
      <c r="H499" t="s">
        <v>670</v>
      </c>
      <c r="I499">
        <v>2.1100000000000001E-2</v>
      </c>
      <c r="J499">
        <v>1.66E-2</v>
      </c>
      <c r="K499">
        <v>-2.5999999999999999E-3</v>
      </c>
      <c r="L499">
        <v>1.9099999999999999E-2</v>
      </c>
      <c r="M499">
        <v>-2.7400000000000001E-2</v>
      </c>
      <c r="N499">
        <v>-2.7400000000000001E-2</v>
      </c>
      <c r="O499">
        <v>1.0500000000000001E-2</v>
      </c>
      <c r="P499">
        <v>8.0999999999999996E-3</v>
      </c>
      <c r="Q499">
        <v>6.4100000000000004E-2</v>
      </c>
      <c r="R499">
        <v>2.64E-2</v>
      </c>
      <c r="S499">
        <v>-5.3E-3</v>
      </c>
      <c r="T499">
        <v>2.8500000000000001E-2</v>
      </c>
      <c r="U499">
        <v>2.93E-2</v>
      </c>
      <c r="V499">
        <v>4.87E-2</v>
      </c>
      <c r="W499">
        <v>6.0400000000000002E-2</v>
      </c>
      <c r="X499">
        <v>4.4400000000000002E-2</v>
      </c>
      <c r="Y499">
        <v>2.41E-2</v>
      </c>
      <c r="Z499">
        <v>3.32E-2</v>
      </c>
      <c r="AA499">
        <v>3.1699999999999999E-2</v>
      </c>
      <c r="AB499">
        <v>0.02</v>
      </c>
      <c r="AC499">
        <v>2.81E-2</v>
      </c>
      <c r="AD499">
        <v>2.7799999999999998E-2</v>
      </c>
      <c r="AE499">
        <v>0.17580000000000001</v>
      </c>
      <c r="AF499">
        <v>0.2092</v>
      </c>
      <c r="AG499">
        <v>0.27079999999999999</v>
      </c>
      <c r="AH499">
        <v>0.27379999999999999</v>
      </c>
      <c r="AI499">
        <v>0.1133</v>
      </c>
      <c r="AJ499">
        <v>7.0199999999999999E-2</v>
      </c>
      <c r="AK499">
        <v>9.4000000000000004E-3</v>
      </c>
      <c r="AL499">
        <v>2.8799999999999999E-2</v>
      </c>
      <c r="AM499">
        <v>-2.2100000000000002E-2</v>
      </c>
      <c r="AN499">
        <v>1.9400000000000001E-2</v>
      </c>
      <c r="AO499">
        <v>8.6999999999999994E-3</v>
      </c>
      <c r="AP499">
        <v>-1.6E-2</v>
      </c>
      <c r="AQ499">
        <v>4.4900000000000002E-2</v>
      </c>
      <c r="AR499">
        <v>1.61E-2</v>
      </c>
      <c r="AS499">
        <v>8.0999999999999996E-3</v>
      </c>
      <c r="AT499">
        <v>-3.4299999999999997E-2</v>
      </c>
      <c r="AU499">
        <v>-9.6600000000000005E-2</v>
      </c>
      <c r="AV499">
        <v>-7.1099999999999997E-2</v>
      </c>
    </row>
    <row r="500" spans="1:48" x14ac:dyDescent="0.25">
      <c r="A500" t="s">
        <v>586</v>
      </c>
      <c r="B500" t="s">
        <v>2</v>
      </c>
      <c r="C500" t="s">
        <v>586</v>
      </c>
      <c r="D500">
        <v>44620</v>
      </c>
      <c r="E500" t="s">
        <v>672</v>
      </c>
      <c r="F500" t="s">
        <v>117</v>
      </c>
      <c r="G500" t="s">
        <v>670</v>
      </c>
      <c r="H500" t="s">
        <v>670</v>
      </c>
      <c r="I500" t="s">
        <v>673</v>
      </c>
      <c r="J500" t="s">
        <v>673</v>
      </c>
      <c r="K500" t="s">
        <v>673</v>
      </c>
      <c r="L500" t="s">
        <v>673</v>
      </c>
      <c r="M500" t="s">
        <v>673</v>
      </c>
      <c r="N500" t="s">
        <v>673</v>
      </c>
      <c r="O500" t="s">
        <v>673</v>
      </c>
      <c r="P500">
        <v>-6.2E-2</v>
      </c>
      <c r="Q500">
        <v>3.85E-2</v>
      </c>
      <c r="R500">
        <v>1.84E-2</v>
      </c>
      <c r="S500">
        <v>2.4199999999999999E-2</v>
      </c>
      <c r="T500">
        <v>3.73E-2</v>
      </c>
      <c r="U500">
        <v>2.3199999999999998E-2</v>
      </c>
      <c r="V500">
        <v>2.98E-2</v>
      </c>
      <c r="W500">
        <v>4.0800000000000003E-2</v>
      </c>
      <c r="X500">
        <v>5.8900000000000001E-2</v>
      </c>
      <c r="Y500">
        <v>4.6699999999999998E-2</v>
      </c>
      <c r="Z500">
        <v>5.5399999999999998E-2</v>
      </c>
      <c r="AA500">
        <v>3.8899999999999997E-2</v>
      </c>
      <c r="AB500">
        <v>2.52E-2</v>
      </c>
      <c r="AC500">
        <v>3.3799999999999997E-2</v>
      </c>
      <c r="AD500">
        <v>3.6700000000000003E-2</v>
      </c>
      <c r="AE500">
        <v>3.7499999999999999E-2</v>
      </c>
      <c r="AF500">
        <v>4.5999999999999999E-2</v>
      </c>
      <c r="AG500">
        <v>4.5600000000000002E-2</v>
      </c>
      <c r="AH500">
        <v>0.14080000000000001</v>
      </c>
      <c r="AI500">
        <v>0.19350000000000001</v>
      </c>
      <c r="AJ500">
        <v>0.25819999999999999</v>
      </c>
      <c r="AK500">
        <v>0.34439999999999998</v>
      </c>
      <c r="AL500">
        <v>0.21540000000000001</v>
      </c>
      <c r="AM500">
        <v>0.15920000000000001</v>
      </c>
      <c r="AN500">
        <v>9.2499999999999999E-2</v>
      </c>
      <c r="AO500">
        <v>2.9899999999999999E-2</v>
      </c>
      <c r="AP500">
        <v>3.7100000000000001E-2</v>
      </c>
      <c r="AQ500">
        <v>2.63E-2</v>
      </c>
      <c r="AR500">
        <v>4.7000000000000002E-3</v>
      </c>
      <c r="AS500">
        <v>-1.3100000000000001E-2</v>
      </c>
      <c r="AT500">
        <v>-1E-4</v>
      </c>
      <c r="AU500">
        <v>6.4000000000000003E-3</v>
      </c>
      <c r="AV500">
        <v>-1.5299999999999999E-2</v>
      </c>
    </row>
    <row r="501" spans="1:48" x14ac:dyDescent="0.25">
      <c r="A501" t="s">
        <v>587</v>
      </c>
      <c r="B501" t="s">
        <v>2</v>
      </c>
      <c r="C501" t="s">
        <v>587</v>
      </c>
      <c r="D501">
        <v>41100</v>
      </c>
      <c r="E501" t="s">
        <v>672</v>
      </c>
      <c r="F501" t="s">
        <v>117</v>
      </c>
      <c r="G501" t="s">
        <v>670</v>
      </c>
      <c r="H501" t="s">
        <v>670</v>
      </c>
      <c r="I501" t="s">
        <v>673</v>
      </c>
      <c r="J501" t="s">
        <v>673</v>
      </c>
      <c r="K501" t="s">
        <v>673</v>
      </c>
      <c r="L501" t="s">
        <v>673</v>
      </c>
      <c r="M501" t="s">
        <v>673</v>
      </c>
      <c r="N501" t="s">
        <v>673</v>
      </c>
      <c r="O501" t="s">
        <v>673</v>
      </c>
      <c r="P501" t="s">
        <v>673</v>
      </c>
      <c r="Q501" t="s">
        <v>673</v>
      </c>
      <c r="R501" t="s">
        <v>673</v>
      </c>
      <c r="S501" t="s">
        <v>673</v>
      </c>
      <c r="T501" t="s">
        <v>673</v>
      </c>
      <c r="U501" t="s">
        <v>673</v>
      </c>
      <c r="V501" t="s">
        <v>673</v>
      </c>
      <c r="W501" t="s">
        <v>673</v>
      </c>
      <c r="X501">
        <v>7.6999999999999999E-2</v>
      </c>
      <c r="Y501">
        <v>3.4500000000000003E-2</v>
      </c>
      <c r="Z501">
        <v>3.8600000000000002E-2</v>
      </c>
      <c r="AA501">
        <v>9.1600000000000001E-2</v>
      </c>
      <c r="AB501">
        <v>5.0299999999999997E-2</v>
      </c>
      <c r="AC501">
        <v>7.7600000000000002E-2</v>
      </c>
      <c r="AD501">
        <v>0.1736</v>
      </c>
      <c r="AE501">
        <v>0.20730000000000001</v>
      </c>
      <c r="AF501">
        <v>0.21920000000000001</v>
      </c>
      <c r="AG501">
        <v>0.1206</v>
      </c>
      <c r="AH501">
        <v>0.12479999999999999</v>
      </c>
      <c r="AI501">
        <v>4.0300000000000002E-2</v>
      </c>
      <c r="AJ501">
        <v>-8.0000000000000002E-3</v>
      </c>
      <c r="AK501">
        <v>8.8999999999999996E-2</v>
      </c>
      <c r="AL501">
        <v>-9.7000000000000003E-3</v>
      </c>
      <c r="AM501">
        <v>-5.5999999999999999E-3</v>
      </c>
      <c r="AN501">
        <v>-3.4799999999999998E-2</v>
      </c>
      <c r="AO501">
        <v>-7.22E-2</v>
      </c>
      <c r="AP501">
        <v>-3.95E-2</v>
      </c>
      <c r="AQ501">
        <v>-3.2300000000000002E-2</v>
      </c>
      <c r="AR501">
        <v>6.3200000000000006E-2</v>
      </c>
      <c r="AS501">
        <v>7.3999999999999996E-2</v>
      </c>
      <c r="AT501">
        <v>5.67E-2</v>
      </c>
      <c r="AU501">
        <v>3.7100000000000001E-2</v>
      </c>
      <c r="AV501">
        <v>-5.3699999999999998E-2</v>
      </c>
    </row>
    <row r="502" spans="1:48" x14ac:dyDescent="0.25">
      <c r="A502" t="s">
        <v>588</v>
      </c>
      <c r="B502" t="s">
        <v>2</v>
      </c>
      <c r="C502" t="s">
        <v>588</v>
      </c>
      <c r="D502">
        <v>44660</v>
      </c>
      <c r="E502" t="s">
        <v>672</v>
      </c>
      <c r="F502" t="s">
        <v>117</v>
      </c>
      <c r="G502" t="s">
        <v>670</v>
      </c>
      <c r="H502" t="s">
        <v>670</v>
      </c>
      <c r="I502">
        <v>3.9399999999999998E-2</v>
      </c>
      <c r="J502">
        <v>2.23E-2</v>
      </c>
      <c r="K502">
        <v>-1E-4</v>
      </c>
      <c r="L502">
        <v>-5.3E-3</v>
      </c>
      <c r="M502">
        <v>-7.1999999999999998E-3</v>
      </c>
      <c r="N502">
        <v>1.18E-2</v>
      </c>
      <c r="O502">
        <v>4.3999999999999997E-2</v>
      </c>
      <c r="P502">
        <v>5.1999999999999998E-2</v>
      </c>
      <c r="Q502">
        <v>5.0799999999999998E-2</v>
      </c>
      <c r="R502">
        <v>2.1499999999999998E-2</v>
      </c>
      <c r="S502">
        <v>9.7000000000000003E-3</v>
      </c>
      <c r="T502">
        <v>3.5999999999999999E-3</v>
      </c>
      <c r="U502">
        <v>-6.1000000000000004E-3</v>
      </c>
      <c r="V502">
        <v>1.83E-2</v>
      </c>
      <c r="W502">
        <v>1.06E-2</v>
      </c>
      <c r="X502">
        <v>1.44E-2</v>
      </c>
      <c r="Y502">
        <v>2.3900000000000001E-2</v>
      </c>
      <c r="Z502">
        <v>-8.5000000000000006E-3</v>
      </c>
      <c r="AA502">
        <v>-1.09E-2</v>
      </c>
      <c r="AB502">
        <v>-1.01E-2</v>
      </c>
      <c r="AC502">
        <v>-6.3E-3</v>
      </c>
      <c r="AD502">
        <v>1.6999999999999999E-3</v>
      </c>
      <c r="AE502">
        <v>6.4100000000000004E-2</v>
      </c>
      <c r="AF502">
        <v>7.0400000000000004E-2</v>
      </c>
      <c r="AG502">
        <v>4.9299999999999997E-2</v>
      </c>
      <c r="AH502">
        <v>0.10879999999999999</v>
      </c>
      <c r="AI502">
        <v>7.0199999999999999E-2</v>
      </c>
      <c r="AJ502">
        <v>7.4700000000000003E-2</v>
      </c>
      <c r="AK502">
        <v>0.1234</v>
      </c>
      <c r="AL502">
        <v>9.4500000000000001E-2</v>
      </c>
      <c r="AM502">
        <v>8.5999999999999993E-2</v>
      </c>
      <c r="AN502">
        <v>0.1075</v>
      </c>
      <c r="AO502">
        <v>8.1600000000000006E-2</v>
      </c>
      <c r="AP502">
        <v>6.3500000000000001E-2</v>
      </c>
      <c r="AQ502">
        <v>6.4199999999999993E-2</v>
      </c>
      <c r="AR502">
        <v>3.4700000000000002E-2</v>
      </c>
      <c r="AS502">
        <v>3.7600000000000001E-2</v>
      </c>
      <c r="AT502">
        <v>5.2200000000000003E-2</v>
      </c>
      <c r="AU502">
        <v>7.1599999999999997E-2</v>
      </c>
      <c r="AV502">
        <v>6.8099999999999994E-2</v>
      </c>
    </row>
    <row r="503" spans="1:48" x14ac:dyDescent="0.25">
      <c r="A503" t="s">
        <v>589</v>
      </c>
      <c r="B503" t="s">
        <v>2</v>
      </c>
      <c r="C503" t="s">
        <v>589</v>
      </c>
      <c r="D503">
        <v>41140</v>
      </c>
      <c r="E503" t="s">
        <v>672</v>
      </c>
      <c r="F503" t="s">
        <v>117</v>
      </c>
      <c r="G503" t="s">
        <v>670</v>
      </c>
      <c r="H503" t="s">
        <v>670</v>
      </c>
      <c r="I503" t="s">
        <v>673</v>
      </c>
      <c r="J503" t="s">
        <v>673</v>
      </c>
      <c r="K503" t="s">
        <v>673</v>
      </c>
      <c r="L503">
        <v>3.85E-2</v>
      </c>
      <c r="M503">
        <v>1.18E-2</v>
      </c>
      <c r="N503">
        <v>6.4399999999999999E-2</v>
      </c>
      <c r="O503">
        <v>9.1000000000000004E-3</v>
      </c>
      <c r="P503">
        <v>9.7000000000000003E-3</v>
      </c>
      <c r="Q503">
        <v>7.51E-2</v>
      </c>
      <c r="R503">
        <v>-3.1E-2</v>
      </c>
      <c r="S503">
        <v>1.0200000000000001E-2</v>
      </c>
      <c r="T503">
        <v>2.8199999999999999E-2</v>
      </c>
      <c r="U503">
        <v>1.4500000000000001E-2</v>
      </c>
      <c r="V503">
        <v>6.7100000000000007E-2</v>
      </c>
      <c r="W503">
        <v>6.7199999999999996E-2</v>
      </c>
      <c r="X503">
        <v>3.1099999999999999E-2</v>
      </c>
      <c r="Y503">
        <v>1.1000000000000001E-3</v>
      </c>
      <c r="Z503">
        <v>1.3299999999999999E-2</v>
      </c>
      <c r="AA503">
        <v>5.0000000000000001E-3</v>
      </c>
      <c r="AB503">
        <v>1.8200000000000001E-2</v>
      </c>
      <c r="AC503">
        <v>2.3999999999999998E-3</v>
      </c>
      <c r="AD503">
        <v>8.3999999999999995E-3</v>
      </c>
      <c r="AE503">
        <v>4.4600000000000001E-2</v>
      </c>
      <c r="AF503">
        <v>5.6500000000000002E-2</v>
      </c>
      <c r="AG503">
        <v>5.8900000000000001E-2</v>
      </c>
      <c r="AH503">
        <v>6.9000000000000006E-2</v>
      </c>
      <c r="AI503">
        <v>4.6199999999999998E-2</v>
      </c>
      <c r="AJ503">
        <v>5.3400000000000003E-2</v>
      </c>
      <c r="AK503">
        <v>-3.7000000000000002E-3</v>
      </c>
      <c r="AL503">
        <v>4.5900000000000003E-2</v>
      </c>
      <c r="AM503">
        <v>3.2300000000000002E-2</v>
      </c>
      <c r="AN503">
        <v>0.10199999999999999</v>
      </c>
      <c r="AO503">
        <v>0.2</v>
      </c>
      <c r="AP503">
        <v>0.14399999999999999</v>
      </c>
      <c r="AQ503">
        <v>0.21859999999999999</v>
      </c>
      <c r="AR503">
        <v>2.4199999999999999E-2</v>
      </c>
      <c r="AS503">
        <v>8.2000000000000003E-2</v>
      </c>
      <c r="AT503">
        <v>1.3599999999999999E-2</v>
      </c>
      <c r="AU503">
        <v>-4.5199999999999997E-2</v>
      </c>
      <c r="AV503">
        <v>9.6199999999999994E-2</v>
      </c>
    </row>
    <row r="504" spans="1:48" x14ac:dyDescent="0.25">
      <c r="A504" t="s">
        <v>590</v>
      </c>
      <c r="B504" t="s">
        <v>2</v>
      </c>
      <c r="C504" t="s">
        <v>590</v>
      </c>
      <c r="D504">
        <v>41180</v>
      </c>
      <c r="E504" t="s">
        <v>672</v>
      </c>
      <c r="F504" t="s">
        <v>117</v>
      </c>
      <c r="G504" t="s">
        <v>670</v>
      </c>
      <c r="H504" t="s">
        <v>670</v>
      </c>
      <c r="I504">
        <v>4.6100000000000002E-2</v>
      </c>
      <c r="J504">
        <v>5.0299999999999997E-2</v>
      </c>
      <c r="K504">
        <v>3.2300000000000002E-2</v>
      </c>
      <c r="L504">
        <v>1.84E-2</v>
      </c>
      <c r="M504">
        <v>1.32E-2</v>
      </c>
      <c r="N504">
        <v>0.01</v>
      </c>
      <c r="O504">
        <v>1.67E-2</v>
      </c>
      <c r="P504">
        <v>1.17E-2</v>
      </c>
      <c r="Q504">
        <v>9.5999999999999992E-3</v>
      </c>
      <c r="R504">
        <v>1.52E-2</v>
      </c>
      <c r="S504">
        <v>1.7100000000000001E-2</v>
      </c>
      <c r="T504">
        <v>3.09E-2</v>
      </c>
      <c r="U504">
        <v>3.5900000000000001E-2</v>
      </c>
      <c r="V504">
        <v>4.4499999999999998E-2</v>
      </c>
      <c r="W504">
        <v>6.6000000000000003E-2</v>
      </c>
      <c r="X504">
        <v>6.9699999999999998E-2</v>
      </c>
      <c r="Y504">
        <v>8.48E-2</v>
      </c>
      <c r="Z504">
        <v>5.0799999999999998E-2</v>
      </c>
      <c r="AA504">
        <v>3.3599999999999998E-2</v>
      </c>
      <c r="AB504">
        <v>3.1800000000000002E-2</v>
      </c>
      <c r="AC504">
        <v>2.5600000000000001E-2</v>
      </c>
      <c r="AD504">
        <v>7.1999999999999995E-2</v>
      </c>
      <c r="AE504">
        <v>0.1086</v>
      </c>
      <c r="AF504">
        <v>0.13500000000000001</v>
      </c>
      <c r="AG504">
        <v>0.1363</v>
      </c>
      <c r="AH504">
        <v>0.12039999999999999</v>
      </c>
      <c r="AI504">
        <v>0.10299999999999999</v>
      </c>
      <c r="AJ504">
        <v>7.4399999999999994E-2</v>
      </c>
      <c r="AK504">
        <v>7.1499999999999994E-2</v>
      </c>
      <c r="AL504">
        <v>6.0999999999999999E-2</v>
      </c>
      <c r="AM504">
        <v>4.9399999999999999E-2</v>
      </c>
      <c r="AN504">
        <v>6.3299999999999995E-2</v>
      </c>
      <c r="AO504">
        <v>5.9499999999999997E-2</v>
      </c>
      <c r="AP504">
        <v>4.6600000000000003E-2</v>
      </c>
      <c r="AQ504">
        <v>5.1499999999999997E-2</v>
      </c>
      <c r="AR504">
        <v>2.64E-2</v>
      </c>
      <c r="AS504">
        <v>2.5899999999999999E-2</v>
      </c>
      <c r="AT504">
        <v>5.0200000000000002E-2</v>
      </c>
      <c r="AU504">
        <v>4.7300000000000002E-2</v>
      </c>
      <c r="AV504">
        <v>4.6399999999999997E-2</v>
      </c>
    </row>
    <row r="505" spans="1:48" x14ac:dyDescent="0.25">
      <c r="A505" t="s">
        <v>591</v>
      </c>
      <c r="B505" t="s">
        <v>2</v>
      </c>
      <c r="C505" t="s">
        <v>591</v>
      </c>
      <c r="D505">
        <v>44700</v>
      </c>
      <c r="E505" t="s">
        <v>672</v>
      </c>
      <c r="F505" t="s">
        <v>117</v>
      </c>
      <c r="G505" t="s">
        <v>670</v>
      </c>
      <c r="H505" t="s">
        <v>670</v>
      </c>
      <c r="I505">
        <v>0.1177</v>
      </c>
      <c r="J505">
        <v>0.10639999999999999</v>
      </c>
      <c r="K505">
        <v>0.11550000000000001</v>
      </c>
      <c r="L505">
        <v>0.11849999999999999</v>
      </c>
      <c r="M505">
        <v>0.12379999999999999</v>
      </c>
      <c r="N505">
        <v>0.1056</v>
      </c>
      <c r="O505">
        <v>7.0800000000000002E-2</v>
      </c>
      <c r="P505">
        <v>4.2200000000000001E-2</v>
      </c>
      <c r="Q505">
        <v>2.01E-2</v>
      </c>
      <c r="R505">
        <v>3.2399999999999998E-2</v>
      </c>
      <c r="S505">
        <v>6.1199999999999997E-2</v>
      </c>
      <c r="T505">
        <v>7.9699999999999993E-2</v>
      </c>
      <c r="U505">
        <v>7.9000000000000001E-2</v>
      </c>
      <c r="V505">
        <v>8.2600000000000007E-2</v>
      </c>
      <c r="W505">
        <v>7.4300000000000005E-2</v>
      </c>
      <c r="X505">
        <v>7.0000000000000007E-2</v>
      </c>
      <c r="Y505">
        <v>7.51E-2</v>
      </c>
      <c r="Z505">
        <v>5.79E-2</v>
      </c>
      <c r="AA505">
        <v>6.0999999999999999E-2</v>
      </c>
      <c r="AB505">
        <v>8.0399999999999999E-2</v>
      </c>
      <c r="AC505">
        <v>8.6999999999999994E-2</v>
      </c>
      <c r="AD505">
        <v>0.1203</v>
      </c>
      <c r="AE505">
        <v>0.15579999999999999</v>
      </c>
      <c r="AF505">
        <v>0.15840000000000001</v>
      </c>
      <c r="AG505">
        <v>0.16220000000000001</v>
      </c>
      <c r="AH505">
        <v>0.1333</v>
      </c>
      <c r="AI505">
        <v>6.4500000000000002E-2</v>
      </c>
      <c r="AJ505">
        <v>3.9699999999999999E-2</v>
      </c>
      <c r="AK505">
        <v>1.8100000000000002E-2</v>
      </c>
      <c r="AL505">
        <v>-1.8E-3</v>
      </c>
      <c r="AM505">
        <v>7.7999999999999996E-3</v>
      </c>
      <c r="AN505">
        <v>5.1000000000000004E-3</v>
      </c>
      <c r="AO505">
        <v>2.23E-2</v>
      </c>
      <c r="AP505">
        <v>4.5499999999999999E-2</v>
      </c>
      <c r="AQ505">
        <v>3.4599999999999999E-2</v>
      </c>
      <c r="AR505">
        <v>2.0500000000000001E-2</v>
      </c>
      <c r="AS505">
        <v>1.2E-2</v>
      </c>
      <c r="AT505">
        <v>4.3900000000000002E-2</v>
      </c>
      <c r="AU505">
        <v>5.9200000000000003E-2</v>
      </c>
      <c r="AV505">
        <v>6.2399999999999997E-2</v>
      </c>
    </row>
    <row r="506" spans="1:48" x14ac:dyDescent="0.25">
      <c r="A506" t="s">
        <v>592</v>
      </c>
      <c r="B506" t="s">
        <v>2</v>
      </c>
      <c r="C506" t="s">
        <v>592</v>
      </c>
      <c r="D506">
        <v>44740</v>
      </c>
      <c r="E506" t="s">
        <v>672</v>
      </c>
      <c r="F506" t="s">
        <v>117</v>
      </c>
      <c r="G506" t="s">
        <v>670</v>
      </c>
      <c r="H506" t="s">
        <v>670</v>
      </c>
      <c r="I506" t="s">
        <v>673</v>
      </c>
      <c r="J506" t="s">
        <v>673</v>
      </c>
      <c r="K506" t="s">
        <v>673</v>
      </c>
      <c r="L506" t="s">
        <v>673</v>
      </c>
      <c r="M506" t="s">
        <v>673</v>
      </c>
      <c r="N506" t="s">
        <v>673</v>
      </c>
      <c r="O506" t="s">
        <v>673</v>
      </c>
      <c r="P506" t="s">
        <v>673</v>
      </c>
      <c r="Q506" t="s">
        <v>673</v>
      </c>
      <c r="R506" t="s">
        <v>673</v>
      </c>
      <c r="S506" t="s">
        <v>673</v>
      </c>
      <c r="T506" t="s">
        <v>673</v>
      </c>
      <c r="U506" t="s">
        <v>673</v>
      </c>
      <c r="V506" t="s">
        <v>673</v>
      </c>
      <c r="W506" t="s">
        <v>673</v>
      </c>
      <c r="X506" t="s">
        <v>673</v>
      </c>
      <c r="Y506" t="s">
        <v>673</v>
      </c>
      <c r="Z506" t="s">
        <v>673</v>
      </c>
      <c r="AA506" t="s">
        <v>673</v>
      </c>
      <c r="AB506" t="s">
        <v>673</v>
      </c>
      <c r="AC506" t="s">
        <v>673</v>
      </c>
      <c r="AD506" t="s">
        <v>673</v>
      </c>
      <c r="AE506" t="s">
        <v>673</v>
      </c>
      <c r="AF506" t="s">
        <v>673</v>
      </c>
      <c r="AG506" t="s">
        <v>673</v>
      </c>
      <c r="AH506" t="s">
        <v>673</v>
      </c>
      <c r="AI506" t="s">
        <v>673</v>
      </c>
      <c r="AJ506" t="s">
        <v>673</v>
      </c>
      <c r="AK506" t="s">
        <v>673</v>
      </c>
      <c r="AL506" t="s">
        <v>673</v>
      </c>
      <c r="AM506" t="s">
        <v>673</v>
      </c>
      <c r="AN506" t="s">
        <v>673</v>
      </c>
      <c r="AO506" t="s">
        <v>673</v>
      </c>
      <c r="AP506" t="s">
        <v>673</v>
      </c>
      <c r="AQ506" t="s">
        <v>673</v>
      </c>
      <c r="AR506" t="s">
        <v>673</v>
      </c>
      <c r="AS506" t="s">
        <v>673</v>
      </c>
      <c r="AT506" t="s">
        <v>673</v>
      </c>
      <c r="AU506" t="s">
        <v>673</v>
      </c>
      <c r="AV506" t="s">
        <v>673</v>
      </c>
    </row>
    <row r="507" spans="1:48" x14ac:dyDescent="0.25">
      <c r="A507" t="s">
        <v>593</v>
      </c>
      <c r="B507" t="s">
        <v>2</v>
      </c>
      <c r="C507" t="s">
        <v>593</v>
      </c>
      <c r="D507">
        <v>44940</v>
      </c>
      <c r="E507" t="s">
        <v>672</v>
      </c>
      <c r="F507" t="s">
        <v>117</v>
      </c>
      <c r="G507" t="s">
        <v>670</v>
      </c>
      <c r="H507" t="s">
        <v>670</v>
      </c>
      <c r="I507">
        <v>7.9799999999999996E-2</v>
      </c>
      <c r="J507">
        <v>5.6399999999999999E-2</v>
      </c>
      <c r="K507">
        <v>2.2000000000000001E-3</v>
      </c>
      <c r="L507">
        <v>2.12E-2</v>
      </c>
      <c r="M507">
        <v>1.2800000000000001E-2</v>
      </c>
      <c r="N507">
        <v>3.5700000000000003E-2</v>
      </c>
      <c r="O507">
        <v>6.6799999999999998E-2</v>
      </c>
      <c r="P507">
        <v>2.9700000000000001E-2</v>
      </c>
      <c r="Q507">
        <v>2.5399999999999999E-2</v>
      </c>
      <c r="R507">
        <v>4.1799999999999997E-2</v>
      </c>
      <c r="S507">
        <v>2.4799999999999999E-2</v>
      </c>
      <c r="T507">
        <v>7.5999999999999998E-2</v>
      </c>
      <c r="U507">
        <v>3.73E-2</v>
      </c>
      <c r="V507">
        <v>1.8499999999999999E-2</v>
      </c>
      <c r="W507">
        <v>0.03</v>
      </c>
      <c r="X507">
        <v>1.1999999999999999E-3</v>
      </c>
      <c r="Y507">
        <v>3.8800000000000001E-2</v>
      </c>
      <c r="Z507">
        <v>0.14849999999999999</v>
      </c>
      <c r="AA507">
        <v>0.1615</v>
      </c>
      <c r="AB507">
        <v>0.13880000000000001</v>
      </c>
      <c r="AC507">
        <v>0.14560000000000001</v>
      </c>
      <c r="AD507">
        <v>5.96E-2</v>
      </c>
      <c r="AE507">
        <v>6.1600000000000002E-2</v>
      </c>
      <c r="AF507">
        <v>5.8900000000000001E-2</v>
      </c>
      <c r="AG507">
        <v>6.0199999999999997E-2</v>
      </c>
      <c r="AH507">
        <v>0.11700000000000001</v>
      </c>
      <c r="AI507">
        <v>0.14749999999999999</v>
      </c>
      <c r="AJ507">
        <v>0.1585</v>
      </c>
      <c r="AK507">
        <v>0.14130000000000001</v>
      </c>
      <c r="AL507">
        <v>5.1999999999999998E-2</v>
      </c>
      <c r="AM507">
        <v>1.2500000000000001E-2</v>
      </c>
      <c r="AN507">
        <v>-1.32E-2</v>
      </c>
      <c r="AO507">
        <v>6.4999999999999997E-3</v>
      </c>
      <c r="AP507">
        <v>7.4000000000000003E-3</v>
      </c>
      <c r="AQ507">
        <v>-1.29E-2</v>
      </c>
      <c r="AR507">
        <v>-5.11E-2</v>
      </c>
      <c r="AS507">
        <v>-6.4100000000000004E-2</v>
      </c>
      <c r="AT507">
        <v>1.8200000000000001E-2</v>
      </c>
      <c r="AU507">
        <v>9.1300000000000006E-2</v>
      </c>
      <c r="AV507">
        <v>0.15229999999999999</v>
      </c>
    </row>
    <row r="508" spans="1:48" x14ac:dyDescent="0.25">
      <c r="A508" t="s">
        <v>594</v>
      </c>
      <c r="B508" t="s">
        <v>2</v>
      </c>
      <c r="C508" t="s">
        <v>594</v>
      </c>
      <c r="D508">
        <v>44980</v>
      </c>
      <c r="E508" t="s">
        <v>672</v>
      </c>
      <c r="F508" t="s">
        <v>117</v>
      </c>
      <c r="G508" t="s">
        <v>670</v>
      </c>
      <c r="H508" t="s">
        <v>670</v>
      </c>
      <c r="I508" t="s">
        <v>673</v>
      </c>
      <c r="J508" t="s">
        <v>673</v>
      </c>
      <c r="K508" t="s">
        <v>673</v>
      </c>
      <c r="L508" t="s">
        <v>673</v>
      </c>
      <c r="M508" t="s">
        <v>673</v>
      </c>
      <c r="N508" t="s">
        <v>673</v>
      </c>
      <c r="O508" t="s">
        <v>673</v>
      </c>
      <c r="P508" t="s">
        <v>673</v>
      </c>
      <c r="Q508" t="s">
        <v>673</v>
      </c>
      <c r="R508" t="s">
        <v>673</v>
      </c>
      <c r="S508" t="s">
        <v>673</v>
      </c>
      <c r="T508" t="s">
        <v>673</v>
      </c>
      <c r="U508" t="s">
        <v>673</v>
      </c>
      <c r="V508" t="s">
        <v>673</v>
      </c>
      <c r="W508" t="s">
        <v>673</v>
      </c>
      <c r="X508" t="s">
        <v>673</v>
      </c>
      <c r="Y508" t="s">
        <v>673</v>
      </c>
      <c r="Z508" t="s">
        <v>673</v>
      </c>
      <c r="AA508" t="s">
        <v>673</v>
      </c>
      <c r="AB508" t="s">
        <v>673</v>
      </c>
      <c r="AC508" t="s">
        <v>673</v>
      </c>
      <c r="AD508" t="s">
        <v>673</v>
      </c>
      <c r="AE508" t="s">
        <v>673</v>
      </c>
      <c r="AF508" t="s">
        <v>673</v>
      </c>
      <c r="AG508" t="s">
        <v>673</v>
      </c>
      <c r="AH508" t="s">
        <v>673</v>
      </c>
      <c r="AI508" t="s">
        <v>673</v>
      </c>
      <c r="AJ508" t="s">
        <v>673</v>
      </c>
      <c r="AK508" t="s">
        <v>673</v>
      </c>
      <c r="AL508" t="s">
        <v>673</v>
      </c>
      <c r="AM508" t="s">
        <v>673</v>
      </c>
      <c r="AN508" t="s">
        <v>673</v>
      </c>
      <c r="AO508" t="s">
        <v>673</v>
      </c>
      <c r="AP508" t="s">
        <v>673</v>
      </c>
      <c r="AQ508" t="s">
        <v>673</v>
      </c>
      <c r="AR508" t="s">
        <v>673</v>
      </c>
      <c r="AS508" t="s">
        <v>673</v>
      </c>
      <c r="AT508" t="s">
        <v>673</v>
      </c>
      <c r="AU508" t="s">
        <v>673</v>
      </c>
      <c r="AV508" t="s">
        <v>673</v>
      </c>
    </row>
    <row r="509" spans="1:48" x14ac:dyDescent="0.25">
      <c r="A509" t="s">
        <v>595</v>
      </c>
      <c r="B509" t="s">
        <v>2</v>
      </c>
      <c r="C509" t="s">
        <v>595</v>
      </c>
      <c r="D509">
        <v>45060</v>
      </c>
      <c r="E509" t="s">
        <v>672</v>
      </c>
      <c r="F509" t="s">
        <v>117</v>
      </c>
      <c r="G509" t="s">
        <v>670</v>
      </c>
      <c r="H509" t="s">
        <v>670</v>
      </c>
      <c r="I509">
        <v>3.73E-2</v>
      </c>
      <c r="J509">
        <v>4.3700000000000003E-2</v>
      </c>
      <c r="K509">
        <v>2.1299999999999999E-2</v>
      </c>
      <c r="L509">
        <v>2.0299999999999999E-2</v>
      </c>
      <c r="M509">
        <v>2.7099999999999999E-2</v>
      </c>
      <c r="N509">
        <v>1.5299999999999999E-2</v>
      </c>
      <c r="O509">
        <v>3.7999999999999999E-2</v>
      </c>
      <c r="P509">
        <v>3.3500000000000002E-2</v>
      </c>
      <c r="Q509">
        <v>1.7500000000000002E-2</v>
      </c>
      <c r="R509">
        <v>1.9900000000000001E-2</v>
      </c>
      <c r="S509">
        <v>4.0500000000000001E-2</v>
      </c>
      <c r="T509">
        <v>3.4700000000000002E-2</v>
      </c>
      <c r="U509">
        <v>4.2599999999999999E-2</v>
      </c>
      <c r="V509">
        <v>4.2799999999999998E-2</v>
      </c>
      <c r="W509">
        <v>3.39E-2</v>
      </c>
      <c r="X509">
        <v>3.5400000000000001E-2</v>
      </c>
      <c r="Y509">
        <v>0.03</v>
      </c>
      <c r="Z509">
        <v>3.32E-2</v>
      </c>
      <c r="AA509">
        <v>3.85E-2</v>
      </c>
      <c r="AB509">
        <v>6.0400000000000002E-2</v>
      </c>
      <c r="AC509">
        <v>6.2300000000000001E-2</v>
      </c>
      <c r="AD509">
        <v>4.8599999999999997E-2</v>
      </c>
      <c r="AE509">
        <v>4.6699999999999998E-2</v>
      </c>
      <c r="AF509">
        <v>4.5199999999999997E-2</v>
      </c>
      <c r="AG509">
        <v>6.5299999999999997E-2</v>
      </c>
      <c r="AH509">
        <v>0.1115</v>
      </c>
      <c r="AI509">
        <v>0.1469</v>
      </c>
      <c r="AJ509">
        <v>0.15959999999999999</v>
      </c>
      <c r="AK509">
        <v>0.13969999999999999</v>
      </c>
      <c r="AL509">
        <v>0.1041</v>
      </c>
      <c r="AM509">
        <v>7.46E-2</v>
      </c>
      <c r="AN509">
        <v>6.1899999999999997E-2</v>
      </c>
      <c r="AO509">
        <v>8.1500000000000003E-2</v>
      </c>
      <c r="AP509">
        <v>8.8400000000000006E-2</v>
      </c>
      <c r="AQ509">
        <v>7.17E-2</v>
      </c>
      <c r="AR509">
        <v>6.6500000000000004E-2</v>
      </c>
      <c r="AS509">
        <v>5.3999999999999999E-2</v>
      </c>
      <c r="AT509">
        <v>6.2199999999999998E-2</v>
      </c>
      <c r="AU509">
        <v>7.0699999999999999E-2</v>
      </c>
      <c r="AV509">
        <v>6.1699999999999998E-2</v>
      </c>
    </row>
    <row r="510" spans="1:48" x14ac:dyDescent="0.25">
      <c r="A510" t="s">
        <v>596</v>
      </c>
      <c r="B510" t="s">
        <v>2</v>
      </c>
      <c r="C510" t="s">
        <v>596</v>
      </c>
      <c r="D510">
        <v>45104</v>
      </c>
      <c r="E510" t="s">
        <v>672</v>
      </c>
      <c r="F510" t="s">
        <v>117</v>
      </c>
      <c r="G510" t="s">
        <v>670</v>
      </c>
      <c r="H510" t="s">
        <v>670</v>
      </c>
      <c r="I510">
        <v>8.8599999999999998E-2</v>
      </c>
      <c r="J510">
        <v>8.1000000000000003E-2</v>
      </c>
      <c r="K510">
        <v>8.8900000000000007E-2</v>
      </c>
      <c r="L510">
        <v>9.5799999999999996E-2</v>
      </c>
      <c r="M510">
        <v>9.4500000000000001E-2</v>
      </c>
      <c r="N510">
        <v>9.6199999999999994E-2</v>
      </c>
      <c r="O510">
        <v>8.5699999999999998E-2</v>
      </c>
      <c r="P510">
        <v>7.17E-2</v>
      </c>
      <c r="Q510">
        <v>7.0000000000000007E-2</v>
      </c>
      <c r="R510">
        <v>6.2E-2</v>
      </c>
      <c r="S510">
        <v>5.4399999999999997E-2</v>
      </c>
      <c r="T510">
        <v>5.91E-2</v>
      </c>
      <c r="U510">
        <v>6.0699999999999997E-2</v>
      </c>
      <c r="V510">
        <v>5.5300000000000002E-2</v>
      </c>
      <c r="W510">
        <v>7.4099999999999999E-2</v>
      </c>
      <c r="X510">
        <v>7.9600000000000004E-2</v>
      </c>
      <c r="Y510">
        <v>7.1900000000000006E-2</v>
      </c>
      <c r="Z510">
        <v>5.1499999999999997E-2</v>
      </c>
      <c r="AA510">
        <v>4.4400000000000002E-2</v>
      </c>
      <c r="AB510">
        <v>4.4900000000000002E-2</v>
      </c>
      <c r="AC510">
        <v>5.9400000000000001E-2</v>
      </c>
      <c r="AD510">
        <v>0.1036</v>
      </c>
      <c r="AE510">
        <v>0.12429999999999999</v>
      </c>
      <c r="AF510">
        <v>0.14249999999999999</v>
      </c>
      <c r="AG510">
        <v>0.13039999999999999</v>
      </c>
      <c r="AH510">
        <v>0.12720000000000001</v>
      </c>
      <c r="AI510">
        <v>0.105</v>
      </c>
      <c r="AJ510">
        <v>6.7900000000000002E-2</v>
      </c>
      <c r="AK510">
        <v>4.9500000000000002E-2</v>
      </c>
      <c r="AL510">
        <v>1.55E-2</v>
      </c>
      <c r="AM510">
        <v>-6.7999999999999996E-3</v>
      </c>
      <c r="AN510">
        <v>-3.8E-3</v>
      </c>
      <c r="AO510">
        <v>5.0000000000000001E-3</v>
      </c>
      <c r="AP510">
        <v>2.1399999999999999E-2</v>
      </c>
      <c r="AQ510">
        <v>2.4899999999999999E-2</v>
      </c>
      <c r="AR510">
        <v>1.29E-2</v>
      </c>
      <c r="AS510">
        <v>1.9800000000000002E-2</v>
      </c>
      <c r="AT510">
        <v>1.84E-2</v>
      </c>
      <c r="AU510">
        <v>1.89E-2</v>
      </c>
      <c r="AV510">
        <v>2.0799999999999999E-2</v>
      </c>
    </row>
    <row r="511" spans="1:48" x14ac:dyDescent="0.25">
      <c r="A511" t="s">
        <v>597</v>
      </c>
      <c r="B511" t="s">
        <v>2</v>
      </c>
      <c r="C511" t="s">
        <v>597</v>
      </c>
      <c r="D511">
        <v>45140</v>
      </c>
      <c r="E511" t="s">
        <v>672</v>
      </c>
      <c r="F511" t="s">
        <v>117</v>
      </c>
      <c r="G511" t="s">
        <v>670</v>
      </c>
      <c r="H511" t="s">
        <v>670</v>
      </c>
      <c r="I511" t="s">
        <v>673</v>
      </c>
      <c r="J511" t="s">
        <v>673</v>
      </c>
      <c r="K511" t="s">
        <v>673</v>
      </c>
      <c r="L511" t="s">
        <v>673</v>
      </c>
      <c r="M511" t="s">
        <v>673</v>
      </c>
      <c r="N511" t="s">
        <v>673</v>
      </c>
      <c r="O511" t="s">
        <v>673</v>
      </c>
      <c r="P511" t="s">
        <v>673</v>
      </c>
      <c r="Q511" t="s">
        <v>673</v>
      </c>
      <c r="R511" t="s">
        <v>673</v>
      </c>
      <c r="S511" t="s">
        <v>673</v>
      </c>
      <c r="T511" t="s">
        <v>673</v>
      </c>
      <c r="U511" t="s">
        <v>673</v>
      </c>
      <c r="V511" t="s">
        <v>673</v>
      </c>
      <c r="W511" t="s">
        <v>673</v>
      </c>
      <c r="X511" t="s">
        <v>673</v>
      </c>
      <c r="Y511" t="s">
        <v>673</v>
      </c>
      <c r="Z511" t="s">
        <v>673</v>
      </c>
      <c r="AA511" t="s">
        <v>673</v>
      </c>
      <c r="AB511" t="s">
        <v>673</v>
      </c>
      <c r="AC511" t="s">
        <v>673</v>
      </c>
      <c r="AD511" t="s">
        <v>673</v>
      </c>
      <c r="AE511" t="s">
        <v>673</v>
      </c>
      <c r="AF511" t="s">
        <v>673</v>
      </c>
      <c r="AG511" t="s">
        <v>673</v>
      </c>
      <c r="AH511" t="s">
        <v>673</v>
      </c>
      <c r="AI511" t="s">
        <v>673</v>
      </c>
      <c r="AJ511" t="s">
        <v>673</v>
      </c>
      <c r="AK511" t="s">
        <v>673</v>
      </c>
      <c r="AL511" t="s">
        <v>673</v>
      </c>
      <c r="AM511" t="s">
        <v>673</v>
      </c>
      <c r="AN511" t="s">
        <v>673</v>
      </c>
      <c r="AO511" t="s">
        <v>673</v>
      </c>
      <c r="AP511" t="s">
        <v>673</v>
      </c>
      <c r="AQ511" t="s">
        <v>673</v>
      </c>
      <c r="AR511" t="s">
        <v>673</v>
      </c>
      <c r="AS511" t="s">
        <v>673</v>
      </c>
      <c r="AT511" t="s">
        <v>673</v>
      </c>
      <c r="AU511" t="s">
        <v>673</v>
      </c>
      <c r="AV511" t="s">
        <v>673</v>
      </c>
    </row>
    <row r="512" spans="1:48" x14ac:dyDescent="0.25">
      <c r="A512" t="s">
        <v>598</v>
      </c>
      <c r="B512" t="s">
        <v>2</v>
      </c>
      <c r="C512" t="s">
        <v>598</v>
      </c>
      <c r="D512">
        <v>45180</v>
      </c>
      <c r="E512" t="s">
        <v>672</v>
      </c>
      <c r="F512" t="s">
        <v>117</v>
      </c>
      <c r="G512" t="s">
        <v>670</v>
      </c>
      <c r="H512" t="s">
        <v>670</v>
      </c>
      <c r="I512" t="s">
        <v>673</v>
      </c>
      <c r="J512" t="s">
        <v>673</v>
      </c>
      <c r="K512" t="s">
        <v>673</v>
      </c>
      <c r="L512" t="s">
        <v>673</v>
      </c>
      <c r="M512" t="s">
        <v>673</v>
      </c>
      <c r="N512" t="s">
        <v>673</v>
      </c>
      <c r="O512" t="s">
        <v>673</v>
      </c>
      <c r="P512" t="s">
        <v>673</v>
      </c>
      <c r="Q512" t="s">
        <v>673</v>
      </c>
      <c r="R512" t="s">
        <v>673</v>
      </c>
      <c r="S512" t="s">
        <v>673</v>
      </c>
      <c r="T512" t="s">
        <v>673</v>
      </c>
      <c r="U512" t="s">
        <v>673</v>
      </c>
      <c r="V512" t="s">
        <v>673</v>
      </c>
      <c r="W512" t="s">
        <v>673</v>
      </c>
      <c r="X512" t="s">
        <v>673</v>
      </c>
      <c r="Y512" t="s">
        <v>673</v>
      </c>
      <c r="Z512" t="s">
        <v>673</v>
      </c>
      <c r="AA512" t="s">
        <v>673</v>
      </c>
      <c r="AB512" t="s">
        <v>673</v>
      </c>
      <c r="AC512" t="s">
        <v>673</v>
      </c>
      <c r="AD512" t="s">
        <v>673</v>
      </c>
      <c r="AE512" t="s">
        <v>673</v>
      </c>
      <c r="AF512" t="s">
        <v>673</v>
      </c>
      <c r="AG512" t="s">
        <v>673</v>
      </c>
      <c r="AH512" t="s">
        <v>673</v>
      </c>
      <c r="AI512" t="s">
        <v>673</v>
      </c>
      <c r="AJ512" t="s">
        <v>673</v>
      </c>
      <c r="AK512" t="s">
        <v>673</v>
      </c>
      <c r="AL512" t="s">
        <v>673</v>
      </c>
      <c r="AM512" t="s">
        <v>673</v>
      </c>
      <c r="AN512" t="s">
        <v>673</v>
      </c>
      <c r="AO512" t="s">
        <v>673</v>
      </c>
      <c r="AP512" t="s">
        <v>673</v>
      </c>
      <c r="AQ512" t="s">
        <v>673</v>
      </c>
      <c r="AR512" t="s">
        <v>673</v>
      </c>
      <c r="AS512" t="s">
        <v>673</v>
      </c>
      <c r="AT512" t="s">
        <v>673</v>
      </c>
      <c r="AU512" t="s">
        <v>673</v>
      </c>
      <c r="AV512" t="s">
        <v>673</v>
      </c>
    </row>
    <row r="513" spans="1:48" x14ac:dyDescent="0.25">
      <c r="A513" t="s">
        <v>599</v>
      </c>
      <c r="B513" t="s">
        <v>2</v>
      </c>
      <c r="C513" t="s">
        <v>599</v>
      </c>
      <c r="D513">
        <v>45220</v>
      </c>
      <c r="E513" t="s">
        <v>672</v>
      </c>
      <c r="F513" t="s">
        <v>117</v>
      </c>
      <c r="G513" t="s">
        <v>670</v>
      </c>
      <c r="H513" t="s">
        <v>670</v>
      </c>
      <c r="I513">
        <v>-1.9300000000000001E-2</v>
      </c>
      <c r="J513">
        <v>-1.8700000000000001E-2</v>
      </c>
      <c r="K513">
        <v>-2.24E-2</v>
      </c>
      <c r="L513">
        <v>9.1000000000000004E-3</v>
      </c>
      <c r="M513">
        <v>3.6499999999999998E-2</v>
      </c>
      <c r="N513">
        <v>3.7100000000000001E-2</v>
      </c>
      <c r="O513">
        <v>6.4299999999999996E-2</v>
      </c>
      <c r="P513">
        <v>4.5199999999999997E-2</v>
      </c>
      <c r="Q513">
        <v>4.0500000000000001E-2</v>
      </c>
      <c r="R513">
        <v>1.6299999999999999E-2</v>
      </c>
      <c r="S513">
        <v>1.34E-2</v>
      </c>
      <c r="T513">
        <v>5.1299999999999998E-2</v>
      </c>
      <c r="U513">
        <v>7.9200000000000007E-2</v>
      </c>
      <c r="V513">
        <v>9.9900000000000003E-2</v>
      </c>
      <c r="W513">
        <v>0.111</v>
      </c>
      <c r="X513">
        <v>6.2799999999999995E-2</v>
      </c>
      <c r="Y513">
        <v>4.2999999999999997E-2</v>
      </c>
      <c r="Z513">
        <v>2.6100000000000002E-2</v>
      </c>
      <c r="AA513">
        <v>2.46E-2</v>
      </c>
      <c r="AB513">
        <v>3.6799999999999999E-2</v>
      </c>
      <c r="AC513">
        <v>4.3099999999999999E-2</v>
      </c>
      <c r="AD513">
        <v>7.8100000000000003E-2</v>
      </c>
      <c r="AE513">
        <v>0.1188</v>
      </c>
      <c r="AF513">
        <v>0.16309999999999999</v>
      </c>
      <c r="AG513">
        <v>0.16439999999999999</v>
      </c>
      <c r="AH513">
        <v>0.17829999999999999</v>
      </c>
      <c r="AI513">
        <v>0.1394</v>
      </c>
      <c r="AJ513">
        <v>0.122</v>
      </c>
      <c r="AK513">
        <v>0.09</v>
      </c>
      <c r="AL513">
        <v>7.3599999999999999E-2</v>
      </c>
      <c r="AM513">
        <v>4.9099999999999998E-2</v>
      </c>
      <c r="AN513">
        <v>1.8100000000000002E-2</v>
      </c>
      <c r="AO513">
        <v>3.61E-2</v>
      </c>
      <c r="AP513">
        <v>6.3E-3</v>
      </c>
      <c r="AQ513">
        <v>2.3199999999999998E-2</v>
      </c>
      <c r="AR513">
        <v>3.3700000000000001E-2</v>
      </c>
      <c r="AS513">
        <v>3.5999999999999997E-2</v>
      </c>
      <c r="AT513">
        <v>0.05</v>
      </c>
      <c r="AU513">
        <v>3.3399999999999999E-2</v>
      </c>
      <c r="AV513">
        <v>2.1999999999999999E-2</v>
      </c>
    </row>
    <row r="514" spans="1:48" x14ac:dyDescent="0.25">
      <c r="A514" t="s">
        <v>34</v>
      </c>
      <c r="B514" t="s">
        <v>2</v>
      </c>
      <c r="C514" t="s">
        <v>34</v>
      </c>
      <c r="D514">
        <v>45300</v>
      </c>
      <c r="E514" t="s">
        <v>672</v>
      </c>
      <c r="F514" t="s">
        <v>117</v>
      </c>
      <c r="G514" t="s">
        <v>670</v>
      </c>
      <c r="H514" t="s">
        <v>670</v>
      </c>
      <c r="I514">
        <v>8.3500000000000005E-2</v>
      </c>
      <c r="J514">
        <v>7.8399999999999997E-2</v>
      </c>
      <c r="K514">
        <v>7.5200000000000003E-2</v>
      </c>
      <c r="L514">
        <v>5.4800000000000001E-2</v>
      </c>
      <c r="M514">
        <v>4.7E-2</v>
      </c>
      <c r="N514">
        <v>4.6699999999999998E-2</v>
      </c>
      <c r="O514">
        <v>3.9600000000000003E-2</v>
      </c>
      <c r="P514">
        <v>4.3200000000000002E-2</v>
      </c>
      <c r="Q514">
        <v>5.3400000000000003E-2</v>
      </c>
      <c r="R514">
        <v>6.0100000000000001E-2</v>
      </c>
      <c r="S514">
        <v>7.51E-2</v>
      </c>
      <c r="T514">
        <v>7.4300000000000005E-2</v>
      </c>
      <c r="U514">
        <v>6.3899999999999998E-2</v>
      </c>
      <c r="V514">
        <v>5.3400000000000003E-2</v>
      </c>
      <c r="W514">
        <v>3.85E-2</v>
      </c>
      <c r="X514">
        <v>3.6499999999999998E-2</v>
      </c>
      <c r="Y514">
        <v>3.95E-2</v>
      </c>
      <c r="Z514">
        <v>1.3299999999999999E-2</v>
      </c>
      <c r="AA514">
        <v>1.9900000000000001E-2</v>
      </c>
      <c r="AB514">
        <v>3.49E-2</v>
      </c>
      <c r="AC514">
        <v>5.2900000000000003E-2</v>
      </c>
      <c r="AD514">
        <v>0.13089999999999999</v>
      </c>
      <c r="AE514">
        <v>0.22600000000000001</v>
      </c>
      <c r="AF514">
        <v>0.28339999999999999</v>
      </c>
      <c r="AG514">
        <v>0.29070000000000001</v>
      </c>
      <c r="AH514">
        <v>0.26169999999999999</v>
      </c>
      <c r="AI514">
        <v>0.17180000000000001</v>
      </c>
      <c r="AJ514">
        <v>9.4E-2</v>
      </c>
      <c r="AK514">
        <v>6.0499999999999998E-2</v>
      </c>
      <c r="AL514">
        <v>2.7099999999999999E-2</v>
      </c>
      <c r="AM514">
        <v>8.0999999999999996E-3</v>
      </c>
      <c r="AN514">
        <v>-2.0000000000000001E-4</v>
      </c>
      <c r="AO514">
        <v>-1.17E-2</v>
      </c>
      <c r="AP514">
        <v>-1.5699999999999999E-2</v>
      </c>
      <c r="AQ514">
        <v>-2.7099999999999999E-2</v>
      </c>
      <c r="AR514">
        <v>4.0000000000000002E-4</v>
      </c>
      <c r="AS514">
        <v>2.1299999999999999E-2</v>
      </c>
      <c r="AT514">
        <v>1.9099999999999999E-2</v>
      </c>
      <c r="AU514">
        <v>1.2500000000000001E-2</v>
      </c>
      <c r="AV514">
        <v>-1.9099999999999999E-2</v>
      </c>
    </row>
    <row r="515" spans="1:48" x14ac:dyDescent="0.25">
      <c r="A515" t="s">
        <v>600</v>
      </c>
      <c r="B515" t="s">
        <v>2</v>
      </c>
      <c r="C515" t="s">
        <v>600</v>
      </c>
      <c r="D515">
        <v>45460</v>
      </c>
      <c r="E515" t="s">
        <v>672</v>
      </c>
      <c r="F515" t="s">
        <v>117</v>
      </c>
      <c r="G515" t="s">
        <v>670</v>
      </c>
      <c r="H515" t="s">
        <v>670</v>
      </c>
      <c r="I515">
        <v>-3.9800000000000002E-2</v>
      </c>
      <c r="J515">
        <v>-5.67E-2</v>
      </c>
      <c r="K515">
        <v>-1.7299999999999999E-2</v>
      </c>
      <c r="L515">
        <v>-1.1299999999999999E-2</v>
      </c>
      <c r="M515">
        <v>-5.1000000000000004E-3</v>
      </c>
      <c r="N515">
        <v>4.4600000000000001E-2</v>
      </c>
      <c r="O515">
        <v>2.7900000000000001E-2</v>
      </c>
      <c r="P515">
        <v>-2.2200000000000001E-2</v>
      </c>
      <c r="Q515">
        <v>3.3099999999999997E-2</v>
      </c>
      <c r="R515">
        <v>-4.5999999999999999E-3</v>
      </c>
      <c r="S515">
        <v>1.46E-2</v>
      </c>
      <c r="T515">
        <v>-3.3E-3</v>
      </c>
      <c r="U515">
        <v>-3.7000000000000002E-3</v>
      </c>
      <c r="V515">
        <v>1.7999999999999999E-2</v>
      </c>
      <c r="W515">
        <v>-7.0900000000000005E-2</v>
      </c>
      <c r="X515">
        <v>-2.5999999999999999E-2</v>
      </c>
      <c r="Y515">
        <v>2.9999999999999997E-4</v>
      </c>
      <c r="Z515">
        <v>-9.4999999999999998E-3</v>
      </c>
      <c r="AA515">
        <v>5.9200000000000003E-2</v>
      </c>
      <c r="AB515">
        <v>5.3900000000000003E-2</v>
      </c>
      <c r="AC515">
        <v>4.5999999999999999E-2</v>
      </c>
      <c r="AD515">
        <v>9.4500000000000001E-2</v>
      </c>
      <c r="AE515">
        <v>0.1696</v>
      </c>
      <c r="AF515">
        <v>-6.1699999999999998E-2</v>
      </c>
      <c r="AG515">
        <v>-9.9699999999999997E-2</v>
      </c>
      <c r="AH515">
        <v>-0.13719999999999999</v>
      </c>
      <c r="AI515">
        <v>-0.1769</v>
      </c>
      <c r="AJ515">
        <v>3.0499999999999999E-2</v>
      </c>
      <c r="AK515">
        <v>3.5099999999999999E-2</v>
      </c>
      <c r="AL515">
        <v>3.6799999999999999E-2</v>
      </c>
      <c r="AM515">
        <v>4.2099999999999999E-2</v>
      </c>
      <c r="AN515">
        <v>6.0699999999999997E-2</v>
      </c>
      <c r="AO515">
        <v>4.9099999999999998E-2</v>
      </c>
      <c r="AP515">
        <v>6.93E-2</v>
      </c>
      <c r="AQ515">
        <v>5.45E-2</v>
      </c>
      <c r="AR515">
        <v>3.8199999999999998E-2</v>
      </c>
      <c r="AS515">
        <v>6.6799999999999998E-2</v>
      </c>
      <c r="AT515">
        <v>6.7500000000000004E-2</v>
      </c>
      <c r="AU515">
        <v>7.7100000000000002E-2</v>
      </c>
      <c r="AV515">
        <v>5.3400000000000003E-2</v>
      </c>
    </row>
    <row r="516" spans="1:48" x14ac:dyDescent="0.25">
      <c r="A516" t="s">
        <v>601</v>
      </c>
      <c r="B516" t="s">
        <v>2</v>
      </c>
      <c r="C516" t="s">
        <v>601</v>
      </c>
      <c r="D516">
        <v>45500</v>
      </c>
      <c r="E516" t="s">
        <v>672</v>
      </c>
      <c r="F516" t="s">
        <v>117</v>
      </c>
      <c r="G516" t="s">
        <v>670</v>
      </c>
      <c r="H516" t="s">
        <v>670</v>
      </c>
      <c r="I516">
        <v>-5.7999999999999996E-3</v>
      </c>
      <c r="J516">
        <v>1.1999999999999999E-3</v>
      </c>
      <c r="K516">
        <v>-4.2000000000000003E-2</v>
      </c>
      <c r="L516">
        <v>0.1118</v>
      </c>
      <c r="M516">
        <v>6.0299999999999999E-2</v>
      </c>
      <c r="N516">
        <v>8.5400000000000004E-2</v>
      </c>
      <c r="O516">
        <v>0.15429999999999999</v>
      </c>
      <c r="P516">
        <v>-5.3E-3</v>
      </c>
      <c r="Q516">
        <v>2.87E-2</v>
      </c>
      <c r="R516">
        <v>2.9000000000000001E-2</v>
      </c>
      <c r="S516">
        <v>2.2599999999999999E-2</v>
      </c>
      <c r="T516">
        <v>2.8E-3</v>
      </c>
      <c r="U516">
        <v>1.49E-2</v>
      </c>
      <c r="V516">
        <v>2.8999999999999998E-3</v>
      </c>
      <c r="W516">
        <v>4.19E-2</v>
      </c>
      <c r="X516">
        <v>7.7899999999999997E-2</v>
      </c>
      <c r="Y516">
        <v>5.0999999999999997E-2</v>
      </c>
      <c r="Z516">
        <v>6.88E-2</v>
      </c>
      <c r="AA516">
        <v>6.7199999999999996E-2</v>
      </c>
      <c r="AB516">
        <v>6.5500000000000003E-2</v>
      </c>
      <c r="AC516">
        <v>7.4999999999999997E-2</v>
      </c>
      <c r="AD516">
        <v>5.8799999999999998E-2</v>
      </c>
      <c r="AE516">
        <v>5.4300000000000001E-2</v>
      </c>
      <c r="AF516">
        <v>9.5399999999999999E-2</v>
      </c>
      <c r="AG516">
        <v>0.11269999999999999</v>
      </c>
      <c r="AH516">
        <v>0.13919999999999999</v>
      </c>
      <c r="AI516">
        <v>0.15210000000000001</v>
      </c>
      <c r="AJ516">
        <v>7.9799999999999996E-2</v>
      </c>
      <c r="AK516">
        <v>7.2999999999999995E-2</v>
      </c>
      <c r="AL516">
        <v>6.2300000000000001E-2</v>
      </c>
      <c r="AM516">
        <v>8.7400000000000005E-2</v>
      </c>
      <c r="AN516">
        <v>8.48E-2</v>
      </c>
      <c r="AO516">
        <v>4.6300000000000001E-2</v>
      </c>
      <c r="AP516">
        <v>1.6299999999999999E-2</v>
      </c>
      <c r="AQ516">
        <v>-2.81E-2</v>
      </c>
      <c r="AR516">
        <v>-1.5100000000000001E-2</v>
      </c>
      <c r="AS516">
        <v>1.9599999999999999E-2</v>
      </c>
      <c r="AT516">
        <v>6.5799999999999997E-2</v>
      </c>
      <c r="AU516">
        <v>5.6899999999999999E-2</v>
      </c>
      <c r="AV516">
        <v>0.1003</v>
      </c>
    </row>
    <row r="517" spans="1:48" x14ac:dyDescent="0.25">
      <c r="A517" t="s">
        <v>602</v>
      </c>
      <c r="B517" t="s">
        <v>2</v>
      </c>
      <c r="C517" t="s">
        <v>602</v>
      </c>
      <c r="D517">
        <v>45620</v>
      </c>
      <c r="E517" t="s">
        <v>672</v>
      </c>
      <c r="F517" t="s">
        <v>117</v>
      </c>
      <c r="G517" t="s">
        <v>670</v>
      </c>
      <c r="H517" t="s">
        <v>670</v>
      </c>
      <c r="I517">
        <v>6.1800000000000001E-2</v>
      </c>
      <c r="J517">
        <v>2.5600000000000001E-2</v>
      </c>
      <c r="K517" t="s">
        <v>673</v>
      </c>
      <c r="L517" t="s">
        <v>673</v>
      </c>
      <c r="M517">
        <v>0.05</v>
      </c>
      <c r="N517">
        <v>8.6999999999999994E-3</v>
      </c>
      <c r="O517">
        <v>-5.3499999999999999E-2</v>
      </c>
      <c r="P517">
        <v>-6.4699999999999994E-2</v>
      </c>
      <c r="Q517">
        <v>-1.0200000000000001E-2</v>
      </c>
      <c r="R517">
        <v>5.9299999999999999E-2</v>
      </c>
      <c r="S517">
        <v>3.9600000000000003E-2</v>
      </c>
      <c r="T517">
        <v>5.2699999999999997E-2</v>
      </c>
      <c r="U517">
        <v>4.2200000000000001E-2</v>
      </c>
      <c r="V517">
        <v>2.7699999999999999E-2</v>
      </c>
      <c r="W517">
        <v>1.6500000000000001E-2</v>
      </c>
      <c r="X517">
        <v>1.3599999999999999E-2</v>
      </c>
      <c r="Y517">
        <v>2.3800000000000002E-2</v>
      </c>
      <c r="Z517">
        <v>7.4000000000000003E-3</v>
      </c>
      <c r="AA517">
        <v>1.77E-2</v>
      </c>
      <c r="AB517">
        <v>1.4500000000000001E-2</v>
      </c>
      <c r="AC517">
        <v>5.3400000000000003E-2</v>
      </c>
      <c r="AD517">
        <v>8.7999999999999995E-2</v>
      </c>
      <c r="AE517">
        <v>0.1157</v>
      </c>
      <c r="AF517">
        <v>0.16550000000000001</v>
      </c>
      <c r="AG517">
        <v>0.15210000000000001</v>
      </c>
      <c r="AH517">
        <v>0.16250000000000001</v>
      </c>
      <c r="AI517">
        <v>0.1492</v>
      </c>
      <c r="AJ517">
        <v>8.5999999999999993E-2</v>
      </c>
      <c r="AK517">
        <v>5.3800000000000001E-2</v>
      </c>
      <c r="AL517">
        <v>-5.4000000000000003E-3</v>
      </c>
      <c r="AM517">
        <v>-0.01</v>
      </c>
      <c r="AN517">
        <v>1.12E-2</v>
      </c>
      <c r="AO517">
        <v>5.4300000000000001E-2</v>
      </c>
      <c r="AP517">
        <v>8.1000000000000003E-2</v>
      </c>
      <c r="AQ517">
        <v>8.0600000000000005E-2</v>
      </c>
      <c r="AR517">
        <v>0.1003</v>
      </c>
      <c r="AS517">
        <v>0.1084</v>
      </c>
      <c r="AT517">
        <v>0.108</v>
      </c>
      <c r="AU517">
        <v>8.1699999999999995E-2</v>
      </c>
      <c r="AV517">
        <v>5.28E-2</v>
      </c>
    </row>
    <row r="518" spans="1:48" x14ac:dyDescent="0.25">
      <c r="A518" t="s">
        <v>603</v>
      </c>
      <c r="B518" t="s">
        <v>2</v>
      </c>
      <c r="C518" t="s">
        <v>603</v>
      </c>
      <c r="D518">
        <v>45700</v>
      </c>
      <c r="E518" t="s">
        <v>672</v>
      </c>
      <c r="F518" t="s">
        <v>117</v>
      </c>
      <c r="G518" t="s">
        <v>670</v>
      </c>
      <c r="H518" t="s">
        <v>670</v>
      </c>
      <c r="I518" t="s">
        <v>673</v>
      </c>
      <c r="J518" t="s">
        <v>673</v>
      </c>
      <c r="K518">
        <v>9.7900000000000001E-2</v>
      </c>
      <c r="L518" t="s">
        <v>673</v>
      </c>
      <c r="M518">
        <v>0.1178</v>
      </c>
      <c r="N518">
        <v>0.1108</v>
      </c>
      <c r="O518">
        <v>4.8000000000000001E-2</v>
      </c>
      <c r="P518">
        <v>4.2799999999999998E-2</v>
      </c>
      <c r="Q518">
        <v>3.1E-2</v>
      </c>
      <c r="R518">
        <v>2.3900000000000001E-2</v>
      </c>
      <c r="S518">
        <v>1.1900000000000001E-2</v>
      </c>
      <c r="T518">
        <v>8.0000000000000004E-4</v>
      </c>
      <c r="U518">
        <v>1.5100000000000001E-2</v>
      </c>
      <c r="V518">
        <v>-1.6999999999999999E-3</v>
      </c>
      <c r="W518">
        <v>-1.6199999999999999E-2</v>
      </c>
      <c r="X518">
        <v>-1.43E-2</v>
      </c>
      <c r="Y518">
        <v>-1.4500000000000001E-2</v>
      </c>
      <c r="Z518">
        <v>1.5E-3</v>
      </c>
      <c r="AA518">
        <v>1.7399999999999999E-2</v>
      </c>
      <c r="AB518">
        <v>5.5100000000000003E-2</v>
      </c>
      <c r="AC518">
        <v>0.22409999999999999</v>
      </c>
      <c r="AD518">
        <v>0.24399999999999999</v>
      </c>
      <c r="AE518">
        <v>0.23119999999999999</v>
      </c>
      <c r="AF518">
        <v>0.21010000000000001</v>
      </c>
      <c r="AG518">
        <v>3.6900000000000002E-2</v>
      </c>
      <c r="AH518">
        <v>1.8700000000000001E-2</v>
      </c>
      <c r="AI518">
        <v>3.7900000000000003E-2</v>
      </c>
      <c r="AJ518" t="s">
        <v>673</v>
      </c>
      <c r="AK518" t="s">
        <v>673</v>
      </c>
      <c r="AL518" t="s">
        <v>673</v>
      </c>
      <c r="AM518" t="s">
        <v>673</v>
      </c>
      <c r="AN518" t="s">
        <v>673</v>
      </c>
      <c r="AO518" t="s">
        <v>673</v>
      </c>
      <c r="AP518" t="s">
        <v>673</v>
      </c>
      <c r="AQ518" t="s">
        <v>673</v>
      </c>
      <c r="AR518">
        <v>0.1109</v>
      </c>
      <c r="AS518">
        <v>0.1032</v>
      </c>
      <c r="AT518">
        <v>0.1125</v>
      </c>
      <c r="AU518" t="s">
        <v>673</v>
      </c>
      <c r="AV518" t="s">
        <v>673</v>
      </c>
    </row>
    <row r="519" spans="1:48" x14ac:dyDescent="0.25">
      <c r="A519" t="s">
        <v>604</v>
      </c>
      <c r="B519" t="s">
        <v>2</v>
      </c>
      <c r="C519" t="s">
        <v>604</v>
      </c>
      <c r="D519">
        <v>45780</v>
      </c>
      <c r="E519" t="s">
        <v>672</v>
      </c>
      <c r="F519" t="s">
        <v>117</v>
      </c>
      <c r="G519" t="s">
        <v>670</v>
      </c>
      <c r="H519" t="s">
        <v>670</v>
      </c>
      <c r="I519">
        <v>3.2399999999999998E-2</v>
      </c>
      <c r="J519">
        <v>5.21E-2</v>
      </c>
      <c r="K519">
        <v>3.7699999999999997E-2</v>
      </c>
      <c r="L519">
        <v>1.3299999999999999E-2</v>
      </c>
      <c r="M519">
        <v>-1.8E-3</v>
      </c>
      <c r="N519">
        <v>-2.1100000000000001E-2</v>
      </c>
      <c r="O519">
        <v>-1.8499999999999999E-2</v>
      </c>
      <c r="P519">
        <v>1.2999999999999999E-3</v>
      </c>
      <c r="Q519">
        <v>4.3900000000000002E-2</v>
      </c>
      <c r="R519">
        <v>5.1499999999999997E-2</v>
      </c>
      <c r="S519">
        <v>4.87E-2</v>
      </c>
      <c r="T519">
        <v>5.8299999999999998E-2</v>
      </c>
      <c r="U519">
        <v>2.7699999999999999E-2</v>
      </c>
      <c r="V519">
        <v>1.84E-2</v>
      </c>
      <c r="W519">
        <v>4.6800000000000001E-2</v>
      </c>
      <c r="X519">
        <v>3.1800000000000002E-2</v>
      </c>
      <c r="Y519">
        <v>3.8399999999999997E-2</v>
      </c>
      <c r="Z519">
        <v>3.2500000000000001E-2</v>
      </c>
      <c r="AA519">
        <v>1.9800000000000002E-2</v>
      </c>
      <c r="AB519">
        <v>2.64E-2</v>
      </c>
      <c r="AC519">
        <v>3.7499999999999999E-2</v>
      </c>
      <c r="AD519">
        <v>6.08E-2</v>
      </c>
      <c r="AE519">
        <v>9.0899999999999995E-2</v>
      </c>
      <c r="AF519">
        <v>0.1188</v>
      </c>
      <c r="AG519">
        <v>0.12889999999999999</v>
      </c>
      <c r="AH519">
        <v>0.15049999999999999</v>
      </c>
      <c r="AI519">
        <v>0.13730000000000001</v>
      </c>
      <c r="AJ519">
        <v>0.1085</v>
      </c>
      <c r="AK519">
        <v>7.1499999999999994E-2</v>
      </c>
      <c r="AL519">
        <v>6.0600000000000001E-2</v>
      </c>
      <c r="AM519">
        <v>5.28E-2</v>
      </c>
      <c r="AN519">
        <v>5.2999999999999999E-2</v>
      </c>
      <c r="AO519">
        <v>5.6099999999999997E-2</v>
      </c>
      <c r="AP519">
        <v>3.95E-2</v>
      </c>
      <c r="AQ519">
        <v>1.6199999999999999E-2</v>
      </c>
      <c r="AR519">
        <v>1.47E-2</v>
      </c>
      <c r="AS519">
        <v>2.5499999999999998E-2</v>
      </c>
      <c r="AT519">
        <v>2.2599999999999999E-2</v>
      </c>
      <c r="AU519">
        <v>2.8500000000000001E-2</v>
      </c>
      <c r="AV519">
        <v>2.6800000000000001E-2</v>
      </c>
    </row>
    <row r="520" spans="1:48" x14ac:dyDescent="0.25">
      <c r="A520" t="s">
        <v>605</v>
      </c>
      <c r="B520" t="s">
        <v>2</v>
      </c>
      <c r="C520" t="s">
        <v>605</v>
      </c>
      <c r="D520">
        <v>45820</v>
      </c>
      <c r="E520" t="s">
        <v>672</v>
      </c>
      <c r="F520" t="s">
        <v>117</v>
      </c>
      <c r="G520" t="s">
        <v>670</v>
      </c>
      <c r="H520" t="s">
        <v>670</v>
      </c>
      <c r="I520">
        <v>5.2699999999999997E-2</v>
      </c>
      <c r="J520">
        <v>1.26E-2</v>
      </c>
      <c r="K520">
        <v>3.56E-2</v>
      </c>
      <c r="L520">
        <v>1.78E-2</v>
      </c>
      <c r="M520">
        <v>2.8299999999999999E-2</v>
      </c>
      <c r="N520">
        <v>4.8500000000000001E-2</v>
      </c>
      <c r="O520">
        <v>3.6299999999999999E-2</v>
      </c>
      <c r="P520">
        <v>2.8500000000000001E-2</v>
      </c>
      <c r="Q520">
        <v>1.67E-2</v>
      </c>
      <c r="R520">
        <v>2.5000000000000001E-2</v>
      </c>
      <c r="S520">
        <v>4.6300000000000001E-2</v>
      </c>
      <c r="T520">
        <v>4.3200000000000002E-2</v>
      </c>
      <c r="U520">
        <v>7.5899999999999995E-2</v>
      </c>
      <c r="V520">
        <v>8.1799999999999998E-2</v>
      </c>
      <c r="W520">
        <v>1.47E-2</v>
      </c>
      <c r="X520">
        <v>3.6400000000000002E-2</v>
      </c>
      <c r="Y520">
        <v>-4.0000000000000002E-4</v>
      </c>
      <c r="Z520">
        <v>-1.3599999999999999E-2</v>
      </c>
      <c r="AA520">
        <v>5.3600000000000002E-2</v>
      </c>
      <c r="AB520">
        <v>2.8899999999999999E-2</v>
      </c>
      <c r="AC520">
        <v>2.01E-2</v>
      </c>
      <c r="AD520">
        <v>3.85E-2</v>
      </c>
      <c r="AE520">
        <v>2.1100000000000001E-2</v>
      </c>
      <c r="AF520">
        <v>7.0999999999999994E-2</v>
      </c>
      <c r="AG520">
        <v>8.7300000000000003E-2</v>
      </c>
      <c r="AH520">
        <v>8.4000000000000005E-2</v>
      </c>
      <c r="AI520">
        <v>0.10100000000000001</v>
      </c>
      <c r="AJ520">
        <v>6.1899999999999997E-2</v>
      </c>
      <c r="AK520">
        <v>6.2300000000000001E-2</v>
      </c>
      <c r="AL520">
        <v>4.4400000000000002E-2</v>
      </c>
      <c r="AM520">
        <v>2.01E-2</v>
      </c>
      <c r="AN520">
        <v>3.2500000000000001E-2</v>
      </c>
      <c r="AO520">
        <v>3.3799999999999997E-2</v>
      </c>
      <c r="AP520">
        <v>8.2100000000000006E-2</v>
      </c>
      <c r="AQ520">
        <v>8.0500000000000002E-2</v>
      </c>
      <c r="AR520">
        <v>7.4499999999999997E-2</v>
      </c>
      <c r="AS520">
        <v>7.8700000000000006E-2</v>
      </c>
      <c r="AT520">
        <v>7.6300000000000007E-2</v>
      </c>
      <c r="AU520">
        <v>8.4000000000000005E-2</v>
      </c>
      <c r="AV520">
        <v>8.3000000000000004E-2</v>
      </c>
    </row>
    <row r="521" spans="1:48" x14ac:dyDescent="0.25">
      <c r="A521" t="s">
        <v>606</v>
      </c>
      <c r="B521" t="s">
        <v>2</v>
      </c>
      <c r="C521" t="s">
        <v>606</v>
      </c>
      <c r="D521">
        <v>45880</v>
      </c>
      <c r="E521" t="s">
        <v>672</v>
      </c>
      <c r="F521" t="s">
        <v>117</v>
      </c>
      <c r="G521" t="s">
        <v>670</v>
      </c>
      <c r="H521" t="s">
        <v>670</v>
      </c>
      <c r="I521" t="s">
        <v>673</v>
      </c>
      <c r="J521" t="s">
        <v>673</v>
      </c>
      <c r="K521" t="s">
        <v>673</v>
      </c>
      <c r="L521" t="s">
        <v>673</v>
      </c>
      <c r="M521" t="s">
        <v>673</v>
      </c>
      <c r="N521" t="s">
        <v>673</v>
      </c>
      <c r="O521" t="s">
        <v>673</v>
      </c>
      <c r="P521" t="s">
        <v>673</v>
      </c>
      <c r="Q521" t="s">
        <v>673</v>
      </c>
      <c r="R521" t="s">
        <v>673</v>
      </c>
      <c r="S521" t="s">
        <v>673</v>
      </c>
      <c r="T521" t="s">
        <v>673</v>
      </c>
      <c r="U521" t="s">
        <v>673</v>
      </c>
      <c r="V521" t="s">
        <v>673</v>
      </c>
      <c r="W521" t="s">
        <v>673</v>
      </c>
      <c r="X521" t="s">
        <v>673</v>
      </c>
      <c r="Y521" t="s">
        <v>673</v>
      </c>
      <c r="Z521" t="s">
        <v>673</v>
      </c>
      <c r="AA521" t="s">
        <v>673</v>
      </c>
      <c r="AB521" t="s">
        <v>673</v>
      </c>
      <c r="AC521" t="s">
        <v>673</v>
      </c>
      <c r="AD521" t="s">
        <v>673</v>
      </c>
      <c r="AE521" t="s">
        <v>673</v>
      </c>
      <c r="AF521" t="s">
        <v>673</v>
      </c>
      <c r="AG521" t="s">
        <v>673</v>
      </c>
      <c r="AH521" t="s">
        <v>673</v>
      </c>
      <c r="AI521" t="s">
        <v>673</v>
      </c>
      <c r="AJ521" t="s">
        <v>673</v>
      </c>
      <c r="AK521" t="s">
        <v>673</v>
      </c>
      <c r="AL521" t="s">
        <v>673</v>
      </c>
      <c r="AM521" t="s">
        <v>673</v>
      </c>
      <c r="AN521" t="s">
        <v>673</v>
      </c>
      <c r="AO521" t="s">
        <v>673</v>
      </c>
      <c r="AP521" t="s">
        <v>673</v>
      </c>
      <c r="AQ521" t="s">
        <v>673</v>
      </c>
      <c r="AR521" t="s">
        <v>673</v>
      </c>
      <c r="AS521" t="s">
        <v>673</v>
      </c>
      <c r="AT521" t="s">
        <v>673</v>
      </c>
      <c r="AU521" t="s">
        <v>673</v>
      </c>
      <c r="AV521" t="s">
        <v>673</v>
      </c>
    </row>
    <row r="522" spans="1:48" x14ac:dyDescent="0.25">
      <c r="A522" t="s">
        <v>607</v>
      </c>
      <c r="B522" t="s">
        <v>2</v>
      </c>
      <c r="C522" t="s">
        <v>607</v>
      </c>
      <c r="D522">
        <v>45900</v>
      </c>
      <c r="E522" t="s">
        <v>672</v>
      </c>
      <c r="F522" t="s">
        <v>117</v>
      </c>
      <c r="G522" t="s">
        <v>670</v>
      </c>
      <c r="H522" t="s">
        <v>670</v>
      </c>
      <c r="I522">
        <v>6.3600000000000004E-2</v>
      </c>
      <c r="J522">
        <v>7.3300000000000004E-2</v>
      </c>
      <c r="K522">
        <v>6.5600000000000006E-2</v>
      </c>
      <c r="L522">
        <v>4.99E-2</v>
      </c>
      <c r="M522">
        <v>1.8599999999999998E-2</v>
      </c>
      <c r="N522">
        <v>4.1000000000000003E-3</v>
      </c>
      <c r="O522">
        <v>6.8999999999999999E-3</v>
      </c>
      <c r="P522">
        <v>1.7399999999999999E-2</v>
      </c>
      <c r="Q522">
        <v>2.41E-2</v>
      </c>
      <c r="R522">
        <v>8.9999999999999993E-3</v>
      </c>
      <c r="S522">
        <v>-3.1800000000000002E-2</v>
      </c>
      <c r="T522">
        <v>-4.4200000000000003E-2</v>
      </c>
      <c r="U522">
        <v>-4.9599999999999998E-2</v>
      </c>
      <c r="V522">
        <v>1.8200000000000001E-2</v>
      </c>
      <c r="W522">
        <v>5.4199999999999998E-2</v>
      </c>
      <c r="X522">
        <v>8.4400000000000003E-2</v>
      </c>
      <c r="Y522">
        <v>9.9900000000000003E-2</v>
      </c>
      <c r="Z522">
        <v>4.7199999999999999E-2</v>
      </c>
      <c r="AA522">
        <v>8.4199999999999997E-2</v>
      </c>
      <c r="AB522">
        <v>9.3399999999999997E-2</v>
      </c>
      <c r="AC522">
        <v>8.8800000000000004E-2</v>
      </c>
      <c r="AD522">
        <v>9.1999999999999998E-2</v>
      </c>
      <c r="AE522">
        <v>5.7200000000000001E-2</v>
      </c>
      <c r="AF522">
        <v>2.87E-2</v>
      </c>
      <c r="AG522">
        <v>6.3200000000000006E-2</v>
      </c>
      <c r="AH522">
        <v>7.8E-2</v>
      </c>
      <c r="AI522">
        <v>0.17799999999999999</v>
      </c>
      <c r="AJ522">
        <v>0.28710000000000002</v>
      </c>
      <c r="AK522">
        <v>0.1908</v>
      </c>
      <c r="AL522">
        <v>0.25790000000000002</v>
      </c>
      <c r="AM522">
        <v>0.18820000000000001</v>
      </c>
      <c r="AN522">
        <v>6.25E-2</v>
      </c>
      <c r="AO522">
        <v>0.1552</v>
      </c>
      <c r="AP522">
        <v>9.64E-2</v>
      </c>
      <c r="AQ522">
        <v>1.1599999999999999E-2</v>
      </c>
      <c r="AR522">
        <v>4.1399999999999999E-2</v>
      </c>
      <c r="AS522">
        <v>3.5999999999999999E-3</v>
      </c>
      <c r="AT522">
        <v>2.63E-2</v>
      </c>
      <c r="AU522">
        <v>0.11219999999999999</v>
      </c>
      <c r="AV522">
        <v>9.4600000000000004E-2</v>
      </c>
    </row>
    <row r="523" spans="1:48" x14ac:dyDescent="0.25">
      <c r="A523" t="s">
        <v>608</v>
      </c>
      <c r="B523" t="s">
        <v>2</v>
      </c>
      <c r="C523" t="s">
        <v>608</v>
      </c>
      <c r="D523">
        <v>45940</v>
      </c>
      <c r="E523" t="s">
        <v>672</v>
      </c>
      <c r="F523" t="s">
        <v>117</v>
      </c>
      <c r="G523" t="s">
        <v>670</v>
      </c>
      <c r="H523" t="s">
        <v>670</v>
      </c>
      <c r="I523">
        <v>-1.2699999999999999E-2</v>
      </c>
      <c r="J523">
        <v>2.5700000000000001E-2</v>
      </c>
      <c r="K523">
        <v>6.8699999999999997E-2</v>
      </c>
      <c r="L523">
        <v>7.9299999999999995E-2</v>
      </c>
      <c r="M523">
        <v>6.4399999999999999E-2</v>
      </c>
      <c r="N523">
        <v>4.8399999999999999E-2</v>
      </c>
      <c r="O523">
        <v>1.9800000000000002E-2</v>
      </c>
      <c r="P523">
        <v>2.41E-2</v>
      </c>
      <c r="Q523">
        <v>5.4899999999999997E-2</v>
      </c>
      <c r="R523">
        <v>6.59E-2</v>
      </c>
      <c r="S523">
        <v>4.87E-2</v>
      </c>
      <c r="T523">
        <v>3.0700000000000002E-2</v>
      </c>
      <c r="U523">
        <v>1.66E-2</v>
      </c>
      <c r="V523">
        <v>1.26E-2</v>
      </c>
      <c r="W523">
        <v>2.9000000000000001E-2</v>
      </c>
      <c r="X523">
        <v>4.7500000000000001E-2</v>
      </c>
      <c r="Y523">
        <v>5.7099999999999998E-2</v>
      </c>
      <c r="Z523">
        <v>3.2500000000000001E-2</v>
      </c>
      <c r="AA523">
        <v>1.26E-2</v>
      </c>
      <c r="AB523">
        <v>1.2200000000000001E-2</v>
      </c>
      <c r="AC523">
        <v>-5.0000000000000001E-4</v>
      </c>
      <c r="AD523">
        <v>3.1099999999999999E-2</v>
      </c>
      <c r="AE523">
        <v>6.6400000000000001E-2</v>
      </c>
      <c r="AF523">
        <v>0.1308</v>
      </c>
      <c r="AG523">
        <v>0.16109999999999999</v>
      </c>
      <c r="AH523">
        <v>0.1769</v>
      </c>
      <c r="AI523">
        <v>0.15989999999999999</v>
      </c>
      <c r="AJ523">
        <v>0.1046</v>
      </c>
      <c r="AK523">
        <v>9.1600000000000001E-2</v>
      </c>
      <c r="AL523">
        <v>7.4800000000000005E-2</v>
      </c>
      <c r="AM523">
        <v>0.15909999999999999</v>
      </c>
      <c r="AN523">
        <v>0.1507</v>
      </c>
      <c r="AO523">
        <v>0.12759999999999999</v>
      </c>
      <c r="AP523">
        <v>0.114</v>
      </c>
      <c r="AQ523">
        <v>1.0500000000000001E-2</v>
      </c>
      <c r="AR523">
        <v>-3.3E-3</v>
      </c>
      <c r="AS523">
        <v>1.46E-2</v>
      </c>
      <c r="AT523">
        <v>5.7299999999999997E-2</v>
      </c>
      <c r="AU523">
        <v>6.0900000000000003E-2</v>
      </c>
      <c r="AV523">
        <v>5.0799999999999998E-2</v>
      </c>
    </row>
    <row r="524" spans="1:48" x14ac:dyDescent="0.25">
      <c r="A524" t="s">
        <v>609</v>
      </c>
      <c r="B524" t="s">
        <v>2</v>
      </c>
      <c r="C524" t="s">
        <v>609</v>
      </c>
      <c r="D524">
        <v>45980</v>
      </c>
      <c r="E524" t="s">
        <v>672</v>
      </c>
      <c r="F524" t="s">
        <v>117</v>
      </c>
      <c r="G524" t="s">
        <v>670</v>
      </c>
      <c r="H524" t="s">
        <v>670</v>
      </c>
      <c r="I524" t="s">
        <v>673</v>
      </c>
      <c r="J524" t="s">
        <v>673</v>
      </c>
      <c r="K524" t="s">
        <v>673</v>
      </c>
      <c r="L524" t="s">
        <v>673</v>
      </c>
      <c r="M524" t="s">
        <v>673</v>
      </c>
      <c r="N524" t="s">
        <v>673</v>
      </c>
      <c r="O524" t="s">
        <v>673</v>
      </c>
      <c r="P524" t="s">
        <v>673</v>
      </c>
      <c r="Q524" t="s">
        <v>673</v>
      </c>
      <c r="R524" t="s">
        <v>673</v>
      </c>
      <c r="S524" t="s">
        <v>673</v>
      </c>
      <c r="T524" t="s">
        <v>673</v>
      </c>
      <c r="U524" t="s">
        <v>673</v>
      </c>
      <c r="V524" t="s">
        <v>673</v>
      </c>
      <c r="W524" t="s">
        <v>673</v>
      </c>
      <c r="X524" t="s">
        <v>673</v>
      </c>
      <c r="Y524" t="s">
        <v>673</v>
      </c>
      <c r="Z524" t="s">
        <v>673</v>
      </c>
      <c r="AA524" t="s">
        <v>673</v>
      </c>
      <c r="AB524" t="s">
        <v>673</v>
      </c>
      <c r="AC524" t="s">
        <v>673</v>
      </c>
      <c r="AD524" t="s">
        <v>673</v>
      </c>
      <c r="AE524" t="s">
        <v>673</v>
      </c>
      <c r="AF524" t="s">
        <v>673</v>
      </c>
      <c r="AG524" t="s">
        <v>673</v>
      </c>
      <c r="AH524" t="s">
        <v>673</v>
      </c>
      <c r="AI524" t="s">
        <v>673</v>
      </c>
      <c r="AJ524" t="s">
        <v>673</v>
      </c>
      <c r="AK524" t="s">
        <v>673</v>
      </c>
      <c r="AL524" t="s">
        <v>673</v>
      </c>
      <c r="AM524" t="s">
        <v>673</v>
      </c>
      <c r="AN524" t="s">
        <v>673</v>
      </c>
      <c r="AO524" t="s">
        <v>673</v>
      </c>
      <c r="AP524" t="s">
        <v>673</v>
      </c>
      <c r="AQ524" t="s">
        <v>673</v>
      </c>
      <c r="AR524" t="s">
        <v>673</v>
      </c>
      <c r="AS524" t="s">
        <v>673</v>
      </c>
      <c r="AT524" t="s">
        <v>673</v>
      </c>
      <c r="AU524" t="s">
        <v>673</v>
      </c>
      <c r="AV524" t="s">
        <v>673</v>
      </c>
    </row>
    <row r="525" spans="1:48" x14ac:dyDescent="0.25">
      <c r="A525" t="s">
        <v>610</v>
      </c>
      <c r="B525" t="s">
        <v>2</v>
      </c>
      <c r="C525" t="s">
        <v>610</v>
      </c>
      <c r="D525">
        <v>46020</v>
      </c>
      <c r="E525" t="s">
        <v>672</v>
      </c>
      <c r="F525" t="s">
        <v>117</v>
      </c>
      <c r="G525" t="s">
        <v>670</v>
      </c>
      <c r="H525" t="s">
        <v>670</v>
      </c>
      <c r="I525" t="s">
        <v>673</v>
      </c>
      <c r="J525" t="s">
        <v>673</v>
      </c>
      <c r="K525" t="s">
        <v>673</v>
      </c>
      <c r="L525" t="s">
        <v>673</v>
      </c>
      <c r="M525" t="s">
        <v>673</v>
      </c>
      <c r="N525" t="s">
        <v>673</v>
      </c>
      <c r="O525" t="s">
        <v>673</v>
      </c>
      <c r="P525" t="s">
        <v>673</v>
      </c>
      <c r="Q525" t="s">
        <v>673</v>
      </c>
      <c r="R525" t="s">
        <v>673</v>
      </c>
      <c r="S525" t="s">
        <v>673</v>
      </c>
      <c r="T525" t="s">
        <v>673</v>
      </c>
      <c r="U525" t="s">
        <v>673</v>
      </c>
      <c r="V525" t="s">
        <v>673</v>
      </c>
      <c r="W525" t="s">
        <v>673</v>
      </c>
      <c r="X525" t="s">
        <v>673</v>
      </c>
      <c r="Y525" t="s">
        <v>673</v>
      </c>
      <c r="Z525" t="s">
        <v>673</v>
      </c>
      <c r="AA525" t="s">
        <v>673</v>
      </c>
      <c r="AB525" t="s">
        <v>673</v>
      </c>
      <c r="AC525" t="s">
        <v>673</v>
      </c>
      <c r="AD525" t="s">
        <v>673</v>
      </c>
      <c r="AE525" t="s">
        <v>673</v>
      </c>
      <c r="AF525" t="s">
        <v>673</v>
      </c>
      <c r="AG525" t="s">
        <v>673</v>
      </c>
      <c r="AH525" t="s">
        <v>673</v>
      </c>
      <c r="AI525" t="s">
        <v>673</v>
      </c>
      <c r="AJ525" t="s">
        <v>673</v>
      </c>
      <c r="AK525" t="s">
        <v>673</v>
      </c>
      <c r="AL525" t="s">
        <v>673</v>
      </c>
      <c r="AM525" t="s">
        <v>673</v>
      </c>
      <c r="AN525" t="s">
        <v>673</v>
      </c>
      <c r="AO525" t="s">
        <v>673</v>
      </c>
      <c r="AP525" t="s">
        <v>673</v>
      </c>
      <c r="AQ525" t="s">
        <v>673</v>
      </c>
      <c r="AR525" t="s">
        <v>673</v>
      </c>
      <c r="AS525" t="s">
        <v>673</v>
      </c>
      <c r="AT525" t="s">
        <v>673</v>
      </c>
      <c r="AU525" t="s">
        <v>673</v>
      </c>
      <c r="AV525" t="s">
        <v>673</v>
      </c>
    </row>
    <row r="526" spans="1:48" x14ac:dyDescent="0.25">
      <c r="A526" t="s">
        <v>20</v>
      </c>
      <c r="B526" t="s">
        <v>2</v>
      </c>
      <c r="C526" t="s">
        <v>20</v>
      </c>
      <c r="D526">
        <v>46060</v>
      </c>
      <c r="E526" t="s">
        <v>672</v>
      </c>
      <c r="F526" t="s">
        <v>117</v>
      </c>
      <c r="G526" t="s">
        <v>670</v>
      </c>
      <c r="H526" t="s">
        <v>670</v>
      </c>
      <c r="I526">
        <v>6.5799999999999997E-2</v>
      </c>
      <c r="J526">
        <v>6.3899999999999998E-2</v>
      </c>
      <c r="K526">
        <v>4.9099999999999998E-2</v>
      </c>
      <c r="L526">
        <v>4.48E-2</v>
      </c>
      <c r="M526">
        <v>3.95E-2</v>
      </c>
      <c r="N526">
        <v>4.4900000000000002E-2</v>
      </c>
      <c r="O526">
        <v>6.1100000000000002E-2</v>
      </c>
      <c r="P526">
        <v>5.6500000000000002E-2</v>
      </c>
      <c r="Q526">
        <v>6.0199999999999997E-2</v>
      </c>
      <c r="R526">
        <v>5.67E-2</v>
      </c>
      <c r="S526">
        <v>6.13E-2</v>
      </c>
      <c r="T526">
        <v>7.2499999999999995E-2</v>
      </c>
      <c r="U526">
        <v>7.1400000000000005E-2</v>
      </c>
      <c r="V526">
        <v>7.22E-2</v>
      </c>
      <c r="W526">
        <v>6.8699999999999997E-2</v>
      </c>
      <c r="X526">
        <v>6.9699999999999998E-2</v>
      </c>
      <c r="Y526">
        <v>7.3800000000000004E-2</v>
      </c>
      <c r="Z526">
        <v>4.4299999999999999E-2</v>
      </c>
      <c r="AA526">
        <v>5.8700000000000002E-2</v>
      </c>
      <c r="AB526">
        <v>7.3499999999999996E-2</v>
      </c>
      <c r="AC526">
        <v>8.48E-2</v>
      </c>
      <c r="AD526">
        <v>0.16039999999999999</v>
      </c>
      <c r="AE526">
        <v>0.21820000000000001</v>
      </c>
      <c r="AF526">
        <v>0.2326</v>
      </c>
      <c r="AG526">
        <v>0.23230000000000001</v>
      </c>
      <c r="AH526">
        <v>0.20480000000000001</v>
      </c>
      <c r="AI526">
        <v>0.1232</v>
      </c>
      <c r="AJ526">
        <v>8.09E-2</v>
      </c>
      <c r="AK526">
        <v>4.9000000000000002E-2</v>
      </c>
      <c r="AL526">
        <v>2.9399999999999999E-2</v>
      </c>
      <c r="AM526">
        <v>2.7199999999999998E-2</v>
      </c>
      <c r="AN526">
        <v>1.6799999999999999E-2</v>
      </c>
      <c r="AO526">
        <v>3.3999999999999998E-3</v>
      </c>
      <c r="AP526">
        <v>-1.1299999999999999E-2</v>
      </c>
      <c r="AQ526">
        <v>-2.1700000000000001E-2</v>
      </c>
      <c r="AR526">
        <v>-1.9800000000000002E-2</v>
      </c>
      <c r="AS526">
        <v>-2.18E-2</v>
      </c>
      <c r="AT526">
        <v>-1.43E-2</v>
      </c>
      <c r="AU526">
        <v>-1.0699999999999999E-2</v>
      </c>
      <c r="AV526">
        <v>-3.0300000000000001E-2</v>
      </c>
    </row>
    <row r="527" spans="1:48" x14ac:dyDescent="0.25">
      <c r="A527" t="s">
        <v>24</v>
      </c>
      <c r="B527" t="s">
        <v>2</v>
      </c>
      <c r="C527" t="s">
        <v>24</v>
      </c>
      <c r="D527">
        <v>46140</v>
      </c>
      <c r="E527" t="s">
        <v>672</v>
      </c>
      <c r="F527" t="s">
        <v>117</v>
      </c>
      <c r="G527" t="s">
        <v>670</v>
      </c>
      <c r="H527" t="s">
        <v>670</v>
      </c>
      <c r="I527">
        <v>1.6E-2</v>
      </c>
      <c r="J527">
        <v>-2.3999999999999998E-3</v>
      </c>
      <c r="K527">
        <v>-6.1000000000000004E-3</v>
      </c>
      <c r="L527">
        <v>-1.3899999999999999E-2</v>
      </c>
      <c r="M527">
        <v>-1.2E-2</v>
      </c>
      <c r="N527">
        <v>-4.7999999999999996E-3</v>
      </c>
      <c r="O527">
        <v>8.0000000000000002E-3</v>
      </c>
      <c r="P527">
        <v>7.4999999999999997E-3</v>
      </c>
      <c r="Q527">
        <v>1.8800000000000001E-2</v>
      </c>
      <c r="R527">
        <v>1.7299999999999999E-2</v>
      </c>
      <c r="S527">
        <v>2.3599999999999999E-2</v>
      </c>
      <c r="T527">
        <v>4.8300000000000003E-2</v>
      </c>
      <c r="U527">
        <v>4.99E-2</v>
      </c>
      <c r="V527">
        <v>5.5800000000000002E-2</v>
      </c>
      <c r="W527">
        <v>4.6300000000000001E-2</v>
      </c>
      <c r="X527">
        <v>3.73E-2</v>
      </c>
      <c r="Y527">
        <v>3.5900000000000001E-2</v>
      </c>
      <c r="Z527">
        <v>2.4299999999999999E-2</v>
      </c>
      <c r="AA527">
        <v>3.61E-2</v>
      </c>
      <c r="AB527">
        <v>3.6900000000000002E-2</v>
      </c>
      <c r="AC527">
        <v>3.56E-2</v>
      </c>
      <c r="AD527">
        <v>6.2100000000000002E-2</v>
      </c>
      <c r="AE527">
        <v>0.1027</v>
      </c>
      <c r="AF527">
        <v>0.13289999999999999</v>
      </c>
      <c r="AG527">
        <v>0.14649999999999999</v>
      </c>
      <c r="AH527">
        <v>0.14949999999999999</v>
      </c>
      <c r="AI527">
        <v>0.1109</v>
      </c>
      <c r="AJ527">
        <v>9.0399999999999994E-2</v>
      </c>
      <c r="AK527">
        <v>6.7400000000000002E-2</v>
      </c>
      <c r="AL527">
        <v>4.9200000000000001E-2</v>
      </c>
      <c r="AM527">
        <v>4.6899999999999997E-2</v>
      </c>
      <c r="AN527">
        <v>3.6900000000000002E-2</v>
      </c>
      <c r="AO527">
        <v>4.5100000000000001E-2</v>
      </c>
      <c r="AP527">
        <v>4.0300000000000002E-2</v>
      </c>
      <c r="AQ527">
        <v>3.1099999999999999E-2</v>
      </c>
      <c r="AR527">
        <v>2.9100000000000001E-2</v>
      </c>
      <c r="AS527">
        <v>2.8500000000000001E-2</v>
      </c>
      <c r="AT527">
        <v>2.5499999999999998E-2</v>
      </c>
      <c r="AU527">
        <v>2.52E-2</v>
      </c>
      <c r="AV527">
        <v>1.9099999999999999E-2</v>
      </c>
    </row>
    <row r="528" spans="1:48" x14ac:dyDescent="0.25">
      <c r="A528" t="s">
        <v>611</v>
      </c>
      <c r="B528" t="s">
        <v>2</v>
      </c>
      <c r="C528" t="s">
        <v>611</v>
      </c>
      <c r="D528">
        <v>46180</v>
      </c>
      <c r="E528" t="s">
        <v>672</v>
      </c>
      <c r="F528" t="s">
        <v>117</v>
      </c>
      <c r="G528" t="s">
        <v>670</v>
      </c>
      <c r="H528" t="s">
        <v>670</v>
      </c>
      <c r="I528">
        <v>6.59E-2</v>
      </c>
      <c r="J528">
        <v>7.1800000000000003E-2</v>
      </c>
      <c r="K528" t="s">
        <v>673</v>
      </c>
      <c r="L528">
        <v>0.15190000000000001</v>
      </c>
      <c r="M528">
        <v>0.122</v>
      </c>
      <c r="N528">
        <v>7.2700000000000001E-2</v>
      </c>
      <c r="O528">
        <v>5.7200000000000001E-2</v>
      </c>
      <c r="P528">
        <v>-1.67E-2</v>
      </c>
      <c r="Q528">
        <v>-3.1300000000000001E-2</v>
      </c>
      <c r="R528">
        <v>0.01</v>
      </c>
      <c r="S528">
        <v>-2.6800000000000001E-2</v>
      </c>
      <c r="T528">
        <v>-1.61E-2</v>
      </c>
      <c r="U528">
        <v>2.12E-2</v>
      </c>
      <c r="V528">
        <v>4.2200000000000001E-2</v>
      </c>
      <c r="W528">
        <v>4.6399999999999997E-2</v>
      </c>
      <c r="X528">
        <v>2.8899999999999999E-2</v>
      </c>
      <c r="Y528">
        <v>3.3300000000000003E-2</v>
      </c>
      <c r="Z528">
        <v>7.9000000000000008E-3</v>
      </c>
      <c r="AA528">
        <v>2.4799999999999999E-2</v>
      </c>
      <c r="AB528">
        <v>4.5100000000000001E-2</v>
      </c>
      <c r="AC528">
        <v>9.6600000000000005E-2</v>
      </c>
      <c r="AD528">
        <v>0.1135</v>
      </c>
      <c r="AE528">
        <v>6.4500000000000002E-2</v>
      </c>
      <c r="AF528">
        <v>4.7E-2</v>
      </c>
      <c r="AG528">
        <v>3.5900000000000001E-2</v>
      </c>
      <c r="AH528">
        <v>3.4700000000000002E-2</v>
      </c>
      <c r="AI528">
        <v>7.5999999999999998E-2</v>
      </c>
      <c r="AJ528">
        <v>8.6400000000000005E-2</v>
      </c>
      <c r="AK528">
        <v>7.4999999999999997E-2</v>
      </c>
      <c r="AL528">
        <v>4.8500000000000001E-2</v>
      </c>
      <c r="AM528">
        <v>4.9700000000000001E-2</v>
      </c>
      <c r="AN528">
        <v>6.1699999999999998E-2</v>
      </c>
      <c r="AO528">
        <v>2.5100000000000001E-2</v>
      </c>
      <c r="AP528">
        <v>3.2300000000000002E-2</v>
      </c>
      <c r="AQ528">
        <v>2.5600000000000001E-2</v>
      </c>
      <c r="AR528">
        <v>2.8799999999999999E-2</v>
      </c>
      <c r="AS528">
        <v>3.73E-2</v>
      </c>
      <c r="AT528">
        <v>7.1499999999999994E-2</v>
      </c>
      <c r="AU528">
        <v>0.10440000000000001</v>
      </c>
      <c r="AV528">
        <v>0.1003</v>
      </c>
    </row>
    <row r="529" spans="1:48" x14ac:dyDescent="0.25">
      <c r="A529" t="s">
        <v>612</v>
      </c>
      <c r="B529" t="s">
        <v>2</v>
      </c>
      <c r="C529" t="s">
        <v>612</v>
      </c>
      <c r="D529">
        <v>46220</v>
      </c>
      <c r="E529" t="s">
        <v>672</v>
      </c>
      <c r="F529" t="s">
        <v>117</v>
      </c>
      <c r="G529" t="s">
        <v>670</v>
      </c>
      <c r="H529" t="s">
        <v>670</v>
      </c>
      <c r="I529">
        <v>6.3600000000000004E-2</v>
      </c>
      <c r="J529">
        <v>6.3E-2</v>
      </c>
      <c r="K529">
        <v>3.0000000000000001E-3</v>
      </c>
      <c r="L529">
        <v>6.4999999999999997E-3</v>
      </c>
      <c r="M529">
        <v>2.9100000000000001E-2</v>
      </c>
      <c r="N529">
        <v>2.5499999999999998E-2</v>
      </c>
      <c r="O529">
        <v>8.7499999999999994E-2</v>
      </c>
      <c r="P529">
        <v>6.59E-2</v>
      </c>
      <c r="Q529">
        <v>-1.5100000000000001E-2</v>
      </c>
      <c r="R529">
        <v>-3.7699999999999997E-2</v>
      </c>
      <c r="S529">
        <v>-4.6100000000000002E-2</v>
      </c>
      <c r="T529">
        <v>-6.2300000000000001E-2</v>
      </c>
      <c r="U529">
        <v>-3.4799999999999998E-2</v>
      </c>
      <c r="V529">
        <v>8.5000000000000006E-3</v>
      </c>
      <c r="W529">
        <v>1.6000000000000001E-3</v>
      </c>
      <c r="X529">
        <v>2.5100000000000001E-2</v>
      </c>
      <c r="Y529">
        <v>3.4099999999999998E-2</v>
      </c>
      <c r="Z529">
        <v>1.0800000000000001E-2</v>
      </c>
      <c r="AA529">
        <v>6.1000000000000004E-3</v>
      </c>
      <c r="AB529">
        <v>1.38E-2</v>
      </c>
      <c r="AC529">
        <v>1.0200000000000001E-2</v>
      </c>
      <c r="AD529">
        <v>1.54E-2</v>
      </c>
      <c r="AE529">
        <v>3.8399999999999997E-2</v>
      </c>
      <c r="AF529">
        <v>6.7599999999999993E-2</v>
      </c>
      <c r="AG529">
        <v>8.7499999999999994E-2</v>
      </c>
      <c r="AH529">
        <v>0.122</v>
      </c>
      <c r="AI529">
        <v>0.11799999999999999</v>
      </c>
      <c r="AJ529">
        <v>9.8000000000000004E-2</v>
      </c>
      <c r="AK529">
        <v>9.9699999999999997E-2</v>
      </c>
      <c r="AL529">
        <v>6.6500000000000004E-2</v>
      </c>
      <c r="AM529">
        <v>7.3499999999999996E-2</v>
      </c>
      <c r="AN529">
        <v>5.5E-2</v>
      </c>
      <c r="AO529">
        <v>5.28E-2</v>
      </c>
      <c r="AP529">
        <v>5.1700000000000003E-2</v>
      </c>
      <c r="AQ529">
        <v>4.5100000000000001E-2</v>
      </c>
      <c r="AR529">
        <v>3.8300000000000001E-2</v>
      </c>
      <c r="AS529">
        <v>1.9099999999999999E-2</v>
      </c>
      <c r="AT529">
        <v>3.0099999999999998E-2</v>
      </c>
      <c r="AU529">
        <v>1.3100000000000001E-2</v>
      </c>
      <c r="AV529">
        <v>2.64E-2</v>
      </c>
    </row>
    <row r="530" spans="1:48" x14ac:dyDescent="0.25">
      <c r="A530" t="s">
        <v>613</v>
      </c>
      <c r="B530" t="s">
        <v>2</v>
      </c>
      <c r="C530" t="s">
        <v>613</v>
      </c>
      <c r="D530">
        <v>46300</v>
      </c>
      <c r="E530" t="s">
        <v>672</v>
      </c>
      <c r="F530" t="s">
        <v>117</v>
      </c>
      <c r="G530" t="s">
        <v>670</v>
      </c>
      <c r="H530" t="s">
        <v>670</v>
      </c>
      <c r="I530" t="s">
        <v>673</v>
      </c>
      <c r="J530" t="s">
        <v>673</v>
      </c>
      <c r="K530" t="s">
        <v>673</v>
      </c>
      <c r="L530" t="s">
        <v>673</v>
      </c>
      <c r="M530" t="s">
        <v>673</v>
      </c>
      <c r="N530" t="s">
        <v>673</v>
      </c>
      <c r="O530" t="s">
        <v>673</v>
      </c>
      <c r="P530" t="s">
        <v>673</v>
      </c>
      <c r="Q530" t="s">
        <v>673</v>
      </c>
      <c r="R530" t="s">
        <v>673</v>
      </c>
      <c r="S530" t="s">
        <v>673</v>
      </c>
      <c r="T530" t="s">
        <v>673</v>
      </c>
      <c r="U530" t="s">
        <v>673</v>
      </c>
      <c r="V530" t="s">
        <v>673</v>
      </c>
      <c r="W530" t="s">
        <v>673</v>
      </c>
      <c r="X530" t="s">
        <v>673</v>
      </c>
      <c r="Y530" t="s">
        <v>673</v>
      </c>
      <c r="Z530" t="s">
        <v>673</v>
      </c>
      <c r="AA530" t="s">
        <v>673</v>
      </c>
      <c r="AB530" t="s">
        <v>673</v>
      </c>
      <c r="AC530" t="s">
        <v>673</v>
      </c>
      <c r="AD530" t="s">
        <v>673</v>
      </c>
      <c r="AE530" t="s">
        <v>673</v>
      </c>
      <c r="AF530" t="s">
        <v>673</v>
      </c>
      <c r="AG530" t="s">
        <v>673</v>
      </c>
      <c r="AH530" t="s">
        <v>673</v>
      </c>
      <c r="AI530" t="s">
        <v>673</v>
      </c>
      <c r="AJ530" t="s">
        <v>673</v>
      </c>
      <c r="AK530" t="s">
        <v>673</v>
      </c>
      <c r="AL530" t="s">
        <v>673</v>
      </c>
      <c r="AM530" t="s">
        <v>673</v>
      </c>
      <c r="AN530" t="s">
        <v>673</v>
      </c>
      <c r="AO530">
        <v>-3.5999999999999997E-2</v>
      </c>
      <c r="AP530">
        <v>3.0800000000000001E-2</v>
      </c>
      <c r="AQ530">
        <v>3.78E-2</v>
      </c>
      <c r="AR530">
        <v>1.35E-2</v>
      </c>
      <c r="AS530">
        <v>1.7600000000000001E-2</v>
      </c>
      <c r="AT530" t="s">
        <v>673</v>
      </c>
      <c r="AU530" t="s">
        <v>673</v>
      </c>
      <c r="AV530" t="s">
        <v>673</v>
      </c>
    </row>
    <row r="531" spans="1:48" x14ac:dyDescent="0.25">
      <c r="A531" t="s">
        <v>614</v>
      </c>
      <c r="B531" t="s">
        <v>2</v>
      </c>
      <c r="C531" t="s">
        <v>614</v>
      </c>
      <c r="D531">
        <v>46340</v>
      </c>
      <c r="E531" t="s">
        <v>672</v>
      </c>
      <c r="F531" t="s">
        <v>117</v>
      </c>
      <c r="G531" t="s">
        <v>670</v>
      </c>
      <c r="H531" t="s">
        <v>670</v>
      </c>
      <c r="I531">
        <v>-4.7000000000000002E-3</v>
      </c>
      <c r="J531">
        <v>-2.53E-2</v>
      </c>
      <c r="K531">
        <v>-2.1000000000000001E-2</v>
      </c>
      <c r="L531">
        <v>-2.06E-2</v>
      </c>
      <c r="M531">
        <v>2.3E-2</v>
      </c>
      <c r="N531">
        <v>3.4500000000000003E-2</v>
      </c>
      <c r="O531">
        <v>5.7000000000000002E-2</v>
      </c>
      <c r="P531">
        <v>6.5699999999999995E-2</v>
      </c>
      <c r="Q531">
        <v>1.52E-2</v>
      </c>
      <c r="R531">
        <v>1.6799999999999999E-2</v>
      </c>
      <c r="S531">
        <v>3.3500000000000002E-2</v>
      </c>
      <c r="T531">
        <v>0.06</v>
      </c>
      <c r="U531">
        <v>9.7199999999999995E-2</v>
      </c>
      <c r="V531">
        <v>0.1143</v>
      </c>
      <c r="W531">
        <v>8.1299999999999997E-2</v>
      </c>
      <c r="X531">
        <v>1.78E-2</v>
      </c>
      <c r="Y531">
        <v>7.1000000000000004E-3</v>
      </c>
      <c r="Z531">
        <v>-2.75E-2</v>
      </c>
      <c r="AA531">
        <v>-4.4699999999999997E-2</v>
      </c>
      <c r="AB531">
        <v>3.2599999999999997E-2</v>
      </c>
      <c r="AC531">
        <v>5.0700000000000002E-2</v>
      </c>
      <c r="AD531">
        <v>6.7299999999999999E-2</v>
      </c>
      <c r="AE531">
        <v>0.151</v>
      </c>
      <c r="AF531">
        <v>0.14399999999999999</v>
      </c>
      <c r="AG531">
        <v>0.13270000000000001</v>
      </c>
      <c r="AH531">
        <v>0.14399999999999999</v>
      </c>
      <c r="AI531">
        <v>8.8800000000000004E-2</v>
      </c>
      <c r="AJ531">
        <v>3.2199999999999999E-2</v>
      </c>
      <c r="AK531">
        <v>5.2299999999999999E-2</v>
      </c>
      <c r="AL531">
        <v>7.4099999999999999E-2</v>
      </c>
      <c r="AM531">
        <v>4.1000000000000002E-2</v>
      </c>
      <c r="AN531">
        <v>2.23E-2</v>
      </c>
      <c r="AO531">
        <v>-0.04</v>
      </c>
      <c r="AP531">
        <v>-6.0199999999999997E-2</v>
      </c>
      <c r="AQ531">
        <v>-4.6199999999999998E-2</v>
      </c>
      <c r="AR531">
        <v>-8.3000000000000001E-3</v>
      </c>
      <c r="AS531">
        <v>2.9899999999999999E-2</v>
      </c>
      <c r="AT531">
        <v>3.8199999999999998E-2</v>
      </c>
      <c r="AU531">
        <v>2.47E-2</v>
      </c>
      <c r="AV531">
        <v>2.0000000000000001E-4</v>
      </c>
    </row>
    <row r="532" spans="1:48" x14ac:dyDescent="0.25">
      <c r="A532" t="s">
        <v>615</v>
      </c>
      <c r="B532" t="s">
        <v>2</v>
      </c>
      <c r="C532" t="s">
        <v>615</v>
      </c>
      <c r="D532">
        <v>46380</v>
      </c>
      <c r="E532" t="s">
        <v>672</v>
      </c>
      <c r="F532" t="s">
        <v>117</v>
      </c>
      <c r="G532" t="s">
        <v>670</v>
      </c>
      <c r="H532" t="s">
        <v>670</v>
      </c>
      <c r="I532" t="s">
        <v>673</v>
      </c>
      <c r="J532" t="s">
        <v>673</v>
      </c>
      <c r="K532" t="s">
        <v>673</v>
      </c>
      <c r="L532" t="s">
        <v>673</v>
      </c>
      <c r="M532" t="s">
        <v>673</v>
      </c>
      <c r="N532" t="s">
        <v>673</v>
      </c>
      <c r="O532" t="s">
        <v>673</v>
      </c>
      <c r="P532" t="s">
        <v>673</v>
      </c>
      <c r="Q532" t="s">
        <v>673</v>
      </c>
      <c r="R532" t="s">
        <v>673</v>
      </c>
      <c r="S532" t="s">
        <v>673</v>
      </c>
      <c r="T532" t="s">
        <v>673</v>
      </c>
      <c r="U532" t="s">
        <v>673</v>
      </c>
      <c r="V532" t="s">
        <v>673</v>
      </c>
      <c r="W532" t="s">
        <v>673</v>
      </c>
      <c r="X532" t="s">
        <v>673</v>
      </c>
      <c r="Y532" t="s">
        <v>673</v>
      </c>
      <c r="Z532" t="s">
        <v>673</v>
      </c>
      <c r="AA532" t="s">
        <v>673</v>
      </c>
      <c r="AB532" t="s">
        <v>673</v>
      </c>
      <c r="AC532" t="s">
        <v>673</v>
      </c>
      <c r="AD532" t="s">
        <v>673</v>
      </c>
      <c r="AE532" t="s">
        <v>673</v>
      </c>
      <c r="AF532" t="s">
        <v>673</v>
      </c>
      <c r="AG532">
        <v>5.96E-2</v>
      </c>
      <c r="AH532">
        <v>5.6099999999999997E-2</v>
      </c>
      <c r="AI532">
        <v>4.8800000000000003E-2</v>
      </c>
      <c r="AJ532">
        <v>5.62E-2</v>
      </c>
      <c r="AK532">
        <v>6.9800000000000001E-2</v>
      </c>
      <c r="AL532">
        <v>4.6699999999999998E-2</v>
      </c>
      <c r="AM532">
        <v>4.9700000000000001E-2</v>
      </c>
      <c r="AN532">
        <v>3.2099999999999997E-2</v>
      </c>
      <c r="AO532">
        <v>4.5999999999999999E-3</v>
      </c>
      <c r="AP532">
        <v>1.8E-3</v>
      </c>
      <c r="AQ532">
        <v>4.7000000000000002E-3</v>
      </c>
      <c r="AR532">
        <v>-1.5E-3</v>
      </c>
      <c r="AS532">
        <v>5.3E-3</v>
      </c>
      <c r="AT532">
        <v>5.3199999999999997E-2</v>
      </c>
      <c r="AU532">
        <v>6.1499999999999999E-2</v>
      </c>
      <c r="AV532">
        <v>8.77E-2</v>
      </c>
    </row>
    <row r="533" spans="1:48" x14ac:dyDescent="0.25">
      <c r="A533" t="s">
        <v>616</v>
      </c>
      <c r="B533" t="s">
        <v>2</v>
      </c>
      <c r="C533" t="s">
        <v>616</v>
      </c>
      <c r="D533">
        <v>46520</v>
      </c>
      <c r="E533" t="s">
        <v>672</v>
      </c>
      <c r="F533" t="s">
        <v>117</v>
      </c>
      <c r="G533" t="s">
        <v>670</v>
      </c>
      <c r="H533" t="s">
        <v>670</v>
      </c>
      <c r="I533">
        <v>-5.7000000000000002E-3</v>
      </c>
      <c r="J533">
        <v>1.3100000000000001E-2</v>
      </c>
      <c r="K533">
        <v>2.9600000000000001E-2</v>
      </c>
      <c r="L533">
        <v>8.7499999999999994E-2</v>
      </c>
      <c r="M533">
        <v>0.1016</v>
      </c>
      <c r="N533">
        <v>0.1331</v>
      </c>
      <c r="O533">
        <v>5.7700000000000001E-2</v>
      </c>
      <c r="P533">
        <v>2.8000000000000001E-2</v>
      </c>
      <c r="Q533">
        <v>3.7999999999999999E-2</v>
      </c>
      <c r="R533">
        <v>-2.2800000000000001E-2</v>
      </c>
      <c r="S533">
        <v>3.8E-3</v>
      </c>
      <c r="T533">
        <v>-3.27E-2</v>
      </c>
      <c r="U533">
        <v>-6.2600000000000003E-2</v>
      </c>
      <c r="V533">
        <v>-4.58E-2</v>
      </c>
      <c r="W533">
        <v>-2.46E-2</v>
      </c>
      <c r="X533">
        <v>-1.8800000000000001E-2</v>
      </c>
      <c r="Y533">
        <v>6.7000000000000002E-3</v>
      </c>
      <c r="Z533">
        <v>-3.2000000000000001E-2</v>
      </c>
      <c r="AA533">
        <v>-6.4799999999999996E-2</v>
      </c>
      <c r="AB533">
        <v>-2.0799999999999999E-2</v>
      </c>
      <c r="AC533">
        <v>2.4199999999999999E-2</v>
      </c>
      <c r="AD533">
        <v>0.10150000000000001</v>
      </c>
      <c r="AE533">
        <v>0.12479999999999999</v>
      </c>
      <c r="AF533">
        <v>0.17299999999999999</v>
      </c>
      <c r="AG533">
        <v>0.15870000000000001</v>
      </c>
      <c r="AH533">
        <v>0.14879999999999999</v>
      </c>
      <c r="AI533">
        <v>0.12959999999999999</v>
      </c>
      <c r="AJ533">
        <v>6.4899999999999999E-2</v>
      </c>
      <c r="AK533">
        <v>3.5499999999999997E-2</v>
      </c>
      <c r="AL533">
        <v>1.1900000000000001E-2</v>
      </c>
      <c r="AM533">
        <v>3.78E-2</v>
      </c>
      <c r="AN533">
        <v>9.3100000000000002E-2</v>
      </c>
      <c r="AO533">
        <v>0.10920000000000001</v>
      </c>
      <c r="AP533">
        <v>0.114</v>
      </c>
      <c r="AQ533">
        <v>8.2699999999999996E-2</v>
      </c>
      <c r="AR533">
        <v>2.9499999999999998E-2</v>
      </c>
      <c r="AS533">
        <v>-4.4999999999999997E-3</v>
      </c>
      <c r="AT533">
        <v>-1.0500000000000001E-2</v>
      </c>
      <c r="AU533">
        <v>1.15E-2</v>
      </c>
      <c r="AV533">
        <v>3.4299999999999997E-2</v>
      </c>
    </row>
    <row r="534" spans="1:48" x14ac:dyDescent="0.25">
      <c r="A534" t="s">
        <v>617</v>
      </c>
      <c r="B534" t="s">
        <v>2</v>
      </c>
      <c r="C534" t="s">
        <v>617</v>
      </c>
      <c r="D534">
        <v>46540</v>
      </c>
      <c r="E534" t="s">
        <v>672</v>
      </c>
      <c r="F534" t="s">
        <v>117</v>
      </c>
      <c r="G534" t="s">
        <v>670</v>
      </c>
      <c r="H534" t="s">
        <v>670</v>
      </c>
      <c r="I534">
        <v>-4.5999999999999999E-3</v>
      </c>
      <c r="J534">
        <v>1.83E-2</v>
      </c>
      <c r="K534">
        <v>4.87E-2</v>
      </c>
      <c r="L534">
        <v>0.1046</v>
      </c>
      <c r="M534">
        <v>9.8100000000000007E-2</v>
      </c>
      <c r="N534">
        <v>9.8199999999999996E-2</v>
      </c>
      <c r="O534">
        <v>6.1499999999999999E-2</v>
      </c>
      <c r="P534">
        <v>1.06E-2</v>
      </c>
      <c r="Q534">
        <v>-2.0500000000000001E-2</v>
      </c>
      <c r="R534">
        <v>-4.0000000000000001E-3</v>
      </c>
      <c r="S534">
        <v>2.41E-2</v>
      </c>
      <c r="T534">
        <v>4.6899999999999997E-2</v>
      </c>
      <c r="U534">
        <v>8.7800000000000003E-2</v>
      </c>
      <c r="V534">
        <v>6.3899999999999998E-2</v>
      </c>
      <c r="W534">
        <v>6.9000000000000006E-2</v>
      </c>
      <c r="X534">
        <v>0.1993</v>
      </c>
      <c r="Y534">
        <v>0.1855</v>
      </c>
      <c r="Z534">
        <v>0.19389999999999999</v>
      </c>
      <c r="AA534">
        <v>0.16470000000000001</v>
      </c>
      <c r="AB534">
        <v>1.8599999999999998E-2</v>
      </c>
      <c r="AC534">
        <v>2.01E-2</v>
      </c>
      <c r="AD534">
        <v>0.1225</v>
      </c>
      <c r="AE534">
        <v>0.1484</v>
      </c>
      <c r="AF534">
        <v>0.14030000000000001</v>
      </c>
      <c r="AG534">
        <v>0.17879999999999999</v>
      </c>
      <c r="AH534">
        <v>7.6600000000000001E-2</v>
      </c>
      <c r="AI534">
        <v>5.21E-2</v>
      </c>
      <c r="AJ534">
        <v>6.8099999999999994E-2</v>
      </c>
      <c r="AK534">
        <v>3.6900000000000002E-2</v>
      </c>
      <c r="AL534">
        <v>6.5299999999999997E-2</v>
      </c>
      <c r="AM534">
        <v>2.4E-2</v>
      </c>
      <c r="AN534">
        <v>-3.3999999999999998E-3</v>
      </c>
      <c r="AO534">
        <v>-3.7499999999999999E-2</v>
      </c>
      <c r="AP534">
        <v>-4.9599999999999998E-2</v>
      </c>
      <c r="AQ534">
        <v>1.5299999999999999E-2</v>
      </c>
      <c r="AR534">
        <v>3.1E-2</v>
      </c>
      <c r="AS534">
        <v>4.9200000000000001E-2</v>
      </c>
      <c r="AT534">
        <v>5.7099999999999998E-2</v>
      </c>
      <c r="AU534">
        <v>0.14410000000000001</v>
      </c>
      <c r="AV534">
        <v>0.25690000000000002</v>
      </c>
    </row>
    <row r="535" spans="1:48" x14ac:dyDescent="0.25">
      <c r="A535" t="s">
        <v>618</v>
      </c>
      <c r="B535" t="s">
        <v>2</v>
      </c>
      <c r="C535" t="s">
        <v>618</v>
      </c>
      <c r="D535">
        <v>46620</v>
      </c>
      <c r="E535" t="s">
        <v>672</v>
      </c>
      <c r="F535" t="s">
        <v>117</v>
      </c>
      <c r="G535" t="s">
        <v>670</v>
      </c>
      <c r="H535" t="s">
        <v>670</v>
      </c>
      <c r="I535" t="s">
        <v>673</v>
      </c>
      <c r="J535" t="s">
        <v>673</v>
      </c>
      <c r="K535" t="s">
        <v>673</v>
      </c>
      <c r="L535" t="s">
        <v>673</v>
      </c>
      <c r="M535" t="s">
        <v>673</v>
      </c>
      <c r="N535" t="s">
        <v>673</v>
      </c>
      <c r="O535" t="s">
        <v>673</v>
      </c>
      <c r="P535" t="s">
        <v>673</v>
      </c>
      <c r="Q535" t="s">
        <v>673</v>
      </c>
      <c r="R535" t="s">
        <v>673</v>
      </c>
      <c r="S535" t="s">
        <v>673</v>
      </c>
      <c r="T535" t="s">
        <v>673</v>
      </c>
      <c r="U535" t="s">
        <v>673</v>
      </c>
      <c r="V535" t="s">
        <v>673</v>
      </c>
      <c r="W535" t="s">
        <v>673</v>
      </c>
      <c r="X535" t="s">
        <v>673</v>
      </c>
      <c r="Y535" t="s">
        <v>673</v>
      </c>
      <c r="Z535" t="s">
        <v>673</v>
      </c>
      <c r="AA535" t="s">
        <v>673</v>
      </c>
      <c r="AB535" t="s">
        <v>673</v>
      </c>
      <c r="AC535" t="s">
        <v>673</v>
      </c>
      <c r="AD535" t="s">
        <v>673</v>
      </c>
      <c r="AE535" t="s">
        <v>673</v>
      </c>
      <c r="AF535" t="s">
        <v>673</v>
      </c>
      <c r="AG535" t="s">
        <v>673</v>
      </c>
      <c r="AH535" t="s">
        <v>673</v>
      </c>
      <c r="AI535" t="s">
        <v>673</v>
      </c>
      <c r="AJ535" t="s">
        <v>673</v>
      </c>
      <c r="AK535" t="s">
        <v>673</v>
      </c>
      <c r="AL535" t="s">
        <v>673</v>
      </c>
      <c r="AM535" t="s">
        <v>673</v>
      </c>
      <c r="AN535" t="s">
        <v>673</v>
      </c>
      <c r="AO535" t="s">
        <v>673</v>
      </c>
      <c r="AP535" t="s">
        <v>673</v>
      </c>
      <c r="AQ535" t="s">
        <v>673</v>
      </c>
      <c r="AR535" t="s">
        <v>673</v>
      </c>
      <c r="AS535" t="s">
        <v>673</v>
      </c>
      <c r="AT535" t="s">
        <v>673</v>
      </c>
      <c r="AU535" t="s">
        <v>673</v>
      </c>
      <c r="AV535" t="s">
        <v>673</v>
      </c>
    </row>
    <row r="536" spans="1:48" x14ac:dyDescent="0.25">
      <c r="A536" t="s">
        <v>619</v>
      </c>
      <c r="B536" t="s">
        <v>2</v>
      </c>
      <c r="C536" t="s">
        <v>619</v>
      </c>
      <c r="D536">
        <v>46660</v>
      </c>
      <c r="E536" t="s">
        <v>672</v>
      </c>
      <c r="F536" t="s">
        <v>117</v>
      </c>
      <c r="G536" t="s">
        <v>670</v>
      </c>
      <c r="H536" t="s">
        <v>670</v>
      </c>
      <c r="I536">
        <v>4.5600000000000002E-2</v>
      </c>
      <c r="J536">
        <v>5.5599999999999997E-2</v>
      </c>
      <c r="K536">
        <v>-1.03E-2</v>
      </c>
      <c r="L536">
        <v>9.7999999999999997E-3</v>
      </c>
      <c r="M536">
        <v>-1.47E-2</v>
      </c>
      <c r="N536">
        <v>-2.07E-2</v>
      </c>
      <c r="O536">
        <v>-1.6999999999999999E-3</v>
      </c>
      <c r="P536">
        <v>-1.1999999999999999E-3</v>
      </c>
      <c r="Q536">
        <v>2.35E-2</v>
      </c>
      <c r="R536">
        <v>3.5999999999999997E-2</v>
      </c>
      <c r="S536">
        <v>7.1099999999999997E-2</v>
      </c>
      <c r="T536">
        <v>9.7699999999999995E-2</v>
      </c>
      <c r="U536">
        <v>9.5600000000000004E-2</v>
      </c>
      <c r="V536">
        <v>8.2000000000000003E-2</v>
      </c>
      <c r="W536">
        <v>7.2400000000000006E-2</v>
      </c>
      <c r="X536">
        <v>4.3700000000000003E-2</v>
      </c>
      <c r="Y536">
        <v>7.7999999999999996E-3</v>
      </c>
      <c r="Z536">
        <v>-3.8E-3</v>
      </c>
      <c r="AA536">
        <v>-7.6E-3</v>
      </c>
      <c r="AB536">
        <v>8.6E-3</v>
      </c>
      <c r="AC536">
        <v>5.1900000000000002E-2</v>
      </c>
      <c r="AD536">
        <v>8.9599999999999999E-2</v>
      </c>
      <c r="AE536">
        <v>8.8300000000000003E-2</v>
      </c>
      <c r="AF536">
        <v>0.1144</v>
      </c>
      <c r="AG536">
        <v>0.1444</v>
      </c>
      <c r="AH536">
        <v>0.15290000000000001</v>
      </c>
      <c r="AI536">
        <v>0.19320000000000001</v>
      </c>
      <c r="AJ536">
        <v>0.1527</v>
      </c>
      <c r="AK536">
        <v>9.1800000000000007E-2</v>
      </c>
      <c r="AL536">
        <v>6.4899999999999999E-2</v>
      </c>
      <c r="AM536">
        <v>4.9200000000000001E-2</v>
      </c>
      <c r="AN536">
        <v>5.9499999999999997E-2</v>
      </c>
      <c r="AO536">
        <v>8.6199999999999999E-2</v>
      </c>
      <c r="AP536">
        <v>8.5300000000000001E-2</v>
      </c>
      <c r="AQ536">
        <v>5.7799999999999997E-2</v>
      </c>
      <c r="AR536">
        <v>3.1099999999999999E-2</v>
      </c>
      <c r="AS536">
        <v>2.24E-2</v>
      </c>
      <c r="AT536">
        <v>2.98E-2</v>
      </c>
      <c r="AU536">
        <v>2.18E-2</v>
      </c>
      <c r="AV536">
        <v>2.3300000000000001E-2</v>
      </c>
    </row>
    <row r="537" spans="1:48" x14ac:dyDescent="0.25">
      <c r="A537" t="s">
        <v>620</v>
      </c>
      <c r="B537" t="s">
        <v>2</v>
      </c>
      <c r="C537" t="s">
        <v>620</v>
      </c>
      <c r="D537">
        <v>246700</v>
      </c>
      <c r="E537" t="s">
        <v>672</v>
      </c>
      <c r="F537" t="s">
        <v>117</v>
      </c>
      <c r="G537" t="s">
        <v>670</v>
      </c>
      <c r="H537" t="s">
        <v>670</v>
      </c>
      <c r="I537">
        <v>0.12740000000000001</v>
      </c>
      <c r="J537">
        <v>0.105</v>
      </c>
      <c r="K537">
        <v>9.4700000000000006E-2</v>
      </c>
      <c r="L537">
        <v>7.8799999999999995E-2</v>
      </c>
      <c r="M537">
        <v>6.6100000000000006E-2</v>
      </c>
      <c r="N537">
        <v>6.1499999999999999E-2</v>
      </c>
      <c r="O537">
        <v>6.0900000000000003E-2</v>
      </c>
      <c r="P537">
        <v>6.4399999999999999E-2</v>
      </c>
      <c r="Q537">
        <v>6.0999999999999999E-2</v>
      </c>
      <c r="R537">
        <v>5.3900000000000003E-2</v>
      </c>
      <c r="S537">
        <v>3.0200000000000001E-2</v>
      </c>
      <c r="T537">
        <v>2.3900000000000001E-2</v>
      </c>
      <c r="U537">
        <v>3.6900000000000002E-2</v>
      </c>
      <c r="V537">
        <v>3.8300000000000001E-2</v>
      </c>
      <c r="W537">
        <v>5.6300000000000003E-2</v>
      </c>
      <c r="X537">
        <v>4.8899999999999999E-2</v>
      </c>
      <c r="Y537">
        <v>4.3200000000000002E-2</v>
      </c>
      <c r="Z537">
        <v>1.46E-2</v>
      </c>
      <c r="AA537">
        <v>1.54E-2</v>
      </c>
      <c r="AB537">
        <v>3.7400000000000003E-2</v>
      </c>
      <c r="AC537">
        <v>4.0500000000000001E-2</v>
      </c>
      <c r="AD537">
        <v>7.8100000000000003E-2</v>
      </c>
      <c r="AE537">
        <v>0.1087</v>
      </c>
      <c r="AF537">
        <v>0.1163</v>
      </c>
      <c r="AG537">
        <v>0.1232</v>
      </c>
      <c r="AH537">
        <v>0.12609999999999999</v>
      </c>
      <c r="AI537">
        <v>8.4400000000000003E-2</v>
      </c>
      <c r="AJ537">
        <v>2.3699999999999999E-2</v>
      </c>
      <c r="AK537">
        <v>-3.2000000000000002E-3</v>
      </c>
      <c r="AL537">
        <v>-1.7100000000000001E-2</v>
      </c>
      <c r="AM537">
        <v>-2.3400000000000001E-2</v>
      </c>
      <c r="AN537">
        <v>-1.1599999999999999E-2</v>
      </c>
      <c r="AO537">
        <v>1.38E-2</v>
      </c>
      <c r="AP537">
        <v>1.11E-2</v>
      </c>
      <c r="AQ537">
        <v>8.9999999999999993E-3</v>
      </c>
      <c r="AR537">
        <v>2.24E-2</v>
      </c>
      <c r="AS537">
        <v>1.1299999999999999E-2</v>
      </c>
      <c r="AT537">
        <v>9.7000000000000003E-3</v>
      </c>
      <c r="AU537">
        <v>-3.8999999999999998E-3</v>
      </c>
      <c r="AV537">
        <v>-2.0299999999999999E-2</v>
      </c>
    </row>
    <row r="538" spans="1:48" x14ac:dyDescent="0.25">
      <c r="A538" t="s">
        <v>621</v>
      </c>
      <c r="B538" t="s">
        <v>2</v>
      </c>
      <c r="C538" t="s">
        <v>621</v>
      </c>
      <c r="D538">
        <v>46860</v>
      </c>
      <c r="E538" t="s">
        <v>672</v>
      </c>
      <c r="F538" t="s">
        <v>117</v>
      </c>
      <c r="G538" t="s">
        <v>670</v>
      </c>
      <c r="H538" t="s">
        <v>670</v>
      </c>
      <c r="I538" t="s">
        <v>673</v>
      </c>
      <c r="J538" t="s">
        <v>673</v>
      </c>
      <c r="K538" t="s">
        <v>673</v>
      </c>
      <c r="L538" t="s">
        <v>673</v>
      </c>
      <c r="M538" t="s">
        <v>673</v>
      </c>
      <c r="N538" t="s">
        <v>673</v>
      </c>
      <c r="O538" t="s">
        <v>673</v>
      </c>
      <c r="P538" t="s">
        <v>673</v>
      </c>
      <c r="Q538" t="s">
        <v>673</v>
      </c>
      <c r="R538" t="s">
        <v>673</v>
      </c>
      <c r="S538" t="s">
        <v>673</v>
      </c>
      <c r="T538" t="s">
        <v>673</v>
      </c>
      <c r="U538" t="s">
        <v>673</v>
      </c>
      <c r="V538" t="s">
        <v>673</v>
      </c>
      <c r="W538" t="s">
        <v>673</v>
      </c>
      <c r="X538" t="s">
        <v>673</v>
      </c>
      <c r="Y538" t="s">
        <v>673</v>
      </c>
      <c r="Z538" t="s">
        <v>673</v>
      </c>
      <c r="AA538" t="s">
        <v>673</v>
      </c>
      <c r="AB538" t="s">
        <v>673</v>
      </c>
      <c r="AC538" t="s">
        <v>673</v>
      </c>
      <c r="AD538" t="s">
        <v>673</v>
      </c>
      <c r="AE538" t="s">
        <v>673</v>
      </c>
      <c r="AF538" t="s">
        <v>673</v>
      </c>
      <c r="AG538" t="s">
        <v>673</v>
      </c>
      <c r="AH538" t="s">
        <v>673</v>
      </c>
      <c r="AI538" t="s">
        <v>673</v>
      </c>
      <c r="AJ538" t="s">
        <v>673</v>
      </c>
      <c r="AK538" t="s">
        <v>673</v>
      </c>
      <c r="AL538" t="s">
        <v>673</v>
      </c>
      <c r="AM538" t="s">
        <v>673</v>
      </c>
      <c r="AN538" t="s">
        <v>673</v>
      </c>
      <c r="AO538" t="s">
        <v>673</v>
      </c>
      <c r="AP538" t="s">
        <v>673</v>
      </c>
      <c r="AQ538" t="s">
        <v>673</v>
      </c>
      <c r="AR538" t="s">
        <v>673</v>
      </c>
      <c r="AS538" t="s">
        <v>673</v>
      </c>
      <c r="AT538" t="s">
        <v>673</v>
      </c>
      <c r="AU538" t="s">
        <v>673</v>
      </c>
      <c r="AV538" t="s">
        <v>673</v>
      </c>
    </row>
    <row r="539" spans="1:48" x14ac:dyDescent="0.25">
      <c r="A539" t="s">
        <v>622</v>
      </c>
      <c r="B539" t="s">
        <v>2</v>
      </c>
      <c r="C539" t="s">
        <v>622</v>
      </c>
      <c r="D539">
        <v>46900</v>
      </c>
      <c r="E539" t="s">
        <v>672</v>
      </c>
      <c r="F539" t="s">
        <v>117</v>
      </c>
      <c r="G539" t="s">
        <v>670</v>
      </c>
      <c r="H539" t="s">
        <v>670</v>
      </c>
      <c r="I539" t="s">
        <v>673</v>
      </c>
      <c r="J539" t="s">
        <v>673</v>
      </c>
      <c r="K539" t="s">
        <v>673</v>
      </c>
      <c r="L539" t="s">
        <v>673</v>
      </c>
      <c r="M539" t="s">
        <v>673</v>
      </c>
      <c r="N539" t="s">
        <v>673</v>
      </c>
      <c r="O539" t="s">
        <v>673</v>
      </c>
      <c r="P539" t="s">
        <v>673</v>
      </c>
      <c r="Q539" t="s">
        <v>673</v>
      </c>
      <c r="R539" t="s">
        <v>673</v>
      </c>
      <c r="S539" t="s">
        <v>673</v>
      </c>
      <c r="T539" t="s">
        <v>673</v>
      </c>
      <c r="U539" t="s">
        <v>673</v>
      </c>
      <c r="V539" t="s">
        <v>673</v>
      </c>
      <c r="W539" t="s">
        <v>673</v>
      </c>
      <c r="X539" t="s">
        <v>673</v>
      </c>
      <c r="Y539" t="s">
        <v>673</v>
      </c>
      <c r="Z539" t="s">
        <v>673</v>
      </c>
      <c r="AA539" t="s">
        <v>673</v>
      </c>
      <c r="AB539" t="s">
        <v>673</v>
      </c>
      <c r="AC539" t="s">
        <v>673</v>
      </c>
      <c r="AD539" t="s">
        <v>673</v>
      </c>
      <c r="AE539" t="s">
        <v>673</v>
      </c>
      <c r="AF539" t="s">
        <v>673</v>
      </c>
      <c r="AG539" t="s">
        <v>673</v>
      </c>
      <c r="AH539" t="s">
        <v>673</v>
      </c>
      <c r="AI539" t="s">
        <v>673</v>
      </c>
      <c r="AJ539" t="s">
        <v>673</v>
      </c>
      <c r="AK539" t="s">
        <v>673</v>
      </c>
      <c r="AL539" t="s">
        <v>673</v>
      </c>
      <c r="AM539" t="s">
        <v>673</v>
      </c>
      <c r="AN539" t="s">
        <v>673</v>
      </c>
      <c r="AO539" t="s">
        <v>673</v>
      </c>
      <c r="AP539" t="s">
        <v>673</v>
      </c>
      <c r="AQ539" t="s">
        <v>673</v>
      </c>
      <c r="AR539" t="s">
        <v>673</v>
      </c>
      <c r="AS539" t="s">
        <v>673</v>
      </c>
      <c r="AT539" t="s">
        <v>673</v>
      </c>
      <c r="AU539" t="s">
        <v>673</v>
      </c>
      <c r="AV539" t="s">
        <v>673</v>
      </c>
    </row>
    <row r="540" spans="1:48" x14ac:dyDescent="0.25">
      <c r="A540" t="s">
        <v>623</v>
      </c>
      <c r="B540" t="s">
        <v>2</v>
      </c>
      <c r="C540" t="s">
        <v>623</v>
      </c>
      <c r="D540">
        <v>46980</v>
      </c>
      <c r="E540" t="s">
        <v>672</v>
      </c>
      <c r="F540" t="s">
        <v>117</v>
      </c>
      <c r="G540" t="s">
        <v>670</v>
      </c>
      <c r="H540" t="s">
        <v>670</v>
      </c>
      <c r="I540">
        <v>1.43E-2</v>
      </c>
      <c r="J540">
        <v>4.2999999999999997E-2</v>
      </c>
      <c r="K540" t="s">
        <v>673</v>
      </c>
      <c r="L540" t="s">
        <v>673</v>
      </c>
      <c r="M540" t="s">
        <v>673</v>
      </c>
      <c r="N540">
        <v>5.8700000000000002E-2</v>
      </c>
      <c r="O540">
        <v>7.3700000000000002E-2</v>
      </c>
      <c r="P540">
        <v>7.0599999999999996E-2</v>
      </c>
      <c r="Q540">
        <v>5.7000000000000002E-2</v>
      </c>
      <c r="R540">
        <v>1.0999999999999999E-2</v>
      </c>
      <c r="S540">
        <v>2.29E-2</v>
      </c>
      <c r="T540">
        <v>1.24E-2</v>
      </c>
      <c r="U540">
        <v>1.0200000000000001E-2</v>
      </c>
      <c r="V540">
        <v>5.0000000000000001E-4</v>
      </c>
      <c r="W540">
        <v>-4.3E-3</v>
      </c>
      <c r="X540">
        <v>2.07E-2</v>
      </c>
      <c r="Y540">
        <v>-2.7000000000000001E-3</v>
      </c>
      <c r="Z540">
        <v>6.4000000000000001E-2</v>
      </c>
      <c r="AA540">
        <v>5.45E-2</v>
      </c>
      <c r="AB540">
        <v>6.2199999999999998E-2</v>
      </c>
      <c r="AC540">
        <v>7.1900000000000006E-2</v>
      </c>
      <c r="AD540">
        <v>2.6800000000000001E-2</v>
      </c>
      <c r="AE540">
        <v>2.7900000000000001E-2</v>
      </c>
      <c r="AF540">
        <v>2.0500000000000001E-2</v>
      </c>
      <c r="AG540">
        <v>3.3700000000000001E-2</v>
      </c>
      <c r="AH540">
        <v>4.4299999999999999E-2</v>
      </c>
      <c r="AI540">
        <v>3.85E-2</v>
      </c>
      <c r="AJ540">
        <v>3.44E-2</v>
      </c>
      <c r="AK540">
        <v>3.09E-2</v>
      </c>
      <c r="AL540">
        <v>2.8799999999999999E-2</v>
      </c>
      <c r="AM540">
        <v>-4.5999999999999999E-3</v>
      </c>
      <c r="AN540">
        <v>2.53E-2</v>
      </c>
      <c r="AO540">
        <v>1.9300000000000001E-2</v>
      </c>
      <c r="AP540">
        <v>1.5699999999999999E-2</v>
      </c>
      <c r="AQ540">
        <v>7.8200000000000006E-2</v>
      </c>
      <c r="AR540">
        <v>2.8999999999999998E-3</v>
      </c>
      <c r="AS540">
        <v>3.2300000000000002E-2</v>
      </c>
      <c r="AT540">
        <v>2.3199999999999998E-2</v>
      </c>
      <c r="AU540">
        <v>6.8500000000000005E-2</v>
      </c>
      <c r="AV540">
        <v>0.1139</v>
      </c>
    </row>
    <row r="541" spans="1:48" x14ac:dyDescent="0.25">
      <c r="A541" t="s">
        <v>624</v>
      </c>
      <c r="B541" t="s">
        <v>2</v>
      </c>
      <c r="C541" t="s">
        <v>624</v>
      </c>
      <c r="D541">
        <v>47020</v>
      </c>
      <c r="E541" t="s">
        <v>672</v>
      </c>
      <c r="F541" t="s">
        <v>117</v>
      </c>
      <c r="G541" t="s">
        <v>670</v>
      </c>
      <c r="H541" t="s">
        <v>670</v>
      </c>
      <c r="I541">
        <v>-9.4100000000000003E-2</v>
      </c>
      <c r="J541">
        <v>-6.83E-2</v>
      </c>
      <c r="K541">
        <v>4.58E-2</v>
      </c>
      <c r="L541">
        <v>2.8299999999999999E-2</v>
      </c>
      <c r="M541">
        <v>3.9800000000000002E-2</v>
      </c>
      <c r="N541">
        <v>1.3599999999999999E-2</v>
      </c>
      <c r="O541">
        <v>-7.1000000000000004E-3</v>
      </c>
      <c r="P541">
        <v>7.0599999999999996E-2</v>
      </c>
      <c r="Q541">
        <v>0.1938</v>
      </c>
      <c r="R541">
        <v>0.21299999999999999</v>
      </c>
      <c r="S541">
        <v>0.1201</v>
      </c>
      <c r="T541">
        <v>7.4499999999999997E-2</v>
      </c>
      <c r="U541">
        <v>-4.7999999999999996E-3</v>
      </c>
      <c r="V541">
        <v>-6.8999999999999999E-3</v>
      </c>
      <c r="W541">
        <v>-1.17E-2</v>
      </c>
      <c r="X541">
        <v>-1.5900000000000001E-2</v>
      </c>
      <c r="Y541">
        <v>-4.0899999999999999E-2</v>
      </c>
      <c r="Z541">
        <v>-2.3300000000000001E-2</v>
      </c>
      <c r="AA541">
        <v>-8.5000000000000006E-3</v>
      </c>
      <c r="AB541">
        <v>2.0000000000000001E-4</v>
      </c>
      <c r="AC541">
        <v>-1.0999999999999999E-2</v>
      </c>
      <c r="AD541">
        <v>-2.5499999999999998E-2</v>
      </c>
      <c r="AE541">
        <v>4.0500000000000001E-2</v>
      </c>
      <c r="AF541">
        <v>4.02E-2</v>
      </c>
      <c r="AG541">
        <v>7.5399999999999995E-2</v>
      </c>
      <c r="AH541">
        <v>8.9800000000000005E-2</v>
      </c>
      <c r="AI541">
        <v>7.3300000000000004E-2</v>
      </c>
      <c r="AJ541">
        <v>5.0500000000000003E-2</v>
      </c>
      <c r="AK541">
        <v>3.4200000000000001E-2</v>
      </c>
      <c r="AL541">
        <v>4.48E-2</v>
      </c>
      <c r="AM541">
        <v>2.5999999999999999E-3</v>
      </c>
      <c r="AN541">
        <v>-2.58E-2</v>
      </c>
      <c r="AO541">
        <v>9.1999999999999998E-3</v>
      </c>
      <c r="AP541">
        <v>-3.3099999999999997E-2</v>
      </c>
      <c r="AQ541">
        <v>-3.04E-2</v>
      </c>
      <c r="AR541">
        <v>-2.9700000000000001E-2</v>
      </c>
      <c r="AS541">
        <v>-1.38E-2</v>
      </c>
      <c r="AT541">
        <v>3.8100000000000002E-2</v>
      </c>
      <c r="AU541">
        <v>4.8399999999999999E-2</v>
      </c>
      <c r="AV541">
        <v>7.4800000000000005E-2</v>
      </c>
    </row>
    <row r="542" spans="1:48" x14ac:dyDescent="0.25">
      <c r="A542" t="s">
        <v>625</v>
      </c>
      <c r="B542" t="s">
        <v>2</v>
      </c>
      <c r="C542" t="s">
        <v>625</v>
      </c>
      <c r="D542">
        <v>47220</v>
      </c>
      <c r="E542" t="s">
        <v>672</v>
      </c>
      <c r="F542" t="s">
        <v>117</v>
      </c>
      <c r="G542" t="s">
        <v>670</v>
      </c>
      <c r="H542" t="s">
        <v>670</v>
      </c>
      <c r="I542" t="s">
        <v>673</v>
      </c>
      <c r="J542" t="s">
        <v>673</v>
      </c>
      <c r="K542" t="s">
        <v>673</v>
      </c>
      <c r="L542">
        <v>1.1299999999999999E-2</v>
      </c>
      <c r="M542">
        <v>1.49E-2</v>
      </c>
      <c r="N542">
        <v>-1.7399999999999999E-2</v>
      </c>
      <c r="O542">
        <v>-3.7100000000000001E-2</v>
      </c>
      <c r="P542">
        <v>2.9399999999999999E-2</v>
      </c>
      <c r="Q542">
        <v>2.7699999999999999E-2</v>
      </c>
      <c r="R542">
        <v>3.0499999999999999E-2</v>
      </c>
      <c r="S542">
        <v>2.7300000000000001E-2</v>
      </c>
      <c r="T542">
        <v>4.0300000000000002E-2</v>
      </c>
      <c r="U542">
        <v>4.3E-3</v>
      </c>
      <c r="V542">
        <v>2.3099999999999999E-2</v>
      </c>
      <c r="W542">
        <v>3.5400000000000001E-2</v>
      </c>
      <c r="X542">
        <v>3.1099999999999999E-2</v>
      </c>
      <c r="Y542">
        <v>4.3299999999999998E-2</v>
      </c>
      <c r="Z542">
        <v>2.3300000000000001E-2</v>
      </c>
      <c r="AA542">
        <v>4.4600000000000001E-2</v>
      </c>
      <c r="AB542">
        <v>4.7600000000000003E-2</v>
      </c>
      <c r="AC542">
        <v>5.2200000000000003E-2</v>
      </c>
      <c r="AD542">
        <v>6.8500000000000005E-2</v>
      </c>
      <c r="AE542">
        <v>5.28E-2</v>
      </c>
      <c r="AF542">
        <v>-4.1000000000000003E-3</v>
      </c>
      <c r="AG542">
        <v>4.3499999999999997E-2</v>
      </c>
      <c r="AH542">
        <v>7.5999999999999998E-2</v>
      </c>
      <c r="AI542">
        <v>6.4899999999999999E-2</v>
      </c>
      <c r="AJ542">
        <v>0.1229</v>
      </c>
      <c r="AK542">
        <v>8.8200000000000001E-2</v>
      </c>
      <c r="AL542">
        <v>4.2299999999999997E-2</v>
      </c>
      <c r="AM542">
        <v>2.2700000000000001E-2</v>
      </c>
      <c r="AN542">
        <v>7.46E-2</v>
      </c>
      <c r="AO542">
        <v>4.6800000000000001E-2</v>
      </c>
      <c r="AP542">
        <v>7.0999999999999994E-2</v>
      </c>
      <c r="AQ542">
        <v>4.8599999999999997E-2</v>
      </c>
      <c r="AR542">
        <v>1.66E-2</v>
      </c>
      <c r="AS542">
        <v>4.6199999999999998E-2</v>
      </c>
      <c r="AT542">
        <v>2.1600000000000001E-2</v>
      </c>
      <c r="AU542">
        <v>4.9099999999999998E-2</v>
      </c>
      <c r="AV542">
        <v>5.1299999999999998E-2</v>
      </c>
    </row>
    <row r="543" spans="1:48" x14ac:dyDescent="0.25">
      <c r="A543" t="s">
        <v>626</v>
      </c>
      <c r="B543" t="s">
        <v>2</v>
      </c>
      <c r="C543" t="s">
        <v>626</v>
      </c>
      <c r="D543">
        <v>47260</v>
      </c>
      <c r="E543" t="s">
        <v>672</v>
      </c>
      <c r="F543" t="s">
        <v>117</v>
      </c>
      <c r="G543" t="s">
        <v>670</v>
      </c>
      <c r="H543" t="s">
        <v>670</v>
      </c>
      <c r="I543">
        <v>2.75E-2</v>
      </c>
      <c r="J543">
        <v>0.03</v>
      </c>
      <c r="K543">
        <v>1.7999999999999999E-2</v>
      </c>
      <c r="L543">
        <v>1.24E-2</v>
      </c>
      <c r="M543">
        <v>1.4200000000000001E-2</v>
      </c>
      <c r="N543">
        <v>1.37E-2</v>
      </c>
      <c r="O543">
        <v>3.3700000000000001E-2</v>
      </c>
      <c r="P543">
        <v>3.2300000000000002E-2</v>
      </c>
      <c r="Q543">
        <v>3.5499999999999997E-2</v>
      </c>
      <c r="R543">
        <v>2.98E-2</v>
      </c>
      <c r="S543">
        <v>2.8400000000000002E-2</v>
      </c>
      <c r="T543">
        <v>3.7499999999999999E-2</v>
      </c>
      <c r="U543">
        <v>3.1699999999999999E-2</v>
      </c>
      <c r="V543">
        <v>3.49E-2</v>
      </c>
      <c r="W543">
        <v>2.9399999999999999E-2</v>
      </c>
      <c r="X543">
        <v>3.2399999999999998E-2</v>
      </c>
      <c r="Y543">
        <v>3.5200000000000002E-2</v>
      </c>
      <c r="Z543">
        <v>2.7900000000000001E-2</v>
      </c>
      <c r="AA543">
        <v>4.48E-2</v>
      </c>
      <c r="AB543">
        <v>5.2600000000000001E-2</v>
      </c>
      <c r="AC543">
        <v>5.7000000000000002E-2</v>
      </c>
      <c r="AD543">
        <v>9.1200000000000003E-2</v>
      </c>
      <c r="AE543">
        <v>0.1283</v>
      </c>
      <c r="AF543">
        <v>0.1431</v>
      </c>
      <c r="AG543">
        <v>0.13919999999999999</v>
      </c>
      <c r="AH543">
        <v>0.1245</v>
      </c>
      <c r="AI543">
        <v>9.5299999999999996E-2</v>
      </c>
      <c r="AJ543">
        <v>7.8200000000000006E-2</v>
      </c>
      <c r="AK543">
        <v>6.7100000000000007E-2</v>
      </c>
      <c r="AL543">
        <v>6.1699999999999998E-2</v>
      </c>
      <c r="AM543">
        <v>4.1700000000000001E-2</v>
      </c>
      <c r="AN543">
        <v>2.8299999999999999E-2</v>
      </c>
      <c r="AO543">
        <v>3.5200000000000002E-2</v>
      </c>
      <c r="AP543">
        <v>2.8500000000000001E-2</v>
      </c>
      <c r="AQ543">
        <v>3.1699999999999999E-2</v>
      </c>
      <c r="AR543">
        <v>2.8799999999999999E-2</v>
      </c>
      <c r="AS543">
        <v>3.0099999999999998E-2</v>
      </c>
      <c r="AT543">
        <v>3.2800000000000003E-2</v>
      </c>
      <c r="AU543">
        <v>2.8899999999999999E-2</v>
      </c>
      <c r="AV543">
        <v>4.4900000000000002E-2</v>
      </c>
    </row>
    <row r="544" spans="1:48" x14ac:dyDescent="0.25">
      <c r="A544" t="s">
        <v>627</v>
      </c>
      <c r="B544" t="s">
        <v>2</v>
      </c>
      <c r="C544" t="s">
        <v>627</v>
      </c>
      <c r="D544">
        <v>47300</v>
      </c>
      <c r="E544" t="s">
        <v>672</v>
      </c>
      <c r="F544" t="s">
        <v>117</v>
      </c>
      <c r="G544" t="s">
        <v>670</v>
      </c>
      <c r="H544" t="s">
        <v>670</v>
      </c>
      <c r="I544">
        <v>0.1275</v>
      </c>
      <c r="J544">
        <v>4.7100000000000003E-2</v>
      </c>
      <c r="K544">
        <v>-2.53E-2</v>
      </c>
      <c r="L544">
        <v>-2.2200000000000001E-2</v>
      </c>
      <c r="M544">
        <v>-2.1999999999999999E-2</v>
      </c>
      <c r="N544">
        <v>-1.43E-2</v>
      </c>
      <c r="O544">
        <v>-5.9999999999999995E-4</v>
      </c>
      <c r="P544">
        <v>2.3999999999999998E-3</v>
      </c>
      <c r="Q544">
        <v>2.5999999999999999E-3</v>
      </c>
      <c r="R544">
        <v>4.4999999999999998E-2</v>
      </c>
      <c r="S544">
        <v>4.1500000000000002E-2</v>
      </c>
      <c r="T544">
        <v>5.57E-2</v>
      </c>
      <c r="U544">
        <v>6.1699999999999998E-2</v>
      </c>
      <c r="V544">
        <v>0.04</v>
      </c>
      <c r="W544">
        <v>6.8199999999999997E-2</v>
      </c>
      <c r="X544">
        <v>3.7499999999999999E-2</v>
      </c>
      <c r="Y544">
        <v>6.1499999999999999E-2</v>
      </c>
      <c r="Z544">
        <v>6.2600000000000003E-2</v>
      </c>
      <c r="AA544">
        <v>2.6700000000000002E-2</v>
      </c>
      <c r="AB544">
        <v>4.7100000000000003E-2</v>
      </c>
      <c r="AC544">
        <v>6.5100000000000005E-2</v>
      </c>
      <c r="AD544">
        <v>0.1149</v>
      </c>
      <c r="AE544">
        <v>0.15179999999999999</v>
      </c>
      <c r="AF544">
        <v>0.1923</v>
      </c>
      <c r="AG544">
        <v>0.25290000000000001</v>
      </c>
      <c r="AH544">
        <v>9.9599999999999994E-2</v>
      </c>
      <c r="AI544">
        <v>7.6200000000000004E-2</v>
      </c>
      <c r="AJ544">
        <v>2.9999999999999997E-4</v>
      </c>
      <c r="AK544">
        <v>-4.9099999999999998E-2</v>
      </c>
      <c r="AL544">
        <v>4.7699999999999999E-2</v>
      </c>
      <c r="AM544">
        <v>2.1999999999999999E-2</v>
      </c>
      <c r="AN544">
        <v>4.9000000000000002E-2</v>
      </c>
      <c r="AO544">
        <v>4.3099999999999999E-2</v>
      </c>
      <c r="AP544">
        <v>5.4600000000000003E-2</v>
      </c>
      <c r="AQ544">
        <v>1.9699999999999999E-2</v>
      </c>
      <c r="AR544">
        <v>3.1800000000000002E-2</v>
      </c>
      <c r="AS544">
        <v>5.4100000000000002E-2</v>
      </c>
      <c r="AT544">
        <v>4.58E-2</v>
      </c>
      <c r="AU544">
        <v>7.9299999999999995E-2</v>
      </c>
      <c r="AV544">
        <v>5.16E-2</v>
      </c>
    </row>
    <row r="545" spans="1:48" x14ac:dyDescent="0.25">
      <c r="A545" t="s">
        <v>628</v>
      </c>
      <c r="B545" t="s">
        <v>2</v>
      </c>
      <c r="C545" t="s">
        <v>628</v>
      </c>
      <c r="D545">
        <v>47380</v>
      </c>
      <c r="E545" t="s">
        <v>672</v>
      </c>
      <c r="F545" t="s">
        <v>117</v>
      </c>
      <c r="G545" t="s">
        <v>670</v>
      </c>
      <c r="H545" t="s">
        <v>670</v>
      </c>
      <c r="I545">
        <v>3.1199999999999999E-2</v>
      </c>
      <c r="J545">
        <v>2.9600000000000001E-2</v>
      </c>
      <c r="K545">
        <v>2.7300000000000001E-2</v>
      </c>
      <c r="L545">
        <v>2.64E-2</v>
      </c>
      <c r="M545">
        <v>6.0000000000000001E-3</v>
      </c>
      <c r="N545">
        <v>-0.01</v>
      </c>
      <c r="O545">
        <v>1.54E-2</v>
      </c>
      <c r="P545">
        <v>2.3900000000000001E-2</v>
      </c>
      <c r="Q545">
        <v>3.6600000000000001E-2</v>
      </c>
      <c r="R545">
        <v>2.2700000000000001E-2</v>
      </c>
      <c r="S545">
        <v>6.8999999999999999E-3</v>
      </c>
      <c r="T545">
        <v>3.04E-2</v>
      </c>
      <c r="U545">
        <v>3.7400000000000003E-2</v>
      </c>
      <c r="V545">
        <v>5.5399999999999998E-2</v>
      </c>
      <c r="W545">
        <v>6.9699999999999998E-2</v>
      </c>
      <c r="X545">
        <v>3.5900000000000001E-2</v>
      </c>
      <c r="Y545">
        <v>4.82E-2</v>
      </c>
      <c r="Z545">
        <v>3.4700000000000002E-2</v>
      </c>
      <c r="AA545">
        <v>3.1300000000000001E-2</v>
      </c>
      <c r="AB545">
        <v>3.4099999999999998E-2</v>
      </c>
      <c r="AC545">
        <v>3.0099999999999998E-2</v>
      </c>
      <c r="AD545">
        <v>6.1100000000000002E-2</v>
      </c>
      <c r="AE545">
        <v>0.1099</v>
      </c>
      <c r="AF545">
        <v>0.14710000000000001</v>
      </c>
      <c r="AG545">
        <v>0.16389999999999999</v>
      </c>
      <c r="AH545">
        <v>0.17280000000000001</v>
      </c>
      <c r="AI545">
        <v>0.17860000000000001</v>
      </c>
      <c r="AJ545">
        <v>0.15049999999999999</v>
      </c>
      <c r="AK545">
        <v>0.12559999999999999</v>
      </c>
      <c r="AL545">
        <v>8.8700000000000001E-2</v>
      </c>
      <c r="AM545">
        <v>2.9899999999999999E-2</v>
      </c>
      <c r="AN545">
        <v>-3.5000000000000001E-3</v>
      </c>
      <c r="AO545">
        <v>-1.0699999999999999E-2</v>
      </c>
      <c r="AP545">
        <v>-1.04E-2</v>
      </c>
      <c r="AQ545">
        <v>-1.23E-2</v>
      </c>
      <c r="AR545">
        <v>-1.4E-3</v>
      </c>
      <c r="AS545">
        <v>-5.3E-3</v>
      </c>
      <c r="AT545">
        <v>1.6400000000000001E-2</v>
      </c>
      <c r="AU545">
        <v>7.4999999999999997E-2</v>
      </c>
      <c r="AV545">
        <v>6.7100000000000007E-2</v>
      </c>
    </row>
    <row r="546" spans="1:48" x14ac:dyDescent="0.25">
      <c r="A546" t="s">
        <v>629</v>
      </c>
      <c r="B546" t="s">
        <v>2</v>
      </c>
      <c r="C546" t="s">
        <v>629</v>
      </c>
      <c r="D546">
        <v>47460</v>
      </c>
      <c r="E546" t="s">
        <v>672</v>
      </c>
      <c r="F546" t="s">
        <v>117</v>
      </c>
      <c r="G546" t="s">
        <v>670</v>
      </c>
      <c r="H546" t="s">
        <v>670</v>
      </c>
      <c r="I546" t="s">
        <v>673</v>
      </c>
      <c r="J546" t="s">
        <v>673</v>
      </c>
      <c r="K546" t="s">
        <v>673</v>
      </c>
      <c r="L546" t="s">
        <v>673</v>
      </c>
      <c r="M546" t="s">
        <v>673</v>
      </c>
      <c r="N546" t="s">
        <v>673</v>
      </c>
      <c r="O546" t="s">
        <v>673</v>
      </c>
      <c r="P546" t="s">
        <v>673</v>
      </c>
      <c r="Q546" t="s">
        <v>673</v>
      </c>
      <c r="R546" t="s">
        <v>673</v>
      </c>
      <c r="S546" t="s">
        <v>673</v>
      </c>
      <c r="T546" t="s">
        <v>673</v>
      </c>
      <c r="U546" t="s">
        <v>673</v>
      </c>
      <c r="V546" t="s">
        <v>673</v>
      </c>
      <c r="W546" t="s">
        <v>673</v>
      </c>
      <c r="X546" t="s">
        <v>673</v>
      </c>
      <c r="Y546" t="s">
        <v>673</v>
      </c>
      <c r="Z546" t="s">
        <v>673</v>
      </c>
      <c r="AA546" t="s">
        <v>673</v>
      </c>
      <c r="AB546" t="s">
        <v>673</v>
      </c>
      <c r="AC546" t="s">
        <v>673</v>
      </c>
      <c r="AD546" t="s">
        <v>673</v>
      </c>
      <c r="AE546" t="s">
        <v>673</v>
      </c>
      <c r="AF546" t="s">
        <v>673</v>
      </c>
      <c r="AG546">
        <v>0.1658</v>
      </c>
      <c r="AH546">
        <v>0.20419999999999999</v>
      </c>
      <c r="AI546">
        <v>0.219</v>
      </c>
      <c r="AJ546">
        <v>0.21790000000000001</v>
      </c>
      <c r="AK546">
        <v>0.1024</v>
      </c>
      <c r="AL546">
        <v>0.1192</v>
      </c>
      <c r="AM546">
        <v>7.9899999999999999E-2</v>
      </c>
      <c r="AN546">
        <v>5.8999999999999997E-2</v>
      </c>
      <c r="AO546">
        <v>3.61E-2</v>
      </c>
      <c r="AP546">
        <v>0.06</v>
      </c>
      <c r="AQ546">
        <v>5.6099999999999997E-2</v>
      </c>
      <c r="AR546">
        <v>4.3999999999999997E-2</v>
      </c>
      <c r="AS546">
        <v>5.9400000000000001E-2</v>
      </c>
      <c r="AT546">
        <v>-2.4400000000000002E-2</v>
      </c>
      <c r="AU546">
        <v>-6.6199999999999995E-2</v>
      </c>
      <c r="AV546">
        <v>-0.13880000000000001</v>
      </c>
    </row>
    <row r="547" spans="1:48" x14ac:dyDescent="0.25">
      <c r="A547" t="s">
        <v>630</v>
      </c>
      <c r="B547" t="s">
        <v>2</v>
      </c>
      <c r="C547" t="s">
        <v>630</v>
      </c>
      <c r="D547">
        <v>47660</v>
      </c>
      <c r="E547" t="s">
        <v>672</v>
      </c>
      <c r="F547" t="s">
        <v>117</v>
      </c>
      <c r="G547" t="s">
        <v>670</v>
      </c>
      <c r="H547" t="s">
        <v>670</v>
      </c>
      <c r="I547" t="s">
        <v>673</v>
      </c>
      <c r="J547" t="s">
        <v>673</v>
      </c>
      <c r="K547" t="s">
        <v>673</v>
      </c>
      <c r="L547" t="s">
        <v>673</v>
      </c>
      <c r="M547" t="s">
        <v>673</v>
      </c>
      <c r="N547" t="s">
        <v>673</v>
      </c>
      <c r="O547" t="s">
        <v>673</v>
      </c>
      <c r="P547" t="s">
        <v>673</v>
      </c>
      <c r="Q547" t="s">
        <v>673</v>
      </c>
      <c r="R547" t="s">
        <v>673</v>
      </c>
      <c r="S547" t="s">
        <v>673</v>
      </c>
      <c r="T547" t="s">
        <v>673</v>
      </c>
      <c r="U547" t="s">
        <v>673</v>
      </c>
      <c r="V547" t="s">
        <v>673</v>
      </c>
      <c r="W547" t="s">
        <v>673</v>
      </c>
      <c r="X547" t="s">
        <v>673</v>
      </c>
      <c r="Y547" t="s">
        <v>673</v>
      </c>
      <c r="Z547" t="s">
        <v>673</v>
      </c>
      <c r="AA547" t="s">
        <v>673</v>
      </c>
      <c r="AB547" t="s">
        <v>673</v>
      </c>
      <c r="AC547" t="s">
        <v>673</v>
      </c>
      <c r="AD547" t="s">
        <v>673</v>
      </c>
      <c r="AE547" t="s">
        <v>673</v>
      </c>
      <c r="AF547" t="s">
        <v>673</v>
      </c>
      <c r="AG547" t="s">
        <v>673</v>
      </c>
      <c r="AH547" t="s">
        <v>673</v>
      </c>
      <c r="AI547" t="s">
        <v>673</v>
      </c>
      <c r="AJ547" t="s">
        <v>673</v>
      </c>
      <c r="AK547" t="s">
        <v>673</v>
      </c>
      <c r="AL547" t="s">
        <v>673</v>
      </c>
      <c r="AM547" t="s">
        <v>673</v>
      </c>
      <c r="AN547" t="s">
        <v>673</v>
      </c>
      <c r="AO547" t="s">
        <v>673</v>
      </c>
      <c r="AP547" t="s">
        <v>673</v>
      </c>
      <c r="AQ547" t="s">
        <v>673</v>
      </c>
      <c r="AR547" t="s">
        <v>673</v>
      </c>
      <c r="AS547" t="s">
        <v>673</v>
      </c>
      <c r="AT547" t="s">
        <v>673</v>
      </c>
      <c r="AU547" t="s">
        <v>673</v>
      </c>
      <c r="AV547" t="s">
        <v>673</v>
      </c>
    </row>
    <row r="548" spans="1:48" x14ac:dyDescent="0.25">
      <c r="A548" t="s">
        <v>631</v>
      </c>
      <c r="B548" t="s">
        <v>2</v>
      </c>
      <c r="C548" t="s">
        <v>631</v>
      </c>
      <c r="D548">
        <v>47700</v>
      </c>
      <c r="E548" t="s">
        <v>672</v>
      </c>
      <c r="F548" t="s">
        <v>117</v>
      </c>
      <c r="G548" t="s">
        <v>670</v>
      </c>
      <c r="H548" t="s">
        <v>670</v>
      </c>
      <c r="I548" t="s">
        <v>673</v>
      </c>
      <c r="J548" t="s">
        <v>673</v>
      </c>
      <c r="K548" t="s">
        <v>673</v>
      </c>
      <c r="L548" t="s">
        <v>673</v>
      </c>
      <c r="M548" t="s">
        <v>673</v>
      </c>
      <c r="N548" t="s">
        <v>673</v>
      </c>
      <c r="O548" t="s">
        <v>673</v>
      </c>
      <c r="P548" t="s">
        <v>673</v>
      </c>
      <c r="Q548" t="s">
        <v>673</v>
      </c>
      <c r="R548" t="s">
        <v>673</v>
      </c>
      <c r="S548" t="s">
        <v>673</v>
      </c>
      <c r="T548" t="s">
        <v>673</v>
      </c>
      <c r="U548" t="s">
        <v>673</v>
      </c>
      <c r="V548" t="s">
        <v>673</v>
      </c>
      <c r="W548" t="s">
        <v>673</v>
      </c>
      <c r="X548" t="s">
        <v>673</v>
      </c>
      <c r="Y548" t="s">
        <v>673</v>
      </c>
      <c r="Z548" t="s">
        <v>673</v>
      </c>
      <c r="AA548" t="s">
        <v>673</v>
      </c>
      <c r="AB548" t="s">
        <v>673</v>
      </c>
      <c r="AC548" t="s">
        <v>673</v>
      </c>
      <c r="AD548" t="s">
        <v>673</v>
      </c>
      <c r="AE548" t="s">
        <v>673</v>
      </c>
      <c r="AF548" t="s">
        <v>673</v>
      </c>
      <c r="AG548" t="s">
        <v>673</v>
      </c>
      <c r="AH548" t="s">
        <v>673</v>
      </c>
      <c r="AI548" t="s">
        <v>673</v>
      </c>
      <c r="AJ548">
        <v>-5.0599999999999999E-2</v>
      </c>
      <c r="AK548">
        <v>-5.8200000000000002E-2</v>
      </c>
      <c r="AL548">
        <v>-2.9000000000000001E-2</v>
      </c>
      <c r="AM548">
        <v>-4.2200000000000001E-2</v>
      </c>
      <c r="AN548">
        <v>8.3699999999999997E-2</v>
      </c>
      <c r="AO548">
        <v>0.1048</v>
      </c>
      <c r="AP548">
        <v>8.8300000000000003E-2</v>
      </c>
      <c r="AQ548">
        <v>0.1246</v>
      </c>
      <c r="AR548">
        <v>8.2900000000000001E-2</v>
      </c>
      <c r="AS548">
        <v>-1.46E-2</v>
      </c>
      <c r="AT548">
        <v>-1.04E-2</v>
      </c>
      <c r="AU548">
        <v>-4.1200000000000001E-2</v>
      </c>
      <c r="AV548">
        <v>-2.3199999999999998E-2</v>
      </c>
    </row>
    <row r="549" spans="1:48" x14ac:dyDescent="0.25">
      <c r="A549" t="s">
        <v>22</v>
      </c>
      <c r="B549" t="s">
        <v>2</v>
      </c>
      <c r="C549" t="s">
        <v>22</v>
      </c>
      <c r="D549">
        <v>47900</v>
      </c>
      <c r="E549" t="s">
        <v>672</v>
      </c>
      <c r="F549" t="s">
        <v>117</v>
      </c>
      <c r="G549" t="s">
        <v>670</v>
      </c>
      <c r="H549" t="s">
        <v>670</v>
      </c>
      <c r="I549">
        <v>3.4299999999999997E-2</v>
      </c>
      <c r="J549">
        <v>3.3799999999999997E-2</v>
      </c>
      <c r="K549">
        <v>3.5700000000000003E-2</v>
      </c>
      <c r="L549">
        <v>3.0800000000000001E-2</v>
      </c>
      <c r="M549">
        <v>3.0099999999999998E-2</v>
      </c>
      <c r="N549">
        <v>2.5899999999999999E-2</v>
      </c>
      <c r="O549">
        <v>1.8100000000000002E-2</v>
      </c>
      <c r="P549">
        <v>1.84E-2</v>
      </c>
      <c r="Q549">
        <v>1.8499999999999999E-2</v>
      </c>
      <c r="R549">
        <v>1.89E-2</v>
      </c>
      <c r="S549">
        <v>2.6599999999999999E-2</v>
      </c>
      <c r="T549">
        <v>2.9000000000000001E-2</v>
      </c>
      <c r="U549">
        <v>3.3500000000000002E-2</v>
      </c>
      <c r="V549">
        <v>3.6600000000000001E-2</v>
      </c>
      <c r="W549">
        <v>3.6299999999999999E-2</v>
      </c>
      <c r="X549">
        <v>3.4799999999999998E-2</v>
      </c>
      <c r="Y549">
        <v>3.1E-2</v>
      </c>
      <c r="Z549">
        <v>-2.8999999999999998E-3</v>
      </c>
      <c r="AA549">
        <v>-3.0300000000000001E-2</v>
      </c>
      <c r="AB549">
        <v>-4.4999999999999998E-2</v>
      </c>
      <c r="AC549">
        <v>-5.5100000000000003E-2</v>
      </c>
      <c r="AD549">
        <v>-1.6400000000000001E-2</v>
      </c>
      <c r="AE549">
        <v>4.9099999999999998E-2</v>
      </c>
      <c r="AF549">
        <v>0.1004</v>
      </c>
      <c r="AG549">
        <v>0.1232</v>
      </c>
      <c r="AH549">
        <v>0.1177</v>
      </c>
      <c r="AI549">
        <v>9.1600000000000001E-2</v>
      </c>
      <c r="AJ549">
        <v>6.1600000000000002E-2</v>
      </c>
      <c r="AK549">
        <v>4.7800000000000002E-2</v>
      </c>
      <c r="AL549">
        <v>3.9800000000000002E-2</v>
      </c>
      <c r="AM549">
        <v>2.7099999999999999E-2</v>
      </c>
      <c r="AN549">
        <v>3.6299999999999999E-2</v>
      </c>
      <c r="AO549">
        <v>4.2099999999999999E-2</v>
      </c>
      <c r="AP549">
        <v>4.2799999999999998E-2</v>
      </c>
      <c r="AQ549">
        <v>4.6800000000000001E-2</v>
      </c>
      <c r="AR549">
        <v>4.02E-2</v>
      </c>
      <c r="AS549">
        <v>3.9300000000000002E-2</v>
      </c>
      <c r="AT549">
        <v>3.95E-2</v>
      </c>
      <c r="AU549">
        <v>1.7299999999999999E-2</v>
      </c>
      <c r="AV549">
        <v>6.7999999999999996E-3</v>
      </c>
    </row>
    <row r="550" spans="1:48" x14ac:dyDescent="0.25">
      <c r="A550" t="s">
        <v>632</v>
      </c>
      <c r="B550" t="s">
        <v>2</v>
      </c>
      <c r="C550" t="s">
        <v>632</v>
      </c>
      <c r="D550">
        <v>47940</v>
      </c>
      <c r="E550" t="s">
        <v>672</v>
      </c>
      <c r="F550" t="s">
        <v>117</v>
      </c>
      <c r="G550" t="s">
        <v>670</v>
      </c>
      <c r="H550" t="s">
        <v>670</v>
      </c>
      <c r="I550" t="s">
        <v>673</v>
      </c>
      <c r="J550" t="s">
        <v>673</v>
      </c>
      <c r="K550" t="s">
        <v>673</v>
      </c>
      <c r="L550">
        <v>0.123</v>
      </c>
      <c r="M550">
        <v>7.9500000000000001E-2</v>
      </c>
      <c r="N550">
        <v>9.1700000000000004E-2</v>
      </c>
      <c r="O550">
        <v>0.1118</v>
      </c>
      <c r="P550">
        <v>3.15E-2</v>
      </c>
      <c r="Q550">
        <v>1.47E-2</v>
      </c>
      <c r="R550">
        <v>-1.44E-2</v>
      </c>
      <c r="S550">
        <v>7.6E-3</v>
      </c>
      <c r="T550">
        <v>2.9899999999999999E-2</v>
      </c>
      <c r="U550">
        <v>0.06</v>
      </c>
      <c r="V550">
        <v>5.3400000000000003E-2</v>
      </c>
      <c r="W550">
        <v>5.2999999999999999E-2</v>
      </c>
      <c r="X550">
        <v>1.0999999999999999E-2</v>
      </c>
      <c r="Y550">
        <v>-1.0999999999999999E-2</v>
      </c>
      <c r="Z550">
        <v>-1.35E-2</v>
      </c>
      <c r="AA550">
        <v>-2.7400000000000001E-2</v>
      </c>
      <c r="AB550">
        <v>4.7399999999999998E-2</v>
      </c>
      <c r="AC550">
        <v>9.4799999999999995E-2</v>
      </c>
      <c r="AD550">
        <v>8.3900000000000002E-2</v>
      </c>
      <c r="AE550">
        <v>0.1021</v>
      </c>
      <c r="AF550">
        <v>-6.83E-2</v>
      </c>
      <c r="AG550">
        <v>-9.6699999999999994E-2</v>
      </c>
      <c r="AH550">
        <v>-0.1236</v>
      </c>
      <c r="AI550">
        <v>-0.14929999999999999</v>
      </c>
      <c r="AJ550">
        <v>5.0000000000000001E-4</v>
      </c>
      <c r="AK550">
        <v>7.0000000000000001E-3</v>
      </c>
      <c r="AL550">
        <v>0.06</v>
      </c>
      <c r="AM550">
        <v>8.77E-2</v>
      </c>
      <c r="AN550">
        <v>4.48E-2</v>
      </c>
      <c r="AO550">
        <v>5.2999999999999999E-2</v>
      </c>
      <c r="AP550">
        <v>3.7100000000000001E-2</v>
      </c>
      <c r="AQ550">
        <v>2.06E-2</v>
      </c>
      <c r="AR550">
        <v>3.2599999999999997E-2</v>
      </c>
      <c r="AS550">
        <v>-3.78E-2</v>
      </c>
      <c r="AT550">
        <v>-9.8299999999999998E-2</v>
      </c>
      <c r="AU550">
        <v>-5.2400000000000002E-2</v>
      </c>
      <c r="AV550">
        <v>-9.7699999999999995E-2</v>
      </c>
    </row>
    <row r="551" spans="1:48" x14ac:dyDescent="0.25">
      <c r="A551" t="s">
        <v>633</v>
      </c>
      <c r="B551" t="s">
        <v>2</v>
      </c>
      <c r="C551" t="s">
        <v>633</v>
      </c>
      <c r="D551">
        <v>48020</v>
      </c>
      <c r="E551" t="s">
        <v>672</v>
      </c>
      <c r="F551" t="s">
        <v>117</v>
      </c>
      <c r="G551" t="s">
        <v>670</v>
      </c>
      <c r="H551" t="s">
        <v>670</v>
      </c>
      <c r="I551" t="s">
        <v>673</v>
      </c>
      <c r="J551" t="s">
        <v>673</v>
      </c>
      <c r="K551" t="s">
        <v>673</v>
      </c>
      <c r="L551" t="s">
        <v>673</v>
      </c>
      <c r="M551" t="s">
        <v>673</v>
      </c>
      <c r="N551" t="s">
        <v>673</v>
      </c>
      <c r="O551" t="s">
        <v>673</v>
      </c>
      <c r="P551" t="s">
        <v>673</v>
      </c>
      <c r="Q551" t="s">
        <v>673</v>
      </c>
      <c r="R551" t="s">
        <v>673</v>
      </c>
      <c r="S551" t="s">
        <v>673</v>
      </c>
      <c r="T551" t="s">
        <v>673</v>
      </c>
      <c r="U551" t="s">
        <v>673</v>
      </c>
      <c r="V551" t="s">
        <v>673</v>
      </c>
      <c r="W551" t="s">
        <v>673</v>
      </c>
      <c r="X551" t="s">
        <v>673</v>
      </c>
      <c r="Y551" t="s">
        <v>673</v>
      </c>
      <c r="Z551" t="s">
        <v>673</v>
      </c>
      <c r="AA551" t="s">
        <v>673</v>
      </c>
      <c r="AB551" t="s">
        <v>673</v>
      </c>
      <c r="AC551" t="s">
        <v>673</v>
      </c>
      <c r="AD551" t="s">
        <v>673</v>
      </c>
      <c r="AE551" t="s">
        <v>673</v>
      </c>
      <c r="AF551" t="s">
        <v>673</v>
      </c>
      <c r="AG551" t="s">
        <v>673</v>
      </c>
      <c r="AH551" t="s">
        <v>673</v>
      </c>
      <c r="AI551" t="s">
        <v>673</v>
      </c>
      <c r="AJ551" t="s">
        <v>673</v>
      </c>
      <c r="AK551" t="s">
        <v>673</v>
      </c>
      <c r="AL551" t="s">
        <v>673</v>
      </c>
      <c r="AM551" t="s">
        <v>673</v>
      </c>
      <c r="AN551" t="s">
        <v>673</v>
      </c>
      <c r="AO551" t="s">
        <v>673</v>
      </c>
      <c r="AP551" t="s">
        <v>673</v>
      </c>
      <c r="AQ551" t="s">
        <v>673</v>
      </c>
      <c r="AR551" t="s">
        <v>673</v>
      </c>
      <c r="AS551" t="s">
        <v>673</v>
      </c>
      <c r="AT551" t="s">
        <v>673</v>
      </c>
      <c r="AU551" t="s">
        <v>673</v>
      </c>
      <c r="AV551" t="s">
        <v>673</v>
      </c>
    </row>
    <row r="552" spans="1:48" x14ac:dyDescent="0.25">
      <c r="A552" t="s">
        <v>634</v>
      </c>
      <c r="B552" t="s">
        <v>2</v>
      </c>
      <c r="C552" t="s">
        <v>634</v>
      </c>
      <c r="D552">
        <v>48060</v>
      </c>
      <c r="E552" t="s">
        <v>672</v>
      </c>
      <c r="F552" t="s">
        <v>117</v>
      </c>
      <c r="G552" t="s">
        <v>670</v>
      </c>
      <c r="H552" t="s">
        <v>670</v>
      </c>
      <c r="I552">
        <v>-5.3800000000000001E-2</v>
      </c>
      <c r="J552">
        <v>-0.12759999999999999</v>
      </c>
      <c r="K552">
        <v>-0.13730000000000001</v>
      </c>
      <c r="L552">
        <v>-0.12280000000000001</v>
      </c>
      <c r="M552">
        <v>-9.8100000000000007E-2</v>
      </c>
      <c r="N552">
        <v>-5.0900000000000001E-2</v>
      </c>
      <c r="O552">
        <v>-5.0700000000000002E-2</v>
      </c>
      <c r="P552">
        <v>-5.0799999999999998E-2</v>
      </c>
      <c r="Q552">
        <v>1.5E-3</v>
      </c>
      <c r="R552">
        <v>-1.66E-2</v>
      </c>
      <c r="S552">
        <v>2.5600000000000001E-2</v>
      </c>
      <c r="T552">
        <v>1.17E-2</v>
      </c>
      <c r="U552">
        <v>1.4E-3</v>
      </c>
      <c r="V552">
        <v>3.5200000000000002E-2</v>
      </c>
      <c r="W552">
        <v>1.6500000000000001E-2</v>
      </c>
      <c r="X552">
        <v>3.8999999999999998E-3</v>
      </c>
      <c r="Y552">
        <v>-4.2900000000000001E-2</v>
      </c>
      <c r="Z552">
        <v>-1.41E-2</v>
      </c>
      <c r="AA552">
        <v>1.6899999999999998E-2</v>
      </c>
      <c r="AB552">
        <v>6.6900000000000001E-2</v>
      </c>
      <c r="AC552">
        <v>0.1207</v>
      </c>
      <c r="AD552">
        <v>9.9199999999999997E-2</v>
      </c>
      <c r="AE552">
        <v>4.5699999999999998E-2</v>
      </c>
      <c r="AF552">
        <v>4.0800000000000003E-2</v>
      </c>
      <c r="AG552">
        <v>6.8000000000000005E-2</v>
      </c>
      <c r="AH552">
        <v>3.7699999999999997E-2</v>
      </c>
      <c r="AI552">
        <v>4.8300000000000003E-2</v>
      </c>
      <c r="AJ552">
        <v>3.3000000000000002E-2</v>
      </c>
      <c r="AK552">
        <v>5.7000000000000002E-3</v>
      </c>
      <c r="AL552">
        <v>3.8300000000000001E-2</v>
      </c>
      <c r="AM552">
        <v>3.56E-2</v>
      </c>
      <c r="AN552">
        <v>1.89E-2</v>
      </c>
      <c r="AO552">
        <v>2.5499999999999998E-2</v>
      </c>
      <c r="AP552">
        <v>2.0899999999999998E-2</v>
      </c>
      <c r="AQ552">
        <v>1.6400000000000001E-2</v>
      </c>
      <c r="AR552">
        <v>3.44E-2</v>
      </c>
      <c r="AS552">
        <v>1.9599999999999999E-2</v>
      </c>
      <c r="AT552">
        <v>3.1E-2</v>
      </c>
      <c r="AU552">
        <v>5.7599999999999998E-2</v>
      </c>
      <c r="AV552">
        <v>0.11119999999999999</v>
      </c>
    </row>
    <row r="553" spans="1:48" x14ac:dyDescent="0.25">
      <c r="A553" t="s">
        <v>635</v>
      </c>
      <c r="B553" t="s">
        <v>2</v>
      </c>
      <c r="C553" t="s">
        <v>635</v>
      </c>
      <c r="D553">
        <v>47980</v>
      </c>
      <c r="E553" t="s">
        <v>672</v>
      </c>
      <c r="F553" t="s">
        <v>117</v>
      </c>
      <c r="G553" t="s">
        <v>670</v>
      </c>
      <c r="H553" t="s">
        <v>670</v>
      </c>
      <c r="I553" t="s">
        <v>673</v>
      </c>
      <c r="J553" t="s">
        <v>673</v>
      </c>
      <c r="K553" t="s">
        <v>673</v>
      </c>
      <c r="L553" t="s">
        <v>673</v>
      </c>
      <c r="M553" t="s">
        <v>673</v>
      </c>
      <c r="N553" t="s">
        <v>673</v>
      </c>
      <c r="O553" t="s">
        <v>673</v>
      </c>
      <c r="P553" t="s">
        <v>673</v>
      </c>
      <c r="Q553" t="s">
        <v>673</v>
      </c>
      <c r="R553" t="s">
        <v>673</v>
      </c>
      <c r="S553" t="s">
        <v>673</v>
      </c>
      <c r="T553" t="s">
        <v>673</v>
      </c>
      <c r="U553" t="s">
        <v>673</v>
      </c>
      <c r="V553" t="s">
        <v>673</v>
      </c>
      <c r="W553" t="s">
        <v>673</v>
      </c>
      <c r="X553" t="s">
        <v>673</v>
      </c>
      <c r="Y553" t="s">
        <v>673</v>
      </c>
      <c r="Z553" t="s">
        <v>673</v>
      </c>
      <c r="AA553" t="s">
        <v>673</v>
      </c>
      <c r="AB553" t="s">
        <v>673</v>
      </c>
      <c r="AC553" t="s">
        <v>673</v>
      </c>
      <c r="AD553" t="s">
        <v>673</v>
      </c>
      <c r="AE553" t="s">
        <v>673</v>
      </c>
      <c r="AF553" t="s">
        <v>673</v>
      </c>
      <c r="AG553" t="s">
        <v>673</v>
      </c>
      <c r="AH553" t="s">
        <v>673</v>
      </c>
      <c r="AI553" t="s">
        <v>673</v>
      </c>
      <c r="AJ553" t="s">
        <v>673</v>
      </c>
      <c r="AK553" t="s">
        <v>673</v>
      </c>
      <c r="AL553" t="s">
        <v>673</v>
      </c>
      <c r="AM553" t="s">
        <v>673</v>
      </c>
      <c r="AN553" t="s">
        <v>673</v>
      </c>
      <c r="AO553" t="s">
        <v>673</v>
      </c>
      <c r="AP553" t="s">
        <v>673</v>
      </c>
      <c r="AQ553" t="s">
        <v>673</v>
      </c>
      <c r="AR553" t="s">
        <v>673</v>
      </c>
      <c r="AS553" t="s">
        <v>673</v>
      </c>
      <c r="AT553" t="s">
        <v>673</v>
      </c>
      <c r="AU553" t="s">
        <v>673</v>
      </c>
      <c r="AV553" t="s">
        <v>673</v>
      </c>
    </row>
    <row r="554" spans="1:48" x14ac:dyDescent="0.25">
      <c r="A554" t="s">
        <v>636</v>
      </c>
      <c r="B554" t="s">
        <v>2</v>
      </c>
      <c r="C554" t="s">
        <v>636</v>
      </c>
      <c r="D554">
        <v>48140</v>
      </c>
      <c r="E554" t="s">
        <v>672</v>
      </c>
      <c r="F554" t="s">
        <v>117</v>
      </c>
      <c r="G554" t="s">
        <v>670</v>
      </c>
      <c r="H554" t="s">
        <v>670</v>
      </c>
      <c r="I554" t="s">
        <v>673</v>
      </c>
      <c r="J554" t="s">
        <v>673</v>
      </c>
      <c r="K554" t="s">
        <v>673</v>
      </c>
      <c r="L554" t="s">
        <v>673</v>
      </c>
      <c r="M554" t="s">
        <v>673</v>
      </c>
      <c r="N554" t="s">
        <v>673</v>
      </c>
      <c r="O554" t="s">
        <v>673</v>
      </c>
      <c r="P554" t="s">
        <v>673</v>
      </c>
      <c r="Q554" t="s">
        <v>673</v>
      </c>
      <c r="R554" t="s">
        <v>673</v>
      </c>
      <c r="S554" t="s">
        <v>673</v>
      </c>
      <c r="T554" t="s">
        <v>673</v>
      </c>
      <c r="U554" t="s">
        <v>673</v>
      </c>
      <c r="V554" t="s">
        <v>673</v>
      </c>
      <c r="W554" t="s">
        <v>673</v>
      </c>
      <c r="X554" t="s">
        <v>673</v>
      </c>
      <c r="Y554">
        <v>0.20899999999999999</v>
      </c>
      <c r="Z554">
        <v>0.23250000000000001</v>
      </c>
      <c r="AA554">
        <v>0.28410000000000002</v>
      </c>
      <c r="AB554">
        <v>0.29039999999999999</v>
      </c>
      <c r="AC554">
        <v>-2.8E-3</v>
      </c>
      <c r="AD554">
        <v>6.7299999999999999E-2</v>
      </c>
      <c r="AE554">
        <v>8.1299999999999997E-2</v>
      </c>
      <c r="AF554">
        <v>0.1202</v>
      </c>
      <c r="AG554">
        <v>0.2155</v>
      </c>
      <c r="AH554">
        <v>0.10780000000000001</v>
      </c>
      <c r="AI554">
        <v>0.1925</v>
      </c>
      <c r="AJ554">
        <v>0.16470000000000001</v>
      </c>
      <c r="AK554">
        <v>7.6300000000000007E-2</v>
      </c>
      <c r="AL554">
        <v>5.1200000000000002E-2</v>
      </c>
      <c r="AM554">
        <v>-3.5700000000000003E-2</v>
      </c>
      <c r="AN554">
        <v>-4.8500000000000001E-2</v>
      </c>
      <c r="AO554">
        <v>-7.8799999999999995E-2</v>
      </c>
      <c r="AP554">
        <v>-3.9300000000000002E-2</v>
      </c>
      <c r="AQ554">
        <v>-1.47E-2</v>
      </c>
      <c r="AR554">
        <v>-4.0000000000000001E-3</v>
      </c>
      <c r="AS554">
        <v>4.1000000000000002E-2</v>
      </c>
      <c r="AT554">
        <v>3.6799999999999999E-2</v>
      </c>
      <c r="AU554">
        <v>1.4800000000000001E-2</v>
      </c>
      <c r="AV554">
        <v>1.35E-2</v>
      </c>
    </row>
    <row r="555" spans="1:48" x14ac:dyDescent="0.25">
      <c r="A555" t="s">
        <v>637</v>
      </c>
      <c r="B555" t="s">
        <v>2</v>
      </c>
      <c r="C555" t="s">
        <v>637</v>
      </c>
      <c r="D555">
        <v>48220</v>
      </c>
      <c r="E555" t="s">
        <v>672</v>
      </c>
      <c r="F555" t="s">
        <v>117</v>
      </c>
      <c r="G555" t="s">
        <v>670</v>
      </c>
      <c r="H555" t="s">
        <v>670</v>
      </c>
      <c r="I555" t="s">
        <v>673</v>
      </c>
      <c r="J555" t="s">
        <v>673</v>
      </c>
      <c r="K555" t="s">
        <v>673</v>
      </c>
      <c r="L555" t="s">
        <v>673</v>
      </c>
      <c r="M555" t="s">
        <v>673</v>
      </c>
      <c r="N555" t="s">
        <v>673</v>
      </c>
      <c r="O555" t="s">
        <v>673</v>
      </c>
      <c r="P555" t="s">
        <v>673</v>
      </c>
      <c r="Q555" t="s">
        <v>673</v>
      </c>
      <c r="R555" t="s">
        <v>673</v>
      </c>
      <c r="S555" t="s">
        <v>673</v>
      </c>
      <c r="T555" t="s">
        <v>673</v>
      </c>
      <c r="U555" t="s">
        <v>673</v>
      </c>
      <c r="V555" t="s">
        <v>673</v>
      </c>
      <c r="W555" t="s">
        <v>673</v>
      </c>
      <c r="X555" t="s">
        <v>673</v>
      </c>
      <c r="Y555" t="s">
        <v>673</v>
      </c>
      <c r="Z555" t="s">
        <v>673</v>
      </c>
      <c r="AA555" t="s">
        <v>673</v>
      </c>
      <c r="AB555" t="s">
        <v>673</v>
      </c>
      <c r="AC555" t="s">
        <v>673</v>
      </c>
      <c r="AD555" t="s">
        <v>673</v>
      </c>
      <c r="AE555" t="s">
        <v>673</v>
      </c>
      <c r="AF555" t="s">
        <v>673</v>
      </c>
      <c r="AG555" t="s">
        <v>673</v>
      </c>
      <c r="AH555" t="s">
        <v>673</v>
      </c>
      <c r="AI555" t="s">
        <v>673</v>
      </c>
      <c r="AJ555" t="s">
        <v>673</v>
      </c>
      <c r="AK555" t="s">
        <v>673</v>
      </c>
      <c r="AL555" t="s">
        <v>673</v>
      </c>
      <c r="AM555" t="s">
        <v>673</v>
      </c>
      <c r="AN555" t="s">
        <v>673</v>
      </c>
      <c r="AO555" t="s">
        <v>673</v>
      </c>
      <c r="AP555" t="s">
        <v>673</v>
      </c>
      <c r="AQ555" t="s">
        <v>673</v>
      </c>
      <c r="AR555" t="s">
        <v>673</v>
      </c>
      <c r="AS555" t="s">
        <v>673</v>
      </c>
      <c r="AT555" t="s">
        <v>673</v>
      </c>
      <c r="AU555" t="s">
        <v>673</v>
      </c>
      <c r="AV555" t="s">
        <v>673</v>
      </c>
    </row>
    <row r="556" spans="1:48" x14ac:dyDescent="0.25">
      <c r="A556" t="s">
        <v>638</v>
      </c>
      <c r="B556" t="s">
        <v>2</v>
      </c>
      <c r="C556" t="s">
        <v>638</v>
      </c>
      <c r="D556">
        <v>48300</v>
      </c>
      <c r="E556" t="s">
        <v>672</v>
      </c>
      <c r="F556" t="s">
        <v>117</v>
      </c>
      <c r="G556" t="s">
        <v>670</v>
      </c>
      <c r="H556" t="s">
        <v>670</v>
      </c>
      <c r="I556">
        <v>0.30740000000000001</v>
      </c>
      <c r="J556">
        <v>0.501</v>
      </c>
      <c r="K556">
        <v>0.41470000000000001</v>
      </c>
      <c r="L556">
        <v>0.33900000000000002</v>
      </c>
      <c r="M556">
        <v>0.1178</v>
      </c>
      <c r="N556" t="s">
        <v>673</v>
      </c>
      <c r="O556" t="s">
        <v>673</v>
      </c>
      <c r="P556" t="s">
        <v>673</v>
      </c>
      <c r="Q556" t="s">
        <v>673</v>
      </c>
      <c r="R556" t="s">
        <v>673</v>
      </c>
      <c r="S556" t="s">
        <v>673</v>
      </c>
      <c r="T556" t="s">
        <v>673</v>
      </c>
      <c r="U556" t="s">
        <v>673</v>
      </c>
      <c r="V556" t="s">
        <v>673</v>
      </c>
      <c r="W556">
        <v>3.2300000000000002E-2</v>
      </c>
      <c r="X556">
        <v>-4.1700000000000001E-2</v>
      </c>
      <c r="Y556">
        <v>1.0999999999999999E-2</v>
      </c>
      <c r="Z556">
        <v>2.47E-2</v>
      </c>
      <c r="AA556">
        <v>-7.1999999999999998E-3</v>
      </c>
      <c r="AB556">
        <v>6.4100000000000004E-2</v>
      </c>
      <c r="AC556">
        <v>7.0199999999999999E-2</v>
      </c>
      <c r="AD556">
        <v>9.3200000000000005E-2</v>
      </c>
      <c r="AE556">
        <v>0.1298</v>
      </c>
      <c r="AF556">
        <v>0.11</v>
      </c>
      <c r="AG556">
        <v>0.1782</v>
      </c>
      <c r="AH556">
        <v>0.15090000000000001</v>
      </c>
      <c r="AI556">
        <v>0.13739999999999999</v>
      </c>
      <c r="AJ556">
        <v>7.0999999999999994E-2</v>
      </c>
      <c r="AK556">
        <v>4.3E-3</v>
      </c>
      <c r="AL556">
        <v>5.7999999999999996E-3</v>
      </c>
      <c r="AM556">
        <v>2.3E-3</v>
      </c>
      <c r="AN556">
        <v>-2.63E-2</v>
      </c>
      <c r="AO556">
        <v>-1.01E-2</v>
      </c>
      <c r="AP556">
        <v>2.23E-2</v>
      </c>
      <c r="AQ556">
        <v>1.4E-2</v>
      </c>
      <c r="AR556">
        <v>5.9200000000000003E-2</v>
      </c>
      <c r="AS556">
        <v>2.4199999999999999E-2</v>
      </c>
      <c r="AT556">
        <v>-2.0500000000000001E-2</v>
      </c>
      <c r="AU556">
        <v>-1.3899999999999999E-2</v>
      </c>
      <c r="AV556">
        <v>1.1999999999999999E-3</v>
      </c>
    </row>
    <row r="557" spans="1:48" x14ac:dyDescent="0.25">
      <c r="A557" t="s">
        <v>12</v>
      </c>
      <c r="B557" t="s">
        <v>2</v>
      </c>
      <c r="C557" t="s">
        <v>12</v>
      </c>
      <c r="D557">
        <v>48424</v>
      </c>
      <c r="E557" t="s">
        <v>672</v>
      </c>
      <c r="F557" t="s">
        <v>117</v>
      </c>
      <c r="G557" t="s">
        <v>670</v>
      </c>
      <c r="H557" t="s">
        <v>670</v>
      </c>
      <c r="I557">
        <v>6.93E-2</v>
      </c>
      <c r="J557">
        <v>5.9900000000000002E-2</v>
      </c>
      <c r="K557">
        <v>3.73E-2</v>
      </c>
      <c r="L557">
        <v>2.53E-2</v>
      </c>
      <c r="M557">
        <v>3.1800000000000002E-2</v>
      </c>
      <c r="N557">
        <v>3.78E-2</v>
      </c>
      <c r="O557">
        <v>4.0800000000000003E-2</v>
      </c>
      <c r="P557">
        <v>2.35E-2</v>
      </c>
      <c r="Q557">
        <v>2.3800000000000002E-2</v>
      </c>
      <c r="R557">
        <v>3.0700000000000002E-2</v>
      </c>
      <c r="S557">
        <v>3.8600000000000002E-2</v>
      </c>
      <c r="T557">
        <v>6.1699999999999998E-2</v>
      </c>
      <c r="U557">
        <v>6.2300000000000001E-2</v>
      </c>
      <c r="V557">
        <v>5.2400000000000002E-2</v>
      </c>
      <c r="W557">
        <v>4.3200000000000002E-2</v>
      </c>
      <c r="X557">
        <v>4.2999999999999997E-2</v>
      </c>
      <c r="Y557">
        <v>3.8300000000000001E-2</v>
      </c>
      <c r="Z557">
        <v>5.4999999999999997E-3</v>
      </c>
      <c r="AA557">
        <v>-3.5000000000000001E-3</v>
      </c>
      <c r="AB557">
        <v>1.06E-2</v>
      </c>
      <c r="AC557">
        <v>2.8500000000000001E-2</v>
      </c>
      <c r="AD557">
        <v>0.11020000000000001</v>
      </c>
      <c r="AE557">
        <v>0.23830000000000001</v>
      </c>
      <c r="AF557">
        <v>0.30520000000000003</v>
      </c>
      <c r="AG557">
        <v>0.31419999999999998</v>
      </c>
      <c r="AH557">
        <v>0.27589999999999998</v>
      </c>
      <c r="AI557">
        <v>0.1658</v>
      </c>
      <c r="AJ557">
        <v>7.9799999999999996E-2</v>
      </c>
      <c r="AK557">
        <v>4.3700000000000003E-2</v>
      </c>
      <c r="AL557">
        <v>3.2599999999999997E-2</v>
      </c>
      <c r="AM557">
        <v>1.3299999999999999E-2</v>
      </c>
      <c r="AN557">
        <v>7.7999999999999996E-3</v>
      </c>
      <c r="AO557">
        <v>8.5000000000000006E-3</v>
      </c>
      <c r="AP557">
        <v>5.4000000000000003E-3</v>
      </c>
      <c r="AQ557">
        <v>9.9000000000000008E-3</v>
      </c>
      <c r="AR557">
        <v>7.9000000000000008E-3</v>
      </c>
      <c r="AS557">
        <v>7.4000000000000003E-3</v>
      </c>
      <c r="AT557">
        <v>1.5299999999999999E-2</v>
      </c>
      <c r="AU557">
        <v>1.9099999999999999E-2</v>
      </c>
      <c r="AV557">
        <v>2.4400000000000002E-2</v>
      </c>
    </row>
    <row r="558" spans="1:48" x14ac:dyDescent="0.25">
      <c r="A558" t="s">
        <v>639</v>
      </c>
      <c r="B558" t="s">
        <v>2</v>
      </c>
      <c r="C558" t="s">
        <v>639</v>
      </c>
      <c r="D558">
        <v>48540</v>
      </c>
      <c r="E558" t="s">
        <v>672</v>
      </c>
      <c r="F558" t="s">
        <v>117</v>
      </c>
      <c r="G558" t="s">
        <v>670</v>
      </c>
      <c r="H558" t="s">
        <v>670</v>
      </c>
      <c r="I558" t="s">
        <v>673</v>
      </c>
      <c r="J558" t="s">
        <v>673</v>
      </c>
      <c r="K558" t="s">
        <v>673</v>
      </c>
      <c r="L558" t="s">
        <v>673</v>
      </c>
      <c r="M558" t="s">
        <v>673</v>
      </c>
      <c r="N558" t="s">
        <v>673</v>
      </c>
      <c r="O558" t="s">
        <v>673</v>
      </c>
      <c r="P558" t="s">
        <v>673</v>
      </c>
      <c r="Q558" t="s">
        <v>673</v>
      </c>
      <c r="R558" t="s">
        <v>673</v>
      </c>
      <c r="S558" t="s">
        <v>673</v>
      </c>
      <c r="T558" t="s">
        <v>673</v>
      </c>
      <c r="U558" t="s">
        <v>673</v>
      </c>
      <c r="V558" t="s">
        <v>673</v>
      </c>
      <c r="W558" t="s">
        <v>673</v>
      </c>
      <c r="X558" t="s">
        <v>673</v>
      </c>
      <c r="Y558" t="s">
        <v>673</v>
      </c>
      <c r="Z558" t="s">
        <v>673</v>
      </c>
      <c r="AA558" t="s">
        <v>673</v>
      </c>
      <c r="AB558" t="s">
        <v>673</v>
      </c>
      <c r="AC558" t="s">
        <v>673</v>
      </c>
      <c r="AD558" t="s">
        <v>673</v>
      </c>
      <c r="AE558" t="s">
        <v>673</v>
      </c>
      <c r="AF558" t="s">
        <v>673</v>
      </c>
      <c r="AG558" t="s">
        <v>673</v>
      </c>
      <c r="AH558" t="s">
        <v>673</v>
      </c>
      <c r="AI558" t="s">
        <v>673</v>
      </c>
      <c r="AJ558" t="s">
        <v>673</v>
      </c>
      <c r="AK558" t="s">
        <v>673</v>
      </c>
      <c r="AL558" t="s">
        <v>673</v>
      </c>
      <c r="AM558" t="s">
        <v>673</v>
      </c>
      <c r="AN558" t="s">
        <v>673</v>
      </c>
      <c r="AO558" t="s">
        <v>673</v>
      </c>
      <c r="AP558" t="s">
        <v>673</v>
      </c>
      <c r="AQ558">
        <v>-3.1099999999999999E-2</v>
      </c>
      <c r="AR558">
        <v>-3.2199999999999999E-2</v>
      </c>
      <c r="AS558">
        <v>2.8299999999999999E-2</v>
      </c>
      <c r="AT558">
        <v>1.9599999999999999E-2</v>
      </c>
      <c r="AU558">
        <v>6.3399999999999998E-2</v>
      </c>
      <c r="AV558">
        <v>0.112</v>
      </c>
    </row>
    <row r="559" spans="1:48" x14ac:dyDescent="0.25">
      <c r="A559" t="s">
        <v>640</v>
      </c>
      <c r="B559" t="s">
        <v>2</v>
      </c>
      <c r="C559" t="s">
        <v>640</v>
      </c>
      <c r="D559">
        <v>48580</v>
      </c>
      <c r="E559" t="s">
        <v>672</v>
      </c>
      <c r="F559" t="s">
        <v>117</v>
      </c>
      <c r="G559" t="s">
        <v>670</v>
      </c>
      <c r="H559" t="s">
        <v>670</v>
      </c>
      <c r="I559" t="s">
        <v>673</v>
      </c>
      <c r="J559" t="s">
        <v>673</v>
      </c>
      <c r="K559" t="s">
        <v>673</v>
      </c>
      <c r="L559" t="s">
        <v>673</v>
      </c>
      <c r="M559">
        <v>0.51470000000000005</v>
      </c>
      <c r="N559">
        <v>0.64449999999999996</v>
      </c>
      <c r="O559">
        <v>0.1792</v>
      </c>
      <c r="P559">
        <v>7.9500000000000001E-2</v>
      </c>
      <c r="Q559">
        <v>7.3400000000000007E-2</v>
      </c>
      <c r="R559">
        <v>1.8100000000000002E-2</v>
      </c>
      <c r="S559">
        <v>2.9000000000000001E-2</v>
      </c>
      <c r="T559">
        <v>4.41E-2</v>
      </c>
      <c r="U559">
        <v>7.4399999999999994E-2</v>
      </c>
      <c r="V559">
        <v>0.1198</v>
      </c>
      <c r="W559">
        <v>0.14660000000000001</v>
      </c>
      <c r="X559">
        <v>0.1326</v>
      </c>
      <c r="Y559">
        <v>9.7299999999999998E-2</v>
      </c>
      <c r="Z559">
        <v>4.7600000000000003E-2</v>
      </c>
      <c r="AA559">
        <v>4.8300000000000003E-2</v>
      </c>
      <c r="AB559">
        <v>3.7600000000000001E-2</v>
      </c>
      <c r="AC559">
        <v>7.2400000000000006E-2</v>
      </c>
      <c r="AD559">
        <v>0.1517</v>
      </c>
      <c r="AE559">
        <v>0.18260000000000001</v>
      </c>
      <c r="AF559">
        <v>9.7699999999999995E-2</v>
      </c>
      <c r="AG559">
        <v>8.2699999999999996E-2</v>
      </c>
      <c r="AH559">
        <v>0.1023</v>
      </c>
      <c r="AI559">
        <v>3.9600000000000003E-2</v>
      </c>
      <c r="AJ559">
        <v>7.6700000000000004E-2</v>
      </c>
      <c r="AK559">
        <v>9.1200000000000003E-2</v>
      </c>
      <c r="AL559">
        <v>4.0000000000000001E-3</v>
      </c>
      <c r="AM559">
        <v>-3.7400000000000003E-2</v>
      </c>
      <c r="AN559">
        <v>2.93E-2</v>
      </c>
      <c r="AO559">
        <v>-1.12E-2</v>
      </c>
      <c r="AP559">
        <v>-4.4999999999999997E-3</v>
      </c>
      <c r="AQ559">
        <v>4.0899999999999999E-2</v>
      </c>
      <c r="AR559">
        <v>4.7000000000000002E-3</v>
      </c>
      <c r="AS559">
        <v>7.22E-2</v>
      </c>
      <c r="AT559">
        <v>0.13869999999999999</v>
      </c>
      <c r="AU559">
        <v>0.12670000000000001</v>
      </c>
      <c r="AV559">
        <v>0.123</v>
      </c>
    </row>
    <row r="560" spans="1:48" x14ac:dyDescent="0.25">
      <c r="A560" t="s">
        <v>641</v>
      </c>
      <c r="B560" t="s">
        <v>2</v>
      </c>
      <c r="C560" t="s">
        <v>641</v>
      </c>
      <c r="D560">
        <v>48660</v>
      </c>
      <c r="E560" t="s">
        <v>672</v>
      </c>
      <c r="F560" t="s">
        <v>117</v>
      </c>
      <c r="G560" t="s">
        <v>670</v>
      </c>
      <c r="H560" t="s">
        <v>670</v>
      </c>
      <c r="I560">
        <v>1.9199999999999998E-2</v>
      </c>
      <c r="J560">
        <v>3.5499999999999997E-2</v>
      </c>
      <c r="K560">
        <v>0.01</v>
      </c>
      <c r="L560">
        <v>-2.46E-2</v>
      </c>
      <c r="M560">
        <v>-6.9500000000000006E-2</v>
      </c>
      <c r="N560">
        <v>-6.3299999999999995E-2</v>
      </c>
      <c r="O560">
        <v>-4.24E-2</v>
      </c>
      <c r="P560">
        <v>1.9199999999999998E-2</v>
      </c>
      <c r="Q560">
        <v>6.7000000000000004E-2</v>
      </c>
      <c r="R560">
        <v>6.9599999999999995E-2</v>
      </c>
      <c r="S560">
        <v>7.6399999999999996E-2</v>
      </c>
      <c r="T560">
        <v>2.5399999999999999E-2</v>
      </c>
      <c r="U560">
        <v>3.1199999999999999E-2</v>
      </c>
      <c r="V560">
        <v>3.4200000000000001E-2</v>
      </c>
      <c r="W560">
        <v>2.2499999999999999E-2</v>
      </c>
      <c r="X560">
        <v>4.0099999999999997E-2</v>
      </c>
      <c r="Y560">
        <v>4.0599999999999997E-2</v>
      </c>
      <c r="Z560">
        <v>-5.9999999999999995E-4</v>
      </c>
      <c r="AA560">
        <v>1.3599999999999999E-2</v>
      </c>
      <c r="AB560">
        <v>1.84E-2</v>
      </c>
      <c r="AC560">
        <v>-5.5999999999999999E-3</v>
      </c>
      <c r="AD560">
        <v>5.3800000000000001E-2</v>
      </c>
      <c r="AE560">
        <v>4.99E-2</v>
      </c>
      <c r="AF560">
        <v>4.7300000000000002E-2</v>
      </c>
      <c r="AG560">
        <v>9.9500000000000005E-2</v>
      </c>
      <c r="AH560">
        <v>9.8199999999999996E-2</v>
      </c>
      <c r="AI560">
        <v>7.6499999999999999E-2</v>
      </c>
      <c r="AJ560">
        <v>8.4099999999999994E-2</v>
      </c>
      <c r="AK560">
        <v>5.8000000000000003E-2</v>
      </c>
      <c r="AL560">
        <v>3.6499999999999998E-2</v>
      </c>
      <c r="AM560">
        <v>4.6100000000000002E-2</v>
      </c>
      <c r="AN560">
        <v>4.36E-2</v>
      </c>
      <c r="AO560">
        <v>2.63E-2</v>
      </c>
      <c r="AP560">
        <v>2.0899999999999998E-2</v>
      </c>
      <c r="AQ560">
        <v>4.7999999999999996E-3</v>
      </c>
      <c r="AR560">
        <v>-7.4000000000000003E-3</v>
      </c>
      <c r="AS560">
        <v>-5.1000000000000004E-3</v>
      </c>
      <c r="AT560">
        <v>7.6E-3</v>
      </c>
      <c r="AU560">
        <v>4.7399999999999998E-2</v>
      </c>
      <c r="AV560">
        <v>5.6500000000000002E-2</v>
      </c>
    </row>
    <row r="561" spans="1:48" x14ac:dyDescent="0.25">
      <c r="A561" t="s">
        <v>642</v>
      </c>
      <c r="B561" t="s">
        <v>2</v>
      </c>
      <c r="C561" t="s">
        <v>642</v>
      </c>
      <c r="D561">
        <v>48620</v>
      </c>
      <c r="E561" t="s">
        <v>672</v>
      </c>
      <c r="F561" t="s">
        <v>117</v>
      </c>
      <c r="G561" t="s">
        <v>670</v>
      </c>
      <c r="H561" t="s">
        <v>670</v>
      </c>
      <c r="I561">
        <v>4.5100000000000001E-2</v>
      </c>
      <c r="J561">
        <v>3.5700000000000003E-2</v>
      </c>
      <c r="K561">
        <v>4.58E-2</v>
      </c>
      <c r="L561">
        <v>3.04E-2</v>
      </c>
      <c r="M561">
        <v>2.0500000000000001E-2</v>
      </c>
      <c r="N561">
        <v>2.1700000000000001E-2</v>
      </c>
      <c r="O561">
        <v>3.0300000000000001E-2</v>
      </c>
      <c r="P561">
        <v>3.5200000000000002E-2</v>
      </c>
      <c r="Q561">
        <v>3.73E-2</v>
      </c>
      <c r="R561">
        <v>1.8499999999999999E-2</v>
      </c>
      <c r="S561">
        <v>3.5999999999999999E-3</v>
      </c>
      <c r="T561">
        <v>1.43E-2</v>
      </c>
      <c r="U561">
        <v>6.1000000000000004E-3</v>
      </c>
      <c r="V561">
        <v>2.1600000000000001E-2</v>
      </c>
      <c r="W561">
        <v>4.2700000000000002E-2</v>
      </c>
      <c r="X561">
        <v>4.3499999999999997E-2</v>
      </c>
      <c r="Y561">
        <v>5.8299999999999998E-2</v>
      </c>
      <c r="Z561">
        <v>5.1299999999999998E-2</v>
      </c>
      <c r="AA561">
        <v>3.1600000000000003E-2</v>
      </c>
      <c r="AB561">
        <v>2.5600000000000001E-2</v>
      </c>
      <c r="AC561">
        <v>2.1999999999999999E-2</v>
      </c>
      <c r="AD561">
        <v>3.2300000000000002E-2</v>
      </c>
      <c r="AE561">
        <v>6.1699999999999998E-2</v>
      </c>
      <c r="AF561">
        <v>8.7300000000000003E-2</v>
      </c>
      <c r="AG561">
        <v>0.1002</v>
      </c>
      <c r="AH561">
        <v>0.1148</v>
      </c>
      <c r="AI561">
        <v>9.5399999999999999E-2</v>
      </c>
      <c r="AJ561">
        <v>7.1199999999999999E-2</v>
      </c>
      <c r="AK561">
        <v>4.9500000000000002E-2</v>
      </c>
      <c r="AL561">
        <v>2.46E-2</v>
      </c>
      <c r="AM561">
        <v>2.5000000000000001E-2</v>
      </c>
      <c r="AN561">
        <v>2.5600000000000001E-2</v>
      </c>
      <c r="AO561">
        <v>4.0800000000000003E-2</v>
      </c>
      <c r="AP561">
        <v>4.65E-2</v>
      </c>
      <c r="AQ561">
        <v>3.6700000000000003E-2</v>
      </c>
      <c r="AR561">
        <v>1.47E-2</v>
      </c>
      <c r="AS561">
        <v>2.9499999999999998E-2</v>
      </c>
      <c r="AT561">
        <v>6.0699999999999997E-2</v>
      </c>
      <c r="AU561">
        <v>6.6600000000000006E-2</v>
      </c>
      <c r="AV561">
        <v>7.9500000000000001E-2</v>
      </c>
    </row>
    <row r="562" spans="1:48" x14ac:dyDescent="0.25">
      <c r="A562" t="s">
        <v>643</v>
      </c>
      <c r="B562" t="s">
        <v>2</v>
      </c>
      <c r="C562" t="s">
        <v>643</v>
      </c>
      <c r="D562">
        <v>48680</v>
      </c>
      <c r="E562" t="s">
        <v>672</v>
      </c>
      <c r="F562" t="s">
        <v>117</v>
      </c>
      <c r="G562" t="s">
        <v>670</v>
      </c>
      <c r="H562" t="s">
        <v>670</v>
      </c>
      <c r="I562" t="s">
        <v>673</v>
      </c>
      <c r="J562" t="s">
        <v>673</v>
      </c>
      <c r="K562">
        <v>0.50470000000000004</v>
      </c>
      <c r="L562" t="s">
        <v>673</v>
      </c>
      <c r="M562" t="s">
        <v>673</v>
      </c>
      <c r="N562" t="s">
        <v>673</v>
      </c>
      <c r="O562" t="s">
        <v>673</v>
      </c>
      <c r="P562">
        <v>3.09E-2</v>
      </c>
      <c r="Q562">
        <v>3.04E-2</v>
      </c>
      <c r="R562">
        <v>3.2099999999999997E-2</v>
      </c>
      <c r="S562">
        <v>4.3700000000000003E-2</v>
      </c>
      <c r="T562">
        <v>2.07E-2</v>
      </c>
      <c r="U562">
        <v>2.2200000000000001E-2</v>
      </c>
      <c r="V562">
        <v>3.6799999999999999E-2</v>
      </c>
      <c r="W562">
        <v>4.2999999999999997E-2</v>
      </c>
      <c r="X562">
        <v>4.0800000000000003E-2</v>
      </c>
      <c r="Y562" t="s">
        <v>673</v>
      </c>
      <c r="Z562" t="s">
        <v>673</v>
      </c>
      <c r="AA562">
        <v>4.1000000000000003E-3</v>
      </c>
      <c r="AB562">
        <v>4.1000000000000003E-3</v>
      </c>
      <c r="AC562">
        <v>-4.4999999999999998E-2</v>
      </c>
      <c r="AD562">
        <v>-3.6200000000000003E-2</v>
      </c>
      <c r="AE562">
        <v>1.0800000000000001E-2</v>
      </c>
      <c r="AF562" t="s">
        <v>673</v>
      </c>
      <c r="AG562" t="s">
        <v>673</v>
      </c>
      <c r="AH562" t="s">
        <v>673</v>
      </c>
      <c r="AI562" t="s">
        <v>673</v>
      </c>
      <c r="AJ562" t="s">
        <v>673</v>
      </c>
      <c r="AK562" t="s">
        <v>673</v>
      </c>
      <c r="AL562" t="s">
        <v>673</v>
      </c>
      <c r="AM562" t="s">
        <v>673</v>
      </c>
      <c r="AN562" t="s">
        <v>673</v>
      </c>
      <c r="AO562">
        <v>7.8100000000000003E-2</v>
      </c>
      <c r="AP562">
        <v>9.2200000000000004E-2</v>
      </c>
      <c r="AQ562">
        <v>2.1600000000000001E-2</v>
      </c>
      <c r="AR562">
        <v>7.3899999999999993E-2</v>
      </c>
      <c r="AS562">
        <v>-4.8099999999999997E-2</v>
      </c>
      <c r="AT562">
        <v>-8.48E-2</v>
      </c>
      <c r="AU562">
        <v>-7.2999999999999995E-2</v>
      </c>
      <c r="AV562">
        <v>-1.4800000000000001E-2</v>
      </c>
    </row>
    <row r="563" spans="1:48" x14ac:dyDescent="0.25">
      <c r="A563" t="s">
        <v>644</v>
      </c>
      <c r="B563" t="s">
        <v>2</v>
      </c>
      <c r="C563" t="s">
        <v>644</v>
      </c>
      <c r="D563">
        <v>48700</v>
      </c>
      <c r="E563" t="s">
        <v>672</v>
      </c>
      <c r="F563" t="s">
        <v>117</v>
      </c>
      <c r="G563" t="s">
        <v>670</v>
      </c>
      <c r="H563" t="s">
        <v>670</v>
      </c>
      <c r="I563" t="s">
        <v>673</v>
      </c>
      <c r="J563" t="s">
        <v>673</v>
      </c>
      <c r="K563" t="s">
        <v>673</v>
      </c>
      <c r="L563">
        <v>-0.1724</v>
      </c>
      <c r="M563">
        <v>-9.4999999999999998E-3</v>
      </c>
      <c r="N563">
        <v>1.44E-2</v>
      </c>
      <c r="O563">
        <v>1.3299999999999999E-2</v>
      </c>
      <c r="P563">
        <v>4.3299999999999998E-2</v>
      </c>
      <c r="Q563">
        <v>2.5000000000000001E-2</v>
      </c>
      <c r="R563">
        <v>5.0700000000000002E-2</v>
      </c>
      <c r="S563">
        <v>5.1299999999999998E-2</v>
      </c>
      <c r="T563">
        <v>5.1400000000000001E-2</v>
      </c>
      <c r="U563">
        <v>4.02E-2</v>
      </c>
      <c r="V563">
        <v>3.5900000000000001E-2</v>
      </c>
      <c r="W563">
        <v>-3.2000000000000002E-3</v>
      </c>
      <c r="X563">
        <v>-5.7000000000000002E-3</v>
      </c>
      <c r="Y563">
        <v>-1.6000000000000001E-3</v>
      </c>
      <c r="Z563">
        <v>-1E-4</v>
      </c>
      <c r="AA563" t="s">
        <v>673</v>
      </c>
      <c r="AB563" t="s">
        <v>673</v>
      </c>
      <c r="AC563" t="s">
        <v>673</v>
      </c>
      <c r="AD563" t="s">
        <v>673</v>
      </c>
      <c r="AE563" t="s">
        <v>673</v>
      </c>
      <c r="AF563" t="s">
        <v>673</v>
      </c>
      <c r="AG563" t="s">
        <v>673</v>
      </c>
      <c r="AH563" t="s">
        <v>673</v>
      </c>
      <c r="AI563" t="s">
        <v>673</v>
      </c>
      <c r="AJ563" t="s">
        <v>673</v>
      </c>
      <c r="AK563" t="s">
        <v>673</v>
      </c>
      <c r="AL563" t="s">
        <v>673</v>
      </c>
      <c r="AM563" t="s">
        <v>673</v>
      </c>
      <c r="AN563" t="s">
        <v>673</v>
      </c>
      <c r="AO563" t="s">
        <v>673</v>
      </c>
      <c r="AP563" t="s">
        <v>673</v>
      </c>
      <c r="AQ563" t="s">
        <v>673</v>
      </c>
      <c r="AR563" t="s">
        <v>673</v>
      </c>
      <c r="AS563" t="s">
        <v>673</v>
      </c>
      <c r="AT563" t="s">
        <v>673</v>
      </c>
      <c r="AU563" t="s">
        <v>673</v>
      </c>
      <c r="AV563" t="s">
        <v>673</v>
      </c>
    </row>
    <row r="564" spans="1:48" x14ac:dyDescent="0.25">
      <c r="A564" t="s">
        <v>645</v>
      </c>
      <c r="B564" t="s">
        <v>2</v>
      </c>
      <c r="C564" t="s">
        <v>645</v>
      </c>
      <c r="D564">
        <v>48780</v>
      </c>
      <c r="E564" t="s">
        <v>672</v>
      </c>
      <c r="F564" t="s">
        <v>117</v>
      </c>
      <c r="G564" t="s">
        <v>670</v>
      </c>
      <c r="H564" t="s">
        <v>670</v>
      </c>
      <c r="I564">
        <v>-0.38940000000000002</v>
      </c>
      <c r="J564">
        <v>-0.31409999999999999</v>
      </c>
      <c r="K564">
        <v>-0.41549999999999998</v>
      </c>
      <c r="L564">
        <v>-0.39460000000000001</v>
      </c>
      <c r="M564">
        <v>-0.34329999999999999</v>
      </c>
      <c r="N564">
        <v>-0.32179999999999997</v>
      </c>
      <c r="O564">
        <v>-0.1109</v>
      </c>
      <c r="P564">
        <v>4.3799999999999999E-2</v>
      </c>
      <c r="Q564">
        <v>0.1022</v>
      </c>
      <c r="R564">
        <v>0.16639999999999999</v>
      </c>
      <c r="S564">
        <v>0.23069999999999999</v>
      </c>
      <c r="T564">
        <v>0.2505</v>
      </c>
      <c r="U564">
        <v>0.2616</v>
      </c>
      <c r="V564">
        <v>0.2369</v>
      </c>
      <c r="W564">
        <v>0.1371</v>
      </c>
      <c r="X564">
        <v>5.5399999999999998E-2</v>
      </c>
      <c r="Y564">
        <v>3.5999999999999997E-2</v>
      </c>
      <c r="Z564">
        <v>-9.2999999999999999E-2</v>
      </c>
      <c r="AA564">
        <v>-0.25009999999999999</v>
      </c>
      <c r="AB564">
        <v>-0.29770000000000002</v>
      </c>
      <c r="AC564">
        <v>-0.3715</v>
      </c>
      <c r="AD564">
        <v>-0.27279999999999999</v>
      </c>
      <c r="AE564">
        <v>-0.1173</v>
      </c>
      <c r="AF564">
        <v>5.8200000000000002E-2</v>
      </c>
      <c r="AG564">
        <v>0.1704</v>
      </c>
      <c r="AH564">
        <v>0.20369999999999999</v>
      </c>
      <c r="AI564">
        <v>0.20480000000000001</v>
      </c>
      <c r="AJ564">
        <v>0.1288</v>
      </c>
      <c r="AK564">
        <v>0.16919999999999999</v>
      </c>
      <c r="AL564">
        <v>0.16750000000000001</v>
      </c>
      <c r="AM564">
        <v>0.1336</v>
      </c>
      <c r="AN564">
        <v>0.1258</v>
      </c>
      <c r="AO564">
        <v>0.12330000000000001</v>
      </c>
      <c r="AP564">
        <v>6.9800000000000001E-2</v>
      </c>
      <c r="AQ564">
        <v>0.1012</v>
      </c>
      <c r="AR564">
        <v>0.10150000000000001</v>
      </c>
      <c r="AS564">
        <v>8.6699999999999999E-2</v>
      </c>
      <c r="AT564">
        <v>0.09</v>
      </c>
      <c r="AU564">
        <v>0.12839999999999999</v>
      </c>
      <c r="AV564">
        <v>7.6700000000000004E-2</v>
      </c>
    </row>
    <row r="565" spans="1:48" x14ac:dyDescent="0.25">
      <c r="A565" t="s">
        <v>646</v>
      </c>
      <c r="B565" t="s">
        <v>2</v>
      </c>
      <c r="C565" t="s">
        <v>646</v>
      </c>
      <c r="D565">
        <v>48820</v>
      </c>
      <c r="E565" t="s">
        <v>672</v>
      </c>
      <c r="F565" t="s">
        <v>117</v>
      </c>
      <c r="G565" t="s">
        <v>670</v>
      </c>
      <c r="H565" t="s">
        <v>670</v>
      </c>
      <c r="I565" t="s">
        <v>673</v>
      </c>
      <c r="J565" t="s">
        <v>673</v>
      </c>
      <c r="K565" t="s">
        <v>673</v>
      </c>
      <c r="L565" t="s">
        <v>673</v>
      </c>
      <c r="M565" t="s">
        <v>673</v>
      </c>
      <c r="N565" t="s">
        <v>673</v>
      </c>
      <c r="O565" t="s">
        <v>673</v>
      </c>
      <c r="P565" t="s">
        <v>673</v>
      </c>
      <c r="Q565" t="s">
        <v>673</v>
      </c>
      <c r="R565" t="s">
        <v>673</v>
      </c>
      <c r="S565" t="s">
        <v>673</v>
      </c>
      <c r="T565" t="s">
        <v>673</v>
      </c>
      <c r="U565" t="s">
        <v>673</v>
      </c>
      <c r="V565" t="s">
        <v>673</v>
      </c>
      <c r="W565" t="s">
        <v>673</v>
      </c>
      <c r="X565" t="s">
        <v>673</v>
      </c>
      <c r="Y565" t="s">
        <v>673</v>
      </c>
      <c r="Z565" t="s">
        <v>673</v>
      </c>
      <c r="AA565" t="s">
        <v>673</v>
      </c>
      <c r="AB565" t="s">
        <v>673</v>
      </c>
      <c r="AC565" t="s">
        <v>673</v>
      </c>
      <c r="AD565" t="s">
        <v>673</v>
      </c>
      <c r="AE565" t="s">
        <v>673</v>
      </c>
      <c r="AF565" t="s">
        <v>673</v>
      </c>
      <c r="AG565" t="s">
        <v>673</v>
      </c>
      <c r="AH565" t="s">
        <v>673</v>
      </c>
      <c r="AI565" t="s">
        <v>673</v>
      </c>
      <c r="AJ565" t="s">
        <v>673</v>
      </c>
      <c r="AK565" t="s">
        <v>673</v>
      </c>
      <c r="AL565" t="s">
        <v>673</v>
      </c>
      <c r="AM565" t="s">
        <v>673</v>
      </c>
      <c r="AN565" t="s">
        <v>673</v>
      </c>
      <c r="AO565" t="s">
        <v>673</v>
      </c>
      <c r="AP565" t="s">
        <v>673</v>
      </c>
      <c r="AQ565" t="s">
        <v>673</v>
      </c>
      <c r="AR565" t="s">
        <v>673</v>
      </c>
      <c r="AS565" t="s">
        <v>673</v>
      </c>
      <c r="AT565" t="s">
        <v>673</v>
      </c>
      <c r="AU565" t="s">
        <v>673</v>
      </c>
      <c r="AV565" t="s">
        <v>673</v>
      </c>
    </row>
    <row r="566" spans="1:48" x14ac:dyDescent="0.25">
      <c r="A566" t="s">
        <v>647</v>
      </c>
      <c r="B566" t="s">
        <v>2</v>
      </c>
      <c r="C566" t="s">
        <v>647</v>
      </c>
      <c r="D566">
        <v>48900</v>
      </c>
      <c r="E566" t="s">
        <v>672</v>
      </c>
      <c r="F566" t="s">
        <v>117</v>
      </c>
      <c r="G566" t="s">
        <v>670</v>
      </c>
      <c r="H566" t="s">
        <v>670</v>
      </c>
      <c r="I566">
        <v>7.1400000000000005E-2</v>
      </c>
      <c r="J566">
        <v>9.01E-2</v>
      </c>
      <c r="K566">
        <v>7.5999999999999998E-2</v>
      </c>
      <c r="L566">
        <v>5.8200000000000002E-2</v>
      </c>
      <c r="M566">
        <v>6.7799999999999999E-2</v>
      </c>
      <c r="N566">
        <v>3.8699999999999998E-2</v>
      </c>
      <c r="O566">
        <v>1.67E-2</v>
      </c>
      <c r="P566">
        <v>3.8300000000000001E-2</v>
      </c>
      <c r="Q566">
        <v>2.1399999999999999E-2</v>
      </c>
      <c r="R566">
        <v>3.73E-2</v>
      </c>
      <c r="S566">
        <v>5.8299999999999998E-2</v>
      </c>
      <c r="T566">
        <v>0.1016</v>
      </c>
      <c r="U566">
        <v>0.1196</v>
      </c>
      <c r="V566">
        <v>0.11600000000000001</v>
      </c>
      <c r="W566">
        <v>0.1157</v>
      </c>
      <c r="X566">
        <v>5.8599999999999999E-2</v>
      </c>
      <c r="Y566">
        <v>3.4799999999999998E-2</v>
      </c>
      <c r="Z566">
        <v>-4.4999999999999997E-3</v>
      </c>
      <c r="AA566">
        <v>4.5999999999999999E-3</v>
      </c>
      <c r="AB566">
        <v>1.34E-2</v>
      </c>
      <c r="AC566">
        <v>3.4599999999999999E-2</v>
      </c>
      <c r="AD566">
        <v>0.1144</v>
      </c>
      <c r="AE566">
        <v>0.1638</v>
      </c>
      <c r="AF566">
        <v>0.21379999999999999</v>
      </c>
      <c r="AG566">
        <v>0.23</v>
      </c>
      <c r="AH566">
        <v>0.23350000000000001</v>
      </c>
      <c r="AI566">
        <v>0.19420000000000001</v>
      </c>
      <c r="AJ566">
        <v>0.13300000000000001</v>
      </c>
      <c r="AK566">
        <v>9.2299999999999993E-2</v>
      </c>
      <c r="AL566">
        <v>3.9600000000000003E-2</v>
      </c>
      <c r="AM566">
        <v>-9.7999999999999997E-3</v>
      </c>
      <c r="AN566">
        <v>-2.5100000000000001E-2</v>
      </c>
      <c r="AO566">
        <v>-3.5400000000000001E-2</v>
      </c>
      <c r="AP566">
        <v>-3.5700000000000003E-2</v>
      </c>
      <c r="AQ566">
        <v>-2.0500000000000001E-2</v>
      </c>
      <c r="AR566">
        <v>-1.6E-2</v>
      </c>
      <c r="AS566">
        <v>-8.8999999999999999E-3</v>
      </c>
      <c r="AT566">
        <v>1.6000000000000001E-3</v>
      </c>
      <c r="AU566">
        <v>-2.0999999999999999E-3</v>
      </c>
      <c r="AV566">
        <v>-1.1000000000000001E-3</v>
      </c>
    </row>
    <row r="567" spans="1:48" x14ac:dyDescent="0.25">
      <c r="A567" t="s">
        <v>648</v>
      </c>
      <c r="B567" t="s">
        <v>2</v>
      </c>
      <c r="C567" t="s">
        <v>648</v>
      </c>
      <c r="D567">
        <v>48980</v>
      </c>
      <c r="E567" t="s">
        <v>672</v>
      </c>
      <c r="F567" t="s">
        <v>117</v>
      </c>
      <c r="G567" t="s">
        <v>670</v>
      </c>
      <c r="H567" t="s">
        <v>670</v>
      </c>
      <c r="I567">
        <v>1.9400000000000001E-2</v>
      </c>
      <c r="J567">
        <v>4.8500000000000001E-2</v>
      </c>
      <c r="K567">
        <v>0.12130000000000001</v>
      </c>
      <c r="L567">
        <v>0.104</v>
      </c>
      <c r="M567">
        <v>4.2200000000000001E-2</v>
      </c>
      <c r="N567">
        <v>4.1300000000000003E-2</v>
      </c>
      <c r="O567">
        <v>7.9000000000000008E-3</v>
      </c>
      <c r="P567">
        <v>6.6E-3</v>
      </c>
      <c r="Q567">
        <v>9.0999999999999998E-2</v>
      </c>
      <c r="R567">
        <v>6.4199999999999993E-2</v>
      </c>
      <c r="S567">
        <v>7.8299999999999995E-2</v>
      </c>
      <c r="T567">
        <v>8.9499999999999996E-2</v>
      </c>
      <c r="U567">
        <v>6.08E-2</v>
      </c>
      <c r="V567">
        <v>8.09E-2</v>
      </c>
      <c r="W567">
        <v>-4.5999999999999999E-3</v>
      </c>
      <c r="X567">
        <v>3.1699999999999999E-2</v>
      </c>
      <c r="Y567">
        <v>3.4700000000000002E-2</v>
      </c>
      <c r="Z567">
        <v>2.8999999999999998E-3</v>
      </c>
      <c r="AA567">
        <v>6.7799999999999999E-2</v>
      </c>
      <c r="AB567">
        <v>8.43E-2</v>
      </c>
      <c r="AC567">
        <v>5.7599999999999998E-2</v>
      </c>
      <c r="AD567">
        <v>0.1138</v>
      </c>
      <c r="AE567">
        <v>0.1648</v>
      </c>
      <c r="AF567">
        <v>0.23130000000000001</v>
      </c>
      <c r="AG567">
        <v>0.22359999999999999</v>
      </c>
      <c r="AH567">
        <v>0.18529999999999999</v>
      </c>
      <c r="AI567">
        <v>0.20419999999999999</v>
      </c>
      <c r="AJ567">
        <v>0.2626</v>
      </c>
      <c r="AK567">
        <v>0.23630000000000001</v>
      </c>
      <c r="AL567">
        <v>0.2913</v>
      </c>
      <c r="AM567">
        <v>0.18229999999999999</v>
      </c>
      <c r="AN567">
        <v>3.3E-3</v>
      </c>
      <c r="AO567">
        <v>-2.7099999999999999E-2</v>
      </c>
      <c r="AP567">
        <v>-4.02E-2</v>
      </c>
      <c r="AQ567">
        <v>-5.57E-2</v>
      </c>
      <c r="AR567">
        <v>-5.8500000000000003E-2</v>
      </c>
      <c r="AS567">
        <v>-1.84E-2</v>
      </c>
      <c r="AT567">
        <v>-7.0800000000000002E-2</v>
      </c>
      <c r="AU567">
        <v>-1.14E-2</v>
      </c>
      <c r="AV567">
        <v>5.0299999999999997E-2</v>
      </c>
    </row>
    <row r="568" spans="1:48" x14ac:dyDescent="0.25">
      <c r="A568" t="s">
        <v>649</v>
      </c>
      <c r="B568" t="s">
        <v>2</v>
      </c>
      <c r="C568" t="s">
        <v>649</v>
      </c>
      <c r="D568">
        <v>49020</v>
      </c>
      <c r="E568" t="s">
        <v>672</v>
      </c>
      <c r="F568" t="s">
        <v>117</v>
      </c>
      <c r="G568" t="s">
        <v>670</v>
      </c>
      <c r="H568" t="s">
        <v>670</v>
      </c>
      <c r="I568">
        <v>4.87E-2</v>
      </c>
      <c r="J568">
        <v>6.93E-2</v>
      </c>
      <c r="K568">
        <v>0.06</v>
      </c>
      <c r="L568">
        <v>3.9100000000000003E-2</v>
      </c>
      <c r="M568">
        <v>4.02E-2</v>
      </c>
      <c r="N568">
        <v>1.5900000000000001E-2</v>
      </c>
      <c r="O568">
        <v>3.4299999999999997E-2</v>
      </c>
      <c r="P568">
        <v>2.7799999999999998E-2</v>
      </c>
      <c r="Q568">
        <v>2.7099999999999999E-2</v>
      </c>
      <c r="R568">
        <v>3.9199999999999999E-2</v>
      </c>
      <c r="S568">
        <v>7.1999999999999995E-2</v>
      </c>
      <c r="T568">
        <v>5.9299999999999999E-2</v>
      </c>
      <c r="U568">
        <v>6.6799999999999998E-2</v>
      </c>
      <c r="V568">
        <v>5.0599999999999999E-2</v>
      </c>
      <c r="W568">
        <v>4.0599999999999997E-2</v>
      </c>
      <c r="X568">
        <v>6.5799999999999997E-2</v>
      </c>
      <c r="Y568">
        <v>0.1024</v>
      </c>
      <c r="Z568">
        <v>0.12</v>
      </c>
      <c r="AA568">
        <v>0.1032</v>
      </c>
      <c r="AB568">
        <v>0.1037</v>
      </c>
      <c r="AC568">
        <v>6.6000000000000003E-2</v>
      </c>
      <c r="AD568">
        <v>7.2499999999999995E-2</v>
      </c>
      <c r="AE568">
        <v>8.6599999999999996E-2</v>
      </c>
      <c r="AF568">
        <v>9.3399999999999997E-2</v>
      </c>
      <c r="AG568">
        <v>7.9600000000000004E-2</v>
      </c>
      <c r="AH568">
        <v>7.6700000000000004E-2</v>
      </c>
      <c r="AI568">
        <v>6.5600000000000006E-2</v>
      </c>
      <c r="AJ568">
        <v>3.5700000000000003E-2</v>
      </c>
      <c r="AK568">
        <v>5.8599999999999999E-2</v>
      </c>
      <c r="AL568">
        <v>7.4700000000000003E-2</v>
      </c>
      <c r="AM568">
        <v>6.8400000000000002E-2</v>
      </c>
      <c r="AN568">
        <v>6.6699999999999995E-2</v>
      </c>
      <c r="AO568">
        <v>7.8700000000000006E-2</v>
      </c>
      <c r="AP568">
        <v>7.9200000000000007E-2</v>
      </c>
      <c r="AQ568">
        <v>7.0999999999999994E-2</v>
      </c>
      <c r="AR568">
        <v>9.2200000000000004E-2</v>
      </c>
      <c r="AS568">
        <v>6.93E-2</v>
      </c>
      <c r="AT568">
        <v>4.4699999999999997E-2</v>
      </c>
      <c r="AU568">
        <v>4.53E-2</v>
      </c>
      <c r="AV568">
        <v>5.7000000000000002E-3</v>
      </c>
    </row>
    <row r="569" spans="1:48" x14ac:dyDescent="0.25">
      <c r="A569" t="s">
        <v>650</v>
      </c>
      <c r="B569" t="s">
        <v>2</v>
      </c>
      <c r="C569" t="s">
        <v>650</v>
      </c>
      <c r="D569">
        <v>49100</v>
      </c>
      <c r="E569" t="s">
        <v>672</v>
      </c>
      <c r="F569" t="s">
        <v>117</v>
      </c>
      <c r="G569" t="s">
        <v>670</v>
      </c>
      <c r="H569" t="s">
        <v>670</v>
      </c>
      <c r="I569" t="s">
        <v>673</v>
      </c>
      <c r="J569" t="s">
        <v>673</v>
      </c>
      <c r="K569" t="s">
        <v>673</v>
      </c>
      <c r="L569" t="s">
        <v>673</v>
      </c>
      <c r="M569" t="s">
        <v>673</v>
      </c>
      <c r="N569" t="s">
        <v>673</v>
      </c>
      <c r="O569" t="s">
        <v>673</v>
      </c>
      <c r="P569" t="s">
        <v>673</v>
      </c>
      <c r="Q569" t="s">
        <v>673</v>
      </c>
      <c r="R569" t="s">
        <v>673</v>
      </c>
      <c r="S569" t="s">
        <v>673</v>
      </c>
      <c r="T569" t="s">
        <v>673</v>
      </c>
      <c r="U569" t="s">
        <v>673</v>
      </c>
      <c r="V569" t="s">
        <v>673</v>
      </c>
      <c r="W569" t="s">
        <v>673</v>
      </c>
      <c r="X569" t="s">
        <v>673</v>
      </c>
      <c r="Y569" t="s">
        <v>673</v>
      </c>
      <c r="Z569" t="s">
        <v>673</v>
      </c>
      <c r="AA569" t="s">
        <v>673</v>
      </c>
      <c r="AB569" t="s">
        <v>673</v>
      </c>
      <c r="AC569" t="s">
        <v>673</v>
      </c>
      <c r="AD569" t="s">
        <v>673</v>
      </c>
      <c r="AE569">
        <v>0.52849999999999997</v>
      </c>
      <c r="AF569">
        <v>0.53500000000000003</v>
      </c>
      <c r="AG569">
        <v>0.50470000000000004</v>
      </c>
      <c r="AH569">
        <v>0.31809999999999999</v>
      </c>
      <c r="AI569">
        <v>5.8599999999999999E-2</v>
      </c>
      <c r="AJ569">
        <v>2.4799999999999999E-2</v>
      </c>
      <c r="AK569">
        <v>3.9100000000000003E-2</v>
      </c>
      <c r="AL569">
        <v>3.6400000000000002E-2</v>
      </c>
      <c r="AM569">
        <v>5.0599999999999999E-2</v>
      </c>
      <c r="AN569">
        <v>4.7800000000000002E-2</v>
      </c>
      <c r="AO569">
        <v>3.61E-2</v>
      </c>
      <c r="AP569">
        <v>2.6800000000000001E-2</v>
      </c>
      <c r="AQ569">
        <v>3.3799999999999997E-2</v>
      </c>
      <c r="AR569">
        <v>-1.2E-2</v>
      </c>
      <c r="AS569">
        <v>5.7000000000000002E-3</v>
      </c>
      <c r="AT569">
        <v>5.7999999999999996E-3</v>
      </c>
      <c r="AU569" t="s">
        <v>673</v>
      </c>
      <c r="AV569" t="s">
        <v>673</v>
      </c>
    </row>
    <row r="570" spans="1:48" x14ac:dyDescent="0.25">
      <c r="A570" t="s">
        <v>651</v>
      </c>
      <c r="B570" t="s">
        <v>2</v>
      </c>
      <c r="C570" t="s">
        <v>651</v>
      </c>
      <c r="D570">
        <v>49300</v>
      </c>
      <c r="E570" t="s">
        <v>672</v>
      </c>
      <c r="F570" t="s">
        <v>117</v>
      </c>
      <c r="G570" t="s">
        <v>670</v>
      </c>
      <c r="H570" t="s">
        <v>670</v>
      </c>
      <c r="I570" t="s">
        <v>673</v>
      </c>
      <c r="J570" t="s">
        <v>673</v>
      </c>
      <c r="K570" t="s">
        <v>673</v>
      </c>
      <c r="L570" t="s">
        <v>673</v>
      </c>
      <c r="M570" t="s">
        <v>673</v>
      </c>
      <c r="N570" t="s">
        <v>673</v>
      </c>
      <c r="O570">
        <v>0.19520000000000001</v>
      </c>
      <c r="P570">
        <v>0.20100000000000001</v>
      </c>
      <c r="Q570">
        <v>0.17660000000000001</v>
      </c>
      <c r="R570">
        <v>6.4399999999999999E-2</v>
      </c>
      <c r="S570">
        <v>1.32E-2</v>
      </c>
      <c r="T570">
        <v>2.1499999999999998E-2</v>
      </c>
      <c r="U570">
        <v>1.6899999999999998E-2</v>
      </c>
      <c r="V570">
        <v>2.8799999999999999E-2</v>
      </c>
      <c r="W570">
        <v>-1E-4</v>
      </c>
      <c r="X570">
        <v>-2E-3</v>
      </c>
      <c r="Y570">
        <v>-1.1999999999999999E-3</v>
      </c>
      <c r="Z570">
        <v>2.2000000000000001E-3</v>
      </c>
      <c r="AA570">
        <v>2.5499999999999998E-2</v>
      </c>
      <c r="AB570">
        <v>2.3199999999999998E-2</v>
      </c>
      <c r="AC570">
        <v>2.3E-2</v>
      </c>
      <c r="AD570">
        <v>2.1100000000000001E-2</v>
      </c>
      <c r="AE570">
        <v>2.5700000000000001E-2</v>
      </c>
      <c r="AF570">
        <v>5.4800000000000001E-2</v>
      </c>
      <c r="AG570" t="s">
        <v>673</v>
      </c>
      <c r="AH570">
        <v>0.72750000000000004</v>
      </c>
      <c r="AI570">
        <v>0.80110000000000003</v>
      </c>
      <c r="AJ570">
        <v>0.7298</v>
      </c>
      <c r="AK570">
        <v>0.55669999999999997</v>
      </c>
      <c r="AL570">
        <v>3.8800000000000001E-2</v>
      </c>
      <c r="AM570">
        <v>0.1444</v>
      </c>
      <c r="AN570">
        <v>0.12909999999999999</v>
      </c>
      <c r="AO570">
        <v>0.11169999999999999</v>
      </c>
      <c r="AP570">
        <v>4.0800000000000003E-2</v>
      </c>
      <c r="AQ570">
        <v>-2.9499999999999998E-2</v>
      </c>
      <c r="AR570">
        <v>-2.6100000000000002E-2</v>
      </c>
      <c r="AS570">
        <v>9.1000000000000004E-3</v>
      </c>
      <c r="AT570">
        <v>8.77E-2</v>
      </c>
      <c r="AU570">
        <v>4.4699999999999997E-2</v>
      </c>
      <c r="AV570">
        <v>1.8599999999999998E-2</v>
      </c>
    </row>
    <row r="571" spans="1:48" x14ac:dyDescent="0.25">
      <c r="A571" t="s">
        <v>652</v>
      </c>
      <c r="B571" t="s">
        <v>2</v>
      </c>
      <c r="C571" t="s">
        <v>652</v>
      </c>
      <c r="D571">
        <v>249340</v>
      </c>
      <c r="E571" t="s">
        <v>672</v>
      </c>
      <c r="F571" t="s">
        <v>117</v>
      </c>
      <c r="G571" t="s">
        <v>670</v>
      </c>
      <c r="H571" t="s">
        <v>670</v>
      </c>
      <c r="I571">
        <v>4.2099999999999999E-2</v>
      </c>
      <c r="J571">
        <v>6.13E-2</v>
      </c>
      <c r="K571">
        <v>6.25E-2</v>
      </c>
      <c r="L571">
        <v>6.9400000000000003E-2</v>
      </c>
      <c r="M571">
        <v>9.1300000000000006E-2</v>
      </c>
      <c r="N571">
        <v>7.1999999999999995E-2</v>
      </c>
      <c r="O571">
        <v>3.4599999999999999E-2</v>
      </c>
      <c r="P571">
        <v>2.18E-2</v>
      </c>
      <c r="Q571">
        <v>8.2000000000000007E-3</v>
      </c>
      <c r="R571">
        <v>7.9000000000000008E-3</v>
      </c>
      <c r="S571">
        <v>3.8600000000000002E-2</v>
      </c>
      <c r="T571">
        <v>4.6800000000000001E-2</v>
      </c>
      <c r="U571">
        <v>5.4300000000000001E-2</v>
      </c>
      <c r="V571">
        <v>5.4199999999999998E-2</v>
      </c>
      <c r="W571">
        <v>6.6699999999999995E-2</v>
      </c>
      <c r="X571">
        <v>6.0400000000000002E-2</v>
      </c>
      <c r="Y571">
        <v>4.8300000000000003E-2</v>
      </c>
      <c r="Z571">
        <v>1.17E-2</v>
      </c>
      <c r="AA571">
        <v>1.4E-3</v>
      </c>
      <c r="AB571">
        <v>2.1999999999999999E-2</v>
      </c>
      <c r="AC571">
        <v>6.8999999999999999E-3</v>
      </c>
      <c r="AD571">
        <v>6.54E-2</v>
      </c>
      <c r="AE571">
        <v>0.1003</v>
      </c>
      <c r="AF571">
        <v>9.7500000000000003E-2</v>
      </c>
      <c r="AG571">
        <v>0.13930000000000001</v>
      </c>
      <c r="AH571">
        <v>0.15090000000000001</v>
      </c>
      <c r="AI571">
        <v>0.15540000000000001</v>
      </c>
      <c r="AJ571">
        <v>0.1125</v>
      </c>
      <c r="AK571">
        <v>9.4799999999999995E-2</v>
      </c>
      <c r="AL571">
        <v>7.3599999999999999E-2</v>
      </c>
      <c r="AM571">
        <v>1.84E-2</v>
      </c>
      <c r="AN571">
        <v>6.3500000000000001E-2</v>
      </c>
      <c r="AO571">
        <v>6.7100000000000007E-2</v>
      </c>
      <c r="AP571">
        <v>4.5100000000000001E-2</v>
      </c>
      <c r="AQ571">
        <v>5.8000000000000003E-2</v>
      </c>
      <c r="AR571">
        <v>3.9899999999999998E-2</v>
      </c>
      <c r="AS571">
        <v>3.4099999999999998E-2</v>
      </c>
      <c r="AT571">
        <v>3.1E-2</v>
      </c>
      <c r="AU571">
        <v>2.8799999999999999E-2</v>
      </c>
      <c r="AV571">
        <v>2.47E-2</v>
      </c>
    </row>
    <row r="572" spans="1:48" x14ac:dyDescent="0.25">
      <c r="A572" t="s">
        <v>653</v>
      </c>
      <c r="B572" t="s">
        <v>2</v>
      </c>
      <c r="C572" t="s">
        <v>653</v>
      </c>
      <c r="D572">
        <v>49420</v>
      </c>
      <c r="E572" t="s">
        <v>672</v>
      </c>
      <c r="F572" t="s">
        <v>117</v>
      </c>
      <c r="G572" t="s">
        <v>670</v>
      </c>
      <c r="H572" t="s">
        <v>670</v>
      </c>
      <c r="I572" t="s">
        <v>673</v>
      </c>
      <c r="J572" t="s">
        <v>673</v>
      </c>
      <c r="K572" t="s">
        <v>673</v>
      </c>
      <c r="L572" t="s">
        <v>673</v>
      </c>
      <c r="M572" t="s">
        <v>673</v>
      </c>
      <c r="N572" t="s">
        <v>673</v>
      </c>
      <c r="O572" t="s">
        <v>673</v>
      </c>
      <c r="P572" t="s">
        <v>673</v>
      </c>
      <c r="Q572" t="s">
        <v>673</v>
      </c>
      <c r="R572" t="s">
        <v>673</v>
      </c>
      <c r="S572" t="s">
        <v>673</v>
      </c>
      <c r="T572" t="s">
        <v>673</v>
      </c>
      <c r="U572" t="s">
        <v>673</v>
      </c>
      <c r="V572" t="s">
        <v>673</v>
      </c>
      <c r="W572" t="s">
        <v>673</v>
      </c>
      <c r="X572" t="s">
        <v>673</v>
      </c>
      <c r="Y572" t="s">
        <v>673</v>
      </c>
      <c r="Z572" t="s">
        <v>673</v>
      </c>
      <c r="AA572" t="s">
        <v>673</v>
      </c>
      <c r="AB572" t="s">
        <v>673</v>
      </c>
      <c r="AC572" t="s">
        <v>673</v>
      </c>
      <c r="AD572" t="s">
        <v>673</v>
      </c>
      <c r="AE572" t="s">
        <v>673</v>
      </c>
      <c r="AF572" t="s">
        <v>673</v>
      </c>
      <c r="AG572" t="s">
        <v>673</v>
      </c>
      <c r="AH572" t="s">
        <v>673</v>
      </c>
      <c r="AI572" t="s">
        <v>673</v>
      </c>
      <c r="AJ572" t="s">
        <v>673</v>
      </c>
      <c r="AK572" t="s">
        <v>673</v>
      </c>
      <c r="AL572" t="s">
        <v>673</v>
      </c>
      <c r="AM572" t="s">
        <v>673</v>
      </c>
      <c r="AN572" t="s">
        <v>673</v>
      </c>
      <c r="AO572" t="s">
        <v>673</v>
      </c>
      <c r="AP572" t="s">
        <v>673</v>
      </c>
      <c r="AQ572" t="s">
        <v>673</v>
      </c>
      <c r="AR572" t="s">
        <v>673</v>
      </c>
      <c r="AS572" t="s">
        <v>673</v>
      </c>
      <c r="AT572" t="s">
        <v>673</v>
      </c>
      <c r="AU572" t="s">
        <v>673</v>
      </c>
      <c r="AV572" t="s">
        <v>673</v>
      </c>
    </row>
    <row r="573" spans="1:48" x14ac:dyDescent="0.25">
      <c r="A573" t="s">
        <v>654</v>
      </c>
      <c r="B573" t="s">
        <v>2</v>
      </c>
      <c r="C573" t="s">
        <v>654</v>
      </c>
      <c r="D573">
        <v>49620</v>
      </c>
      <c r="E573" t="s">
        <v>672</v>
      </c>
      <c r="F573" t="s">
        <v>117</v>
      </c>
      <c r="G573" t="s">
        <v>670</v>
      </c>
      <c r="H573" t="s">
        <v>670</v>
      </c>
      <c r="I573">
        <v>2.75E-2</v>
      </c>
      <c r="J573">
        <v>2.07E-2</v>
      </c>
      <c r="K573">
        <v>-3.44E-2</v>
      </c>
      <c r="L573">
        <v>7.8799999999999995E-2</v>
      </c>
      <c r="M573">
        <v>9.0399999999999994E-2</v>
      </c>
      <c r="N573">
        <v>8.3599999999999994E-2</v>
      </c>
      <c r="O573">
        <v>0.1346</v>
      </c>
      <c r="P573">
        <v>5.1999999999999998E-3</v>
      </c>
      <c r="Q573">
        <v>1.4999999999999999E-2</v>
      </c>
      <c r="R573">
        <v>2.7099999999999999E-2</v>
      </c>
      <c r="S573">
        <v>3.0300000000000001E-2</v>
      </c>
      <c r="T573">
        <v>5.5100000000000003E-2</v>
      </c>
      <c r="U573">
        <v>6.1800000000000001E-2</v>
      </c>
      <c r="V573">
        <v>6.6900000000000001E-2</v>
      </c>
      <c r="W573">
        <v>4.3499999999999997E-2</v>
      </c>
      <c r="X573">
        <v>2.8799999999999999E-2</v>
      </c>
      <c r="Y573">
        <v>1.2999999999999999E-3</v>
      </c>
      <c r="Z573">
        <v>-9.1000000000000004E-3</v>
      </c>
      <c r="AA573">
        <v>3.8600000000000002E-2</v>
      </c>
      <c r="AB573">
        <v>2.8500000000000001E-2</v>
      </c>
      <c r="AC573">
        <v>6.6799999999999998E-2</v>
      </c>
      <c r="AD573">
        <v>9.4500000000000001E-2</v>
      </c>
      <c r="AE573">
        <v>0.1031</v>
      </c>
      <c r="AF573">
        <v>0.12479999999999999</v>
      </c>
      <c r="AG573">
        <v>0.1409</v>
      </c>
      <c r="AH573">
        <v>0.14360000000000001</v>
      </c>
      <c r="AI573">
        <v>9.9199999999999997E-2</v>
      </c>
      <c r="AJ573">
        <v>6.2300000000000001E-2</v>
      </c>
      <c r="AK573">
        <v>2.92E-2</v>
      </c>
      <c r="AL573">
        <v>9.7000000000000003E-3</v>
      </c>
      <c r="AM573">
        <v>1.2500000000000001E-2</v>
      </c>
      <c r="AN573">
        <v>3.1899999999999998E-2</v>
      </c>
      <c r="AO573">
        <v>3.32E-2</v>
      </c>
      <c r="AP573">
        <v>3.7100000000000001E-2</v>
      </c>
      <c r="AQ573">
        <v>3.7199999999999997E-2</v>
      </c>
      <c r="AR573">
        <v>4.7100000000000003E-2</v>
      </c>
      <c r="AS573">
        <v>4.7199999999999999E-2</v>
      </c>
      <c r="AT573">
        <v>3.9800000000000002E-2</v>
      </c>
      <c r="AU573">
        <v>2.46E-2</v>
      </c>
      <c r="AV573">
        <v>2.1299999999999999E-2</v>
      </c>
    </row>
    <row r="574" spans="1:48" x14ac:dyDescent="0.25">
      <c r="A574" t="s">
        <v>655</v>
      </c>
      <c r="B574" t="s">
        <v>2</v>
      </c>
      <c r="C574" t="s">
        <v>655</v>
      </c>
      <c r="D574">
        <v>249660</v>
      </c>
      <c r="E574" t="s">
        <v>672</v>
      </c>
      <c r="F574" t="s">
        <v>117</v>
      </c>
      <c r="G574" t="s">
        <v>670</v>
      </c>
      <c r="H574" t="s">
        <v>670</v>
      </c>
      <c r="I574">
        <v>-2.4899999999999999E-2</v>
      </c>
      <c r="J574">
        <v>-1.34E-2</v>
      </c>
      <c r="K574">
        <v>3.0700000000000002E-2</v>
      </c>
      <c r="L574">
        <v>6.1600000000000002E-2</v>
      </c>
      <c r="M574">
        <v>-1.8499999999999999E-2</v>
      </c>
      <c r="N574">
        <v>-2.6200000000000001E-2</v>
      </c>
      <c r="O574">
        <v>2.81E-2</v>
      </c>
      <c r="P574">
        <v>-1.3599999999999999E-2</v>
      </c>
      <c r="Q574">
        <v>0.1148</v>
      </c>
      <c r="R574">
        <v>0.11600000000000001</v>
      </c>
      <c r="S574">
        <v>4.5100000000000001E-2</v>
      </c>
      <c r="T574">
        <v>6.3500000000000001E-2</v>
      </c>
      <c r="U574">
        <v>1.12E-2</v>
      </c>
      <c r="V574">
        <v>1.2699999999999999E-2</v>
      </c>
      <c r="W574">
        <v>3.3E-3</v>
      </c>
      <c r="X574">
        <v>1.1000000000000001E-3</v>
      </c>
      <c r="Y574">
        <v>1.6899999999999998E-2</v>
      </c>
      <c r="Z574">
        <v>1.0200000000000001E-2</v>
      </c>
      <c r="AA574">
        <v>1.2699999999999999E-2</v>
      </c>
      <c r="AB574">
        <v>1.6E-2</v>
      </c>
      <c r="AC574">
        <v>1.35E-2</v>
      </c>
      <c r="AD574">
        <v>2.7699999999999999E-2</v>
      </c>
      <c r="AE574">
        <v>3.7600000000000001E-2</v>
      </c>
      <c r="AF574">
        <v>4.3299999999999998E-2</v>
      </c>
      <c r="AG574">
        <v>5.7299999999999997E-2</v>
      </c>
      <c r="AH574">
        <v>0.1191</v>
      </c>
      <c r="AI574">
        <v>0.13120000000000001</v>
      </c>
      <c r="AJ574">
        <v>0.14449999999999999</v>
      </c>
      <c r="AK574">
        <v>0.1484</v>
      </c>
      <c r="AL574">
        <v>6.4399999999999999E-2</v>
      </c>
      <c r="AM574">
        <v>6.7199999999999996E-2</v>
      </c>
      <c r="AN574">
        <v>6.0699999999999997E-2</v>
      </c>
      <c r="AO574">
        <v>5.3400000000000003E-2</v>
      </c>
      <c r="AP574">
        <v>3.39E-2</v>
      </c>
      <c r="AQ574">
        <v>1.8599999999999998E-2</v>
      </c>
      <c r="AR574">
        <v>9.5999999999999992E-3</v>
      </c>
      <c r="AS574">
        <v>-2E-3</v>
      </c>
      <c r="AT574">
        <v>3.6400000000000002E-2</v>
      </c>
      <c r="AU574">
        <v>-2.5999999999999999E-3</v>
      </c>
      <c r="AV574">
        <v>4.4000000000000003E-3</v>
      </c>
    </row>
    <row r="575" spans="1:48" x14ac:dyDescent="0.25">
      <c r="A575" t="s">
        <v>656</v>
      </c>
      <c r="B575" t="s">
        <v>2</v>
      </c>
      <c r="C575" t="s">
        <v>656</v>
      </c>
      <c r="D575">
        <v>49700</v>
      </c>
      <c r="E575" t="s">
        <v>672</v>
      </c>
      <c r="F575" t="s">
        <v>117</v>
      </c>
      <c r="G575" t="s">
        <v>670</v>
      </c>
      <c r="H575" t="s">
        <v>670</v>
      </c>
      <c r="I575" t="s">
        <v>673</v>
      </c>
      <c r="J575" t="s">
        <v>673</v>
      </c>
      <c r="K575" t="s">
        <v>673</v>
      </c>
      <c r="L575">
        <v>0.1162</v>
      </c>
      <c r="M575">
        <v>3.4099999999999998E-2</v>
      </c>
      <c r="N575">
        <v>4.7399999999999998E-2</v>
      </c>
      <c r="O575">
        <v>0.1232</v>
      </c>
      <c r="P575">
        <v>4.0599999999999997E-2</v>
      </c>
      <c r="Q575">
        <v>7.6499999999999999E-2</v>
      </c>
      <c r="R575">
        <v>4.1500000000000002E-2</v>
      </c>
      <c r="S575">
        <v>1.4200000000000001E-2</v>
      </c>
      <c r="T575">
        <v>2.3699999999999999E-2</v>
      </c>
      <c r="U575">
        <v>3.2599999999999997E-2</v>
      </c>
      <c r="V575">
        <v>6.0100000000000001E-2</v>
      </c>
      <c r="W575">
        <v>0.15590000000000001</v>
      </c>
      <c r="X575">
        <v>0.1384</v>
      </c>
      <c r="Y575">
        <v>0.14860000000000001</v>
      </c>
      <c r="Z575">
        <v>0.17480000000000001</v>
      </c>
      <c r="AA575">
        <v>6.2399999999999997E-2</v>
      </c>
      <c r="AB575">
        <v>7.5499999999999998E-2</v>
      </c>
      <c r="AC575">
        <v>8.77E-2</v>
      </c>
      <c r="AD575">
        <v>4.9399999999999999E-2</v>
      </c>
      <c r="AE575">
        <v>8.0199999999999994E-2</v>
      </c>
      <c r="AF575">
        <v>7.3899999999999993E-2</v>
      </c>
      <c r="AG575">
        <v>7.1199999999999999E-2</v>
      </c>
      <c r="AH575">
        <v>8.5900000000000004E-2</v>
      </c>
      <c r="AI575">
        <v>3.78E-2</v>
      </c>
      <c r="AJ575">
        <v>3.1199999999999999E-2</v>
      </c>
      <c r="AK575">
        <v>8.6E-3</v>
      </c>
      <c r="AL575">
        <v>-1.9699999999999999E-2</v>
      </c>
      <c r="AM575">
        <v>4.7999999999999996E-3</v>
      </c>
      <c r="AN575">
        <v>2.29E-2</v>
      </c>
      <c r="AO575">
        <v>2.7E-2</v>
      </c>
      <c r="AP575">
        <v>2.7099999999999999E-2</v>
      </c>
      <c r="AQ575">
        <v>3.8899999999999997E-2</v>
      </c>
      <c r="AR575">
        <v>2.3900000000000001E-2</v>
      </c>
      <c r="AS575">
        <v>1.5299999999999999E-2</v>
      </c>
      <c r="AT575">
        <v>2.5700000000000001E-2</v>
      </c>
      <c r="AU575">
        <v>1.7299999999999999E-2</v>
      </c>
      <c r="AV575">
        <v>1.2800000000000001E-2</v>
      </c>
    </row>
    <row r="576" spans="1:48" x14ac:dyDescent="0.25">
      <c r="A576" t="s">
        <v>657</v>
      </c>
      <c r="B576" t="s">
        <v>2</v>
      </c>
      <c r="C576" t="s">
        <v>657</v>
      </c>
      <c r="D576">
        <v>49740</v>
      </c>
      <c r="E576" t="s">
        <v>672</v>
      </c>
      <c r="F576" t="s">
        <v>117</v>
      </c>
      <c r="G576" t="s">
        <v>670</v>
      </c>
      <c r="H576" t="s">
        <v>670</v>
      </c>
      <c r="I576">
        <v>3.8199999999999998E-2</v>
      </c>
      <c r="J576">
        <v>-2.5999999999999999E-3</v>
      </c>
      <c r="K576">
        <v>3.9100000000000003E-2</v>
      </c>
      <c r="L576">
        <v>6.6500000000000004E-2</v>
      </c>
      <c r="M576">
        <v>4.4900000000000002E-2</v>
      </c>
      <c r="N576">
        <v>5.7000000000000002E-2</v>
      </c>
      <c r="O576">
        <v>-1.77E-2</v>
      </c>
      <c r="P576">
        <v>-1.8800000000000001E-2</v>
      </c>
      <c r="Q576">
        <v>-1.7299999999999999E-2</v>
      </c>
      <c r="R576">
        <v>-1.5800000000000002E-2</v>
      </c>
      <c r="S576">
        <v>3.0800000000000001E-2</v>
      </c>
      <c r="T576">
        <v>4.5999999999999999E-2</v>
      </c>
      <c r="U576">
        <v>4.2599999999999999E-2</v>
      </c>
      <c r="V576">
        <v>3.2899999999999999E-2</v>
      </c>
      <c r="W576">
        <v>6.5500000000000003E-2</v>
      </c>
      <c r="X576">
        <v>5.1700000000000003E-2</v>
      </c>
      <c r="Y576">
        <v>7.3800000000000004E-2</v>
      </c>
      <c r="Z576">
        <v>6.9699999999999998E-2</v>
      </c>
      <c r="AA576">
        <v>0.12670000000000001</v>
      </c>
      <c r="AB576">
        <v>0.13170000000000001</v>
      </c>
      <c r="AC576">
        <v>0.1082</v>
      </c>
      <c r="AD576">
        <v>0.12509999999999999</v>
      </c>
      <c r="AE576">
        <v>0.11459999999999999</v>
      </c>
      <c r="AF576">
        <v>0.1095</v>
      </c>
      <c r="AG576">
        <v>0.1036</v>
      </c>
      <c r="AH576">
        <v>0.1386</v>
      </c>
      <c r="AI576">
        <v>6.7100000000000007E-2</v>
      </c>
      <c r="AJ576">
        <v>6.6799999999999998E-2</v>
      </c>
      <c r="AK576">
        <v>3.2099999999999997E-2</v>
      </c>
      <c r="AL576">
        <v>-5.0000000000000001E-3</v>
      </c>
      <c r="AM576">
        <v>-6.4000000000000003E-3</v>
      </c>
      <c r="AN576">
        <v>-1.54E-2</v>
      </c>
      <c r="AO576">
        <v>1.7899999999999999E-2</v>
      </c>
      <c r="AP576">
        <v>1.24E-2</v>
      </c>
      <c r="AQ576">
        <v>-9.1999999999999998E-3</v>
      </c>
      <c r="AR576">
        <v>2E-3</v>
      </c>
      <c r="AS576">
        <v>-5.1000000000000004E-3</v>
      </c>
      <c r="AT576">
        <v>2.8899999999999999E-2</v>
      </c>
      <c r="AU576">
        <v>3.6400000000000002E-2</v>
      </c>
      <c r="AV576">
        <v>1.6799999999999999E-2</v>
      </c>
    </row>
    <row r="577" spans="1:48" x14ac:dyDescent="0.25">
      <c r="A577" t="s">
        <v>658</v>
      </c>
      <c r="B577" t="s">
        <v>2</v>
      </c>
      <c r="C577" t="s">
        <v>658</v>
      </c>
      <c r="D577">
        <v>49780</v>
      </c>
      <c r="E577" t="s">
        <v>672</v>
      </c>
      <c r="F577" t="s">
        <v>117</v>
      </c>
      <c r="G577" t="s">
        <v>670</v>
      </c>
      <c r="H577" t="s">
        <v>670</v>
      </c>
      <c r="I577" t="s">
        <v>673</v>
      </c>
      <c r="J577" t="s">
        <v>673</v>
      </c>
      <c r="K577" t="s">
        <v>673</v>
      </c>
      <c r="L577">
        <v>-8.5199999999999998E-2</v>
      </c>
      <c r="M577">
        <v>-1.49E-2</v>
      </c>
      <c r="N577">
        <v>1.9900000000000001E-2</v>
      </c>
      <c r="O577">
        <v>-2.12E-2</v>
      </c>
      <c r="P577">
        <v>1.12E-2</v>
      </c>
      <c r="Q577">
        <v>-1E-4</v>
      </c>
      <c r="R577">
        <v>-2.23E-2</v>
      </c>
      <c r="S577">
        <v>5.91E-2</v>
      </c>
      <c r="T577">
        <v>5.2999999999999999E-2</v>
      </c>
      <c r="U577">
        <v>6.7599999999999993E-2</v>
      </c>
      <c r="V577">
        <v>6.6699999999999995E-2</v>
      </c>
      <c r="W577">
        <v>1.9E-2</v>
      </c>
      <c r="X577">
        <v>4.0899999999999999E-2</v>
      </c>
      <c r="Y577">
        <v>6.4000000000000001E-2</v>
      </c>
      <c r="Z577">
        <v>2.1499999999999998E-2</v>
      </c>
      <c r="AA577">
        <v>1.14E-2</v>
      </c>
      <c r="AB577">
        <v>2.0400000000000001E-2</v>
      </c>
      <c r="AC577">
        <v>1.7500000000000002E-2</v>
      </c>
      <c r="AD577">
        <v>5.3699999999999998E-2</v>
      </c>
      <c r="AE577">
        <v>0.1797</v>
      </c>
      <c r="AF577" t="s">
        <v>673</v>
      </c>
      <c r="AG577" t="s">
        <v>673</v>
      </c>
      <c r="AH577" t="s">
        <v>673</v>
      </c>
      <c r="AI577" t="s">
        <v>673</v>
      </c>
      <c r="AJ577" t="s">
        <v>673</v>
      </c>
      <c r="AK577" t="s">
        <v>673</v>
      </c>
      <c r="AL577" t="s">
        <v>673</v>
      </c>
      <c r="AM577" t="s">
        <v>673</v>
      </c>
      <c r="AN577" t="s">
        <v>673</v>
      </c>
      <c r="AO577" t="s">
        <v>673</v>
      </c>
      <c r="AP577" t="s">
        <v>673</v>
      </c>
      <c r="AQ577" t="s">
        <v>673</v>
      </c>
      <c r="AR577" t="s">
        <v>673</v>
      </c>
      <c r="AS577" t="s">
        <v>673</v>
      </c>
      <c r="AT577" t="s">
        <v>673</v>
      </c>
      <c r="AU577" t="s">
        <v>673</v>
      </c>
      <c r="AV577" t="s">
        <v>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60B9-E746-4A7D-891C-1F7B08D4DFC3}">
  <dimension ref="A1:H623"/>
  <sheetViews>
    <sheetView workbookViewId="0">
      <selection activeCell="E23" sqref="E23"/>
    </sheetView>
  </sheetViews>
  <sheetFormatPr defaultRowHeight="15" x14ac:dyDescent="0.25"/>
  <cols>
    <col min="1" max="1" width="18.5703125" bestFit="1" customWidth="1"/>
    <col min="2" max="2" width="24.140625" bestFit="1" customWidth="1"/>
    <col min="8" max="8" width="39.85546875" bestFit="1" customWidth="1"/>
  </cols>
  <sheetData>
    <row r="1" spans="1:8" x14ac:dyDescent="0.25">
      <c r="C1" s="5">
        <f>AVERAGE(C66:C407)</f>
        <v>8.8011695906432862E-4</v>
      </c>
      <c r="H1" t="s">
        <v>714</v>
      </c>
    </row>
    <row r="2" spans="1:8" x14ac:dyDescent="0.25">
      <c r="A2" s="9" t="s">
        <v>66</v>
      </c>
      <c r="B2" s="9" t="s">
        <v>67</v>
      </c>
      <c r="H2">
        <f>(INDEX($B:$B,85)-INDEX($B:$B,65))/20</f>
        <v>1.4000000000000002E-3</v>
      </c>
    </row>
    <row r="3" spans="1:8" x14ac:dyDescent="0.25">
      <c r="A3" s="32">
        <v>-1.2E-2</v>
      </c>
      <c r="B3" s="33">
        <f t="shared" ref="B3:B34" si="0">B4-$H$2</f>
        <v>-0.16980000000000034</v>
      </c>
      <c r="C3" s="35"/>
      <c r="E3" s="34">
        <f t="shared" ref="E3:E34" si="1">A3</f>
        <v>-1.2E-2</v>
      </c>
      <c r="F3" s="36">
        <f t="shared" ref="F3:F34" si="2">B3</f>
        <v>-0.16980000000000034</v>
      </c>
      <c r="H3" t="s">
        <v>715</v>
      </c>
    </row>
    <row r="4" spans="1:8" x14ac:dyDescent="0.25">
      <c r="A4" s="32">
        <v>-1.1900000000000001E-2</v>
      </c>
      <c r="B4" s="33">
        <f t="shared" si="0"/>
        <v>-0.16840000000000033</v>
      </c>
      <c r="C4" s="35">
        <f t="shared" ref="C4:C35" si="3">B4-B3</f>
        <v>1.4000000000000123E-3</v>
      </c>
      <c r="E4" s="34">
        <f t="shared" si="1"/>
        <v>-1.1900000000000001E-2</v>
      </c>
      <c r="F4" s="36">
        <f t="shared" si="2"/>
        <v>-0.16840000000000033</v>
      </c>
      <c r="H4">
        <f>(INDEX($B:$B,456)-INDEX($B:$B,436))/20</f>
        <v>8.8011695906432537E-4</v>
      </c>
    </row>
    <row r="5" spans="1:8" x14ac:dyDescent="0.25">
      <c r="A5" s="32">
        <v>-1.18E-2</v>
      </c>
      <c r="B5" s="33">
        <f t="shared" si="0"/>
        <v>-0.16700000000000031</v>
      </c>
      <c r="C5" s="35">
        <f t="shared" si="3"/>
        <v>1.4000000000000123E-3</v>
      </c>
      <c r="E5" s="34">
        <f t="shared" si="1"/>
        <v>-1.18E-2</v>
      </c>
      <c r="F5" s="36">
        <f t="shared" si="2"/>
        <v>-0.16700000000000031</v>
      </c>
    </row>
    <row r="6" spans="1:8" x14ac:dyDescent="0.25">
      <c r="A6" s="32">
        <v>-1.17E-2</v>
      </c>
      <c r="B6" s="33">
        <f t="shared" si="0"/>
        <v>-0.1656000000000003</v>
      </c>
      <c r="C6" s="35">
        <f t="shared" si="3"/>
        <v>1.4000000000000123E-3</v>
      </c>
      <c r="E6" s="34">
        <f t="shared" si="1"/>
        <v>-1.17E-2</v>
      </c>
      <c r="F6" s="36">
        <f t="shared" si="2"/>
        <v>-0.1656000000000003</v>
      </c>
    </row>
    <row r="7" spans="1:8" x14ac:dyDescent="0.25">
      <c r="A7" s="32">
        <v>-1.1599999999999999E-2</v>
      </c>
      <c r="B7" s="33">
        <f t="shared" si="0"/>
        <v>-0.16420000000000029</v>
      </c>
      <c r="C7" s="35">
        <f t="shared" si="3"/>
        <v>1.4000000000000123E-3</v>
      </c>
      <c r="E7" s="34">
        <f t="shared" si="1"/>
        <v>-1.1599999999999999E-2</v>
      </c>
      <c r="F7" s="36">
        <f t="shared" si="2"/>
        <v>-0.16420000000000029</v>
      </c>
    </row>
    <row r="8" spans="1:8" x14ac:dyDescent="0.25">
      <c r="A8" s="32">
        <v>-1.15E-2</v>
      </c>
      <c r="B8" s="33">
        <f t="shared" si="0"/>
        <v>-0.16280000000000028</v>
      </c>
      <c r="C8" s="35">
        <f t="shared" si="3"/>
        <v>1.4000000000000123E-3</v>
      </c>
      <c r="E8" s="34">
        <f t="shared" si="1"/>
        <v>-1.15E-2</v>
      </c>
      <c r="F8" s="36">
        <f t="shared" si="2"/>
        <v>-0.16280000000000028</v>
      </c>
    </row>
    <row r="9" spans="1:8" x14ac:dyDescent="0.25">
      <c r="A9" s="32">
        <v>-1.14E-2</v>
      </c>
      <c r="B9" s="33">
        <f t="shared" si="0"/>
        <v>-0.16140000000000027</v>
      </c>
      <c r="C9" s="35">
        <f t="shared" si="3"/>
        <v>1.4000000000000123E-3</v>
      </c>
      <c r="E9" s="34">
        <f t="shared" si="1"/>
        <v>-1.14E-2</v>
      </c>
      <c r="F9" s="36">
        <f t="shared" si="2"/>
        <v>-0.16140000000000027</v>
      </c>
    </row>
    <row r="10" spans="1:8" x14ac:dyDescent="0.25">
      <c r="A10" s="32">
        <v>-1.1299999999999999E-2</v>
      </c>
      <c r="B10" s="33">
        <f t="shared" si="0"/>
        <v>-0.16000000000000025</v>
      </c>
      <c r="C10" s="35">
        <f t="shared" si="3"/>
        <v>1.4000000000000123E-3</v>
      </c>
      <c r="E10" s="34">
        <f t="shared" si="1"/>
        <v>-1.1299999999999999E-2</v>
      </c>
      <c r="F10" s="36">
        <f t="shared" si="2"/>
        <v>-0.16000000000000025</v>
      </c>
    </row>
    <row r="11" spans="1:8" x14ac:dyDescent="0.25">
      <c r="A11" s="32">
        <v>-1.12E-2</v>
      </c>
      <c r="B11" s="33">
        <f t="shared" si="0"/>
        <v>-0.15860000000000024</v>
      </c>
      <c r="C11" s="35">
        <f t="shared" si="3"/>
        <v>1.4000000000000123E-3</v>
      </c>
      <c r="E11" s="34">
        <f t="shared" si="1"/>
        <v>-1.12E-2</v>
      </c>
      <c r="F11" s="36">
        <f t="shared" si="2"/>
        <v>-0.15860000000000024</v>
      </c>
    </row>
    <row r="12" spans="1:8" x14ac:dyDescent="0.25">
      <c r="A12" s="32">
        <v>-1.11E-2</v>
      </c>
      <c r="B12" s="33">
        <f t="shared" si="0"/>
        <v>-0.15720000000000023</v>
      </c>
      <c r="C12" s="35">
        <f t="shared" si="3"/>
        <v>1.4000000000000123E-3</v>
      </c>
      <c r="E12" s="34">
        <f t="shared" si="1"/>
        <v>-1.11E-2</v>
      </c>
      <c r="F12" s="36">
        <f t="shared" si="2"/>
        <v>-0.15720000000000023</v>
      </c>
    </row>
    <row r="13" spans="1:8" x14ac:dyDescent="0.25">
      <c r="A13" s="32">
        <v>-1.0999999999999999E-2</v>
      </c>
      <c r="B13" s="33">
        <f t="shared" si="0"/>
        <v>-0.15580000000000022</v>
      </c>
      <c r="C13" s="35">
        <f t="shared" si="3"/>
        <v>1.4000000000000123E-3</v>
      </c>
      <c r="E13" s="34">
        <f t="shared" si="1"/>
        <v>-1.0999999999999999E-2</v>
      </c>
      <c r="F13" s="36">
        <f t="shared" si="2"/>
        <v>-0.15580000000000022</v>
      </c>
    </row>
    <row r="14" spans="1:8" x14ac:dyDescent="0.25">
      <c r="A14" s="32">
        <v>-1.09E-2</v>
      </c>
      <c r="B14" s="33">
        <f t="shared" si="0"/>
        <v>-0.1544000000000002</v>
      </c>
      <c r="C14" s="35">
        <f t="shared" si="3"/>
        <v>1.4000000000000123E-3</v>
      </c>
      <c r="E14" s="34">
        <f t="shared" si="1"/>
        <v>-1.09E-2</v>
      </c>
      <c r="F14" s="36">
        <f t="shared" si="2"/>
        <v>-0.1544000000000002</v>
      </c>
    </row>
    <row r="15" spans="1:8" x14ac:dyDescent="0.25">
      <c r="A15" s="32">
        <v>-1.0800000000000001E-2</v>
      </c>
      <c r="B15" s="33">
        <f t="shared" si="0"/>
        <v>-0.15300000000000019</v>
      </c>
      <c r="C15" s="35">
        <f t="shared" si="3"/>
        <v>1.4000000000000123E-3</v>
      </c>
      <c r="E15" s="34">
        <f t="shared" si="1"/>
        <v>-1.0800000000000001E-2</v>
      </c>
      <c r="F15" s="36">
        <f t="shared" si="2"/>
        <v>-0.15300000000000019</v>
      </c>
    </row>
    <row r="16" spans="1:8" x14ac:dyDescent="0.25">
      <c r="A16" s="32">
        <v>-1.0699999999999999E-2</v>
      </c>
      <c r="B16" s="33">
        <f t="shared" si="0"/>
        <v>-0.15160000000000018</v>
      </c>
      <c r="C16" s="35">
        <f t="shared" si="3"/>
        <v>1.4000000000000123E-3</v>
      </c>
      <c r="E16" s="34">
        <f t="shared" si="1"/>
        <v>-1.0699999999999999E-2</v>
      </c>
      <c r="F16" s="36">
        <f t="shared" si="2"/>
        <v>-0.15160000000000018</v>
      </c>
    </row>
    <row r="17" spans="1:6" x14ac:dyDescent="0.25">
      <c r="A17" s="32">
        <v>-1.06E-2</v>
      </c>
      <c r="B17" s="33">
        <f t="shared" si="0"/>
        <v>-0.15020000000000017</v>
      </c>
      <c r="C17" s="35">
        <f t="shared" si="3"/>
        <v>1.4000000000000123E-3</v>
      </c>
      <c r="E17" s="34">
        <f t="shared" si="1"/>
        <v>-1.06E-2</v>
      </c>
      <c r="F17" s="36">
        <f t="shared" si="2"/>
        <v>-0.15020000000000017</v>
      </c>
    </row>
    <row r="18" spans="1:6" x14ac:dyDescent="0.25">
      <c r="A18" s="32">
        <v>-1.0500000000000001E-2</v>
      </c>
      <c r="B18" s="33">
        <f t="shared" si="0"/>
        <v>-0.14880000000000015</v>
      </c>
      <c r="C18" s="35">
        <f t="shared" si="3"/>
        <v>1.4000000000000123E-3</v>
      </c>
      <c r="E18" s="34">
        <f t="shared" si="1"/>
        <v>-1.0500000000000001E-2</v>
      </c>
      <c r="F18" s="36">
        <f t="shared" si="2"/>
        <v>-0.14880000000000015</v>
      </c>
    </row>
    <row r="19" spans="1:6" x14ac:dyDescent="0.25">
      <c r="A19" s="32">
        <v>-1.04E-2</v>
      </c>
      <c r="B19" s="33">
        <f t="shared" si="0"/>
        <v>-0.14740000000000014</v>
      </c>
      <c r="C19" s="35">
        <f t="shared" si="3"/>
        <v>1.4000000000000123E-3</v>
      </c>
      <c r="E19" s="34">
        <f t="shared" si="1"/>
        <v>-1.04E-2</v>
      </c>
      <c r="F19" s="36">
        <f t="shared" si="2"/>
        <v>-0.14740000000000014</v>
      </c>
    </row>
    <row r="20" spans="1:6" x14ac:dyDescent="0.25">
      <c r="A20" s="32">
        <v>-1.03E-2</v>
      </c>
      <c r="B20" s="33">
        <f t="shared" si="0"/>
        <v>-0.14600000000000013</v>
      </c>
      <c r="C20" s="35">
        <f t="shared" si="3"/>
        <v>1.4000000000000123E-3</v>
      </c>
      <c r="E20" s="34">
        <f t="shared" si="1"/>
        <v>-1.03E-2</v>
      </c>
      <c r="F20" s="36">
        <f t="shared" si="2"/>
        <v>-0.14600000000000013</v>
      </c>
    </row>
    <row r="21" spans="1:6" x14ac:dyDescent="0.25">
      <c r="A21" s="32">
        <v>-1.0200000000000001E-2</v>
      </c>
      <c r="B21" s="33">
        <f t="shared" si="0"/>
        <v>-0.14460000000000012</v>
      </c>
      <c r="C21" s="35">
        <f t="shared" si="3"/>
        <v>1.4000000000000123E-3</v>
      </c>
      <c r="E21" s="34">
        <f t="shared" si="1"/>
        <v>-1.0200000000000001E-2</v>
      </c>
      <c r="F21" s="36">
        <f t="shared" si="2"/>
        <v>-0.14460000000000012</v>
      </c>
    </row>
    <row r="22" spans="1:6" x14ac:dyDescent="0.25">
      <c r="A22" s="32">
        <v>-1.01E-2</v>
      </c>
      <c r="B22" s="33">
        <f t="shared" si="0"/>
        <v>-0.1432000000000001</v>
      </c>
      <c r="C22" s="35">
        <f t="shared" si="3"/>
        <v>1.4000000000000123E-3</v>
      </c>
      <c r="E22" s="34">
        <f t="shared" si="1"/>
        <v>-1.01E-2</v>
      </c>
      <c r="F22" s="36">
        <f t="shared" si="2"/>
        <v>-0.1432000000000001</v>
      </c>
    </row>
    <row r="23" spans="1:6" x14ac:dyDescent="0.25">
      <c r="A23" s="32">
        <v>-0.01</v>
      </c>
      <c r="B23" s="33">
        <f t="shared" si="0"/>
        <v>-0.14180000000000009</v>
      </c>
      <c r="C23" s="35">
        <f t="shared" si="3"/>
        <v>1.4000000000000123E-3</v>
      </c>
      <c r="E23" s="34">
        <f t="shared" si="1"/>
        <v>-0.01</v>
      </c>
      <c r="F23" s="36">
        <f t="shared" si="2"/>
        <v>-0.14180000000000009</v>
      </c>
    </row>
    <row r="24" spans="1:6" x14ac:dyDescent="0.25">
      <c r="A24" s="32">
        <v>-9.9000000000000008E-3</v>
      </c>
      <c r="B24" s="33">
        <f t="shared" si="0"/>
        <v>-0.14040000000000008</v>
      </c>
      <c r="C24" s="35">
        <f t="shared" si="3"/>
        <v>1.4000000000000123E-3</v>
      </c>
      <c r="E24" s="34">
        <f t="shared" si="1"/>
        <v>-9.9000000000000008E-3</v>
      </c>
      <c r="F24" s="36">
        <f t="shared" si="2"/>
        <v>-0.14040000000000008</v>
      </c>
    </row>
    <row r="25" spans="1:6" x14ac:dyDescent="0.25">
      <c r="A25" s="32">
        <v>-9.7999999999999997E-3</v>
      </c>
      <c r="B25" s="33">
        <f t="shared" si="0"/>
        <v>-0.13900000000000007</v>
      </c>
      <c r="C25" s="35">
        <f t="shared" si="3"/>
        <v>1.4000000000000123E-3</v>
      </c>
      <c r="E25" s="34">
        <f t="shared" si="1"/>
        <v>-9.7999999999999997E-3</v>
      </c>
      <c r="F25" s="36">
        <f t="shared" si="2"/>
        <v>-0.13900000000000007</v>
      </c>
    </row>
    <row r="26" spans="1:6" x14ac:dyDescent="0.25">
      <c r="A26" s="32">
        <v>-9.7000000000000003E-3</v>
      </c>
      <c r="B26" s="33">
        <f t="shared" si="0"/>
        <v>-0.13760000000000006</v>
      </c>
      <c r="C26" s="35">
        <f t="shared" si="3"/>
        <v>1.4000000000000123E-3</v>
      </c>
      <c r="E26" s="34">
        <f t="shared" si="1"/>
        <v>-9.7000000000000003E-3</v>
      </c>
      <c r="F26" s="36">
        <f t="shared" si="2"/>
        <v>-0.13760000000000006</v>
      </c>
    </row>
    <row r="27" spans="1:6" x14ac:dyDescent="0.25">
      <c r="A27" s="32">
        <v>-9.5999999999999992E-3</v>
      </c>
      <c r="B27" s="33">
        <f t="shared" si="0"/>
        <v>-0.13620000000000004</v>
      </c>
      <c r="C27" s="35">
        <f t="shared" si="3"/>
        <v>1.4000000000000123E-3</v>
      </c>
      <c r="E27" s="34">
        <f t="shared" si="1"/>
        <v>-9.5999999999999992E-3</v>
      </c>
      <c r="F27" s="36">
        <f t="shared" si="2"/>
        <v>-0.13620000000000004</v>
      </c>
    </row>
    <row r="28" spans="1:6" x14ac:dyDescent="0.25">
      <c r="A28" s="32">
        <v>-9.4999999999999998E-3</v>
      </c>
      <c r="B28" s="33">
        <f t="shared" si="0"/>
        <v>-0.13480000000000003</v>
      </c>
      <c r="C28" s="35">
        <f t="shared" si="3"/>
        <v>1.4000000000000123E-3</v>
      </c>
      <c r="E28" s="34">
        <f t="shared" si="1"/>
        <v>-9.4999999999999998E-3</v>
      </c>
      <c r="F28" s="36">
        <f t="shared" si="2"/>
        <v>-0.13480000000000003</v>
      </c>
    </row>
    <row r="29" spans="1:6" x14ac:dyDescent="0.25">
      <c r="A29" s="32">
        <v>-9.4000000000000004E-3</v>
      </c>
      <c r="B29" s="33">
        <f t="shared" si="0"/>
        <v>-0.13340000000000002</v>
      </c>
      <c r="C29" s="35">
        <f t="shared" si="3"/>
        <v>1.4000000000000123E-3</v>
      </c>
      <c r="E29" s="34">
        <f t="shared" si="1"/>
        <v>-9.4000000000000004E-3</v>
      </c>
      <c r="F29" s="36">
        <f t="shared" si="2"/>
        <v>-0.13340000000000002</v>
      </c>
    </row>
    <row r="30" spans="1:6" x14ac:dyDescent="0.25">
      <c r="A30" s="32">
        <v>-9.2999999999999992E-3</v>
      </c>
      <c r="B30" s="33">
        <f t="shared" si="0"/>
        <v>-0.13200000000000001</v>
      </c>
      <c r="C30" s="35">
        <f t="shared" si="3"/>
        <v>1.4000000000000123E-3</v>
      </c>
      <c r="E30" s="34">
        <f t="shared" si="1"/>
        <v>-9.2999999999999992E-3</v>
      </c>
      <c r="F30" s="36">
        <f t="shared" si="2"/>
        <v>-0.13200000000000001</v>
      </c>
    </row>
    <row r="31" spans="1:6" x14ac:dyDescent="0.25">
      <c r="A31" s="32">
        <v>-9.1999999999999998E-3</v>
      </c>
      <c r="B31" s="33">
        <f t="shared" si="0"/>
        <v>-0.13059999999999999</v>
      </c>
      <c r="C31" s="35">
        <f t="shared" si="3"/>
        <v>1.4000000000000123E-3</v>
      </c>
      <c r="E31" s="34">
        <f t="shared" si="1"/>
        <v>-9.1999999999999998E-3</v>
      </c>
      <c r="F31" s="36">
        <f t="shared" si="2"/>
        <v>-0.13059999999999999</v>
      </c>
    </row>
    <row r="32" spans="1:6" x14ac:dyDescent="0.25">
      <c r="A32" s="32">
        <v>-9.1000000000000004E-3</v>
      </c>
      <c r="B32" s="33">
        <f t="shared" si="0"/>
        <v>-0.12919999999999998</v>
      </c>
      <c r="C32" s="35">
        <f t="shared" si="3"/>
        <v>1.4000000000000123E-3</v>
      </c>
      <c r="E32" s="34">
        <f t="shared" si="1"/>
        <v>-9.1000000000000004E-3</v>
      </c>
      <c r="F32" s="36">
        <f t="shared" si="2"/>
        <v>-0.12919999999999998</v>
      </c>
    </row>
    <row r="33" spans="1:6" x14ac:dyDescent="0.25">
      <c r="A33" s="32">
        <v>-8.9999999999999993E-3</v>
      </c>
      <c r="B33" s="33">
        <f t="shared" si="0"/>
        <v>-0.12779999999999997</v>
      </c>
      <c r="C33" s="35">
        <f t="shared" si="3"/>
        <v>1.4000000000000123E-3</v>
      </c>
      <c r="E33" s="34">
        <f t="shared" si="1"/>
        <v>-8.9999999999999993E-3</v>
      </c>
      <c r="F33" s="36">
        <f t="shared" si="2"/>
        <v>-0.12779999999999997</v>
      </c>
    </row>
    <row r="34" spans="1:6" x14ac:dyDescent="0.25">
      <c r="A34" s="32">
        <v>-8.8999999999999999E-3</v>
      </c>
      <c r="B34" s="33">
        <f t="shared" si="0"/>
        <v>-0.12639999999999996</v>
      </c>
      <c r="C34" s="35">
        <f t="shared" si="3"/>
        <v>1.4000000000000123E-3</v>
      </c>
      <c r="E34" s="34">
        <f t="shared" si="1"/>
        <v>-8.8999999999999999E-3</v>
      </c>
      <c r="F34" s="36">
        <f t="shared" si="2"/>
        <v>-0.12639999999999996</v>
      </c>
    </row>
    <row r="35" spans="1:6" x14ac:dyDescent="0.25">
      <c r="A35" s="32">
        <v>-8.8000000000000005E-3</v>
      </c>
      <c r="B35" s="33">
        <f t="shared" ref="B35:B64" si="4">B36-$H$2</f>
        <v>-0.12499999999999996</v>
      </c>
      <c r="C35" s="35">
        <f t="shared" si="3"/>
        <v>1.3999999999999985E-3</v>
      </c>
      <c r="E35" s="34">
        <f t="shared" ref="E35:E65" si="5">A35</f>
        <v>-8.8000000000000005E-3</v>
      </c>
      <c r="F35" s="36">
        <f t="shared" ref="F35:F65" si="6">B35</f>
        <v>-0.12499999999999996</v>
      </c>
    </row>
    <row r="36" spans="1:6" x14ac:dyDescent="0.25">
      <c r="A36" s="32">
        <v>-8.6999999999999994E-3</v>
      </c>
      <c r="B36" s="33">
        <f t="shared" si="4"/>
        <v>-0.12359999999999996</v>
      </c>
      <c r="C36" s="35">
        <f t="shared" ref="C36:C66" si="7">B36-B35</f>
        <v>1.3999999999999985E-3</v>
      </c>
      <c r="E36" s="34">
        <f t="shared" si="5"/>
        <v>-8.6999999999999994E-3</v>
      </c>
      <c r="F36" s="36">
        <f t="shared" si="6"/>
        <v>-0.12359999999999996</v>
      </c>
    </row>
    <row r="37" spans="1:6" x14ac:dyDescent="0.25">
      <c r="A37" s="32">
        <v>-8.6E-3</v>
      </c>
      <c r="B37" s="33">
        <f t="shared" si="4"/>
        <v>-0.12219999999999996</v>
      </c>
      <c r="C37" s="35">
        <f t="shared" si="7"/>
        <v>1.3999999999999985E-3</v>
      </c>
      <c r="E37" s="34">
        <f t="shared" si="5"/>
        <v>-8.6E-3</v>
      </c>
      <c r="F37" s="36">
        <f t="shared" si="6"/>
        <v>-0.12219999999999996</v>
      </c>
    </row>
    <row r="38" spans="1:6" x14ac:dyDescent="0.25">
      <c r="A38" s="32">
        <v>-8.5000000000000006E-3</v>
      </c>
      <c r="B38" s="33">
        <f t="shared" si="4"/>
        <v>-0.12079999999999996</v>
      </c>
      <c r="C38" s="35">
        <f t="shared" si="7"/>
        <v>1.3999999999999985E-3</v>
      </c>
      <c r="E38" s="34">
        <f t="shared" si="5"/>
        <v>-8.5000000000000006E-3</v>
      </c>
      <c r="F38" s="36">
        <f t="shared" si="6"/>
        <v>-0.12079999999999996</v>
      </c>
    </row>
    <row r="39" spans="1:6" x14ac:dyDescent="0.25">
      <c r="A39" s="32">
        <v>-8.3999999999999995E-3</v>
      </c>
      <c r="B39" s="33">
        <f t="shared" si="4"/>
        <v>-0.11939999999999996</v>
      </c>
      <c r="C39" s="35">
        <f t="shared" si="7"/>
        <v>1.3999999999999985E-3</v>
      </c>
      <c r="E39" s="34">
        <f t="shared" si="5"/>
        <v>-8.3999999999999995E-3</v>
      </c>
      <c r="F39" s="36">
        <f t="shared" si="6"/>
        <v>-0.11939999999999996</v>
      </c>
    </row>
    <row r="40" spans="1:6" x14ac:dyDescent="0.25">
      <c r="A40" s="32">
        <v>-8.3000000000000001E-3</v>
      </c>
      <c r="B40" s="33">
        <f t="shared" si="4"/>
        <v>-0.11799999999999997</v>
      </c>
      <c r="C40" s="35">
        <f t="shared" si="7"/>
        <v>1.3999999999999985E-3</v>
      </c>
      <c r="E40" s="34">
        <f t="shared" si="5"/>
        <v>-8.3000000000000001E-3</v>
      </c>
      <c r="F40" s="36">
        <f t="shared" si="6"/>
        <v>-0.11799999999999997</v>
      </c>
    </row>
    <row r="41" spans="1:6" x14ac:dyDescent="0.25">
      <c r="A41" s="32">
        <v>-8.2000000000000007E-3</v>
      </c>
      <c r="B41" s="33">
        <f t="shared" si="4"/>
        <v>-0.11659999999999997</v>
      </c>
      <c r="C41" s="35">
        <f t="shared" si="7"/>
        <v>1.3999999999999985E-3</v>
      </c>
      <c r="E41" s="34">
        <f t="shared" si="5"/>
        <v>-8.2000000000000007E-3</v>
      </c>
      <c r="F41" s="36">
        <f t="shared" si="6"/>
        <v>-0.11659999999999997</v>
      </c>
    </row>
    <row r="42" spans="1:6" x14ac:dyDescent="0.25">
      <c r="A42" s="32">
        <v>-8.0999999999999996E-3</v>
      </c>
      <c r="B42" s="33">
        <f t="shared" si="4"/>
        <v>-0.11519999999999997</v>
      </c>
      <c r="C42" s="35">
        <f t="shared" si="7"/>
        <v>1.3999999999999985E-3</v>
      </c>
      <c r="E42" s="34">
        <f t="shared" si="5"/>
        <v>-8.0999999999999996E-3</v>
      </c>
      <c r="F42" s="36">
        <f t="shared" si="6"/>
        <v>-0.11519999999999997</v>
      </c>
    </row>
    <row r="43" spans="1:6" x14ac:dyDescent="0.25">
      <c r="A43" s="32">
        <v>-8.0000000000000002E-3</v>
      </c>
      <c r="B43" s="33">
        <f t="shared" si="4"/>
        <v>-0.11379999999999997</v>
      </c>
      <c r="C43" s="35">
        <f t="shared" si="7"/>
        <v>1.3999999999999985E-3</v>
      </c>
      <c r="E43" s="34">
        <f t="shared" si="5"/>
        <v>-8.0000000000000002E-3</v>
      </c>
      <c r="F43" s="36">
        <f t="shared" si="6"/>
        <v>-0.11379999999999997</v>
      </c>
    </row>
    <row r="44" spans="1:6" x14ac:dyDescent="0.25">
      <c r="A44" s="32">
        <v>-7.9000000000000008E-3</v>
      </c>
      <c r="B44" s="33">
        <f t="shared" si="4"/>
        <v>-0.11239999999999997</v>
      </c>
      <c r="C44" s="35">
        <f t="shared" si="7"/>
        <v>1.3999999999999985E-3</v>
      </c>
      <c r="E44" s="34">
        <f t="shared" si="5"/>
        <v>-7.9000000000000008E-3</v>
      </c>
      <c r="F44" s="36">
        <f t="shared" si="6"/>
        <v>-0.11239999999999997</v>
      </c>
    </row>
    <row r="45" spans="1:6" x14ac:dyDescent="0.25">
      <c r="A45" s="32">
        <v>-7.7999999999999996E-3</v>
      </c>
      <c r="B45" s="33">
        <f t="shared" si="4"/>
        <v>-0.11099999999999997</v>
      </c>
      <c r="C45" s="35">
        <f t="shared" si="7"/>
        <v>1.3999999999999985E-3</v>
      </c>
      <c r="E45" s="34">
        <f t="shared" si="5"/>
        <v>-7.7999999999999996E-3</v>
      </c>
      <c r="F45" s="36">
        <f t="shared" si="6"/>
        <v>-0.11099999999999997</v>
      </c>
    </row>
    <row r="46" spans="1:6" x14ac:dyDescent="0.25">
      <c r="A46" s="32">
        <v>-7.7000000000000002E-3</v>
      </c>
      <c r="B46" s="33">
        <f t="shared" si="4"/>
        <v>-0.10959999999999998</v>
      </c>
      <c r="C46" s="35">
        <f t="shared" si="7"/>
        <v>1.3999999999999985E-3</v>
      </c>
      <c r="E46" s="34">
        <f t="shared" si="5"/>
        <v>-7.7000000000000002E-3</v>
      </c>
      <c r="F46" s="36">
        <f t="shared" si="6"/>
        <v>-0.10959999999999998</v>
      </c>
    </row>
    <row r="47" spans="1:6" x14ac:dyDescent="0.25">
      <c r="A47" s="32">
        <v>-7.6E-3</v>
      </c>
      <c r="B47" s="33">
        <f t="shared" si="4"/>
        <v>-0.10819999999999998</v>
      </c>
      <c r="C47" s="35">
        <f t="shared" si="7"/>
        <v>1.3999999999999985E-3</v>
      </c>
      <c r="E47" s="34">
        <f t="shared" si="5"/>
        <v>-7.6E-3</v>
      </c>
      <c r="F47" s="36">
        <f t="shared" si="6"/>
        <v>-0.10819999999999998</v>
      </c>
    </row>
    <row r="48" spans="1:6" x14ac:dyDescent="0.25">
      <c r="A48" s="32">
        <v>-7.4999999999999997E-3</v>
      </c>
      <c r="B48" s="33">
        <f t="shared" si="4"/>
        <v>-0.10679999999999998</v>
      </c>
      <c r="C48" s="35">
        <f t="shared" si="7"/>
        <v>1.3999999999999985E-3</v>
      </c>
      <c r="E48" s="34">
        <f t="shared" si="5"/>
        <v>-7.4999999999999997E-3</v>
      </c>
      <c r="F48" s="36">
        <f t="shared" si="6"/>
        <v>-0.10679999999999998</v>
      </c>
    </row>
    <row r="49" spans="1:6" x14ac:dyDescent="0.25">
      <c r="A49" s="32">
        <v>-7.4000000000000003E-3</v>
      </c>
      <c r="B49" s="33">
        <f t="shared" si="4"/>
        <v>-0.10539999999999998</v>
      </c>
      <c r="C49" s="35">
        <f t="shared" si="7"/>
        <v>1.3999999999999985E-3</v>
      </c>
      <c r="E49" s="34">
        <f t="shared" si="5"/>
        <v>-7.4000000000000003E-3</v>
      </c>
      <c r="F49" s="36">
        <f t="shared" si="6"/>
        <v>-0.10539999999999998</v>
      </c>
    </row>
    <row r="50" spans="1:6" x14ac:dyDescent="0.25">
      <c r="A50" s="32">
        <v>-7.3000000000000001E-3</v>
      </c>
      <c r="B50" s="33">
        <f t="shared" si="4"/>
        <v>-0.10399999999999998</v>
      </c>
      <c r="C50" s="35">
        <f t="shared" si="7"/>
        <v>1.3999999999999985E-3</v>
      </c>
      <c r="E50" s="34">
        <f t="shared" si="5"/>
        <v>-7.3000000000000001E-3</v>
      </c>
      <c r="F50" s="36">
        <f t="shared" si="6"/>
        <v>-0.10399999999999998</v>
      </c>
    </row>
    <row r="51" spans="1:6" x14ac:dyDescent="0.25">
      <c r="A51" s="32">
        <v>-7.1999999999999998E-3</v>
      </c>
      <c r="B51" s="33">
        <f t="shared" si="4"/>
        <v>-0.10259999999999998</v>
      </c>
      <c r="C51" s="35">
        <f t="shared" si="7"/>
        <v>1.3999999999999985E-3</v>
      </c>
      <c r="E51" s="34">
        <f t="shared" si="5"/>
        <v>-7.1999999999999998E-3</v>
      </c>
      <c r="F51" s="36">
        <f t="shared" si="6"/>
        <v>-0.10259999999999998</v>
      </c>
    </row>
    <row r="52" spans="1:6" x14ac:dyDescent="0.25">
      <c r="A52" s="32">
        <v>-7.1000000000000004E-3</v>
      </c>
      <c r="B52" s="33">
        <f t="shared" si="4"/>
        <v>-0.10119999999999998</v>
      </c>
      <c r="C52" s="35">
        <f t="shared" si="7"/>
        <v>1.3999999999999985E-3</v>
      </c>
      <c r="E52" s="34">
        <f t="shared" si="5"/>
        <v>-7.1000000000000004E-3</v>
      </c>
      <c r="F52" s="36">
        <f t="shared" si="6"/>
        <v>-0.10119999999999998</v>
      </c>
    </row>
    <row r="53" spans="1:6" x14ac:dyDescent="0.25">
      <c r="A53" s="32">
        <v>-7.0000000000000001E-3</v>
      </c>
      <c r="B53" s="33">
        <f t="shared" si="4"/>
        <v>-9.9799999999999986E-2</v>
      </c>
      <c r="C53" s="35">
        <f t="shared" si="7"/>
        <v>1.3999999999999985E-3</v>
      </c>
      <c r="E53" s="34">
        <f t="shared" si="5"/>
        <v>-7.0000000000000001E-3</v>
      </c>
      <c r="F53" s="36">
        <f t="shared" si="6"/>
        <v>-9.9799999999999986E-2</v>
      </c>
    </row>
    <row r="54" spans="1:6" x14ac:dyDescent="0.25">
      <c r="A54" s="32">
        <v>-6.8999999999999999E-3</v>
      </c>
      <c r="B54" s="33">
        <f t="shared" si="4"/>
        <v>-9.8399999999999987E-2</v>
      </c>
      <c r="C54" s="35">
        <f t="shared" si="7"/>
        <v>1.3999999999999985E-3</v>
      </c>
      <c r="E54" s="34">
        <f t="shared" si="5"/>
        <v>-6.8999999999999999E-3</v>
      </c>
      <c r="F54" s="36">
        <f t="shared" si="6"/>
        <v>-9.8399999999999987E-2</v>
      </c>
    </row>
    <row r="55" spans="1:6" x14ac:dyDescent="0.25">
      <c r="A55" s="32">
        <v>-6.7999999999999996E-3</v>
      </c>
      <c r="B55" s="33">
        <f t="shared" si="4"/>
        <v>-9.6999999999999989E-2</v>
      </c>
      <c r="C55" s="35">
        <f t="shared" si="7"/>
        <v>1.3999999999999985E-3</v>
      </c>
      <c r="E55" s="34">
        <f t="shared" si="5"/>
        <v>-6.7999999999999996E-3</v>
      </c>
      <c r="F55" s="36">
        <f t="shared" si="6"/>
        <v>-9.6999999999999989E-2</v>
      </c>
    </row>
    <row r="56" spans="1:6" x14ac:dyDescent="0.25">
      <c r="A56" s="32">
        <v>-6.7000000000000002E-3</v>
      </c>
      <c r="B56" s="33">
        <f t="shared" si="4"/>
        <v>-9.5599999999999991E-2</v>
      </c>
      <c r="C56" s="35">
        <f t="shared" si="7"/>
        <v>1.3999999999999985E-3</v>
      </c>
      <c r="E56" s="34">
        <f t="shared" si="5"/>
        <v>-6.7000000000000002E-3</v>
      </c>
      <c r="F56" s="36">
        <f t="shared" si="6"/>
        <v>-9.5599999999999991E-2</v>
      </c>
    </row>
    <row r="57" spans="1:6" x14ac:dyDescent="0.25">
      <c r="A57" s="32">
        <v>-6.6E-3</v>
      </c>
      <c r="B57" s="33">
        <f t="shared" si="4"/>
        <v>-9.4199999999999992E-2</v>
      </c>
      <c r="C57" s="35">
        <f t="shared" si="7"/>
        <v>1.3999999999999985E-3</v>
      </c>
      <c r="E57" s="34">
        <f t="shared" si="5"/>
        <v>-6.6E-3</v>
      </c>
      <c r="F57" s="36">
        <f t="shared" si="6"/>
        <v>-9.4199999999999992E-2</v>
      </c>
    </row>
    <row r="58" spans="1:6" x14ac:dyDescent="0.25">
      <c r="A58" s="32">
        <v>-6.4999999999999997E-3</v>
      </c>
      <c r="B58" s="33">
        <f t="shared" si="4"/>
        <v>-9.2799999999999994E-2</v>
      </c>
      <c r="C58" s="35">
        <f t="shared" si="7"/>
        <v>1.3999999999999985E-3</v>
      </c>
      <c r="E58" s="34">
        <f t="shared" si="5"/>
        <v>-6.4999999999999997E-3</v>
      </c>
      <c r="F58" s="36">
        <f t="shared" si="6"/>
        <v>-9.2799999999999994E-2</v>
      </c>
    </row>
    <row r="59" spans="1:6" x14ac:dyDescent="0.25">
      <c r="A59" s="32">
        <v>-6.4000000000000003E-3</v>
      </c>
      <c r="B59" s="33">
        <f t="shared" si="4"/>
        <v>-9.1399999999999995E-2</v>
      </c>
      <c r="C59" s="35">
        <f t="shared" si="7"/>
        <v>1.3999999999999985E-3</v>
      </c>
      <c r="E59" s="34">
        <f t="shared" si="5"/>
        <v>-6.4000000000000003E-3</v>
      </c>
      <c r="F59" s="36">
        <f t="shared" si="6"/>
        <v>-9.1399999999999995E-2</v>
      </c>
    </row>
    <row r="60" spans="1:6" x14ac:dyDescent="0.25">
      <c r="A60" s="32">
        <v>-6.3E-3</v>
      </c>
      <c r="B60" s="33">
        <f t="shared" si="4"/>
        <v>-0.09</v>
      </c>
      <c r="C60" s="35">
        <f t="shared" si="7"/>
        <v>1.3999999999999985E-3</v>
      </c>
      <c r="E60" s="34">
        <f t="shared" si="5"/>
        <v>-6.3E-3</v>
      </c>
      <c r="F60" s="36">
        <f t="shared" si="6"/>
        <v>-0.09</v>
      </c>
    </row>
    <row r="61" spans="1:6" x14ac:dyDescent="0.25">
      <c r="A61" s="32">
        <v>-6.1999999999999998E-3</v>
      </c>
      <c r="B61" s="33">
        <f t="shared" si="4"/>
        <v>-8.8599999999999998E-2</v>
      </c>
      <c r="C61" s="35">
        <f t="shared" si="7"/>
        <v>1.3999999999999985E-3</v>
      </c>
      <c r="E61" s="34">
        <f t="shared" si="5"/>
        <v>-6.1999999999999998E-3</v>
      </c>
      <c r="F61" s="36">
        <f t="shared" si="6"/>
        <v>-8.8599999999999998E-2</v>
      </c>
    </row>
    <row r="62" spans="1:6" x14ac:dyDescent="0.25">
      <c r="A62" s="32">
        <v>-6.1000000000000004E-3</v>
      </c>
      <c r="B62" s="33">
        <f t="shared" si="4"/>
        <v>-8.72E-2</v>
      </c>
      <c r="C62" s="35">
        <f t="shared" si="7"/>
        <v>1.3999999999999985E-3</v>
      </c>
      <c r="E62" s="34">
        <f t="shared" si="5"/>
        <v>-6.1000000000000004E-3</v>
      </c>
      <c r="F62" s="36">
        <f t="shared" si="6"/>
        <v>-8.72E-2</v>
      </c>
    </row>
    <row r="63" spans="1:6" x14ac:dyDescent="0.25">
      <c r="A63" s="32">
        <v>-6.0000000000000001E-3</v>
      </c>
      <c r="B63" s="33">
        <f t="shared" si="4"/>
        <v>-8.5800000000000001E-2</v>
      </c>
      <c r="C63" s="35">
        <f t="shared" si="7"/>
        <v>1.3999999999999985E-3</v>
      </c>
      <c r="E63" s="34">
        <f t="shared" si="5"/>
        <v>-6.0000000000000001E-3</v>
      </c>
      <c r="F63" s="36">
        <f t="shared" si="6"/>
        <v>-8.5800000000000001E-2</v>
      </c>
    </row>
    <row r="64" spans="1:6" x14ac:dyDescent="0.25">
      <c r="A64" s="32">
        <v>-5.8999999999999999E-3</v>
      </c>
      <c r="B64" s="33">
        <f t="shared" si="4"/>
        <v>-8.4400000000000003E-2</v>
      </c>
      <c r="C64" s="35">
        <f t="shared" si="7"/>
        <v>1.3999999999999985E-3</v>
      </c>
      <c r="E64" s="34">
        <f t="shared" si="5"/>
        <v>-5.8999999999999999E-3</v>
      </c>
      <c r="F64" s="36">
        <f t="shared" si="6"/>
        <v>-8.4400000000000003E-2</v>
      </c>
    </row>
    <row r="65" spans="1:6" x14ac:dyDescent="0.25">
      <c r="A65" s="10">
        <v>-5.7999999999999996E-3</v>
      </c>
      <c r="B65" s="11">
        <v>-8.3000000000000004E-2</v>
      </c>
      <c r="C65" s="5">
        <f t="shared" si="7"/>
        <v>1.3999999999999985E-3</v>
      </c>
      <c r="E65" s="6">
        <f t="shared" si="5"/>
        <v>-5.7999999999999996E-3</v>
      </c>
      <c r="F65" s="5">
        <f t="shared" si="6"/>
        <v>-8.3000000000000004E-2</v>
      </c>
    </row>
    <row r="66" spans="1:6" x14ac:dyDescent="0.25">
      <c r="A66" s="12">
        <v>-5.6999999999999993E-3</v>
      </c>
      <c r="B66" s="13">
        <v>-8.1667000000000003E-2</v>
      </c>
      <c r="C66" s="5">
        <f t="shared" si="7"/>
        <v>1.3330000000000009E-3</v>
      </c>
      <c r="E66" s="6">
        <f t="shared" ref="E66:E129" si="8">A66</f>
        <v>-5.6999999999999993E-3</v>
      </c>
      <c r="F66" s="5">
        <f t="shared" ref="F66:F129" si="9">B66</f>
        <v>-8.1667000000000003E-2</v>
      </c>
    </row>
    <row r="67" spans="1:6" x14ac:dyDescent="0.25">
      <c r="A67" s="14">
        <v>-5.6000000000000008E-3</v>
      </c>
      <c r="B67" s="15">
        <v>-8.0333000000000002E-2</v>
      </c>
      <c r="C67" s="5">
        <f t="shared" ref="C67:C130" si="10">B67-B66</f>
        <v>1.3340000000000019E-3</v>
      </c>
      <c r="E67" s="6">
        <f t="shared" si="8"/>
        <v>-5.6000000000000008E-3</v>
      </c>
      <c r="F67" s="5">
        <f t="shared" si="9"/>
        <v>-8.0333000000000002E-2</v>
      </c>
    </row>
    <row r="68" spans="1:6" x14ac:dyDescent="0.25">
      <c r="A68" s="10">
        <v>-5.5000000000000014E-3</v>
      </c>
      <c r="B68" s="11">
        <v>-7.9000000000000001E-2</v>
      </c>
      <c r="C68" s="5">
        <f t="shared" si="10"/>
        <v>1.3330000000000009E-3</v>
      </c>
      <c r="E68" s="6">
        <f t="shared" si="8"/>
        <v>-5.5000000000000014E-3</v>
      </c>
      <c r="F68" s="5">
        <f t="shared" si="9"/>
        <v>-7.9000000000000001E-2</v>
      </c>
    </row>
    <row r="69" spans="1:6" x14ac:dyDescent="0.25">
      <c r="A69" s="14">
        <v>-5.4000000000000003E-3</v>
      </c>
      <c r="B69" s="15">
        <v>-7.7499999999999999E-2</v>
      </c>
      <c r="C69" s="5">
        <f t="shared" si="10"/>
        <v>1.5000000000000013E-3</v>
      </c>
      <c r="E69" s="6">
        <f t="shared" si="8"/>
        <v>-5.4000000000000003E-3</v>
      </c>
      <c r="F69" s="5">
        <f t="shared" si="9"/>
        <v>-7.7499999999999999E-2</v>
      </c>
    </row>
    <row r="70" spans="1:6" x14ac:dyDescent="0.25">
      <c r="A70" s="10">
        <v>-5.3E-3</v>
      </c>
      <c r="B70" s="11">
        <v>-7.5999999999999998E-2</v>
      </c>
      <c r="C70" s="5">
        <f t="shared" si="10"/>
        <v>1.5000000000000013E-3</v>
      </c>
      <c r="E70" s="6">
        <f t="shared" si="8"/>
        <v>-5.3E-3</v>
      </c>
      <c r="F70" s="5">
        <f t="shared" si="9"/>
        <v>-7.5999999999999998E-2</v>
      </c>
    </row>
    <row r="71" spans="1:6" x14ac:dyDescent="0.25">
      <c r="A71" s="14">
        <v>-5.1999999999999998E-3</v>
      </c>
      <c r="B71" s="15">
        <v>-7.400000000000001E-2</v>
      </c>
      <c r="C71" s="5">
        <f t="shared" si="10"/>
        <v>1.9999999999999879E-3</v>
      </c>
      <c r="E71" s="6">
        <f t="shared" si="8"/>
        <v>-5.1999999999999998E-3</v>
      </c>
      <c r="F71" s="5">
        <f t="shared" si="9"/>
        <v>-7.400000000000001E-2</v>
      </c>
    </row>
    <row r="72" spans="1:6" x14ac:dyDescent="0.25">
      <c r="A72" s="10">
        <v>-5.1000000000000004E-3</v>
      </c>
      <c r="B72" s="11">
        <v>-7.2000000000000008E-2</v>
      </c>
      <c r="C72" s="5">
        <f t="shared" si="10"/>
        <v>2.0000000000000018E-3</v>
      </c>
      <c r="E72" s="6">
        <f t="shared" si="8"/>
        <v>-5.1000000000000004E-3</v>
      </c>
      <c r="F72" s="5">
        <f t="shared" si="9"/>
        <v>-7.2000000000000008E-2</v>
      </c>
    </row>
    <row r="73" spans="1:6" x14ac:dyDescent="0.25">
      <c r="A73" s="14">
        <v>-5.0000000000000001E-3</v>
      </c>
      <c r="B73" s="15">
        <v>-7.0999999999999994E-2</v>
      </c>
      <c r="C73" s="5">
        <f t="shared" si="10"/>
        <v>1.0000000000000148E-3</v>
      </c>
      <c r="E73" s="6">
        <f t="shared" si="8"/>
        <v>-5.0000000000000001E-3</v>
      </c>
      <c r="F73" s="5">
        <f t="shared" si="9"/>
        <v>-7.0999999999999994E-2</v>
      </c>
    </row>
    <row r="74" spans="1:6" x14ac:dyDescent="0.25">
      <c r="A74" s="12">
        <v>-4.8999999999999998E-3</v>
      </c>
      <c r="B74" s="13">
        <v>-7.0000000000000007E-2</v>
      </c>
      <c r="C74" s="5">
        <f t="shared" si="10"/>
        <v>9.9999999999998701E-4</v>
      </c>
      <c r="E74" s="6">
        <f t="shared" si="8"/>
        <v>-4.8999999999999998E-3</v>
      </c>
      <c r="F74" s="5">
        <f t="shared" si="9"/>
        <v>-7.0000000000000007E-2</v>
      </c>
    </row>
    <row r="75" spans="1:6" x14ac:dyDescent="0.25">
      <c r="A75" s="10">
        <v>-4.7999999999999996E-3</v>
      </c>
      <c r="B75" s="11">
        <v>-6.9000000000000006E-2</v>
      </c>
      <c r="C75" s="5">
        <f t="shared" si="10"/>
        <v>1.0000000000000009E-3</v>
      </c>
      <c r="E75" s="6">
        <f t="shared" si="8"/>
        <v>-4.7999999999999996E-3</v>
      </c>
      <c r="F75" s="5">
        <f t="shared" si="9"/>
        <v>-6.9000000000000006E-2</v>
      </c>
    </row>
    <row r="76" spans="1:6" x14ac:dyDescent="0.25">
      <c r="A76" s="12">
        <v>-4.6999999999999993E-3</v>
      </c>
      <c r="B76" s="13">
        <v>-6.7000000000000004E-2</v>
      </c>
      <c r="C76" s="5">
        <f t="shared" si="10"/>
        <v>2.0000000000000018E-3</v>
      </c>
      <c r="E76" s="6">
        <f t="shared" si="8"/>
        <v>-4.6999999999999993E-3</v>
      </c>
      <c r="F76" s="5">
        <f t="shared" si="9"/>
        <v>-6.7000000000000004E-2</v>
      </c>
    </row>
    <row r="77" spans="1:6" x14ac:dyDescent="0.25">
      <c r="A77" s="10">
        <v>-4.5999999999999999E-3</v>
      </c>
      <c r="B77" s="11">
        <v>-6.5000000000000002E-2</v>
      </c>
      <c r="C77" s="5">
        <f t="shared" si="10"/>
        <v>2.0000000000000018E-3</v>
      </c>
      <c r="E77" s="6">
        <f t="shared" si="8"/>
        <v>-4.5999999999999999E-3</v>
      </c>
      <c r="F77" s="5">
        <f t="shared" si="9"/>
        <v>-6.5000000000000002E-2</v>
      </c>
    </row>
    <row r="78" spans="1:6" x14ac:dyDescent="0.25">
      <c r="A78" s="12">
        <v>-4.5000000000000014E-3</v>
      </c>
      <c r="B78" s="13">
        <v>-6.4000000000000001E-2</v>
      </c>
      <c r="C78" s="5">
        <f t="shared" si="10"/>
        <v>1.0000000000000009E-3</v>
      </c>
      <c r="E78" s="6">
        <f t="shared" si="8"/>
        <v>-4.5000000000000014E-3</v>
      </c>
      <c r="F78" s="5">
        <f t="shared" si="9"/>
        <v>-6.4000000000000001E-2</v>
      </c>
    </row>
    <row r="79" spans="1:6" x14ac:dyDescent="0.25">
      <c r="A79" s="14">
        <v>-4.4000000000000003E-3</v>
      </c>
      <c r="B79" s="15">
        <v>-6.3E-2</v>
      </c>
      <c r="C79" s="5">
        <f t="shared" si="10"/>
        <v>1.0000000000000009E-3</v>
      </c>
      <c r="E79" s="6">
        <f t="shared" si="8"/>
        <v>-4.4000000000000003E-3</v>
      </c>
      <c r="F79" s="5">
        <f t="shared" si="9"/>
        <v>-6.3E-2</v>
      </c>
    </row>
    <row r="80" spans="1:6" x14ac:dyDescent="0.25">
      <c r="A80" s="10">
        <v>-4.3E-3</v>
      </c>
      <c r="B80" s="11">
        <v>-6.2E-2</v>
      </c>
      <c r="C80" s="5">
        <f t="shared" si="10"/>
        <v>1.0000000000000009E-3</v>
      </c>
      <c r="E80" s="6">
        <f t="shared" si="8"/>
        <v>-4.3E-3</v>
      </c>
      <c r="F80" s="5">
        <f t="shared" si="9"/>
        <v>-6.2E-2</v>
      </c>
    </row>
    <row r="81" spans="1:6" x14ac:dyDescent="0.25">
      <c r="A81" s="14">
        <v>-4.1999999999999997E-3</v>
      </c>
      <c r="B81" s="15">
        <v>-0.06</v>
      </c>
      <c r="C81" s="5">
        <f t="shared" si="10"/>
        <v>2.0000000000000018E-3</v>
      </c>
      <c r="E81" s="6">
        <f t="shared" si="8"/>
        <v>-4.1999999999999997E-3</v>
      </c>
      <c r="F81" s="5">
        <f t="shared" si="9"/>
        <v>-0.06</v>
      </c>
    </row>
    <row r="82" spans="1:6" x14ac:dyDescent="0.25">
      <c r="A82" s="10">
        <v>-4.0999999999999986E-3</v>
      </c>
      <c r="B82" s="11">
        <v>-5.8000000000000003E-2</v>
      </c>
      <c r="C82" s="5">
        <f t="shared" si="10"/>
        <v>1.9999999999999948E-3</v>
      </c>
      <c r="E82" s="6">
        <f t="shared" si="8"/>
        <v>-4.0999999999999986E-3</v>
      </c>
      <c r="F82" s="5">
        <f t="shared" si="9"/>
        <v>-5.8000000000000003E-2</v>
      </c>
    </row>
    <row r="83" spans="1:6" x14ac:dyDescent="0.25">
      <c r="A83" s="14">
        <v>-4.0000000000000001E-3</v>
      </c>
      <c r="B83" s="15">
        <v>-5.7000000000000002E-2</v>
      </c>
      <c r="C83" s="5">
        <f t="shared" si="10"/>
        <v>1.0000000000000009E-3</v>
      </c>
      <c r="E83" s="6">
        <f t="shared" si="8"/>
        <v>-4.0000000000000001E-3</v>
      </c>
      <c r="F83" s="5">
        <f t="shared" si="9"/>
        <v>-5.7000000000000002E-2</v>
      </c>
    </row>
    <row r="84" spans="1:6" x14ac:dyDescent="0.25">
      <c r="A84" s="12">
        <v>-3.8999999999999998E-3</v>
      </c>
      <c r="B84" s="13">
        <v>-5.5999999999999987E-2</v>
      </c>
      <c r="C84" s="5">
        <f t="shared" si="10"/>
        <v>1.0000000000000148E-3</v>
      </c>
      <c r="E84" s="6">
        <f t="shared" si="8"/>
        <v>-3.8999999999999998E-3</v>
      </c>
      <c r="F84" s="5">
        <f t="shared" si="9"/>
        <v>-5.5999999999999987E-2</v>
      </c>
    </row>
    <row r="85" spans="1:6" x14ac:dyDescent="0.25">
      <c r="A85" s="10">
        <v>-3.8E-3</v>
      </c>
      <c r="B85" s="11">
        <v>-5.5E-2</v>
      </c>
      <c r="C85" s="5">
        <f t="shared" si="10"/>
        <v>9.9999999999998701E-4</v>
      </c>
      <c r="E85" s="6">
        <f t="shared" si="8"/>
        <v>-3.8E-3</v>
      </c>
      <c r="F85" s="5">
        <f t="shared" si="9"/>
        <v>-5.5E-2</v>
      </c>
    </row>
    <row r="86" spans="1:6" x14ac:dyDescent="0.25">
      <c r="A86" s="12">
        <v>-3.7000000000000002E-3</v>
      </c>
      <c r="B86" s="13">
        <v>-5.2999999999999999E-2</v>
      </c>
      <c r="C86" s="5">
        <f t="shared" si="10"/>
        <v>2.0000000000000018E-3</v>
      </c>
      <c r="E86" s="6">
        <f t="shared" si="8"/>
        <v>-3.7000000000000002E-3</v>
      </c>
      <c r="F86" s="5">
        <f t="shared" si="9"/>
        <v>-5.2999999999999999E-2</v>
      </c>
    </row>
    <row r="87" spans="1:6" x14ac:dyDescent="0.25">
      <c r="A87" s="10">
        <v>-3.5999999999999999E-3</v>
      </c>
      <c r="B87" s="11">
        <v>-5.0999999999999997E-2</v>
      </c>
      <c r="C87" s="5">
        <f t="shared" si="10"/>
        <v>2.0000000000000018E-3</v>
      </c>
      <c r="E87" s="6">
        <f t="shared" si="8"/>
        <v>-3.5999999999999999E-3</v>
      </c>
      <c r="F87" s="5">
        <f t="shared" si="9"/>
        <v>-5.0999999999999997E-2</v>
      </c>
    </row>
    <row r="88" spans="1:6" x14ac:dyDescent="0.25">
      <c r="A88" s="12">
        <v>-3.5000000000000001E-3</v>
      </c>
      <c r="B88" s="13">
        <v>-0.05</v>
      </c>
      <c r="C88" s="5">
        <f t="shared" si="10"/>
        <v>9.9999999999999395E-4</v>
      </c>
      <c r="E88" s="6">
        <f t="shared" si="8"/>
        <v>-3.5000000000000001E-3</v>
      </c>
      <c r="F88" s="5">
        <f t="shared" si="9"/>
        <v>-0.05</v>
      </c>
    </row>
    <row r="89" spans="1:6" x14ac:dyDescent="0.25">
      <c r="A89" s="14">
        <v>-3.3999999999999998E-3</v>
      </c>
      <c r="B89" s="15">
        <v>-4.9000000000000002E-2</v>
      </c>
      <c r="C89" s="5">
        <f t="shared" si="10"/>
        <v>1.0000000000000009E-3</v>
      </c>
      <c r="E89" s="6">
        <f t="shared" si="8"/>
        <v>-3.3999999999999998E-3</v>
      </c>
      <c r="F89" s="5">
        <f t="shared" si="9"/>
        <v>-4.9000000000000002E-2</v>
      </c>
    </row>
    <row r="90" spans="1:6" x14ac:dyDescent="0.25">
      <c r="A90" s="10">
        <v>-3.3E-3</v>
      </c>
      <c r="B90" s="11">
        <v>-4.8000000000000001E-2</v>
      </c>
      <c r="C90" s="5">
        <f t="shared" si="10"/>
        <v>1.0000000000000009E-3</v>
      </c>
      <c r="E90" s="6">
        <f t="shared" si="8"/>
        <v>-3.3E-3</v>
      </c>
      <c r="F90" s="5">
        <f t="shared" si="9"/>
        <v>-4.8000000000000001E-2</v>
      </c>
    </row>
    <row r="91" spans="1:6" x14ac:dyDescent="0.25">
      <c r="A91" s="14">
        <v>-3.2000000000000002E-3</v>
      </c>
      <c r="B91" s="15">
        <v>-4.6500000000000007E-2</v>
      </c>
      <c r="C91" s="5">
        <f t="shared" si="10"/>
        <v>1.4999999999999944E-3</v>
      </c>
      <c r="E91" s="6">
        <f t="shared" si="8"/>
        <v>-3.2000000000000002E-3</v>
      </c>
      <c r="F91" s="5">
        <f t="shared" si="9"/>
        <v>-4.6500000000000007E-2</v>
      </c>
    </row>
    <row r="92" spans="1:6" x14ac:dyDescent="0.25">
      <c r="A92" s="10">
        <v>-3.0999999999999999E-3</v>
      </c>
      <c r="B92" s="11">
        <v>-4.4999999999999998E-2</v>
      </c>
      <c r="C92" s="5">
        <f t="shared" si="10"/>
        <v>1.5000000000000083E-3</v>
      </c>
      <c r="E92" s="6">
        <f t="shared" si="8"/>
        <v>-3.0999999999999999E-3</v>
      </c>
      <c r="F92" s="5">
        <f t="shared" si="9"/>
        <v>-4.4999999999999998E-2</v>
      </c>
    </row>
    <row r="93" spans="1:6" x14ac:dyDescent="0.25">
      <c r="A93" s="14">
        <v>-3.0000000000000001E-3</v>
      </c>
      <c r="B93" s="15">
        <v>-4.3666999999999997E-2</v>
      </c>
      <c r="C93" s="5">
        <f t="shared" si="10"/>
        <v>1.3330000000000009E-3</v>
      </c>
      <c r="E93" s="6">
        <f t="shared" si="8"/>
        <v>-3.0000000000000001E-3</v>
      </c>
      <c r="F93" s="5">
        <f t="shared" si="9"/>
        <v>-4.3666999999999997E-2</v>
      </c>
    </row>
    <row r="94" spans="1:6" x14ac:dyDescent="0.25">
      <c r="A94" s="12">
        <v>-2.8999999999999998E-3</v>
      </c>
      <c r="B94" s="13">
        <v>-4.2333000000000003E-2</v>
      </c>
      <c r="C94" s="5">
        <f t="shared" si="10"/>
        <v>1.3339999999999949E-3</v>
      </c>
      <c r="E94" s="6">
        <f t="shared" si="8"/>
        <v>-2.8999999999999998E-3</v>
      </c>
      <c r="F94" s="5">
        <f t="shared" si="9"/>
        <v>-4.2333000000000003E-2</v>
      </c>
    </row>
    <row r="95" spans="1:6" x14ac:dyDescent="0.25">
      <c r="A95" s="10">
        <v>-2.8E-3</v>
      </c>
      <c r="B95" s="11">
        <v>-4.0999999999999988E-2</v>
      </c>
      <c r="C95" s="5">
        <f t="shared" si="10"/>
        <v>1.3330000000000147E-3</v>
      </c>
      <c r="E95" s="6">
        <f t="shared" si="8"/>
        <v>-2.8E-3</v>
      </c>
      <c r="F95" s="5">
        <f t="shared" si="9"/>
        <v>-4.0999999999999988E-2</v>
      </c>
    </row>
    <row r="96" spans="1:6" x14ac:dyDescent="0.25">
      <c r="A96" s="12">
        <v>-2.7000000000000001E-3</v>
      </c>
      <c r="B96" s="13">
        <v>-3.95E-2</v>
      </c>
      <c r="C96" s="5">
        <f t="shared" si="10"/>
        <v>1.4999999999999875E-3</v>
      </c>
      <c r="E96" s="6">
        <f t="shared" si="8"/>
        <v>-2.7000000000000001E-3</v>
      </c>
      <c r="F96" s="5">
        <f t="shared" si="9"/>
        <v>-3.95E-2</v>
      </c>
    </row>
    <row r="97" spans="1:6" x14ac:dyDescent="0.25">
      <c r="A97" s="10">
        <v>-2.5999999999999999E-3</v>
      </c>
      <c r="B97" s="11">
        <v>-3.7999999999999999E-2</v>
      </c>
      <c r="C97" s="5">
        <f t="shared" si="10"/>
        <v>1.5000000000000013E-3</v>
      </c>
      <c r="E97" s="6">
        <f t="shared" si="8"/>
        <v>-2.5999999999999999E-3</v>
      </c>
      <c r="F97" s="5">
        <f t="shared" si="9"/>
        <v>-3.7999999999999999E-2</v>
      </c>
    </row>
    <row r="98" spans="1:6" x14ac:dyDescent="0.25">
      <c r="A98" s="12">
        <v>-2.5000000000000001E-3</v>
      </c>
      <c r="B98" s="13">
        <v>-3.7000000000000012E-2</v>
      </c>
      <c r="C98" s="5">
        <f t="shared" si="10"/>
        <v>9.9999999999998701E-4</v>
      </c>
      <c r="E98" s="6">
        <f t="shared" si="8"/>
        <v>-2.5000000000000001E-3</v>
      </c>
      <c r="F98" s="5">
        <f t="shared" si="9"/>
        <v>-3.7000000000000012E-2</v>
      </c>
    </row>
    <row r="99" spans="1:6" x14ac:dyDescent="0.25">
      <c r="A99" s="14">
        <v>-2.3999999999999998E-3</v>
      </c>
      <c r="B99" s="15">
        <v>-3.5999999999999997E-2</v>
      </c>
      <c r="C99" s="5">
        <f t="shared" si="10"/>
        <v>1.0000000000000148E-3</v>
      </c>
      <c r="E99" s="6">
        <f t="shared" si="8"/>
        <v>-2.3999999999999998E-3</v>
      </c>
      <c r="F99" s="5">
        <f t="shared" si="9"/>
        <v>-3.5999999999999997E-2</v>
      </c>
    </row>
    <row r="100" spans="1:6" x14ac:dyDescent="0.25">
      <c r="A100" s="10">
        <v>-2.3E-3</v>
      </c>
      <c r="B100" s="11">
        <v>-3.5000000000000003E-2</v>
      </c>
      <c r="C100" s="5">
        <f t="shared" si="10"/>
        <v>9.9999999999999395E-4</v>
      </c>
      <c r="E100" s="6">
        <f t="shared" si="8"/>
        <v>-2.3E-3</v>
      </c>
      <c r="F100" s="5">
        <f t="shared" si="9"/>
        <v>-3.5000000000000003E-2</v>
      </c>
    </row>
    <row r="101" spans="1:6" x14ac:dyDescent="0.25">
      <c r="A101" s="14">
        <v>-2.2000000000000001E-3</v>
      </c>
      <c r="B101" s="15">
        <v>-3.3000000000000002E-2</v>
      </c>
      <c r="C101" s="5">
        <f t="shared" si="10"/>
        <v>2.0000000000000018E-3</v>
      </c>
      <c r="E101" s="6">
        <f t="shared" si="8"/>
        <v>-2.2000000000000001E-3</v>
      </c>
      <c r="F101" s="5">
        <f t="shared" si="9"/>
        <v>-3.3000000000000002E-2</v>
      </c>
    </row>
    <row r="102" spans="1:6" x14ac:dyDescent="0.25">
      <c r="A102" s="10">
        <v>-2.0999999999999999E-3</v>
      </c>
      <c r="B102" s="11">
        <v>-3.1E-2</v>
      </c>
      <c r="C102" s="5">
        <f t="shared" si="10"/>
        <v>2.0000000000000018E-3</v>
      </c>
      <c r="E102" s="6">
        <f t="shared" si="8"/>
        <v>-2.0999999999999999E-3</v>
      </c>
      <c r="F102" s="5">
        <f t="shared" si="9"/>
        <v>-3.1E-2</v>
      </c>
    </row>
    <row r="103" spans="1:6" x14ac:dyDescent="0.25">
      <c r="A103" s="14">
        <v>-2E-3</v>
      </c>
      <c r="B103" s="15">
        <v>-0.03</v>
      </c>
      <c r="C103" s="5">
        <f t="shared" si="10"/>
        <v>1.0000000000000009E-3</v>
      </c>
      <c r="E103" s="6">
        <f t="shared" si="8"/>
        <v>-2E-3</v>
      </c>
      <c r="F103" s="5">
        <f t="shared" si="9"/>
        <v>-0.03</v>
      </c>
    </row>
    <row r="104" spans="1:6" x14ac:dyDescent="0.25">
      <c r="A104" s="12">
        <v>-1.9E-3</v>
      </c>
      <c r="B104" s="13">
        <v>-2.9000000000000001E-2</v>
      </c>
      <c r="C104" s="5">
        <f t="shared" si="10"/>
        <v>9.9999999999999742E-4</v>
      </c>
      <c r="E104" s="6">
        <f t="shared" si="8"/>
        <v>-1.9E-3</v>
      </c>
      <c r="F104" s="5">
        <f t="shared" si="9"/>
        <v>-2.9000000000000001E-2</v>
      </c>
    </row>
    <row r="105" spans="1:6" x14ac:dyDescent="0.25">
      <c r="A105" s="10">
        <v>-1.8E-3</v>
      </c>
      <c r="B105" s="11">
        <v>-2.8000000000000001E-2</v>
      </c>
      <c r="C105" s="5">
        <f t="shared" si="10"/>
        <v>1.0000000000000009E-3</v>
      </c>
      <c r="E105" s="6">
        <f t="shared" si="8"/>
        <v>-1.8E-3</v>
      </c>
      <c r="F105" s="5">
        <f t="shared" si="9"/>
        <v>-2.8000000000000001E-2</v>
      </c>
    </row>
    <row r="106" spans="1:6" x14ac:dyDescent="0.25">
      <c r="A106" s="12">
        <v>-1.6999999999999999E-3</v>
      </c>
      <c r="B106" s="13">
        <v>-2.7E-2</v>
      </c>
      <c r="C106" s="5">
        <f t="shared" si="10"/>
        <v>1.0000000000000009E-3</v>
      </c>
      <c r="E106" s="6">
        <f t="shared" si="8"/>
        <v>-1.6999999999999999E-3</v>
      </c>
      <c r="F106" s="5">
        <f t="shared" si="9"/>
        <v>-2.7E-2</v>
      </c>
    </row>
    <row r="107" spans="1:6" x14ac:dyDescent="0.25">
      <c r="A107" s="14">
        <v>-1.6000000000000001E-3</v>
      </c>
      <c r="B107" s="15">
        <v>-2.5999999999999999E-2</v>
      </c>
      <c r="C107" s="5">
        <f t="shared" si="10"/>
        <v>1.0000000000000009E-3</v>
      </c>
      <c r="E107" s="6">
        <f t="shared" si="8"/>
        <v>-1.6000000000000001E-3</v>
      </c>
      <c r="F107" s="5">
        <f t="shared" si="9"/>
        <v>-2.5999999999999999E-2</v>
      </c>
    </row>
    <row r="108" spans="1:6" x14ac:dyDescent="0.25">
      <c r="A108" s="10">
        <v>-1.5E-3</v>
      </c>
      <c r="B108" s="11">
        <v>-2.5000000000000001E-2</v>
      </c>
      <c r="C108" s="5">
        <f t="shared" si="10"/>
        <v>9.9999999999999742E-4</v>
      </c>
      <c r="E108" s="6">
        <f t="shared" si="8"/>
        <v>-1.5E-3</v>
      </c>
      <c r="F108" s="5">
        <f t="shared" si="9"/>
        <v>-2.5000000000000001E-2</v>
      </c>
    </row>
    <row r="109" spans="1:6" x14ac:dyDescent="0.25">
      <c r="A109" s="14">
        <v>-1.4E-3</v>
      </c>
      <c r="B109" s="15">
        <v>-2.35E-2</v>
      </c>
      <c r="C109" s="5">
        <f t="shared" si="10"/>
        <v>1.5000000000000013E-3</v>
      </c>
      <c r="E109" s="6">
        <f t="shared" si="8"/>
        <v>-1.4E-3</v>
      </c>
      <c r="F109" s="5">
        <f t="shared" si="9"/>
        <v>-2.35E-2</v>
      </c>
    </row>
    <row r="110" spans="1:6" x14ac:dyDescent="0.25">
      <c r="A110" s="10">
        <v>-1.2999999999999999E-3</v>
      </c>
      <c r="B110" s="11">
        <v>-2.1999999999999999E-2</v>
      </c>
      <c r="C110" s="5">
        <f t="shared" si="10"/>
        <v>1.5000000000000013E-3</v>
      </c>
      <c r="E110" s="6">
        <f t="shared" si="8"/>
        <v>-1.2999999999999999E-3</v>
      </c>
      <c r="F110" s="5">
        <f t="shared" si="9"/>
        <v>-2.1999999999999999E-2</v>
      </c>
    </row>
    <row r="111" spans="1:6" x14ac:dyDescent="0.25">
      <c r="A111" s="14">
        <v>-1.1999999999999999E-3</v>
      </c>
      <c r="B111" s="15">
        <v>-2.0667000000000001E-2</v>
      </c>
      <c r="C111" s="5">
        <f t="shared" si="10"/>
        <v>1.3329999999999974E-3</v>
      </c>
      <c r="E111" s="6">
        <f t="shared" si="8"/>
        <v>-1.1999999999999999E-3</v>
      </c>
      <c r="F111" s="5">
        <f t="shared" si="9"/>
        <v>-2.0667000000000001E-2</v>
      </c>
    </row>
    <row r="112" spans="1:6" x14ac:dyDescent="0.25">
      <c r="A112" s="12">
        <v>-1.1000000000000001E-3</v>
      </c>
      <c r="B112" s="13">
        <v>-1.9332999999999999E-2</v>
      </c>
      <c r="C112" s="5">
        <f t="shared" si="10"/>
        <v>1.3340000000000019E-3</v>
      </c>
      <c r="E112" s="6">
        <f t="shared" si="8"/>
        <v>-1.1000000000000001E-3</v>
      </c>
      <c r="F112" s="5">
        <f t="shared" si="9"/>
        <v>-1.9332999999999999E-2</v>
      </c>
    </row>
    <row r="113" spans="1:6" x14ac:dyDescent="0.25">
      <c r="A113" s="10">
        <v>-1E-3</v>
      </c>
      <c r="B113" s="11">
        <v>-1.7999999999999999E-2</v>
      </c>
      <c r="C113" s="5">
        <f t="shared" si="10"/>
        <v>1.3330000000000009E-3</v>
      </c>
      <c r="E113" s="6">
        <f t="shared" si="8"/>
        <v>-1E-3</v>
      </c>
      <c r="F113" s="5">
        <f t="shared" si="9"/>
        <v>-1.7999999999999999E-2</v>
      </c>
    </row>
    <row r="114" spans="1:6" x14ac:dyDescent="0.25">
      <c r="A114" s="12">
        <v>-8.9999999999999998E-4</v>
      </c>
      <c r="B114" s="13">
        <v>-1.6500000000000001E-2</v>
      </c>
      <c r="C114" s="5">
        <f t="shared" si="10"/>
        <v>1.4999999999999979E-3</v>
      </c>
      <c r="E114" s="6">
        <f t="shared" si="8"/>
        <v>-8.9999999999999998E-4</v>
      </c>
      <c r="F114" s="5">
        <f t="shared" si="9"/>
        <v>-1.6500000000000001E-2</v>
      </c>
    </row>
    <row r="115" spans="1:6" x14ac:dyDescent="0.25">
      <c r="A115" s="10">
        <v>-8.0000000000000004E-4</v>
      </c>
      <c r="B115" s="11">
        <v>-1.4999999999999999E-2</v>
      </c>
      <c r="C115" s="5">
        <f t="shared" si="10"/>
        <v>1.5000000000000013E-3</v>
      </c>
      <c r="E115" s="6">
        <f t="shared" si="8"/>
        <v>-8.0000000000000004E-4</v>
      </c>
      <c r="F115" s="5">
        <f t="shared" si="9"/>
        <v>-1.4999999999999999E-2</v>
      </c>
    </row>
    <row r="116" spans="1:6" x14ac:dyDescent="0.25">
      <c r="A116" s="12">
        <v>-7.000000000000001E-4</v>
      </c>
      <c r="B116" s="13">
        <v>-1.4E-2</v>
      </c>
      <c r="C116" s="5">
        <f t="shared" si="10"/>
        <v>9.9999999999999915E-4</v>
      </c>
      <c r="E116" s="6">
        <f t="shared" si="8"/>
        <v>-7.000000000000001E-4</v>
      </c>
      <c r="F116" s="5">
        <f t="shared" si="9"/>
        <v>-1.4E-2</v>
      </c>
    </row>
    <row r="117" spans="1:6" x14ac:dyDescent="0.25">
      <c r="A117" s="14">
        <v>-5.9999999999999995E-4</v>
      </c>
      <c r="B117" s="15">
        <v>-1.2999999999999999E-2</v>
      </c>
      <c r="C117" s="5">
        <f t="shared" si="10"/>
        <v>1.0000000000000009E-3</v>
      </c>
      <c r="E117" s="6">
        <f t="shared" si="8"/>
        <v>-5.9999999999999995E-4</v>
      </c>
      <c r="F117" s="5">
        <f t="shared" si="9"/>
        <v>-1.2999999999999999E-2</v>
      </c>
    </row>
    <row r="118" spans="1:6" x14ac:dyDescent="0.25">
      <c r="A118" s="10">
        <v>-5.0000000000000001E-4</v>
      </c>
      <c r="B118" s="11">
        <v>-1.2E-2</v>
      </c>
      <c r="C118" s="5">
        <f t="shared" si="10"/>
        <v>9.9999999999999915E-4</v>
      </c>
      <c r="E118" s="6">
        <f t="shared" si="8"/>
        <v>-5.0000000000000001E-4</v>
      </c>
      <c r="F118" s="5">
        <f t="shared" si="9"/>
        <v>-1.2E-2</v>
      </c>
    </row>
    <row r="119" spans="1:6" x14ac:dyDescent="0.25">
      <c r="A119" s="14">
        <v>-4.0000000000000002E-4</v>
      </c>
      <c r="B119" s="15">
        <v>-1.0999999999999999E-2</v>
      </c>
      <c r="C119" s="5">
        <f t="shared" si="10"/>
        <v>1.0000000000000009E-3</v>
      </c>
      <c r="E119" s="6">
        <f t="shared" si="8"/>
        <v>-4.0000000000000002E-4</v>
      </c>
      <c r="F119" s="5">
        <f t="shared" si="9"/>
        <v>-1.0999999999999999E-2</v>
      </c>
    </row>
    <row r="120" spans="1:6" x14ac:dyDescent="0.25">
      <c r="A120" s="12">
        <v>-2.9999999999999997E-4</v>
      </c>
      <c r="B120" s="13">
        <v>-0.01</v>
      </c>
      <c r="C120" s="5">
        <f t="shared" si="10"/>
        <v>9.9999999999999915E-4</v>
      </c>
      <c r="E120" s="6">
        <f t="shared" si="8"/>
        <v>-2.9999999999999997E-4</v>
      </c>
      <c r="F120" s="5">
        <f t="shared" si="9"/>
        <v>-0.01</v>
      </c>
    </row>
    <row r="121" spans="1:6" x14ac:dyDescent="0.25">
      <c r="A121" s="10">
        <v>-2.0000000000000001E-4</v>
      </c>
      <c r="B121" s="11">
        <v>-9.0000000000000011E-3</v>
      </c>
      <c r="C121" s="5">
        <f t="shared" si="10"/>
        <v>9.9999999999999915E-4</v>
      </c>
      <c r="E121" s="6">
        <f t="shared" si="8"/>
        <v>-2.0000000000000001E-4</v>
      </c>
      <c r="F121" s="5">
        <f t="shared" si="9"/>
        <v>-9.0000000000000011E-3</v>
      </c>
    </row>
    <row r="122" spans="1:6" x14ac:dyDescent="0.25">
      <c r="A122" s="12">
        <v>-1E-4</v>
      </c>
      <c r="B122" s="13">
        <v>-7.4999999999999997E-3</v>
      </c>
      <c r="C122" s="5">
        <f t="shared" si="10"/>
        <v>1.5000000000000013E-3</v>
      </c>
      <c r="E122" s="6">
        <f t="shared" si="8"/>
        <v>-1E-4</v>
      </c>
      <c r="F122" s="5">
        <f t="shared" si="9"/>
        <v>-7.4999999999999997E-3</v>
      </c>
    </row>
    <row r="123" spans="1:6" x14ac:dyDescent="0.25">
      <c r="A123" s="10">
        <v>0</v>
      </c>
      <c r="B123" s="11">
        <v>-6.0000000000000001E-3</v>
      </c>
      <c r="C123" s="5">
        <f t="shared" si="10"/>
        <v>1.4999999999999996E-3</v>
      </c>
      <c r="E123" s="6">
        <f t="shared" si="8"/>
        <v>0</v>
      </c>
      <c r="F123" s="5">
        <f t="shared" si="9"/>
        <v>-6.0000000000000001E-3</v>
      </c>
    </row>
    <row r="124" spans="1:6" x14ac:dyDescent="0.25">
      <c r="A124" s="12">
        <v>1E-4</v>
      </c>
      <c r="B124" s="13">
        <v>-5.0000000000000001E-3</v>
      </c>
      <c r="C124" s="5">
        <f t="shared" si="10"/>
        <v>1E-3</v>
      </c>
      <c r="E124" s="6">
        <f t="shared" si="8"/>
        <v>1E-4</v>
      </c>
      <c r="F124" s="5">
        <f t="shared" si="9"/>
        <v>-5.0000000000000001E-3</v>
      </c>
    </row>
    <row r="125" spans="1:6" x14ac:dyDescent="0.25">
      <c r="A125" s="14">
        <v>2.0000000000000001E-4</v>
      </c>
      <c r="B125" s="15">
        <v>-4.0000000000000001E-3</v>
      </c>
      <c r="C125" s="5">
        <f t="shared" si="10"/>
        <v>1E-3</v>
      </c>
      <c r="E125" s="6">
        <f t="shared" si="8"/>
        <v>2.0000000000000001E-4</v>
      </c>
      <c r="F125" s="5">
        <f t="shared" si="9"/>
        <v>-4.0000000000000001E-3</v>
      </c>
    </row>
    <row r="126" spans="1:6" x14ac:dyDescent="0.25">
      <c r="A126" s="10">
        <v>2.9999999999999997E-4</v>
      </c>
      <c r="B126" s="11">
        <v>-3.0000000000000001E-3</v>
      </c>
      <c r="C126" s="5">
        <f t="shared" si="10"/>
        <v>1E-3</v>
      </c>
      <c r="E126" s="6">
        <f t="shared" si="8"/>
        <v>2.9999999999999997E-4</v>
      </c>
      <c r="F126" s="5">
        <f t="shared" si="9"/>
        <v>-3.0000000000000001E-3</v>
      </c>
    </row>
    <row r="127" spans="1:6" x14ac:dyDescent="0.25">
      <c r="A127" s="14">
        <v>4.0000000000000002E-4</v>
      </c>
      <c r="B127" s="15">
        <v>-2E-3</v>
      </c>
      <c r="C127" s="5">
        <f t="shared" si="10"/>
        <v>1E-3</v>
      </c>
      <c r="E127" s="6">
        <f t="shared" si="8"/>
        <v>4.0000000000000002E-4</v>
      </c>
      <c r="F127" s="5">
        <f t="shared" si="9"/>
        <v>-2E-3</v>
      </c>
    </row>
    <row r="128" spans="1:6" x14ac:dyDescent="0.25">
      <c r="A128" s="12">
        <v>5.0000000000000001E-4</v>
      </c>
      <c r="B128" s="13">
        <v>-1E-3</v>
      </c>
      <c r="C128" s="5">
        <f t="shared" si="10"/>
        <v>1E-3</v>
      </c>
      <c r="E128" s="6">
        <f t="shared" si="8"/>
        <v>5.0000000000000001E-4</v>
      </c>
      <c r="F128" s="5">
        <f t="shared" si="9"/>
        <v>-1E-3</v>
      </c>
    </row>
    <row r="129" spans="1:6" x14ac:dyDescent="0.25">
      <c r="A129" s="10">
        <v>5.9999999999999995E-4</v>
      </c>
      <c r="B129" s="11">
        <v>0</v>
      </c>
      <c r="C129" s="5">
        <f t="shared" si="10"/>
        <v>1E-3</v>
      </c>
      <c r="E129" s="6">
        <f t="shared" si="8"/>
        <v>5.9999999999999995E-4</v>
      </c>
      <c r="F129" s="5">
        <f t="shared" si="9"/>
        <v>0</v>
      </c>
    </row>
    <row r="130" spans="1:6" x14ac:dyDescent="0.25">
      <c r="A130" s="12">
        <v>7.000000000000001E-4</v>
      </c>
      <c r="B130" s="13">
        <v>1.5E-3</v>
      </c>
      <c r="C130" s="5">
        <f t="shared" si="10"/>
        <v>1.5E-3</v>
      </c>
      <c r="E130" s="6">
        <f t="shared" ref="E130:E193" si="11">A130</f>
        <v>7.000000000000001E-4</v>
      </c>
      <c r="F130" s="5">
        <f t="shared" ref="F130:F193" si="12">B130</f>
        <v>1.5E-3</v>
      </c>
    </row>
    <row r="131" spans="1:6" x14ac:dyDescent="0.25">
      <c r="A131" s="10">
        <v>8.0000000000000004E-4</v>
      </c>
      <c r="B131" s="11">
        <v>3.0000000000000001E-3</v>
      </c>
      <c r="C131" s="5">
        <f t="shared" ref="C131:C194" si="13">B131-B130</f>
        <v>1.5E-3</v>
      </c>
      <c r="E131" s="6">
        <f t="shared" si="11"/>
        <v>8.0000000000000004E-4</v>
      </c>
      <c r="F131" s="5">
        <f t="shared" si="12"/>
        <v>3.0000000000000001E-3</v>
      </c>
    </row>
    <row r="132" spans="1:6" x14ac:dyDescent="0.25">
      <c r="A132" s="12">
        <v>8.9999999999999998E-4</v>
      </c>
      <c r="B132" s="13">
        <v>4.0000000000000001E-3</v>
      </c>
      <c r="C132" s="5">
        <f t="shared" si="13"/>
        <v>1E-3</v>
      </c>
      <c r="E132" s="6">
        <f t="shared" si="11"/>
        <v>8.9999999999999998E-4</v>
      </c>
      <c r="F132" s="5">
        <f t="shared" si="12"/>
        <v>4.0000000000000001E-3</v>
      </c>
    </row>
    <row r="133" spans="1:6" x14ac:dyDescent="0.25">
      <c r="A133" s="14">
        <v>1E-3</v>
      </c>
      <c r="B133" s="15">
        <v>5.0000000000000001E-3</v>
      </c>
      <c r="C133" s="5">
        <f t="shared" si="13"/>
        <v>1E-3</v>
      </c>
      <c r="E133" s="6">
        <f t="shared" si="11"/>
        <v>1E-3</v>
      </c>
      <c r="F133" s="5">
        <f t="shared" si="12"/>
        <v>5.0000000000000001E-3</v>
      </c>
    </row>
    <row r="134" spans="1:6" x14ac:dyDescent="0.25">
      <c r="A134" s="10">
        <v>1.1000000000000001E-3</v>
      </c>
      <c r="B134" s="11">
        <v>6.0000000000000001E-3</v>
      </c>
      <c r="C134" s="5">
        <f t="shared" si="13"/>
        <v>1E-3</v>
      </c>
      <c r="E134" s="6">
        <f t="shared" si="11"/>
        <v>1.1000000000000001E-3</v>
      </c>
      <c r="F134" s="5">
        <f t="shared" si="12"/>
        <v>6.0000000000000001E-3</v>
      </c>
    </row>
    <row r="135" spans="1:6" x14ac:dyDescent="0.25">
      <c r="A135" s="14">
        <v>1.1999999999999999E-3</v>
      </c>
      <c r="B135" s="15">
        <v>6.9999999999999993E-3</v>
      </c>
      <c r="C135" s="5">
        <f t="shared" si="13"/>
        <v>9.9999999999999915E-4</v>
      </c>
      <c r="E135" s="6">
        <f t="shared" si="11"/>
        <v>1.1999999999999999E-3</v>
      </c>
      <c r="F135" s="5">
        <f t="shared" si="12"/>
        <v>6.9999999999999993E-3</v>
      </c>
    </row>
    <row r="136" spans="1:6" x14ac:dyDescent="0.25">
      <c r="A136" s="12">
        <v>1.2999999999999999E-3</v>
      </c>
      <c r="B136" s="13">
        <v>8.0000000000000002E-3</v>
      </c>
      <c r="C136" s="5">
        <f t="shared" si="13"/>
        <v>1.0000000000000009E-3</v>
      </c>
      <c r="E136" s="6">
        <f t="shared" si="11"/>
        <v>1.2999999999999999E-3</v>
      </c>
      <c r="F136" s="5">
        <f t="shared" si="12"/>
        <v>8.0000000000000002E-3</v>
      </c>
    </row>
    <row r="137" spans="1:6" x14ac:dyDescent="0.25">
      <c r="A137" s="10">
        <v>1.4E-3</v>
      </c>
      <c r="B137" s="11">
        <v>9.0000000000000011E-3</v>
      </c>
      <c r="C137" s="5">
        <f t="shared" si="13"/>
        <v>1.0000000000000009E-3</v>
      </c>
      <c r="E137" s="6">
        <f t="shared" si="11"/>
        <v>1.4E-3</v>
      </c>
      <c r="F137" s="5">
        <f t="shared" si="12"/>
        <v>9.0000000000000011E-3</v>
      </c>
    </row>
    <row r="138" spans="1:6" x14ac:dyDescent="0.25">
      <c r="A138" s="12">
        <v>1.5E-3</v>
      </c>
      <c r="B138" s="13">
        <v>0.01</v>
      </c>
      <c r="C138" s="5">
        <f t="shared" si="13"/>
        <v>9.9999999999999915E-4</v>
      </c>
      <c r="E138" s="6">
        <f t="shared" si="11"/>
        <v>1.5E-3</v>
      </c>
      <c r="F138" s="5">
        <f t="shared" si="12"/>
        <v>0.01</v>
      </c>
    </row>
    <row r="139" spans="1:6" x14ac:dyDescent="0.25">
      <c r="A139" s="14">
        <v>1.6000000000000001E-3</v>
      </c>
      <c r="B139" s="15">
        <v>1.0999999999999999E-2</v>
      </c>
      <c r="C139" s="5">
        <f t="shared" si="13"/>
        <v>9.9999999999999915E-4</v>
      </c>
      <c r="E139" s="6">
        <f t="shared" si="11"/>
        <v>1.6000000000000001E-3</v>
      </c>
      <c r="F139" s="5">
        <f t="shared" si="12"/>
        <v>1.0999999999999999E-2</v>
      </c>
    </row>
    <row r="140" spans="1:6" x14ac:dyDescent="0.25">
      <c r="A140" s="10">
        <v>1.6999999999999999E-3</v>
      </c>
      <c r="B140" s="11">
        <v>1.2E-2</v>
      </c>
      <c r="C140" s="5">
        <f t="shared" si="13"/>
        <v>1.0000000000000009E-3</v>
      </c>
      <c r="E140" s="6">
        <f t="shared" si="11"/>
        <v>1.6999999999999999E-3</v>
      </c>
      <c r="F140" s="5">
        <f t="shared" si="12"/>
        <v>1.2E-2</v>
      </c>
    </row>
    <row r="141" spans="1:6" x14ac:dyDescent="0.25">
      <c r="A141" s="14">
        <v>1.8E-3</v>
      </c>
      <c r="B141" s="15">
        <v>1.35E-2</v>
      </c>
      <c r="C141" s="5">
        <f t="shared" si="13"/>
        <v>1.4999999999999996E-3</v>
      </c>
      <c r="E141" s="6">
        <f t="shared" si="11"/>
        <v>1.8E-3</v>
      </c>
      <c r="F141" s="5">
        <f t="shared" si="12"/>
        <v>1.35E-2</v>
      </c>
    </row>
    <row r="142" spans="1:6" x14ac:dyDescent="0.25">
      <c r="A142" s="10">
        <v>1.9E-3</v>
      </c>
      <c r="B142" s="11">
        <v>1.4999999999999999E-2</v>
      </c>
      <c r="C142" s="5">
        <f t="shared" si="13"/>
        <v>1.4999999999999996E-3</v>
      </c>
      <c r="E142" s="6">
        <f t="shared" si="11"/>
        <v>1.9E-3</v>
      </c>
      <c r="F142" s="5">
        <f t="shared" si="12"/>
        <v>1.4999999999999999E-2</v>
      </c>
    </row>
    <row r="143" spans="1:6" x14ac:dyDescent="0.25">
      <c r="A143" s="14">
        <v>2E-3</v>
      </c>
      <c r="B143" s="15">
        <v>1.6E-2</v>
      </c>
      <c r="C143" s="5">
        <f t="shared" si="13"/>
        <v>1.0000000000000009E-3</v>
      </c>
      <c r="E143" s="6">
        <f t="shared" si="11"/>
        <v>2E-3</v>
      </c>
      <c r="F143" s="5">
        <f t="shared" si="12"/>
        <v>1.6E-2</v>
      </c>
    </row>
    <row r="144" spans="1:6" x14ac:dyDescent="0.25">
      <c r="A144" s="12">
        <v>2.0999999999999999E-3</v>
      </c>
      <c r="B144" s="13">
        <v>1.7000000000000001E-2</v>
      </c>
      <c r="C144" s="5">
        <f t="shared" si="13"/>
        <v>1.0000000000000009E-3</v>
      </c>
      <c r="E144" s="6">
        <f t="shared" si="11"/>
        <v>2.0999999999999999E-3</v>
      </c>
      <c r="F144" s="5">
        <f t="shared" si="12"/>
        <v>1.7000000000000001E-2</v>
      </c>
    </row>
    <row r="145" spans="1:6" x14ac:dyDescent="0.25">
      <c r="A145" s="10">
        <v>2.2000000000000001E-3</v>
      </c>
      <c r="B145" s="11">
        <v>1.7999999999999999E-2</v>
      </c>
      <c r="C145" s="5">
        <f t="shared" si="13"/>
        <v>9.9999999999999742E-4</v>
      </c>
      <c r="E145" s="6">
        <f t="shared" si="11"/>
        <v>2.2000000000000001E-3</v>
      </c>
      <c r="F145" s="5">
        <f t="shared" si="12"/>
        <v>1.7999999999999999E-2</v>
      </c>
    </row>
    <row r="146" spans="1:6" x14ac:dyDescent="0.25">
      <c r="A146" s="12">
        <v>2.3E-3</v>
      </c>
      <c r="B146" s="13">
        <v>1.9E-2</v>
      </c>
      <c r="C146" s="5">
        <f t="shared" si="13"/>
        <v>1.0000000000000009E-3</v>
      </c>
      <c r="E146" s="6">
        <f t="shared" si="11"/>
        <v>2.3E-3</v>
      </c>
      <c r="F146" s="5">
        <f t="shared" si="12"/>
        <v>1.9E-2</v>
      </c>
    </row>
    <row r="147" spans="1:6" x14ac:dyDescent="0.25">
      <c r="A147" s="14">
        <v>2.3999999999999998E-3</v>
      </c>
      <c r="B147" s="15">
        <v>0.02</v>
      </c>
      <c r="C147" s="5">
        <f t="shared" si="13"/>
        <v>1.0000000000000009E-3</v>
      </c>
      <c r="E147" s="6">
        <f t="shared" si="11"/>
        <v>2.3999999999999998E-3</v>
      </c>
      <c r="F147" s="5">
        <f t="shared" si="12"/>
        <v>0.02</v>
      </c>
    </row>
    <row r="148" spans="1:6" x14ac:dyDescent="0.25">
      <c r="A148" s="10">
        <v>2.5000000000000001E-3</v>
      </c>
      <c r="B148" s="11">
        <v>2.1000000000000001E-2</v>
      </c>
      <c r="C148" s="5">
        <f t="shared" si="13"/>
        <v>1.0000000000000009E-3</v>
      </c>
      <c r="E148" s="6">
        <f t="shared" si="11"/>
        <v>2.5000000000000001E-3</v>
      </c>
      <c r="F148" s="5">
        <f t="shared" si="12"/>
        <v>2.1000000000000001E-2</v>
      </c>
    </row>
    <row r="149" spans="1:6" x14ac:dyDescent="0.25">
      <c r="A149" s="14">
        <v>2.5999999999999999E-3</v>
      </c>
      <c r="B149" s="15">
        <v>2.1999999999999999E-2</v>
      </c>
      <c r="C149" s="5">
        <f t="shared" si="13"/>
        <v>9.9999999999999742E-4</v>
      </c>
      <c r="E149" s="6">
        <f t="shared" si="11"/>
        <v>2.5999999999999999E-3</v>
      </c>
      <c r="F149" s="5">
        <f t="shared" si="12"/>
        <v>2.1999999999999999E-2</v>
      </c>
    </row>
    <row r="150" spans="1:6" x14ac:dyDescent="0.25">
      <c r="A150" s="12">
        <v>2.7000000000000001E-3</v>
      </c>
      <c r="B150" s="13">
        <v>2.3E-2</v>
      </c>
      <c r="C150" s="5">
        <f t="shared" si="13"/>
        <v>1.0000000000000009E-3</v>
      </c>
      <c r="E150" s="6">
        <f t="shared" si="11"/>
        <v>2.7000000000000001E-3</v>
      </c>
      <c r="F150" s="5">
        <f t="shared" si="12"/>
        <v>2.3E-2</v>
      </c>
    </row>
    <row r="151" spans="1:6" x14ac:dyDescent="0.25">
      <c r="A151" s="10">
        <v>2.8E-3</v>
      </c>
      <c r="B151" s="11">
        <v>2.4E-2</v>
      </c>
      <c r="C151" s="5">
        <f t="shared" si="13"/>
        <v>1.0000000000000009E-3</v>
      </c>
      <c r="E151" s="6">
        <f t="shared" si="11"/>
        <v>2.8E-3</v>
      </c>
      <c r="F151" s="5">
        <f t="shared" si="12"/>
        <v>2.4E-2</v>
      </c>
    </row>
    <row r="152" spans="1:6" x14ac:dyDescent="0.25">
      <c r="A152" s="12">
        <v>2.8999999999999998E-3</v>
      </c>
      <c r="B152" s="13">
        <v>2.5000000000000001E-2</v>
      </c>
      <c r="C152" s="5">
        <f t="shared" si="13"/>
        <v>1.0000000000000009E-3</v>
      </c>
      <c r="E152" s="6">
        <f t="shared" si="11"/>
        <v>2.8999999999999998E-3</v>
      </c>
      <c r="F152" s="5">
        <f t="shared" si="12"/>
        <v>2.5000000000000001E-2</v>
      </c>
    </row>
    <row r="153" spans="1:6" x14ac:dyDescent="0.25">
      <c r="A153" s="14">
        <v>3.0000000000000001E-3</v>
      </c>
      <c r="B153" s="15">
        <v>2.5999999999999999E-2</v>
      </c>
      <c r="C153" s="5">
        <f t="shared" si="13"/>
        <v>9.9999999999999742E-4</v>
      </c>
      <c r="E153" s="6">
        <f t="shared" si="11"/>
        <v>3.0000000000000001E-3</v>
      </c>
      <c r="F153" s="5">
        <f t="shared" si="12"/>
        <v>2.5999999999999999E-2</v>
      </c>
    </row>
    <row r="154" spans="1:6" x14ac:dyDescent="0.25">
      <c r="A154" s="10">
        <v>3.0999999999999999E-3</v>
      </c>
      <c r="B154" s="11">
        <v>2.7E-2</v>
      </c>
      <c r="C154" s="5">
        <f t="shared" si="13"/>
        <v>1.0000000000000009E-3</v>
      </c>
      <c r="E154" s="6">
        <f t="shared" si="11"/>
        <v>3.0999999999999999E-3</v>
      </c>
      <c r="F154" s="5">
        <f t="shared" si="12"/>
        <v>2.7E-2</v>
      </c>
    </row>
    <row r="155" spans="1:6" x14ac:dyDescent="0.25">
      <c r="A155" s="14">
        <v>3.2000000000000002E-3</v>
      </c>
      <c r="B155" s="15">
        <v>2.8500000000000001E-2</v>
      </c>
      <c r="C155" s="5">
        <f t="shared" si="13"/>
        <v>1.5000000000000013E-3</v>
      </c>
      <c r="E155" s="6">
        <f t="shared" si="11"/>
        <v>3.2000000000000002E-3</v>
      </c>
      <c r="F155" s="5">
        <f t="shared" si="12"/>
        <v>2.8500000000000001E-2</v>
      </c>
    </row>
    <row r="156" spans="1:6" x14ac:dyDescent="0.25">
      <c r="A156" s="10">
        <v>3.3E-3</v>
      </c>
      <c r="B156" s="11">
        <v>0.03</v>
      </c>
      <c r="C156" s="5">
        <f t="shared" si="13"/>
        <v>1.4999999999999979E-3</v>
      </c>
      <c r="E156" s="6">
        <f t="shared" si="11"/>
        <v>3.3E-3</v>
      </c>
      <c r="F156" s="5">
        <f t="shared" si="12"/>
        <v>0.03</v>
      </c>
    </row>
    <row r="157" spans="1:6" x14ac:dyDescent="0.25">
      <c r="A157" s="14">
        <v>3.3999999999999998E-3</v>
      </c>
      <c r="B157" s="15">
        <v>3.1E-2</v>
      </c>
      <c r="C157" s="5">
        <f t="shared" si="13"/>
        <v>1.0000000000000009E-3</v>
      </c>
      <c r="E157" s="6">
        <f t="shared" si="11"/>
        <v>3.3999999999999998E-3</v>
      </c>
      <c r="F157" s="5">
        <f t="shared" si="12"/>
        <v>3.1E-2</v>
      </c>
    </row>
    <row r="158" spans="1:6" x14ac:dyDescent="0.25">
      <c r="A158" s="12">
        <v>3.5000000000000001E-3</v>
      </c>
      <c r="B158" s="13">
        <v>3.2000000000000001E-2</v>
      </c>
      <c r="C158" s="5">
        <f t="shared" si="13"/>
        <v>1.0000000000000009E-3</v>
      </c>
      <c r="E158" s="6">
        <f t="shared" si="11"/>
        <v>3.5000000000000001E-3</v>
      </c>
      <c r="F158" s="5">
        <f t="shared" si="12"/>
        <v>3.2000000000000001E-2</v>
      </c>
    </row>
    <row r="159" spans="1:6" x14ac:dyDescent="0.25">
      <c r="A159" s="10">
        <v>3.5999999999999999E-3</v>
      </c>
      <c r="B159" s="11">
        <v>3.3000000000000002E-2</v>
      </c>
      <c r="C159" s="5">
        <f t="shared" si="13"/>
        <v>1.0000000000000009E-3</v>
      </c>
      <c r="E159" s="6">
        <f t="shared" si="11"/>
        <v>3.5999999999999999E-3</v>
      </c>
      <c r="F159" s="5">
        <f t="shared" si="12"/>
        <v>3.3000000000000002E-2</v>
      </c>
    </row>
    <row r="160" spans="1:6" x14ac:dyDescent="0.25">
      <c r="A160" s="12">
        <v>3.7000000000000002E-3</v>
      </c>
      <c r="B160" s="13">
        <v>3.4000000000000002E-2</v>
      </c>
      <c r="C160" s="5">
        <f t="shared" si="13"/>
        <v>1.0000000000000009E-3</v>
      </c>
      <c r="E160" s="6">
        <f t="shared" si="11"/>
        <v>3.7000000000000002E-3</v>
      </c>
      <c r="F160" s="5">
        <f t="shared" si="12"/>
        <v>3.4000000000000002E-2</v>
      </c>
    </row>
    <row r="161" spans="1:6" x14ac:dyDescent="0.25">
      <c r="A161" s="14">
        <v>3.8E-3</v>
      </c>
      <c r="B161" s="15">
        <v>3.5000000000000003E-2</v>
      </c>
      <c r="C161" s="5">
        <f t="shared" si="13"/>
        <v>1.0000000000000009E-3</v>
      </c>
      <c r="E161" s="6">
        <f t="shared" si="11"/>
        <v>3.8E-3</v>
      </c>
      <c r="F161" s="5">
        <f t="shared" si="12"/>
        <v>3.5000000000000003E-2</v>
      </c>
    </row>
    <row r="162" spans="1:6" x14ac:dyDescent="0.25">
      <c r="A162" s="10">
        <v>3.8999999999999998E-3</v>
      </c>
      <c r="B162" s="11">
        <v>3.5999999999999997E-2</v>
      </c>
      <c r="C162" s="5">
        <f t="shared" si="13"/>
        <v>9.9999999999999395E-4</v>
      </c>
      <c r="E162" s="6">
        <f t="shared" si="11"/>
        <v>3.8999999999999998E-3</v>
      </c>
      <c r="F162" s="5">
        <f t="shared" si="12"/>
        <v>3.5999999999999997E-2</v>
      </c>
    </row>
    <row r="163" spans="1:6" x14ac:dyDescent="0.25">
      <c r="A163" s="14">
        <v>4.0000000000000001E-3</v>
      </c>
      <c r="B163" s="15">
        <v>3.7000000000000012E-2</v>
      </c>
      <c r="C163" s="5">
        <f t="shared" si="13"/>
        <v>1.0000000000000148E-3</v>
      </c>
      <c r="E163" s="6">
        <f t="shared" si="11"/>
        <v>4.0000000000000001E-3</v>
      </c>
      <c r="F163" s="5">
        <f t="shared" si="12"/>
        <v>3.7000000000000012E-2</v>
      </c>
    </row>
    <row r="164" spans="1:6" x14ac:dyDescent="0.25">
      <c r="A164" s="12">
        <v>4.0999999999999986E-3</v>
      </c>
      <c r="B164" s="13">
        <v>3.7999999999999999E-2</v>
      </c>
      <c r="C164" s="5">
        <f t="shared" si="13"/>
        <v>9.9999999999998701E-4</v>
      </c>
      <c r="E164" s="6">
        <f t="shared" si="11"/>
        <v>4.0999999999999986E-3</v>
      </c>
      <c r="F164" s="5">
        <f t="shared" si="12"/>
        <v>3.7999999999999999E-2</v>
      </c>
    </row>
    <row r="165" spans="1:6" x14ac:dyDescent="0.25">
      <c r="A165" s="10">
        <v>4.1999999999999997E-3</v>
      </c>
      <c r="B165" s="11">
        <v>3.9E-2</v>
      </c>
      <c r="C165" s="5">
        <f t="shared" si="13"/>
        <v>1.0000000000000009E-3</v>
      </c>
      <c r="E165" s="6">
        <f t="shared" si="11"/>
        <v>4.1999999999999997E-3</v>
      </c>
      <c r="F165" s="5">
        <f t="shared" si="12"/>
        <v>3.9E-2</v>
      </c>
    </row>
    <row r="166" spans="1:6" x14ac:dyDescent="0.25">
      <c r="A166" s="12">
        <v>4.3E-3</v>
      </c>
      <c r="B166" s="13">
        <v>3.9667000000000001E-2</v>
      </c>
      <c r="C166" s="5">
        <f t="shared" si="13"/>
        <v>6.6700000000000093E-4</v>
      </c>
      <c r="E166" s="6">
        <f t="shared" si="11"/>
        <v>4.3E-3</v>
      </c>
      <c r="F166" s="5">
        <f t="shared" si="12"/>
        <v>3.9667000000000001E-2</v>
      </c>
    </row>
    <row r="167" spans="1:6" x14ac:dyDescent="0.25">
      <c r="A167" s="14">
        <v>4.4000000000000003E-3</v>
      </c>
      <c r="B167" s="15">
        <v>4.0332999999999987E-2</v>
      </c>
      <c r="C167" s="5">
        <f t="shared" si="13"/>
        <v>6.6599999999998605E-4</v>
      </c>
      <c r="E167" s="6">
        <f t="shared" si="11"/>
        <v>4.4000000000000003E-3</v>
      </c>
      <c r="F167" s="5">
        <f t="shared" si="12"/>
        <v>4.0332999999999987E-2</v>
      </c>
    </row>
    <row r="168" spans="1:6" x14ac:dyDescent="0.25">
      <c r="A168" s="10">
        <v>4.5000000000000014E-3</v>
      </c>
      <c r="B168" s="11">
        <v>4.0999999999999988E-2</v>
      </c>
      <c r="C168" s="5">
        <f t="shared" si="13"/>
        <v>6.6700000000000093E-4</v>
      </c>
      <c r="E168" s="6">
        <f t="shared" si="11"/>
        <v>4.5000000000000014E-3</v>
      </c>
      <c r="F168" s="5">
        <f t="shared" si="12"/>
        <v>4.0999999999999988E-2</v>
      </c>
    </row>
    <row r="169" spans="1:6" x14ac:dyDescent="0.25">
      <c r="A169" s="14">
        <v>4.5999999999999999E-3</v>
      </c>
      <c r="B169" s="15">
        <v>4.2000000000000003E-2</v>
      </c>
      <c r="C169" s="5">
        <f t="shared" si="13"/>
        <v>1.0000000000000148E-3</v>
      </c>
      <c r="E169" s="6">
        <f t="shared" si="11"/>
        <v>4.5999999999999999E-3</v>
      </c>
      <c r="F169" s="5">
        <f t="shared" si="12"/>
        <v>4.2000000000000003E-2</v>
      </c>
    </row>
    <row r="170" spans="1:6" x14ac:dyDescent="0.25">
      <c r="A170" s="12">
        <v>4.6999999999999993E-3</v>
      </c>
      <c r="B170" s="13">
        <v>4.2999999999999997E-2</v>
      </c>
      <c r="C170" s="5">
        <f t="shared" si="13"/>
        <v>9.9999999999999395E-4</v>
      </c>
      <c r="E170" s="6">
        <f t="shared" si="11"/>
        <v>4.6999999999999993E-3</v>
      </c>
      <c r="F170" s="5">
        <f t="shared" si="12"/>
        <v>4.2999999999999997E-2</v>
      </c>
    </row>
    <row r="171" spans="1:6" x14ac:dyDescent="0.25">
      <c r="A171" s="10">
        <v>4.7999999999999996E-3</v>
      </c>
      <c r="B171" s="11">
        <v>4.3999999999999997E-2</v>
      </c>
      <c r="C171" s="5">
        <f t="shared" si="13"/>
        <v>1.0000000000000009E-3</v>
      </c>
      <c r="E171" s="6">
        <f t="shared" si="11"/>
        <v>4.7999999999999996E-3</v>
      </c>
      <c r="F171" s="5">
        <f t="shared" si="12"/>
        <v>4.3999999999999997E-2</v>
      </c>
    </row>
    <row r="172" spans="1:6" x14ac:dyDescent="0.25">
      <c r="A172" s="12">
        <v>4.8999999999999998E-3</v>
      </c>
      <c r="B172" s="13">
        <v>4.5499999999999999E-2</v>
      </c>
      <c r="C172" s="5">
        <f t="shared" si="13"/>
        <v>1.5000000000000013E-3</v>
      </c>
      <c r="E172" s="6">
        <f t="shared" si="11"/>
        <v>4.8999999999999998E-3</v>
      </c>
      <c r="F172" s="5">
        <f t="shared" si="12"/>
        <v>4.5499999999999999E-2</v>
      </c>
    </row>
    <row r="173" spans="1:6" x14ac:dyDescent="0.25">
      <c r="A173" s="10">
        <v>5.0000000000000001E-3</v>
      </c>
      <c r="B173" s="11">
        <v>4.7E-2</v>
      </c>
      <c r="C173" s="5">
        <f t="shared" si="13"/>
        <v>1.5000000000000013E-3</v>
      </c>
      <c r="E173" s="6">
        <f t="shared" si="11"/>
        <v>5.0000000000000001E-3</v>
      </c>
      <c r="F173" s="5">
        <f t="shared" si="12"/>
        <v>4.7E-2</v>
      </c>
    </row>
    <row r="174" spans="1:6" x14ac:dyDescent="0.25">
      <c r="A174" s="12">
        <v>5.1000000000000004E-3</v>
      </c>
      <c r="B174" s="13">
        <v>4.8000000000000001E-2</v>
      </c>
      <c r="C174" s="5">
        <f t="shared" si="13"/>
        <v>1.0000000000000009E-3</v>
      </c>
      <c r="E174" s="6">
        <f t="shared" si="11"/>
        <v>5.1000000000000004E-3</v>
      </c>
      <c r="F174" s="5">
        <f t="shared" si="12"/>
        <v>4.8000000000000001E-2</v>
      </c>
    </row>
    <row r="175" spans="1:6" x14ac:dyDescent="0.25">
      <c r="A175" s="14">
        <v>5.1999999999999998E-3</v>
      </c>
      <c r="B175" s="15">
        <v>4.9000000000000002E-2</v>
      </c>
      <c r="C175" s="5">
        <f t="shared" si="13"/>
        <v>1.0000000000000009E-3</v>
      </c>
      <c r="E175" s="6">
        <f t="shared" si="11"/>
        <v>5.1999999999999998E-3</v>
      </c>
      <c r="F175" s="5">
        <f t="shared" si="12"/>
        <v>4.9000000000000002E-2</v>
      </c>
    </row>
    <row r="176" spans="1:6" x14ac:dyDescent="0.25">
      <c r="A176" s="10">
        <v>5.3E-3</v>
      </c>
      <c r="B176" s="11">
        <v>0.05</v>
      </c>
      <c r="C176" s="5">
        <f t="shared" si="13"/>
        <v>1.0000000000000009E-3</v>
      </c>
      <c r="E176" s="6">
        <f t="shared" si="11"/>
        <v>5.3E-3</v>
      </c>
      <c r="F176" s="5">
        <f t="shared" si="12"/>
        <v>0.05</v>
      </c>
    </row>
    <row r="177" spans="1:6" x14ac:dyDescent="0.25">
      <c r="A177" s="14">
        <v>5.4000000000000003E-3</v>
      </c>
      <c r="B177" s="15">
        <v>5.0999999999999997E-2</v>
      </c>
      <c r="C177" s="5">
        <f t="shared" si="13"/>
        <v>9.9999999999999395E-4</v>
      </c>
      <c r="E177" s="6">
        <f t="shared" si="11"/>
        <v>5.4000000000000003E-3</v>
      </c>
      <c r="F177" s="5">
        <f t="shared" si="12"/>
        <v>5.0999999999999997E-2</v>
      </c>
    </row>
    <row r="178" spans="1:6" x14ac:dyDescent="0.25">
      <c r="A178" s="12">
        <v>5.5000000000000014E-3</v>
      </c>
      <c r="B178" s="13">
        <v>5.1999999999999998E-2</v>
      </c>
      <c r="C178" s="5">
        <f t="shared" si="13"/>
        <v>1.0000000000000009E-3</v>
      </c>
      <c r="E178" s="6">
        <f t="shared" si="11"/>
        <v>5.5000000000000014E-3</v>
      </c>
      <c r="F178" s="5">
        <f t="shared" si="12"/>
        <v>5.1999999999999998E-2</v>
      </c>
    </row>
    <row r="179" spans="1:6" x14ac:dyDescent="0.25">
      <c r="A179" s="10">
        <v>5.6000000000000008E-3</v>
      </c>
      <c r="B179" s="11">
        <v>5.2999999999999999E-2</v>
      </c>
      <c r="C179" s="5">
        <f t="shared" si="13"/>
        <v>1.0000000000000009E-3</v>
      </c>
      <c r="E179" s="6">
        <f t="shared" si="11"/>
        <v>5.6000000000000008E-3</v>
      </c>
      <c r="F179" s="5">
        <f t="shared" si="12"/>
        <v>5.2999999999999999E-2</v>
      </c>
    </row>
    <row r="180" spans="1:6" x14ac:dyDescent="0.25">
      <c r="A180" s="12">
        <v>5.6999999999999993E-3</v>
      </c>
      <c r="B180" s="13">
        <v>5.3666999999999999E-2</v>
      </c>
      <c r="C180" s="5">
        <f t="shared" si="13"/>
        <v>6.6700000000000093E-4</v>
      </c>
      <c r="E180" s="6">
        <f t="shared" si="11"/>
        <v>5.6999999999999993E-3</v>
      </c>
      <c r="F180" s="5">
        <f t="shared" si="12"/>
        <v>5.3666999999999999E-2</v>
      </c>
    </row>
    <row r="181" spans="1:6" x14ac:dyDescent="0.25">
      <c r="A181" s="14">
        <v>5.7999999999999996E-3</v>
      </c>
      <c r="B181" s="15">
        <v>5.4332999999999999E-2</v>
      </c>
      <c r="C181" s="5">
        <f t="shared" si="13"/>
        <v>6.6599999999999993E-4</v>
      </c>
      <c r="E181" s="6">
        <f t="shared" si="11"/>
        <v>5.7999999999999996E-3</v>
      </c>
      <c r="F181" s="5">
        <f t="shared" si="12"/>
        <v>5.4332999999999999E-2</v>
      </c>
    </row>
    <row r="182" spans="1:6" x14ac:dyDescent="0.25">
      <c r="A182" s="10">
        <v>5.8999999999999999E-3</v>
      </c>
      <c r="B182" s="11">
        <v>5.5E-2</v>
      </c>
      <c r="C182" s="5">
        <f t="shared" si="13"/>
        <v>6.6700000000000093E-4</v>
      </c>
      <c r="E182" s="6">
        <f t="shared" si="11"/>
        <v>5.8999999999999999E-3</v>
      </c>
      <c r="F182" s="5">
        <f t="shared" si="12"/>
        <v>5.5E-2</v>
      </c>
    </row>
    <row r="183" spans="1:6" x14ac:dyDescent="0.25">
      <c r="A183" s="14">
        <v>6.0000000000000001E-3</v>
      </c>
      <c r="B183" s="15">
        <v>5.5999999999999987E-2</v>
      </c>
      <c r="C183" s="5">
        <f t="shared" si="13"/>
        <v>9.9999999999998701E-4</v>
      </c>
      <c r="E183" s="6">
        <f t="shared" si="11"/>
        <v>6.0000000000000001E-3</v>
      </c>
      <c r="F183" s="5">
        <f t="shared" si="12"/>
        <v>5.5999999999999987E-2</v>
      </c>
    </row>
    <row r="184" spans="1:6" x14ac:dyDescent="0.25">
      <c r="A184" s="12">
        <v>6.1000000000000004E-3</v>
      </c>
      <c r="B184" s="13">
        <v>5.7000000000000002E-2</v>
      </c>
      <c r="C184" s="5">
        <f t="shared" si="13"/>
        <v>1.0000000000000148E-3</v>
      </c>
      <c r="E184" s="6">
        <f t="shared" si="11"/>
        <v>6.1000000000000004E-3</v>
      </c>
      <c r="F184" s="5">
        <f t="shared" si="12"/>
        <v>5.7000000000000002E-2</v>
      </c>
    </row>
    <row r="185" spans="1:6" x14ac:dyDescent="0.25">
      <c r="A185" s="10">
        <v>6.1999999999999998E-3</v>
      </c>
      <c r="B185" s="11">
        <v>5.8000000000000003E-2</v>
      </c>
      <c r="C185" s="5">
        <f t="shared" si="13"/>
        <v>1.0000000000000009E-3</v>
      </c>
      <c r="E185" s="6">
        <f t="shared" si="11"/>
        <v>6.1999999999999998E-3</v>
      </c>
      <c r="F185" s="5">
        <f t="shared" si="12"/>
        <v>5.8000000000000003E-2</v>
      </c>
    </row>
    <row r="186" spans="1:6" x14ac:dyDescent="0.25">
      <c r="A186" s="12">
        <v>6.3E-3</v>
      </c>
      <c r="B186" s="13">
        <v>5.8999999999999997E-2</v>
      </c>
      <c r="C186" s="5">
        <f t="shared" si="13"/>
        <v>9.9999999999999395E-4</v>
      </c>
      <c r="E186" s="6">
        <f t="shared" si="11"/>
        <v>6.3E-3</v>
      </c>
      <c r="F186" s="5">
        <f t="shared" si="12"/>
        <v>5.8999999999999997E-2</v>
      </c>
    </row>
    <row r="187" spans="1:6" x14ac:dyDescent="0.25">
      <c r="A187" s="14">
        <v>6.4000000000000003E-3</v>
      </c>
      <c r="B187" s="15">
        <v>0.06</v>
      </c>
      <c r="C187" s="5">
        <f t="shared" si="13"/>
        <v>1.0000000000000009E-3</v>
      </c>
      <c r="E187" s="6">
        <f t="shared" si="11"/>
        <v>6.4000000000000003E-3</v>
      </c>
      <c r="F187" s="5">
        <f t="shared" si="12"/>
        <v>0.06</v>
      </c>
    </row>
    <row r="188" spans="1:6" x14ac:dyDescent="0.25">
      <c r="A188" s="10">
        <v>6.5000000000000006E-3</v>
      </c>
      <c r="B188" s="11">
        <v>6.0999999999999999E-2</v>
      </c>
      <c r="C188" s="5">
        <f t="shared" si="13"/>
        <v>1.0000000000000009E-3</v>
      </c>
      <c r="E188" s="6">
        <f t="shared" si="11"/>
        <v>6.5000000000000006E-3</v>
      </c>
      <c r="F188" s="5">
        <f t="shared" si="12"/>
        <v>6.0999999999999999E-2</v>
      </c>
    </row>
    <row r="189" spans="1:6" x14ac:dyDescent="0.25">
      <c r="A189" s="14">
        <v>6.6E-3</v>
      </c>
      <c r="B189" s="15">
        <v>6.2E-2</v>
      </c>
      <c r="C189" s="5">
        <f t="shared" si="13"/>
        <v>1.0000000000000009E-3</v>
      </c>
      <c r="E189" s="6">
        <f t="shared" si="11"/>
        <v>6.6E-3</v>
      </c>
      <c r="F189" s="5">
        <f t="shared" si="12"/>
        <v>6.2E-2</v>
      </c>
    </row>
    <row r="190" spans="1:6" x14ac:dyDescent="0.25">
      <c r="A190" s="12">
        <v>6.7000000000000002E-3</v>
      </c>
      <c r="B190" s="13">
        <v>6.3E-2</v>
      </c>
      <c r="C190" s="5">
        <f t="shared" si="13"/>
        <v>1.0000000000000009E-3</v>
      </c>
      <c r="E190" s="6">
        <f t="shared" si="11"/>
        <v>6.7000000000000002E-3</v>
      </c>
      <c r="F190" s="5">
        <f t="shared" si="12"/>
        <v>6.3E-2</v>
      </c>
    </row>
    <row r="191" spans="1:6" x14ac:dyDescent="0.25">
      <c r="A191" s="10">
        <v>6.7999999999999996E-3</v>
      </c>
      <c r="B191" s="11">
        <v>6.4000000000000001E-2</v>
      </c>
      <c r="C191" s="5">
        <f t="shared" si="13"/>
        <v>1.0000000000000009E-3</v>
      </c>
      <c r="E191" s="6">
        <f t="shared" si="11"/>
        <v>6.7999999999999996E-3</v>
      </c>
      <c r="F191" s="5">
        <f t="shared" si="12"/>
        <v>6.4000000000000001E-2</v>
      </c>
    </row>
    <row r="192" spans="1:6" x14ac:dyDescent="0.25">
      <c r="A192" s="12">
        <v>6.8999999999999999E-3</v>
      </c>
      <c r="B192" s="13">
        <v>6.4667000000000002E-2</v>
      </c>
      <c r="C192" s="5">
        <f t="shared" si="13"/>
        <v>6.6700000000000093E-4</v>
      </c>
      <c r="E192" s="6">
        <f t="shared" si="11"/>
        <v>6.8999999999999999E-3</v>
      </c>
      <c r="F192" s="5">
        <f t="shared" si="12"/>
        <v>6.4667000000000002E-2</v>
      </c>
    </row>
    <row r="193" spans="1:6" x14ac:dyDescent="0.25">
      <c r="A193" s="14">
        <v>6.9999999999999993E-3</v>
      </c>
      <c r="B193" s="15">
        <v>6.5333000000000002E-2</v>
      </c>
      <c r="C193" s="5">
        <f t="shared" si="13"/>
        <v>6.6599999999999993E-4</v>
      </c>
      <c r="E193" s="6">
        <f t="shared" si="11"/>
        <v>6.9999999999999993E-3</v>
      </c>
      <c r="F193" s="5">
        <f t="shared" si="12"/>
        <v>6.5333000000000002E-2</v>
      </c>
    </row>
    <row r="194" spans="1:6" x14ac:dyDescent="0.25">
      <c r="A194" s="10">
        <v>7.1000000000000004E-3</v>
      </c>
      <c r="B194" s="11">
        <v>6.6000000000000003E-2</v>
      </c>
      <c r="C194" s="5">
        <f t="shared" si="13"/>
        <v>6.6700000000000093E-4</v>
      </c>
      <c r="E194" s="6">
        <f t="shared" ref="E194:E257" si="14">A194</f>
        <v>7.1000000000000004E-3</v>
      </c>
      <c r="F194" s="5">
        <f t="shared" ref="F194:F257" si="15">B194</f>
        <v>6.6000000000000003E-2</v>
      </c>
    </row>
    <row r="195" spans="1:6" x14ac:dyDescent="0.25">
      <c r="A195" s="14">
        <v>7.1999999999999998E-3</v>
      </c>
      <c r="B195" s="15">
        <v>6.7000000000000004E-2</v>
      </c>
      <c r="C195" s="5">
        <f t="shared" ref="C195:C258" si="16">B195-B194</f>
        <v>1.0000000000000009E-3</v>
      </c>
      <c r="E195" s="6">
        <f t="shared" si="14"/>
        <v>7.1999999999999998E-3</v>
      </c>
      <c r="F195" s="5">
        <f t="shared" si="15"/>
        <v>6.7000000000000004E-2</v>
      </c>
    </row>
    <row r="196" spans="1:6" x14ac:dyDescent="0.25">
      <c r="A196" s="12">
        <v>7.3000000000000001E-3</v>
      </c>
      <c r="B196" s="13">
        <v>6.8000000000000005E-2</v>
      </c>
      <c r="C196" s="5">
        <f t="shared" si="16"/>
        <v>1.0000000000000009E-3</v>
      </c>
      <c r="E196" s="6">
        <f t="shared" si="14"/>
        <v>7.3000000000000001E-3</v>
      </c>
      <c r="F196" s="5">
        <f t="shared" si="15"/>
        <v>6.8000000000000005E-2</v>
      </c>
    </row>
    <row r="197" spans="1:6" x14ac:dyDescent="0.25">
      <c r="A197" s="10">
        <v>7.4000000000000003E-3</v>
      </c>
      <c r="B197" s="11">
        <v>6.9000000000000006E-2</v>
      </c>
      <c r="C197" s="5">
        <f t="shared" si="16"/>
        <v>1.0000000000000009E-3</v>
      </c>
      <c r="E197" s="6">
        <f t="shared" si="14"/>
        <v>7.4000000000000003E-3</v>
      </c>
      <c r="F197" s="5">
        <f t="shared" si="15"/>
        <v>6.9000000000000006E-2</v>
      </c>
    </row>
    <row r="198" spans="1:6" x14ac:dyDescent="0.25">
      <c r="A198" s="12">
        <v>7.4999999999999997E-3</v>
      </c>
      <c r="B198" s="13">
        <v>7.0000000000000007E-2</v>
      </c>
      <c r="C198" s="5">
        <f t="shared" si="16"/>
        <v>1.0000000000000009E-3</v>
      </c>
      <c r="E198" s="6">
        <f t="shared" si="14"/>
        <v>7.4999999999999997E-3</v>
      </c>
      <c r="F198" s="5">
        <f t="shared" si="15"/>
        <v>7.0000000000000007E-2</v>
      </c>
    </row>
    <row r="199" spans="1:6" x14ac:dyDescent="0.25">
      <c r="A199" s="14">
        <v>7.6E-3</v>
      </c>
      <c r="B199" s="15">
        <v>7.0999999999999994E-2</v>
      </c>
      <c r="C199" s="5">
        <f t="shared" si="16"/>
        <v>9.9999999999998701E-4</v>
      </c>
      <c r="E199" s="6">
        <f t="shared" si="14"/>
        <v>7.6E-3</v>
      </c>
      <c r="F199" s="5">
        <f t="shared" si="15"/>
        <v>7.0999999999999994E-2</v>
      </c>
    </row>
    <row r="200" spans="1:6" x14ac:dyDescent="0.25">
      <c r="A200" s="10">
        <v>7.7000000000000002E-3</v>
      </c>
      <c r="B200" s="11">
        <v>7.2000000000000008E-2</v>
      </c>
      <c r="C200" s="5">
        <f t="shared" si="16"/>
        <v>1.0000000000000148E-3</v>
      </c>
      <c r="E200" s="6">
        <f t="shared" si="14"/>
        <v>7.7000000000000002E-3</v>
      </c>
      <c r="F200" s="5">
        <f t="shared" si="15"/>
        <v>7.2000000000000008E-2</v>
      </c>
    </row>
    <row r="201" spans="1:6" x14ac:dyDescent="0.25">
      <c r="A201" s="14">
        <v>7.8000000000000014E-3</v>
      </c>
      <c r="B201" s="15">
        <v>7.2999999999999995E-2</v>
      </c>
      <c r="C201" s="5">
        <f t="shared" si="16"/>
        <v>9.9999999999998701E-4</v>
      </c>
      <c r="E201" s="6">
        <v>7.7999999999999996E-3</v>
      </c>
      <c r="F201" s="5">
        <f t="shared" si="15"/>
        <v>7.2999999999999995E-2</v>
      </c>
    </row>
    <row r="202" spans="1:6" x14ac:dyDescent="0.25">
      <c r="A202" s="12">
        <v>7.9000000000000008E-3</v>
      </c>
      <c r="B202" s="13">
        <v>7.400000000000001E-2</v>
      </c>
      <c r="C202" s="5">
        <f t="shared" si="16"/>
        <v>1.0000000000000148E-3</v>
      </c>
      <c r="E202" s="6">
        <f t="shared" si="14"/>
        <v>7.9000000000000008E-3</v>
      </c>
      <c r="F202" s="5">
        <f t="shared" si="15"/>
        <v>7.400000000000001E-2</v>
      </c>
    </row>
    <row r="203" spans="1:6" x14ac:dyDescent="0.25">
      <c r="A203" s="10">
        <v>8.0000000000000002E-3</v>
      </c>
      <c r="B203" s="11">
        <v>7.4999999999999997E-2</v>
      </c>
      <c r="C203" s="5">
        <f t="shared" si="16"/>
        <v>9.9999999999998701E-4</v>
      </c>
      <c r="E203" s="6">
        <f t="shared" si="14"/>
        <v>8.0000000000000002E-3</v>
      </c>
      <c r="F203" s="5">
        <f t="shared" si="15"/>
        <v>7.4999999999999997E-2</v>
      </c>
    </row>
    <row r="204" spans="1:6" x14ac:dyDescent="0.25">
      <c r="A204" s="12">
        <v>8.1000000000000013E-3</v>
      </c>
      <c r="B204" s="13">
        <v>7.5666999999999998E-2</v>
      </c>
      <c r="C204" s="5">
        <f t="shared" si="16"/>
        <v>6.6700000000000093E-4</v>
      </c>
      <c r="E204" s="6">
        <f t="shared" si="14"/>
        <v>8.1000000000000013E-3</v>
      </c>
      <c r="F204" s="5">
        <f t="shared" si="15"/>
        <v>7.5666999999999998E-2</v>
      </c>
    </row>
    <row r="205" spans="1:6" x14ac:dyDescent="0.25">
      <c r="A205" s="14">
        <v>8.199999999999999E-3</v>
      </c>
      <c r="B205" s="15">
        <v>7.6332999999999998E-2</v>
      </c>
      <c r="C205" s="5">
        <f t="shared" si="16"/>
        <v>6.6599999999999993E-4</v>
      </c>
      <c r="E205" s="6">
        <f t="shared" si="14"/>
        <v>8.199999999999999E-3</v>
      </c>
      <c r="F205" s="5">
        <f t="shared" si="15"/>
        <v>7.6332999999999998E-2</v>
      </c>
    </row>
    <row r="206" spans="1:6" x14ac:dyDescent="0.25">
      <c r="A206" s="10">
        <v>8.3000000000000001E-3</v>
      </c>
      <c r="B206" s="11">
        <v>7.6999999999999999E-2</v>
      </c>
      <c r="C206" s="5">
        <f t="shared" si="16"/>
        <v>6.6700000000000093E-4</v>
      </c>
      <c r="E206" s="6">
        <f t="shared" si="14"/>
        <v>8.3000000000000001E-3</v>
      </c>
      <c r="F206" s="5">
        <f t="shared" si="15"/>
        <v>7.6999999999999999E-2</v>
      </c>
    </row>
    <row r="207" spans="1:6" x14ac:dyDescent="0.25">
      <c r="A207" s="14">
        <v>8.3999999999999995E-3</v>
      </c>
      <c r="B207" s="15">
        <v>7.8E-2</v>
      </c>
      <c r="C207" s="5">
        <f t="shared" si="16"/>
        <v>1.0000000000000009E-3</v>
      </c>
      <c r="E207" s="6">
        <f t="shared" si="14"/>
        <v>8.3999999999999995E-3</v>
      </c>
      <c r="F207" s="5">
        <f t="shared" si="15"/>
        <v>7.8E-2</v>
      </c>
    </row>
    <row r="208" spans="1:6" x14ac:dyDescent="0.25">
      <c r="A208" s="12">
        <v>8.5000000000000006E-3</v>
      </c>
      <c r="B208" s="13">
        <v>7.9000000000000001E-2</v>
      </c>
      <c r="C208" s="5">
        <f t="shared" si="16"/>
        <v>1.0000000000000009E-3</v>
      </c>
      <c r="E208" s="6">
        <f t="shared" si="14"/>
        <v>8.5000000000000006E-3</v>
      </c>
      <c r="F208" s="5">
        <f t="shared" si="15"/>
        <v>7.9000000000000001E-2</v>
      </c>
    </row>
    <row r="209" spans="1:6" x14ac:dyDescent="0.25">
      <c r="A209" s="10">
        <v>8.6E-3</v>
      </c>
      <c r="B209" s="11">
        <v>0.08</v>
      </c>
      <c r="C209" s="5">
        <f t="shared" si="16"/>
        <v>1.0000000000000009E-3</v>
      </c>
      <c r="E209" s="6">
        <f t="shared" si="14"/>
        <v>8.6E-3</v>
      </c>
      <c r="F209" s="5">
        <f t="shared" si="15"/>
        <v>0.08</v>
      </c>
    </row>
    <row r="210" spans="1:6" x14ac:dyDescent="0.25">
      <c r="A210" s="12">
        <v>8.6999999999999994E-3</v>
      </c>
      <c r="B210" s="13">
        <v>8.1000000000000003E-2</v>
      </c>
      <c r="C210" s="5">
        <f t="shared" si="16"/>
        <v>1.0000000000000009E-3</v>
      </c>
      <c r="E210" s="6">
        <f t="shared" si="14"/>
        <v>8.6999999999999994E-3</v>
      </c>
      <c r="F210" s="5">
        <f t="shared" si="15"/>
        <v>8.1000000000000003E-2</v>
      </c>
    </row>
    <row r="211" spans="1:6" x14ac:dyDescent="0.25">
      <c r="A211" s="14">
        <v>8.8000000000000005E-3</v>
      </c>
      <c r="B211" s="15">
        <v>8.199999999999999E-2</v>
      </c>
      <c r="C211" s="5">
        <f t="shared" si="16"/>
        <v>9.9999999999998701E-4</v>
      </c>
      <c r="E211" s="6">
        <f t="shared" si="14"/>
        <v>8.8000000000000005E-3</v>
      </c>
      <c r="F211" s="5">
        <f t="shared" si="15"/>
        <v>8.199999999999999E-2</v>
      </c>
    </row>
    <row r="212" spans="1:6" x14ac:dyDescent="0.25">
      <c r="A212" s="10">
        <v>8.8999999999999999E-3</v>
      </c>
      <c r="B212" s="11">
        <v>8.3000000000000004E-2</v>
      </c>
      <c r="C212" s="5">
        <f t="shared" si="16"/>
        <v>1.0000000000000148E-3</v>
      </c>
      <c r="E212" s="6">
        <f t="shared" si="14"/>
        <v>8.8999999999999999E-3</v>
      </c>
      <c r="F212" s="5">
        <f t="shared" si="15"/>
        <v>8.3000000000000004E-2</v>
      </c>
    </row>
    <row r="213" spans="1:6" x14ac:dyDescent="0.25">
      <c r="A213" s="14">
        <v>9.0000000000000011E-3</v>
      </c>
      <c r="B213" s="15">
        <v>8.3666999999999991E-2</v>
      </c>
      <c r="C213" s="5">
        <f t="shared" si="16"/>
        <v>6.6699999999998705E-4</v>
      </c>
      <c r="E213" s="6">
        <f t="shared" si="14"/>
        <v>9.0000000000000011E-3</v>
      </c>
      <c r="F213" s="5">
        <f t="shared" si="15"/>
        <v>8.3666999999999991E-2</v>
      </c>
    </row>
    <row r="214" spans="1:6" x14ac:dyDescent="0.25">
      <c r="A214" s="12">
        <v>9.1000000000000004E-3</v>
      </c>
      <c r="B214" s="13">
        <v>8.4332999999999991E-2</v>
      </c>
      <c r="C214" s="5">
        <f t="shared" si="16"/>
        <v>6.6599999999999993E-4</v>
      </c>
      <c r="E214" s="6">
        <f t="shared" si="14"/>
        <v>9.1000000000000004E-3</v>
      </c>
      <c r="F214" s="5">
        <f t="shared" si="15"/>
        <v>8.4332999999999991E-2</v>
      </c>
    </row>
    <row r="215" spans="1:6" x14ac:dyDescent="0.25">
      <c r="A215" s="10">
        <v>9.1999999999999998E-3</v>
      </c>
      <c r="B215" s="11">
        <v>8.5000000000000006E-2</v>
      </c>
      <c r="C215" s="5">
        <f t="shared" si="16"/>
        <v>6.670000000000148E-4</v>
      </c>
      <c r="E215" s="6">
        <f t="shared" si="14"/>
        <v>9.1999999999999998E-3</v>
      </c>
      <c r="F215" s="5">
        <f t="shared" si="15"/>
        <v>8.5000000000000006E-2</v>
      </c>
    </row>
    <row r="216" spans="1:6" x14ac:dyDescent="0.25">
      <c r="A216" s="12">
        <v>9.300000000000001E-3</v>
      </c>
      <c r="B216" s="13">
        <v>8.5999999999999993E-2</v>
      </c>
      <c r="C216" s="5">
        <f t="shared" si="16"/>
        <v>9.9999999999998701E-4</v>
      </c>
      <c r="E216" s="6">
        <v>9.2999999999999992E-3</v>
      </c>
      <c r="F216" s="5">
        <f t="shared" si="15"/>
        <v>8.5999999999999993E-2</v>
      </c>
    </row>
    <row r="217" spans="1:6" x14ac:dyDescent="0.25">
      <c r="A217" s="14">
        <v>9.3999999999999986E-3</v>
      </c>
      <c r="B217" s="15">
        <v>8.6999999999999994E-2</v>
      </c>
      <c r="C217" s="5">
        <f t="shared" si="16"/>
        <v>1.0000000000000009E-3</v>
      </c>
      <c r="E217" s="6">
        <f t="shared" si="14"/>
        <v>9.3999999999999986E-3</v>
      </c>
      <c r="F217" s="5">
        <f t="shared" si="15"/>
        <v>8.6999999999999994E-2</v>
      </c>
    </row>
    <row r="218" spans="1:6" x14ac:dyDescent="0.25">
      <c r="A218" s="10">
        <v>9.4999999999999998E-3</v>
      </c>
      <c r="B218" s="11">
        <v>8.8000000000000009E-2</v>
      </c>
      <c r="C218" s="5">
        <f t="shared" si="16"/>
        <v>1.0000000000000148E-3</v>
      </c>
      <c r="E218" s="6">
        <f t="shared" si="14"/>
        <v>9.4999999999999998E-3</v>
      </c>
      <c r="F218" s="5">
        <f t="shared" si="15"/>
        <v>8.8000000000000009E-2</v>
      </c>
    </row>
    <row r="219" spans="1:6" x14ac:dyDescent="0.25">
      <c r="A219" s="14">
        <v>9.5999999999999992E-3</v>
      </c>
      <c r="B219" s="15">
        <v>8.8666999999999996E-2</v>
      </c>
      <c r="C219" s="5">
        <f t="shared" si="16"/>
        <v>6.6699999999998705E-4</v>
      </c>
      <c r="E219" s="6">
        <f t="shared" si="14"/>
        <v>9.5999999999999992E-3</v>
      </c>
      <c r="F219" s="5">
        <f t="shared" si="15"/>
        <v>8.8666999999999996E-2</v>
      </c>
    </row>
    <row r="220" spans="1:6" x14ac:dyDescent="0.25">
      <c r="A220" s="12">
        <v>9.7000000000000003E-3</v>
      </c>
      <c r="B220" s="13">
        <v>8.9332999999999996E-2</v>
      </c>
      <c r="C220" s="5">
        <f t="shared" si="16"/>
        <v>6.6599999999999993E-4</v>
      </c>
      <c r="E220" s="6">
        <f t="shared" si="14"/>
        <v>9.7000000000000003E-3</v>
      </c>
      <c r="F220" s="5">
        <f t="shared" si="15"/>
        <v>8.9332999999999996E-2</v>
      </c>
    </row>
    <row r="221" spans="1:6" x14ac:dyDescent="0.25">
      <c r="A221" s="10">
        <v>9.7999999999999997E-3</v>
      </c>
      <c r="B221" s="11">
        <v>0.09</v>
      </c>
      <c r="C221" s="5">
        <f t="shared" si="16"/>
        <v>6.6700000000000093E-4</v>
      </c>
      <c r="E221" s="6">
        <f t="shared" si="14"/>
        <v>9.7999999999999997E-3</v>
      </c>
      <c r="F221" s="5">
        <f t="shared" si="15"/>
        <v>0.09</v>
      </c>
    </row>
    <row r="222" spans="1:6" x14ac:dyDescent="0.25">
      <c r="A222" s="12">
        <v>9.8999999999999991E-3</v>
      </c>
      <c r="B222" s="13">
        <v>9.0749999999999997E-2</v>
      </c>
      <c r="C222" s="5">
        <f t="shared" si="16"/>
        <v>7.5000000000000067E-4</v>
      </c>
      <c r="E222" s="6">
        <f t="shared" si="14"/>
        <v>9.8999999999999991E-3</v>
      </c>
      <c r="F222" s="5">
        <f t="shared" si="15"/>
        <v>9.0749999999999997E-2</v>
      </c>
    </row>
    <row r="223" spans="1:6" x14ac:dyDescent="0.25">
      <c r="A223" s="14">
        <v>0.01</v>
      </c>
      <c r="B223" s="15">
        <v>9.1499999999999998E-2</v>
      </c>
      <c r="C223" s="5">
        <f t="shared" si="16"/>
        <v>7.5000000000000067E-4</v>
      </c>
      <c r="E223" s="6">
        <f t="shared" si="14"/>
        <v>0.01</v>
      </c>
      <c r="F223" s="5">
        <f t="shared" si="15"/>
        <v>9.1499999999999998E-2</v>
      </c>
    </row>
    <row r="224" spans="1:6" x14ac:dyDescent="0.25">
      <c r="A224" s="12">
        <v>1.01E-2</v>
      </c>
      <c r="B224" s="13">
        <v>9.2249999999999999E-2</v>
      </c>
      <c r="C224" s="5">
        <f t="shared" si="16"/>
        <v>7.5000000000000067E-4</v>
      </c>
      <c r="E224" s="6">
        <f t="shared" si="14"/>
        <v>1.01E-2</v>
      </c>
      <c r="F224" s="5">
        <f t="shared" si="15"/>
        <v>9.2249999999999999E-2</v>
      </c>
    </row>
    <row r="225" spans="1:6" x14ac:dyDescent="0.25">
      <c r="A225" s="10">
        <v>1.0200000000000001E-2</v>
      </c>
      <c r="B225" s="11">
        <v>9.3000000000000013E-2</v>
      </c>
      <c r="C225" s="5">
        <f t="shared" si="16"/>
        <v>7.5000000000001454E-4</v>
      </c>
      <c r="E225" s="6">
        <f t="shared" si="14"/>
        <v>1.0200000000000001E-2</v>
      </c>
      <c r="F225" s="5">
        <f t="shared" si="15"/>
        <v>9.3000000000000013E-2</v>
      </c>
    </row>
    <row r="226" spans="1:6" x14ac:dyDescent="0.25">
      <c r="A226" s="12">
        <v>1.03E-2</v>
      </c>
      <c r="B226" s="13">
        <v>9.4E-2</v>
      </c>
      <c r="C226" s="5">
        <f t="shared" si="16"/>
        <v>9.9999999999998701E-4</v>
      </c>
      <c r="E226" s="6">
        <f t="shared" si="14"/>
        <v>1.03E-2</v>
      </c>
      <c r="F226" s="5">
        <f t="shared" si="15"/>
        <v>9.4E-2</v>
      </c>
    </row>
    <row r="227" spans="1:6" x14ac:dyDescent="0.25">
      <c r="A227" s="14">
        <v>1.04E-2</v>
      </c>
      <c r="B227" s="15">
        <v>9.5000000000000001E-2</v>
      </c>
      <c r="C227" s="5">
        <f t="shared" si="16"/>
        <v>1.0000000000000009E-3</v>
      </c>
      <c r="E227" s="6">
        <f t="shared" si="14"/>
        <v>1.04E-2</v>
      </c>
      <c r="F227" s="5">
        <f t="shared" si="15"/>
        <v>9.5000000000000001E-2</v>
      </c>
    </row>
    <row r="228" spans="1:6" x14ac:dyDescent="0.25">
      <c r="A228" s="10">
        <v>1.0500000000000001E-2</v>
      </c>
      <c r="B228" s="11">
        <v>9.6000000000000002E-2</v>
      </c>
      <c r="C228" s="5">
        <f t="shared" si="16"/>
        <v>1.0000000000000009E-3</v>
      </c>
      <c r="E228" s="6">
        <f t="shared" si="14"/>
        <v>1.0500000000000001E-2</v>
      </c>
      <c r="F228" s="5">
        <f t="shared" si="15"/>
        <v>9.6000000000000002E-2</v>
      </c>
    </row>
    <row r="229" spans="1:6" x14ac:dyDescent="0.25">
      <c r="A229" s="14">
        <v>1.06E-2</v>
      </c>
      <c r="B229" s="15">
        <v>9.6667000000000003E-2</v>
      </c>
      <c r="C229" s="5">
        <f t="shared" si="16"/>
        <v>6.6700000000000093E-4</v>
      </c>
      <c r="E229" s="6">
        <f t="shared" si="14"/>
        <v>1.06E-2</v>
      </c>
      <c r="F229" s="5">
        <f t="shared" si="15"/>
        <v>9.6667000000000003E-2</v>
      </c>
    </row>
    <row r="230" spans="1:6" x14ac:dyDescent="0.25">
      <c r="A230" s="12">
        <v>1.0699999999999999E-2</v>
      </c>
      <c r="B230" s="13">
        <v>9.7333000000000003E-2</v>
      </c>
      <c r="C230" s="5">
        <f t="shared" si="16"/>
        <v>6.6599999999999993E-4</v>
      </c>
      <c r="E230" s="6">
        <f t="shared" si="14"/>
        <v>1.0699999999999999E-2</v>
      </c>
      <c r="F230" s="5">
        <f t="shared" si="15"/>
        <v>9.7333000000000003E-2</v>
      </c>
    </row>
    <row r="231" spans="1:6" x14ac:dyDescent="0.25">
      <c r="A231" s="10">
        <v>1.0800000000000001E-2</v>
      </c>
      <c r="B231" s="11">
        <v>9.8000000000000004E-2</v>
      </c>
      <c r="C231" s="5">
        <f t="shared" si="16"/>
        <v>6.6700000000000093E-4</v>
      </c>
      <c r="E231" s="6">
        <f t="shared" si="14"/>
        <v>1.0800000000000001E-2</v>
      </c>
      <c r="F231" s="5">
        <f t="shared" si="15"/>
        <v>9.8000000000000004E-2</v>
      </c>
    </row>
    <row r="232" spans="1:6" x14ac:dyDescent="0.25">
      <c r="A232" s="12">
        <v>1.09E-2</v>
      </c>
      <c r="B232" s="13">
        <v>9.9000000000000005E-2</v>
      </c>
      <c r="C232" s="5">
        <f t="shared" si="16"/>
        <v>1.0000000000000009E-3</v>
      </c>
      <c r="E232" s="6">
        <f t="shared" si="14"/>
        <v>1.09E-2</v>
      </c>
      <c r="F232" s="5">
        <f t="shared" si="15"/>
        <v>9.9000000000000005E-2</v>
      </c>
    </row>
    <row r="233" spans="1:6" x14ac:dyDescent="0.25">
      <c r="A233" s="14">
        <v>1.0999999999999999E-2</v>
      </c>
      <c r="B233" s="15">
        <v>0.1</v>
      </c>
      <c r="C233" s="5">
        <f t="shared" si="16"/>
        <v>1.0000000000000009E-3</v>
      </c>
      <c r="E233" s="6">
        <f t="shared" si="14"/>
        <v>1.0999999999999999E-2</v>
      </c>
      <c r="F233" s="5">
        <f t="shared" si="15"/>
        <v>0.1</v>
      </c>
    </row>
    <row r="234" spans="1:6" x14ac:dyDescent="0.25">
      <c r="A234" s="10">
        <v>1.11E-2</v>
      </c>
      <c r="B234" s="11">
        <v>0.10100000000000001</v>
      </c>
      <c r="C234" s="5">
        <f t="shared" si="16"/>
        <v>1.0000000000000009E-3</v>
      </c>
      <c r="E234" s="6">
        <f t="shared" si="14"/>
        <v>1.11E-2</v>
      </c>
      <c r="F234" s="5">
        <f t="shared" si="15"/>
        <v>0.10100000000000001</v>
      </c>
    </row>
    <row r="235" spans="1:6" x14ac:dyDescent="0.25">
      <c r="A235" s="14">
        <v>1.12E-2</v>
      </c>
      <c r="B235" s="15">
        <v>0.10166699999999999</v>
      </c>
      <c r="C235" s="5">
        <f t="shared" si="16"/>
        <v>6.6699999999998705E-4</v>
      </c>
      <c r="E235" s="6">
        <f t="shared" si="14"/>
        <v>1.12E-2</v>
      </c>
      <c r="F235" s="5">
        <f t="shared" si="15"/>
        <v>0.10166699999999999</v>
      </c>
    </row>
    <row r="236" spans="1:6" x14ac:dyDescent="0.25">
      <c r="A236" s="12">
        <v>1.1299999999999999E-2</v>
      </c>
      <c r="B236" s="13">
        <v>0.10233299999999999</v>
      </c>
      <c r="C236" s="5">
        <f t="shared" si="16"/>
        <v>6.6599999999999993E-4</v>
      </c>
      <c r="E236" s="6">
        <f t="shared" si="14"/>
        <v>1.1299999999999999E-2</v>
      </c>
      <c r="F236" s="5">
        <f t="shared" si="15"/>
        <v>0.10233299999999999</v>
      </c>
    </row>
    <row r="237" spans="1:6" x14ac:dyDescent="0.25">
      <c r="A237" s="10">
        <v>1.14E-2</v>
      </c>
      <c r="B237" s="11">
        <v>0.10299999999999999</v>
      </c>
      <c r="C237" s="5">
        <f t="shared" si="16"/>
        <v>6.6700000000000093E-4</v>
      </c>
      <c r="E237" s="6">
        <f t="shared" si="14"/>
        <v>1.14E-2</v>
      </c>
      <c r="F237" s="5">
        <f t="shared" si="15"/>
        <v>0.10299999999999999</v>
      </c>
    </row>
    <row r="238" spans="1:6" x14ac:dyDescent="0.25">
      <c r="A238" s="12">
        <v>1.15E-2</v>
      </c>
      <c r="B238" s="13">
        <v>0.104</v>
      </c>
      <c r="C238" s="5">
        <f t="shared" si="16"/>
        <v>1.0000000000000009E-3</v>
      </c>
      <c r="E238" s="6">
        <f t="shared" si="14"/>
        <v>1.15E-2</v>
      </c>
      <c r="F238" s="5">
        <f t="shared" si="15"/>
        <v>0.104</v>
      </c>
    </row>
    <row r="239" spans="1:6" x14ac:dyDescent="0.25">
      <c r="A239" s="14">
        <v>1.1599999999999999E-2</v>
      </c>
      <c r="B239" s="15">
        <v>0.105</v>
      </c>
      <c r="C239" s="5">
        <f t="shared" si="16"/>
        <v>1.0000000000000009E-3</v>
      </c>
      <c r="E239" s="6">
        <f t="shared" si="14"/>
        <v>1.1599999999999999E-2</v>
      </c>
      <c r="F239" s="5">
        <f t="shared" si="15"/>
        <v>0.105</v>
      </c>
    </row>
    <row r="240" spans="1:6" x14ac:dyDescent="0.25">
      <c r="A240" s="10">
        <v>1.17E-2</v>
      </c>
      <c r="B240" s="11">
        <v>0.106</v>
      </c>
      <c r="C240" s="5">
        <f t="shared" si="16"/>
        <v>1.0000000000000009E-3</v>
      </c>
      <c r="E240" s="6">
        <f t="shared" si="14"/>
        <v>1.17E-2</v>
      </c>
      <c r="F240" s="5">
        <f t="shared" si="15"/>
        <v>0.106</v>
      </c>
    </row>
    <row r="241" spans="1:6" x14ac:dyDescent="0.25">
      <c r="A241" s="14">
        <v>1.18E-2</v>
      </c>
      <c r="B241" s="15">
        <v>0.10675</v>
      </c>
      <c r="C241" s="5">
        <f t="shared" si="16"/>
        <v>7.5000000000000067E-4</v>
      </c>
      <c r="E241" s="6">
        <f t="shared" si="14"/>
        <v>1.18E-2</v>
      </c>
      <c r="F241" s="5">
        <f t="shared" si="15"/>
        <v>0.10675</v>
      </c>
    </row>
    <row r="242" spans="1:6" x14ac:dyDescent="0.25">
      <c r="A242" s="12">
        <v>1.1900000000000001E-2</v>
      </c>
      <c r="B242" s="13">
        <v>0.1075</v>
      </c>
      <c r="C242" s="5">
        <f t="shared" si="16"/>
        <v>7.5000000000000067E-4</v>
      </c>
      <c r="E242" s="6">
        <f t="shared" si="14"/>
        <v>1.1900000000000001E-2</v>
      </c>
      <c r="F242" s="5">
        <f t="shared" si="15"/>
        <v>0.1075</v>
      </c>
    </row>
    <row r="243" spans="1:6" x14ac:dyDescent="0.25">
      <c r="A243" s="14">
        <v>1.2E-2</v>
      </c>
      <c r="B243" s="15">
        <v>0.10825</v>
      </c>
      <c r="C243" s="5">
        <f t="shared" si="16"/>
        <v>7.5000000000000067E-4</v>
      </c>
      <c r="E243" s="6">
        <f t="shared" si="14"/>
        <v>1.2E-2</v>
      </c>
      <c r="F243" s="5">
        <f t="shared" si="15"/>
        <v>0.10825</v>
      </c>
    </row>
    <row r="244" spans="1:6" x14ac:dyDescent="0.25">
      <c r="A244" s="10">
        <v>1.21E-2</v>
      </c>
      <c r="B244" s="11">
        <v>0.109</v>
      </c>
      <c r="C244" s="5">
        <f t="shared" si="16"/>
        <v>7.5000000000000067E-4</v>
      </c>
      <c r="E244" s="6">
        <f t="shared" si="14"/>
        <v>1.21E-2</v>
      </c>
      <c r="F244" s="5">
        <f t="shared" si="15"/>
        <v>0.109</v>
      </c>
    </row>
    <row r="245" spans="1:6" x14ac:dyDescent="0.25">
      <c r="A245" s="14">
        <v>1.2200000000000001E-2</v>
      </c>
      <c r="B245" s="15">
        <v>0.109667</v>
      </c>
      <c r="C245" s="5">
        <f t="shared" si="16"/>
        <v>6.6700000000000093E-4</v>
      </c>
      <c r="E245" s="6">
        <f t="shared" si="14"/>
        <v>1.2200000000000001E-2</v>
      </c>
      <c r="F245" s="5">
        <f t="shared" si="15"/>
        <v>0.109667</v>
      </c>
    </row>
    <row r="246" spans="1:6" x14ac:dyDescent="0.25">
      <c r="A246" s="12">
        <v>1.23E-2</v>
      </c>
      <c r="B246" s="13">
        <v>0.110333</v>
      </c>
      <c r="C246" s="5">
        <f t="shared" si="16"/>
        <v>6.6599999999999993E-4</v>
      </c>
      <c r="E246" s="6">
        <f t="shared" si="14"/>
        <v>1.23E-2</v>
      </c>
      <c r="F246" s="5">
        <f t="shared" si="15"/>
        <v>0.110333</v>
      </c>
    </row>
    <row r="247" spans="1:6" x14ac:dyDescent="0.25">
      <c r="A247" s="10">
        <v>1.24E-2</v>
      </c>
      <c r="B247" s="11">
        <v>0.111</v>
      </c>
      <c r="C247" s="5">
        <f t="shared" si="16"/>
        <v>6.6700000000000093E-4</v>
      </c>
      <c r="E247" s="6">
        <f t="shared" si="14"/>
        <v>1.24E-2</v>
      </c>
      <c r="F247" s="5">
        <f t="shared" si="15"/>
        <v>0.111</v>
      </c>
    </row>
    <row r="248" spans="1:6" x14ac:dyDescent="0.25">
      <c r="A248" s="12">
        <v>1.2500000000000001E-2</v>
      </c>
      <c r="B248" s="13">
        <v>0.112</v>
      </c>
      <c r="C248" s="5">
        <f t="shared" si="16"/>
        <v>1.0000000000000009E-3</v>
      </c>
      <c r="E248" s="6">
        <f t="shared" si="14"/>
        <v>1.2500000000000001E-2</v>
      </c>
      <c r="F248" s="5">
        <f t="shared" si="15"/>
        <v>0.112</v>
      </c>
    </row>
    <row r="249" spans="1:6" x14ac:dyDescent="0.25">
      <c r="A249" s="14">
        <v>1.26E-2</v>
      </c>
      <c r="B249" s="15">
        <v>0.113</v>
      </c>
      <c r="C249" s="5">
        <f t="shared" si="16"/>
        <v>1.0000000000000009E-3</v>
      </c>
      <c r="E249" s="6">
        <f t="shared" si="14"/>
        <v>1.26E-2</v>
      </c>
      <c r="F249" s="5">
        <f t="shared" si="15"/>
        <v>0.113</v>
      </c>
    </row>
    <row r="250" spans="1:6" x14ac:dyDescent="0.25">
      <c r="A250" s="10">
        <v>1.2699999999999999E-2</v>
      </c>
      <c r="B250" s="11">
        <v>0.114</v>
      </c>
      <c r="C250" s="5">
        <f t="shared" si="16"/>
        <v>1.0000000000000009E-3</v>
      </c>
      <c r="E250" s="6">
        <f t="shared" si="14"/>
        <v>1.2699999999999999E-2</v>
      </c>
      <c r="F250" s="5">
        <f t="shared" si="15"/>
        <v>0.114</v>
      </c>
    </row>
    <row r="251" spans="1:6" x14ac:dyDescent="0.25">
      <c r="A251" s="14">
        <v>1.2800000000000001E-2</v>
      </c>
      <c r="B251" s="15">
        <v>0.11466700000000001</v>
      </c>
      <c r="C251" s="5">
        <f t="shared" si="16"/>
        <v>6.6700000000000093E-4</v>
      </c>
      <c r="E251" s="6">
        <f t="shared" si="14"/>
        <v>1.2800000000000001E-2</v>
      </c>
      <c r="F251" s="5">
        <f t="shared" si="15"/>
        <v>0.11466700000000001</v>
      </c>
    </row>
    <row r="252" spans="1:6" x14ac:dyDescent="0.25">
      <c r="A252" s="12">
        <v>1.29E-2</v>
      </c>
      <c r="B252" s="13">
        <v>0.115333</v>
      </c>
      <c r="C252" s="5">
        <f t="shared" si="16"/>
        <v>6.6599999999999993E-4</v>
      </c>
      <c r="E252" s="6">
        <f t="shared" si="14"/>
        <v>1.29E-2</v>
      </c>
      <c r="F252" s="5">
        <f t="shared" si="15"/>
        <v>0.115333</v>
      </c>
    </row>
    <row r="253" spans="1:6" x14ac:dyDescent="0.25">
      <c r="A253" s="10">
        <v>1.2999999999999999E-2</v>
      </c>
      <c r="B253" s="11">
        <v>0.11600000000000001</v>
      </c>
      <c r="C253" s="5">
        <f t="shared" si="16"/>
        <v>6.6700000000000093E-4</v>
      </c>
      <c r="E253" s="6">
        <f t="shared" si="14"/>
        <v>1.2999999999999999E-2</v>
      </c>
      <c r="F253" s="5">
        <f t="shared" si="15"/>
        <v>0.11600000000000001</v>
      </c>
    </row>
    <row r="254" spans="1:6" x14ac:dyDescent="0.25">
      <c r="A254" s="12">
        <v>1.3100000000000001E-2</v>
      </c>
      <c r="B254" s="13">
        <v>0.11675000000000001</v>
      </c>
      <c r="C254" s="5">
        <f t="shared" si="16"/>
        <v>7.5000000000000067E-4</v>
      </c>
      <c r="E254" s="6">
        <f t="shared" si="14"/>
        <v>1.3100000000000001E-2</v>
      </c>
      <c r="F254" s="5">
        <f t="shared" si="15"/>
        <v>0.11675000000000001</v>
      </c>
    </row>
    <row r="255" spans="1:6" x14ac:dyDescent="0.25">
      <c r="A255" s="14">
        <v>1.32E-2</v>
      </c>
      <c r="B255" s="15">
        <v>0.11749999999999999</v>
      </c>
      <c r="C255" s="5">
        <f t="shared" si="16"/>
        <v>7.4999999999998679E-4</v>
      </c>
      <c r="E255" s="6">
        <f t="shared" si="14"/>
        <v>1.32E-2</v>
      </c>
      <c r="F255" s="5">
        <f t="shared" si="15"/>
        <v>0.11749999999999999</v>
      </c>
    </row>
    <row r="256" spans="1:6" x14ac:dyDescent="0.25">
      <c r="A256" s="12">
        <v>1.3299999999999999E-2</v>
      </c>
      <c r="B256" s="13">
        <v>0.11824999999999999</v>
      </c>
      <c r="C256" s="5">
        <f t="shared" si="16"/>
        <v>7.5000000000000067E-4</v>
      </c>
      <c r="E256" s="6">
        <f t="shared" si="14"/>
        <v>1.3299999999999999E-2</v>
      </c>
      <c r="F256" s="5">
        <f t="shared" si="15"/>
        <v>0.11824999999999999</v>
      </c>
    </row>
    <row r="257" spans="1:6" x14ac:dyDescent="0.25">
      <c r="A257" s="10">
        <v>1.34E-2</v>
      </c>
      <c r="B257" s="11">
        <v>0.11899999999999999</v>
      </c>
      <c r="C257" s="5">
        <f t="shared" si="16"/>
        <v>7.5000000000000067E-4</v>
      </c>
      <c r="E257" s="6">
        <f t="shared" si="14"/>
        <v>1.34E-2</v>
      </c>
      <c r="F257" s="5">
        <f t="shared" si="15"/>
        <v>0.11899999999999999</v>
      </c>
    </row>
    <row r="258" spans="1:6" x14ac:dyDescent="0.25">
      <c r="A258" s="12">
        <v>1.35E-2</v>
      </c>
      <c r="B258" s="13">
        <v>0.119667</v>
      </c>
      <c r="C258" s="5">
        <f t="shared" si="16"/>
        <v>6.6700000000000093E-4</v>
      </c>
      <c r="E258" s="6">
        <f t="shared" ref="E258:E321" si="17">A258</f>
        <v>1.35E-2</v>
      </c>
      <c r="F258" s="5">
        <f t="shared" ref="F258:F321" si="18">B258</f>
        <v>0.119667</v>
      </c>
    </row>
    <row r="259" spans="1:6" x14ac:dyDescent="0.25">
      <c r="A259" s="14">
        <v>1.3599999999999999E-2</v>
      </c>
      <c r="B259" s="15">
        <v>0.120333</v>
      </c>
      <c r="C259" s="5">
        <f t="shared" ref="C259:C322" si="19">B259-B258</f>
        <v>6.6599999999999993E-4</v>
      </c>
      <c r="E259" s="6">
        <f t="shared" si="17"/>
        <v>1.3599999999999999E-2</v>
      </c>
      <c r="F259" s="5">
        <f t="shared" si="18"/>
        <v>0.120333</v>
      </c>
    </row>
    <row r="260" spans="1:6" x14ac:dyDescent="0.25">
      <c r="A260" s="10">
        <v>1.37E-2</v>
      </c>
      <c r="B260" s="11">
        <v>0.121</v>
      </c>
      <c r="C260" s="5">
        <f t="shared" si="19"/>
        <v>6.6700000000000093E-4</v>
      </c>
      <c r="E260" s="6">
        <f t="shared" si="17"/>
        <v>1.37E-2</v>
      </c>
      <c r="F260" s="5">
        <f t="shared" si="18"/>
        <v>0.121</v>
      </c>
    </row>
    <row r="261" spans="1:6" x14ac:dyDescent="0.25">
      <c r="A261" s="14">
        <v>1.38E-2</v>
      </c>
      <c r="B261" s="15">
        <v>0.122</v>
      </c>
      <c r="C261" s="5">
        <f t="shared" si="19"/>
        <v>1.0000000000000009E-3</v>
      </c>
      <c r="E261" s="6">
        <f t="shared" si="17"/>
        <v>1.38E-2</v>
      </c>
      <c r="F261" s="5">
        <f t="shared" si="18"/>
        <v>0.122</v>
      </c>
    </row>
    <row r="262" spans="1:6" x14ac:dyDescent="0.25">
      <c r="A262" s="12">
        <v>1.3899999999999999E-2</v>
      </c>
      <c r="B262" s="13">
        <v>0.123</v>
      </c>
      <c r="C262" s="5">
        <f t="shared" si="19"/>
        <v>1.0000000000000009E-3</v>
      </c>
      <c r="E262" s="6">
        <f t="shared" si="17"/>
        <v>1.3899999999999999E-2</v>
      </c>
      <c r="F262" s="5">
        <f t="shared" si="18"/>
        <v>0.123</v>
      </c>
    </row>
    <row r="263" spans="1:6" x14ac:dyDescent="0.25">
      <c r="A263" s="10">
        <v>1.4E-2</v>
      </c>
      <c r="B263" s="11">
        <v>0.124</v>
      </c>
      <c r="C263" s="5">
        <f t="shared" si="19"/>
        <v>1.0000000000000009E-3</v>
      </c>
      <c r="E263" s="6">
        <f t="shared" si="17"/>
        <v>1.4E-2</v>
      </c>
      <c r="F263" s="5">
        <f t="shared" si="18"/>
        <v>0.124</v>
      </c>
    </row>
    <row r="264" spans="1:6" x14ac:dyDescent="0.25">
      <c r="A264" s="12">
        <v>1.41E-2</v>
      </c>
      <c r="B264" s="13">
        <v>0.124667</v>
      </c>
      <c r="C264" s="5">
        <f t="shared" si="19"/>
        <v>6.6700000000000093E-4</v>
      </c>
      <c r="E264" s="6">
        <f t="shared" si="17"/>
        <v>1.41E-2</v>
      </c>
      <c r="F264" s="5">
        <f t="shared" si="18"/>
        <v>0.124667</v>
      </c>
    </row>
    <row r="265" spans="1:6" x14ac:dyDescent="0.25">
      <c r="A265" s="14">
        <v>1.4200000000000001E-2</v>
      </c>
      <c r="B265" s="15">
        <v>0.125333</v>
      </c>
      <c r="C265" s="5">
        <f t="shared" si="19"/>
        <v>6.6599999999999993E-4</v>
      </c>
      <c r="E265" s="6">
        <f t="shared" si="17"/>
        <v>1.4200000000000001E-2</v>
      </c>
      <c r="F265" s="5">
        <f t="shared" si="18"/>
        <v>0.125333</v>
      </c>
    </row>
    <row r="266" spans="1:6" x14ac:dyDescent="0.25">
      <c r="A266" s="10">
        <v>1.43E-2</v>
      </c>
      <c r="B266" s="11">
        <v>0.126</v>
      </c>
      <c r="C266" s="5">
        <f t="shared" si="19"/>
        <v>6.6700000000000093E-4</v>
      </c>
      <c r="E266" s="6">
        <f t="shared" si="17"/>
        <v>1.43E-2</v>
      </c>
      <c r="F266" s="5">
        <f t="shared" si="18"/>
        <v>0.126</v>
      </c>
    </row>
    <row r="267" spans="1:6" x14ac:dyDescent="0.25">
      <c r="A267" s="14">
        <v>1.44E-2</v>
      </c>
      <c r="B267" s="15">
        <v>0.12675</v>
      </c>
      <c r="C267" s="5">
        <f t="shared" si="19"/>
        <v>7.5000000000000067E-4</v>
      </c>
      <c r="E267" s="6">
        <f t="shared" si="17"/>
        <v>1.44E-2</v>
      </c>
      <c r="F267" s="5">
        <f t="shared" si="18"/>
        <v>0.12675</v>
      </c>
    </row>
    <row r="268" spans="1:6" x14ac:dyDescent="0.25">
      <c r="A268" s="12">
        <v>1.4500000000000001E-2</v>
      </c>
      <c r="B268" s="13">
        <v>0.1275</v>
      </c>
      <c r="C268" s="5">
        <f t="shared" si="19"/>
        <v>7.5000000000000067E-4</v>
      </c>
      <c r="E268" s="6">
        <f t="shared" si="17"/>
        <v>1.4500000000000001E-2</v>
      </c>
      <c r="F268" s="5">
        <f t="shared" si="18"/>
        <v>0.1275</v>
      </c>
    </row>
    <row r="269" spans="1:6" x14ac:dyDescent="0.25">
      <c r="A269" s="14">
        <v>1.46E-2</v>
      </c>
      <c r="B269" s="15">
        <v>0.12825</v>
      </c>
      <c r="C269" s="5">
        <f t="shared" si="19"/>
        <v>7.5000000000000067E-4</v>
      </c>
      <c r="E269" s="6">
        <f t="shared" si="17"/>
        <v>1.46E-2</v>
      </c>
      <c r="F269" s="5">
        <f t="shared" si="18"/>
        <v>0.12825</v>
      </c>
    </row>
    <row r="270" spans="1:6" x14ac:dyDescent="0.25">
      <c r="A270" s="10">
        <v>1.47E-2</v>
      </c>
      <c r="B270" s="11">
        <v>0.129</v>
      </c>
      <c r="C270" s="5">
        <f t="shared" si="19"/>
        <v>7.5000000000000067E-4</v>
      </c>
      <c r="E270" s="6">
        <f t="shared" si="17"/>
        <v>1.47E-2</v>
      </c>
      <c r="F270" s="5">
        <f t="shared" si="18"/>
        <v>0.129</v>
      </c>
    </row>
    <row r="271" spans="1:6" x14ac:dyDescent="0.25">
      <c r="A271" s="14">
        <v>1.4800000000000001E-2</v>
      </c>
      <c r="B271" s="15">
        <v>0.129667</v>
      </c>
      <c r="C271" s="5">
        <f t="shared" si="19"/>
        <v>6.6700000000000093E-4</v>
      </c>
      <c r="E271" s="6">
        <f t="shared" si="17"/>
        <v>1.4800000000000001E-2</v>
      </c>
      <c r="F271" s="5">
        <f t="shared" si="18"/>
        <v>0.129667</v>
      </c>
    </row>
    <row r="272" spans="1:6" x14ac:dyDescent="0.25">
      <c r="A272" s="12">
        <v>1.49E-2</v>
      </c>
      <c r="B272" s="13">
        <v>0.130333</v>
      </c>
      <c r="C272" s="5">
        <f t="shared" si="19"/>
        <v>6.6599999999999993E-4</v>
      </c>
      <c r="E272" s="6">
        <f t="shared" si="17"/>
        <v>1.49E-2</v>
      </c>
      <c r="F272" s="5">
        <f t="shared" si="18"/>
        <v>0.130333</v>
      </c>
    </row>
    <row r="273" spans="1:6" x14ac:dyDescent="0.25">
      <c r="A273" s="10">
        <v>1.4999999999999999E-2</v>
      </c>
      <c r="B273" s="11">
        <v>0.13100000000000001</v>
      </c>
      <c r="C273" s="5">
        <f t="shared" si="19"/>
        <v>6.6700000000000093E-4</v>
      </c>
      <c r="E273" s="6">
        <f t="shared" si="17"/>
        <v>1.4999999999999999E-2</v>
      </c>
      <c r="F273" s="5">
        <f t="shared" si="18"/>
        <v>0.13100000000000001</v>
      </c>
    </row>
    <row r="274" spans="1:6" x14ac:dyDescent="0.25">
      <c r="A274" s="12">
        <v>1.5100000000000001E-2</v>
      </c>
      <c r="B274" s="13">
        <v>0.13200000000000001</v>
      </c>
      <c r="C274" s="5">
        <f t="shared" si="19"/>
        <v>1.0000000000000009E-3</v>
      </c>
      <c r="E274" s="6">
        <f t="shared" si="17"/>
        <v>1.5100000000000001E-2</v>
      </c>
      <c r="F274" s="5">
        <f t="shared" si="18"/>
        <v>0.13200000000000001</v>
      </c>
    </row>
    <row r="275" spans="1:6" x14ac:dyDescent="0.25">
      <c r="A275" s="14">
        <v>1.52E-2</v>
      </c>
      <c r="B275" s="15">
        <v>0.13300000000000001</v>
      </c>
      <c r="C275" s="5">
        <f t="shared" si="19"/>
        <v>1.0000000000000009E-3</v>
      </c>
      <c r="E275" s="6">
        <f t="shared" si="17"/>
        <v>1.52E-2</v>
      </c>
      <c r="F275" s="5">
        <f t="shared" si="18"/>
        <v>0.13300000000000001</v>
      </c>
    </row>
    <row r="276" spans="1:6" x14ac:dyDescent="0.25">
      <c r="A276" s="10">
        <v>1.5299999999999999E-2</v>
      </c>
      <c r="B276" s="11">
        <v>0.13400000000000001</v>
      </c>
      <c r="C276" s="5">
        <f t="shared" si="19"/>
        <v>1.0000000000000009E-3</v>
      </c>
      <c r="E276" s="6">
        <f t="shared" si="17"/>
        <v>1.5299999999999999E-2</v>
      </c>
      <c r="F276" s="5">
        <f t="shared" si="18"/>
        <v>0.13400000000000001</v>
      </c>
    </row>
    <row r="277" spans="1:6" x14ac:dyDescent="0.25">
      <c r="A277" s="14">
        <v>1.54E-2</v>
      </c>
      <c r="B277" s="15">
        <v>0.13450000000000001</v>
      </c>
      <c r="C277" s="5">
        <f t="shared" si="19"/>
        <v>5.0000000000000044E-4</v>
      </c>
      <c r="E277" s="6">
        <f t="shared" si="17"/>
        <v>1.54E-2</v>
      </c>
      <c r="F277" s="5">
        <f t="shared" si="18"/>
        <v>0.13450000000000001</v>
      </c>
    </row>
    <row r="278" spans="1:6" x14ac:dyDescent="0.25">
      <c r="A278" s="12">
        <v>1.55E-2</v>
      </c>
      <c r="B278" s="13">
        <v>0.13500000000000001</v>
      </c>
      <c r="C278" s="5">
        <f t="shared" si="19"/>
        <v>5.0000000000000044E-4</v>
      </c>
      <c r="E278" s="6">
        <f t="shared" si="17"/>
        <v>1.55E-2</v>
      </c>
      <c r="F278" s="5">
        <f t="shared" si="18"/>
        <v>0.13500000000000001</v>
      </c>
    </row>
    <row r="279" spans="1:6" x14ac:dyDescent="0.25">
      <c r="A279" s="14">
        <v>1.5599999999999999E-2</v>
      </c>
      <c r="B279" s="15">
        <v>0.13550000000000001</v>
      </c>
      <c r="C279" s="5">
        <f t="shared" si="19"/>
        <v>5.0000000000000044E-4</v>
      </c>
      <c r="E279" s="6">
        <f t="shared" si="17"/>
        <v>1.5599999999999999E-2</v>
      </c>
      <c r="F279" s="5">
        <f t="shared" si="18"/>
        <v>0.13550000000000001</v>
      </c>
    </row>
    <row r="280" spans="1:6" x14ac:dyDescent="0.25">
      <c r="A280" s="10">
        <v>1.5699999999999999E-2</v>
      </c>
      <c r="B280" s="11">
        <v>0.13600000000000001</v>
      </c>
      <c r="C280" s="5">
        <f t="shared" si="19"/>
        <v>5.0000000000000044E-4</v>
      </c>
      <c r="E280" s="6">
        <f t="shared" si="17"/>
        <v>1.5699999999999999E-2</v>
      </c>
      <c r="F280" s="5">
        <f t="shared" si="18"/>
        <v>0.13600000000000001</v>
      </c>
    </row>
    <row r="281" spans="1:6" x14ac:dyDescent="0.25">
      <c r="A281" s="14">
        <v>1.5800000000000002E-2</v>
      </c>
      <c r="B281" s="15">
        <v>0.13700000000000001</v>
      </c>
      <c r="C281" s="5">
        <f t="shared" si="19"/>
        <v>1.0000000000000009E-3</v>
      </c>
      <c r="E281" s="6">
        <f t="shared" si="17"/>
        <v>1.5800000000000002E-2</v>
      </c>
      <c r="F281" s="5">
        <f t="shared" si="18"/>
        <v>0.13700000000000001</v>
      </c>
    </row>
    <row r="282" spans="1:6" x14ac:dyDescent="0.25">
      <c r="A282" s="12">
        <v>1.5900000000000001E-2</v>
      </c>
      <c r="B282" s="13">
        <v>0.13800000000000001</v>
      </c>
      <c r="C282" s="5">
        <f t="shared" si="19"/>
        <v>1.0000000000000009E-3</v>
      </c>
      <c r="E282" s="6">
        <f t="shared" si="17"/>
        <v>1.5900000000000001E-2</v>
      </c>
      <c r="F282" s="5">
        <f t="shared" si="18"/>
        <v>0.13800000000000001</v>
      </c>
    </row>
    <row r="283" spans="1:6" x14ac:dyDescent="0.25">
      <c r="A283" s="10">
        <v>1.6E-2</v>
      </c>
      <c r="B283" s="11">
        <v>0.13900000000000001</v>
      </c>
      <c r="C283" s="5">
        <f t="shared" si="19"/>
        <v>1.0000000000000009E-3</v>
      </c>
      <c r="E283" s="6">
        <f t="shared" si="17"/>
        <v>1.6E-2</v>
      </c>
      <c r="F283" s="5">
        <f t="shared" si="18"/>
        <v>0.13900000000000001</v>
      </c>
    </row>
    <row r="284" spans="1:6" x14ac:dyDescent="0.25">
      <c r="A284" s="12">
        <v>1.61E-2</v>
      </c>
      <c r="B284" s="13">
        <v>0.13966700000000001</v>
      </c>
      <c r="C284" s="5">
        <f t="shared" si="19"/>
        <v>6.6700000000000093E-4</v>
      </c>
      <c r="E284" s="6">
        <f t="shared" si="17"/>
        <v>1.61E-2</v>
      </c>
      <c r="F284" s="5">
        <f t="shared" si="18"/>
        <v>0.13966700000000001</v>
      </c>
    </row>
    <row r="285" spans="1:6" x14ac:dyDescent="0.25">
      <c r="A285" s="14">
        <v>1.6199999999999999E-2</v>
      </c>
      <c r="B285" s="15">
        <v>0.14033300000000001</v>
      </c>
      <c r="C285" s="5">
        <f t="shared" si="19"/>
        <v>6.6599999999999993E-4</v>
      </c>
      <c r="E285" s="6">
        <f t="shared" si="17"/>
        <v>1.6199999999999999E-2</v>
      </c>
      <c r="F285" s="5">
        <f t="shared" si="18"/>
        <v>0.14033300000000001</v>
      </c>
    </row>
    <row r="286" spans="1:6" x14ac:dyDescent="0.25">
      <c r="A286" s="10">
        <v>1.6299999999999999E-2</v>
      </c>
      <c r="B286" s="11">
        <v>0.14099999999999999</v>
      </c>
      <c r="C286" s="5">
        <f t="shared" si="19"/>
        <v>6.6699999999997317E-4</v>
      </c>
      <c r="E286" s="6">
        <f t="shared" si="17"/>
        <v>1.6299999999999999E-2</v>
      </c>
      <c r="F286" s="5">
        <f t="shared" si="18"/>
        <v>0.14099999999999999</v>
      </c>
    </row>
    <row r="287" spans="1:6" x14ac:dyDescent="0.25">
      <c r="A287" s="14">
        <v>1.6400000000000001E-2</v>
      </c>
      <c r="B287" s="15">
        <v>0.14149999999999999</v>
      </c>
      <c r="C287" s="5">
        <f t="shared" si="19"/>
        <v>5.0000000000000044E-4</v>
      </c>
      <c r="E287" s="6">
        <f t="shared" si="17"/>
        <v>1.6400000000000001E-2</v>
      </c>
      <c r="F287" s="5">
        <f t="shared" si="18"/>
        <v>0.14149999999999999</v>
      </c>
    </row>
    <row r="288" spans="1:6" x14ac:dyDescent="0.25">
      <c r="A288" s="12">
        <v>1.6500000000000001E-2</v>
      </c>
      <c r="B288" s="13">
        <v>0.14199999999999999</v>
      </c>
      <c r="C288" s="5">
        <f t="shared" si="19"/>
        <v>5.0000000000000044E-4</v>
      </c>
      <c r="E288" s="6">
        <f t="shared" si="17"/>
        <v>1.6500000000000001E-2</v>
      </c>
      <c r="F288" s="5">
        <f t="shared" si="18"/>
        <v>0.14199999999999999</v>
      </c>
    </row>
    <row r="289" spans="1:6" x14ac:dyDescent="0.25">
      <c r="A289" s="14">
        <v>1.66E-2</v>
      </c>
      <c r="B289" s="15">
        <v>0.14249999999999999</v>
      </c>
      <c r="C289" s="5">
        <f t="shared" si="19"/>
        <v>5.0000000000000044E-4</v>
      </c>
      <c r="E289" s="6">
        <f t="shared" si="17"/>
        <v>1.66E-2</v>
      </c>
      <c r="F289" s="5">
        <f t="shared" si="18"/>
        <v>0.14249999999999999</v>
      </c>
    </row>
    <row r="290" spans="1:6" x14ac:dyDescent="0.25">
      <c r="A290" s="10">
        <v>1.67E-2</v>
      </c>
      <c r="B290" s="11">
        <v>0.14299999999999999</v>
      </c>
      <c r="C290" s="5">
        <f t="shared" si="19"/>
        <v>5.0000000000000044E-4</v>
      </c>
      <c r="E290" s="6">
        <f t="shared" si="17"/>
        <v>1.67E-2</v>
      </c>
      <c r="F290" s="5">
        <f t="shared" si="18"/>
        <v>0.14299999999999999</v>
      </c>
    </row>
    <row r="291" spans="1:6" x14ac:dyDescent="0.25">
      <c r="A291" s="14">
        <v>1.6799999999999999E-2</v>
      </c>
      <c r="B291" s="15">
        <v>0.14399999999999999</v>
      </c>
      <c r="C291" s="5">
        <f t="shared" si="19"/>
        <v>1.0000000000000009E-3</v>
      </c>
      <c r="E291" s="6">
        <f t="shared" si="17"/>
        <v>1.6799999999999999E-2</v>
      </c>
      <c r="F291" s="5">
        <f t="shared" si="18"/>
        <v>0.14399999999999999</v>
      </c>
    </row>
    <row r="292" spans="1:6" x14ac:dyDescent="0.25">
      <c r="A292" s="12">
        <v>1.6899999999999998E-2</v>
      </c>
      <c r="B292" s="13">
        <v>0.14499999999999999</v>
      </c>
      <c r="C292" s="5">
        <f t="shared" si="19"/>
        <v>1.0000000000000009E-3</v>
      </c>
      <c r="E292" s="6">
        <f t="shared" si="17"/>
        <v>1.6899999999999998E-2</v>
      </c>
      <c r="F292" s="5">
        <f t="shared" si="18"/>
        <v>0.14499999999999999</v>
      </c>
    </row>
    <row r="293" spans="1:6" x14ac:dyDescent="0.25">
      <c r="A293" s="10">
        <v>1.7000000000000001E-2</v>
      </c>
      <c r="B293" s="11">
        <v>0.14599999999999999</v>
      </c>
      <c r="C293" s="5">
        <f t="shared" si="19"/>
        <v>1.0000000000000009E-3</v>
      </c>
      <c r="E293" s="6">
        <f t="shared" si="17"/>
        <v>1.7000000000000001E-2</v>
      </c>
      <c r="F293" s="5">
        <f t="shared" si="18"/>
        <v>0.14599999999999999</v>
      </c>
    </row>
    <row r="294" spans="1:6" x14ac:dyDescent="0.25">
      <c r="A294" s="12">
        <v>1.7100000000000001E-2</v>
      </c>
      <c r="B294" s="13">
        <v>0.14649999999999999</v>
      </c>
      <c r="C294" s="5">
        <f t="shared" si="19"/>
        <v>5.0000000000000044E-4</v>
      </c>
      <c r="E294" s="6">
        <f t="shared" si="17"/>
        <v>1.7100000000000001E-2</v>
      </c>
      <c r="F294" s="5">
        <f t="shared" si="18"/>
        <v>0.14649999999999999</v>
      </c>
    </row>
    <row r="295" spans="1:6" x14ac:dyDescent="0.25">
      <c r="A295" s="14">
        <v>1.72E-2</v>
      </c>
      <c r="B295" s="15">
        <v>0.14699999999999999</v>
      </c>
      <c r="C295" s="5">
        <f t="shared" si="19"/>
        <v>5.0000000000000044E-4</v>
      </c>
      <c r="E295" s="6">
        <f t="shared" si="17"/>
        <v>1.72E-2</v>
      </c>
      <c r="F295" s="5">
        <f t="shared" si="18"/>
        <v>0.14699999999999999</v>
      </c>
    </row>
    <row r="296" spans="1:6" x14ac:dyDescent="0.25">
      <c r="A296" s="12">
        <v>1.7299999999999999E-2</v>
      </c>
      <c r="B296" s="13">
        <v>0.14749999999999999</v>
      </c>
      <c r="C296" s="5">
        <f t="shared" si="19"/>
        <v>5.0000000000000044E-4</v>
      </c>
      <c r="E296" s="6">
        <f t="shared" si="17"/>
        <v>1.7299999999999999E-2</v>
      </c>
      <c r="F296" s="5">
        <f t="shared" si="18"/>
        <v>0.14749999999999999</v>
      </c>
    </row>
    <row r="297" spans="1:6" x14ac:dyDescent="0.25">
      <c r="A297" s="10">
        <v>1.7399999999999999E-2</v>
      </c>
      <c r="B297" s="11">
        <v>0.14799999999999999</v>
      </c>
      <c r="C297" s="5">
        <f t="shared" si="19"/>
        <v>5.0000000000000044E-4</v>
      </c>
      <c r="E297" s="6">
        <f t="shared" si="17"/>
        <v>1.7399999999999999E-2</v>
      </c>
      <c r="F297" s="5">
        <f t="shared" si="18"/>
        <v>0.14799999999999999</v>
      </c>
    </row>
    <row r="298" spans="1:6" x14ac:dyDescent="0.25">
      <c r="A298" s="12">
        <v>1.7500000000000002E-2</v>
      </c>
      <c r="B298" s="13">
        <v>0.14899999999999999</v>
      </c>
      <c r="C298" s="5">
        <f t="shared" si="19"/>
        <v>1.0000000000000009E-3</v>
      </c>
      <c r="E298" s="6">
        <f t="shared" si="17"/>
        <v>1.7500000000000002E-2</v>
      </c>
      <c r="F298" s="5">
        <f t="shared" si="18"/>
        <v>0.14899999999999999</v>
      </c>
    </row>
    <row r="299" spans="1:6" x14ac:dyDescent="0.25">
      <c r="A299" s="14">
        <v>1.7600000000000001E-2</v>
      </c>
      <c r="B299" s="15">
        <v>0.15</v>
      </c>
      <c r="C299" s="5">
        <f t="shared" si="19"/>
        <v>1.0000000000000009E-3</v>
      </c>
      <c r="E299" s="6">
        <f t="shared" si="17"/>
        <v>1.7600000000000001E-2</v>
      </c>
      <c r="F299" s="5">
        <f t="shared" si="18"/>
        <v>0.15</v>
      </c>
    </row>
    <row r="300" spans="1:6" x14ac:dyDescent="0.25">
      <c r="A300" s="10">
        <v>1.77E-2</v>
      </c>
      <c r="B300" s="11">
        <v>0.151</v>
      </c>
      <c r="C300" s="5">
        <f t="shared" si="19"/>
        <v>1.0000000000000009E-3</v>
      </c>
      <c r="E300" s="6">
        <f t="shared" si="17"/>
        <v>1.77E-2</v>
      </c>
      <c r="F300" s="5">
        <f t="shared" si="18"/>
        <v>0.151</v>
      </c>
    </row>
    <row r="301" spans="1:6" x14ac:dyDescent="0.25">
      <c r="A301" s="14">
        <v>1.78E-2</v>
      </c>
      <c r="B301" s="15">
        <v>0.1515</v>
      </c>
      <c r="C301" s="5">
        <f t="shared" si="19"/>
        <v>5.0000000000000044E-4</v>
      </c>
      <c r="E301" s="6">
        <f t="shared" si="17"/>
        <v>1.78E-2</v>
      </c>
      <c r="F301" s="5">
        <f t="shared" si="18"/>
        <v>0.1515</v>
      </c>
    </row>
    <row r="302" spans="1:6" x14ac:dyDescent="0.25">
      <c r="A302" s="12">
        <v>1.7899999999999999E-2</v>
      </c>
      <c r="B302" s="13">
        <v>0.152</v>
      </c>
      <c r="C302" s="5">
        <f t="shared" si="19"/>
        <v>5.0000000000000044E-4</v>
      </c>
      <c r="E302" s="6">
        <f t="shared" si="17"/>
        <v>1.7899999999999999E-2</v>
      </c>
      <c r="F302" s="5">
        <f t="shared" si="18"/>
        <v>0.152</v>
      </c>
    </row>
    <row r="303" spans="1:6" x14ac:dyDescent="0.25">
      <c r="A303" s="14">
        <v>1.7999999999999999E-2</v>
      </c>
      <c r="B303" s="15">
        <v>0.1525</v>
      </c>
      <c r="C303" s="5">
        <f t="shared" si="19"/>
        <v>5.0000000000000044E-4</v>
      </c>
      <c r="E303" s="6">
        <f t="shared" si="17"/>
        <v>1.7999999999999999E-2</v>
      </c>
      <c r="F303" s="5">
        <f t="shared" si="18"/>
        <v>0.1525</v>
      </c>
    </row>
    <row r="304" spans="1:6" x14ac:dyDescent="0.25">
      <c r="A304" s="10">
        <v>1.8100000000000002E-2</v>
      </c>
      <c r="B304" s="11">
        <v>0.153</v>
      </c>
      <c r="C304" s="5">
        <f t="shared" si="19"/>
        <v>5.0000000000000044E-4</v>
      </c>
      <c r="E304" s="6">
        <f t="shared" si="17"/>
        <v>1.8100000000000002E-2</v>
      </c>
      <c r="F304" s="5">
        <f t="shared" si="18"/>
        <v>0.153</v>
      </c>
    </row>
    <row r="305" spans="1:6" x14ac:dyDescent="0.25">
      <c r="A305" s="14">
        <v>1.8200000000000001E-2</v>
      </c>
      <c r="B305" s="15">
        <v>0.154</v>
      </c>
      <c r="C305" s="5">
        <f t="shared" si="19"/>
        <v>1.0000000000000009E-3</v>
      </c>
      <c r="E305" s="6">
        <f t="shared" si="17"/>
        <v>1.8200000000000001E-2</v>
      </c>
      <c r="F305" s="5">
        <f t="shared" si="18"/>
        <v>0.154</v>
      </c>
    </row>
    <row r="306" spans="1:6" x14ac:dyDescent="0.25">
      <c r="A306" s="12">
        <v>1.83E-2</v>
      </c>
      <c r="B306" s="13">
        <v>0.155</v>
      </c>
      <c r="C306" s="5">
        <f t="shared" si="19"/>
        <v>1.0000000000000009E-3</v>
      </c>
      <c r="E306" s="6">
        <f t="shared" si="17"/>
        <v>1.83E-2</v>
      </c>
      <c r="F306" s="5">
        <f t="shared" si="18"/>
        <v>0.155</v>
      </c>
    </row>
    <row r="307" spans="1:6" x14ac:dyDescent="0.25">
      <c r="A307" s="10">
        <v>1.84E-2</v>
      </c>
      <c r="B307" s="11">
        <v>0.156</v>
      </c>
      <c r="C307" s="5">
        <f t="shared" si="19"/>
        <v>1.0000000000000009E-3</v>
      </c>
      <c r="E307" s="6">
        <f t="shared" si="17"/>
        <v>1.84E-2</v>
      </c>
      <c r="F307" s="5">
        <f t="shared" si="18"/>
        <v>0.156</v>
      </c>
    </row>
    <row r="308" spans="1:6" x14ac:dyDescent="0.25">
      <c r="A308" s="12">
        <v>1.8499999999999999E-2</v>
      </c>
      <c r="B308" s="13">
        <v>0.1565</v>
      </c>
      <c r="C308" s="5">
        <f t="shared" si="19"/>
        <v>5.0000000000000044E-4</v>
      </c>
      <c r="E308" s="6">
        <f t="shared" si="17"/>
        <v>1.8499999999999999E-2</v>
      </c>
      <c r="F308" s="5">
        <f t="shared" si="18"/>
        <v>0.1565</v>
      </c>
    </row>
    <row r="309" spans="1:6" x14ac:dyDescent="0.25">
      <c r="A309" s="14">
        <v>1.8599999999999998E-2</v>
      </c>
      <c r="B309" s="15">
        <v>0.157</v>
      </c>
      <c r="C309" s="5">
        <f t="shared" si="19"/>
        <v>5.0000000000000044E-4</v>
      </c>
      <c r="E309" s="6">
        <f t="shared" si="17"/>
        <v>1.8599999999999998E-2</v>
      </c>
      <c r="F309" s="5">
        <f t="shared" si="18"/>
        <v>0.157</v>
      </c>
    </row>
    <row r="310" spans="1:6" x14ac:dyDescent="0.25">
      <c r="A310" s="12">
        <v>1.8700000000000001E-2</v>
      </c>
      <c r="B310" s="13">
        <v>0.1575</v>
      </c>
      <c r="C310" s="5">
        <f t="shared" si="19"/>
        <v>5.0000000000000044E-4</v>
      </c>
      <c r="E310" s="6">
        <f t="shared" si="17"/>
        <v>1.8700000000000001E-2</v>
      </c>
      <c r="F310" s="5">
        <f t="shared" si="18"/>
        <v>0.1575</v>
      </c>
    </row>
    <row r="311" spans="1:6" x14ac:dyDescent="0.25">
      <c r="A311" s="10">
        <v>1.8800000000000001E-2</v>
      </c>
      <c r="B311" s="11">
        <v>0.158</v>
      </c>
      <c r="C311" s="5">
        <f t="shared" si="19"/>
        <v>5.0000000000000044E-4</v>
      </c>
      <c r="E311" s="6">
        <f t="shared" si="17"/>
        <v>1.8800000000000001E-2</v>
      </c>
      <c r="F311" s="5">
        <f t="shared" si="18"/>
        <v>0.158</v>
      </c>
    </row>
    <row r="312" spans="1:6" x14ac:dyDescent="0.25">
      <c r="A312" s="12">
        <v>1.89E-2</v>
      </c>
      <c r="B312" s="13">
        <v>0.158667</v>
      </c>
      <c r="C312" s="5">
        <f t="shared" si="19"/>
        <v>6.6700000000000093E-4</v>
      </c>
      <c r="E312" s="6">
        <f t="shared" si="17"/>
        <v>1.89E-2</v>
      </c>
      <c r="F312" s="5">
        <f t="shared" si="18"/>
        <v>0.158667</v>
      </c>
    </row>
    <row r="313" spans="1:6" x14ac:dyDescent="0.25">
      <c r="A313" s="14">
        <v>1.9E-2</v>
      </c>
      <c r="B313" s="15">
        <v>0.159333</v>
      </c>
      <c r="C313" s="5">
        <f t="shared" si="19"/>
        <v>6.6599999999999993E-4</v>
      </c>
      <c r="E313" s="6">
        <f t="shared" si="17"/>
        <v>1.9E-2</v>
      </c>
      <c r="F313" s="5">
        <f t="shared" si="18"/>
        <v>0.159333</v>
      </c>
    </row>
    <row r="314" spans="1:6" x14ac:dyDescent="0.25">
      <c r="A314" s="10">
        <v>1.9099999999999999E-2</v>
      </c>
      <c r="B314" s="11">
        <v>0.16</v>
      </c>
      <c r="C314" s="5">
        <f t="shared" si="19"/>
        <v>6.6700000000000093E-4</v>
      </c>
      <c r="E314" s="6">
        <f t="shared" si="17"/>
        <v>1.9099999999999999E-2</v>
      </c>
      <c r="F314" s="5">
        <f t="shared" si="18"/>
        <v>0.16</v>
      </c>
    </row>
    <row r="315" spans="1:6" x14ac:dyDescent="0.25">
      <c r="A315" s="14">
        <v>1.9199999999999998E-2</v>
      </c>
      <c r="B315" s="15">
        <v>0.16075</v>
      </c>
      <c r="C315" s="5">
        <f t="shared" si="19"/>
        <v>7.5000000000000067E-4</v>
      </c>
      <c r="E315" s="6">
        <f t="shared" si="17"/>
        <v>1.9199999999999998E-2</v>
      </c>
      <c r="F315" s="5">
        <f t="shared" si="18"/>
        <v>0.16075</v>
      </c>
    </row>
    <row r="316" spans="1:6" x14ac:dyDescent="0.25">
      <c r="A316" s="12">
        <v>1.9300000000000001E-2</v>
      </c>
      <c r="B316" s="13">
        <v>0.1615</v>
      </c>
      <c r="C316" s="5">
        <f t="shared" si="19"/>
        <v>7.5000000000000067E-4</v>
      </c>
      <c r="E316" s="6">
        <f t="shared" si="17"/>
        <v>1.9300000000000001E-2</v>
      </c>
      <c r="F316" s="5">
        <f t="shared" si="18"/>
        <v>0.1615</v>
      </c>
    </row>
    <row r="317" spans="1:6" x14ac:dyDescent="0.25">
      <c r="A317" s="14">
        <v>1.9400000000000001E-2</v>
      </c>
      <c r="B317" s="15">
        <v>0.16225000000000001</v>
      </c>
      <c r="C317" s="5">
        <f t="shared" si="19"/>
        <v>7.5000000000000067E-4</v>
      </c>
      <c r="E317" s="6">
        <f t="shared" si="17"/>
        <v>1.9400000000000001E-2</v>
      </c>
      <c r="F317" s="5">
        <f t="shared" si="18"/>
        <v>0.16225000000000001</v>
      </c>
    </row>
    <row r="318" spans="1:6" x14ac:dyDescent="0.25">
      <c r="A318" s="10">
        <v>1.95E-2</v>
      </c>
      <c r="B318" s="11">
        <v>0.16300000000000001</v>
      </c>
      <c r="C318" s="5">
        <f t="shared" si="19"/>
        <v>7.5000000000000067E-4</v>
      </c>
      <c r="E318" s="6">
        <f t="shared" si="17"/>
        <v>1.95E-2</v>
      </c>
      <c r="F318" s="5">
        <f t="shared" si="18"/>
        <v>0.16300000000000001</v>
      </c>
    </row>
    <row r="319" spans="1:6" x14ac:dyDescent="0.25">
      <c r="A319" s="14">
        <v>1.9599999999999999E-2</v>
      </c>
      <c r="B319" s="15">
        <v>0.16366700000000001</v>
      </c>
      <c r="C319" s="5">
        <f t="shared" si="19"/>
        <v>6.6700000000000093E-4</v>
      </c>
      <c r="E319" s="6">
        <f t="shared" si="17"/>
        <v>1.9599999999999999E-2</v>
      </c>
      <c r="F319" s="5">
        <f t="shared" si="18"/>
        <v>0.16366700000000001</v>
      </c>
    </row>
    <row r="320" spans="1:6" x14ac:dyDescent="0.25">
      <c r="A320" s="12">
        <v>1.9699999999999999E-2</v>
      </c>
      <c r="B320" s="13">
        <v>0.16433300000000001</v>
      </c>
      <c r="C320" s="5">
        <f t="shared" si="19"/>
        <v>6.6599999999999993E-4</v>
      </c>
      <c r="E320" s="6">
        <f t="shared" si="17"/>
        <v>1.9699999999999999E-2</v>
      </c>
      <c r="F320" s="5">
        <f t="shared" si="18"/>
        <v>0.16433300000000001</v>
      </c>
    </row>
    <row r="321" spans="1:6" x14ac:dyDescent="0.25">
      <c r="A321" s="10">
        <v>1.9800000000000002E-2</v>
      </c>
      <c r="B321" s="11">
        <v>0.16500000000000001</v>
      </c>
      <c r="C321" s="5">
        <f t="shared" si="19"/>
        <v>6.6700000000000093E-4</v>
      </c>
      <c r="E321" s="6">
        <f t="shared" si="17"/>
        <v>1.9800000000000002E-2</v>
      </c>
      <c r="F321" s="5">
        <f t="shared" si="18"/>
        <v>0.16500000000000001</v>
      </c>
    </row>
    <row r="322" spans="1:6" x14ac:dyDescent="0.25">
      <c r="A322" s="12">
        <v>1.9900000000000001E-2</v>
      </c>
      <c r="B322" s="13">
        <v>0.16575000000000001</v>
      </c>
      <c r="C322" s="5">
        <f t="shared" si="19"/>
        <v>7.5000000000000067E-4</v>
      </c>
      <c r="E322" s="6">
        <f t="shared" ref="E322:E385" si="20">A322</f>
        <v>1.9900000000000001E-2</v>
      </c>
      <c r="F322" s="5">
        <f t="shared" ref="F322:F385" si="21">B322</f>
        <v>0.16575000000000001</v>
      </c>
    </row>
    <row r="323" spans="1:6" x14ac:dyDescent="0.25">
      <c r="A323" s="14">
        <v>0.02</v>
      </c>
      <c r="B323" s="15">
        <v>0.16650000000000001</v>
      </c>
      <c r="C323" s="5">
        <f t="shared" ref="C323:C386" si="22">B323-B322</f>
        <v>7.5000000000000067E-4</v>
      </c>
      <c r="E323" s="6">
        <f t="shared" si="20"/>
        <v>0.02</v>
      </c>
      <c r="F323" s="5">
        <f t="shared" si="21"/>
        <v>0.16650000000000001</v>
      </c>
    </row>
    <row r="324" spans="1:6" x14ac:dyDescent="0.25">
      <c r="A324" s="12">
        <v>2.01E-2</v>
      </c>
      <c r="B324" s="13">
        <v>0.16725000000000001</v>
      </c>
      <c r="C324" s="5">
        <f t="shared" si="22"/>
        <v>7.5000000000000067E-4</v>
      </c>
      <c r="E324" s="6">
        <f t="shared" si="20"/>
        <v>2.01E-2</v>
      </c>
      <c r="F324" s="5">
        <f t="shared" si="21"/>
        <v>0.16725000000000001</v>
      </c>
    </row>
    <row r="325" spans="1:6" x14ac:dyDescent="0.25">
      <c r="A325" s="10">
        <v>2.0199999999999999E-2</v>
      </c>
      <c r="B325" s="11">
        <v>0.16800000000000001</v>
      </c>
      <c r="C325" s="5">
        <f t="shared" si="22"/>
        <v>7.5000000000000067E-4</v>
      </c>
      <c r="E325" s="6">
        <f t="shared" si="20"/>
        <v>2.0199999999999999E-2</v>
      </c>
      <c r="F325" s="5">
        <f t="shared" si="21"/>
        <v>0.16800000000000001</v>
      </c>
    </row>
    <row r="326" spans="1:6" x14ac:dyDescent="0.25">
      <c r="A326" s="12">
        <v>2.0299999999999999E-2</v>
      </c>
      <c r="B326" s="13">
        <v>0.16866700000000001</v>
      </c>
      <c r="C326" s="5">
        <f t="shared" si="22"/>
        <v>6.6700000000000093E-4</v>
      </c>
      <c r="E326" s="6">
        <f t="shared" si="20"/>
        <v>2.0299999999999999E-2</v>
      </c>
      <c r="F326" s="5">
        <f t="shared" si="21"/>
        <v>0.16866700000000001</v>
      </c>
    </row>
    <row r="327" spans="1:6" x14ac:dyDescent="0.25">
      <c r="A327" s="14">
        <v>2.0400000000000001E-2</v>
      </c>
      <c r="B327" s="15">
        <v>0.16933300000000001</v>
      </c>
      <c r="C327" s="5">
        <f t="shared" si="22"/>
        <v>6.6599999999999993E-4</v>
      </c>
      <c r="E327" s="6">
        <f t="shared" si="20"/>
        <v>2.0400000000000001E-2</v>
      </c>
      <c r="F327" s="5">
        <f t="shared" si="21"/>
        <v>0.16933300000000001</v>
      </c>
    </row>
    <row r="328" spans="1:6" x14ac:dyDescent="0.25">
      <c r="A328" s="10">
        <v>2.0500000000000001E-2</v>
      </c>
      <c r="B328" s="11">
        <v>0.17</v>
      </c>
      <c r="C328" s="5">
        <f t="shared" si="22"/>
        <v>6.6700000000000093E-4</v>
      </c>
      <c r="E328" s="6">
        <f t="shared" si="20"/>
        <v>2.0500000000000001E-2</v>
      </c>
      <c r="F328" s="5">
        <f t="shared" si="21"/>
        <v>0.17</v>
      </c>
    </row>
    <row r="329" spans="1:6" x14ac:dyDescent="0.25">
      <c r="A329" s="14">
        <v>2.06E-2</v>
      </c>
      <c r="B329" s="15">
        <v>0.17050000000000001</v>
      </c>
      <c r="C329" s="5">
        <f t="shared" si="22"/>
        <v>5.0000000000000044E-4</v>
      </c>
      <c r="E329" s="6">
        <f t="shared" si="20"/>
        <v>2.06E-2</v>
      </c>
      <c r="F329" s="5">
        <f t="shared" si="21"/>
        <v>0.17050000000000001</v>
      </c>
    </row>
    <row r="330" spans="1:6" x14ac:dyDescent="0.25">
      <c r="A330" s="12">
        <v>2.07E-2</v>
      </c>
      <c r="B330" s="13">
        <v>0.17100000000000001</v>
      </c>
      <c r="C330" s="5">
        <f t="shared" si="22"/>
        <v>5.0000000000000044E-4</v>
      </c>
      <c r="E330" s="6">
        <f t="shared" si="20"/>
        <v>2.07E-2</v>
      </c>
      <c r="F330" s="5">
        <f t="shared" si="21"/>
        <v>0.17100000000000001</v>
      </c>
    </row>
    <row r="331" spans="1:6" x14ac:dyDescent="0.25">
      <c r="A331" s="14">
        <v>2.0799999999999999E-2</v>
      </c>
      <c r="B331" s="15">
        <v>0.17150000000000001</v>
      </c>
      <c r="C331" s="5">
        <f t="shared" si="22"/>
        <v>5.0000000000000044E-4</v>
      </c>
      <c r="E331" s="6">
        <f t="shared" si="20"/>
        <v>2.0799999999999999E-2</v>
      </c>
      <c r="F331" s="5">
        <f t="shared" si="21"/>
        <v>0.17150000000000001</v>
      </c>
    </row>
    <row r="332" spans="1:6" x14ac:dyDescent="0.25">
      <c r="A332" s="10">
        <v>2.0899999999999998E-2</v>
      </c>
      <c r="B332" s="11">
        <v>0.17199999999999999</v>
      </c>
      <c r="C332" s="5">
        <f t="shared" si="22"/>
        <v>4.9999999999997269E-4</v>
      </c>
      <c r="E332" s="6">
        <f t="shared" si="20"/>
        <v>2.0899999999999998E-2</v>
      </c>
      <c r="F332" s="5">
        <f t="shared" si="21"/>
        <v>0.17199999999999999</v>
      </c>
    </row>
    <row r="333" spans="1:6" x14ac:dyDescent="0.25">
      <c r="A333" s="14">
        <v>2.1000000000000001E-2</v>
      </c>
      <c r="B333" s="15">
        <v>0.17299999999999999</v>
      </c>
      <c r="C333" s="5">
        <f t="shared" si="22"/>
        <v>1.0000000000000009E-3</v>
      </c>
      <c r="E333" s="6">
        <f t="shared" si="20"/>
        <v>2.1000000000000001E-2</v>
      </c>
      <c r="F333" s="5">
        <f t="shared" si="21"/>
        <v>0.17299999999999999</v>
      </c>
    </row>
    <row r="334" spans="1:6" x14ac:dyDescent="0.25">
      <c r="A334" s="12">
        <v>2.1100000000000001E-2</v>
      </c>
      <c r="B334" s="13">
        <v>0.17399999999999999</v>
      </c>
      <c r="C334" s="5">
        <f t="shared" si="22"/>
        <v>1.0000000000000009E-3</v>
      </c>
      <c r="E334" s="6">
        <f t="shared" si="20"/>
        <v>2.1100000000000001E-2</v>
      </c>
      <c r="F334" s="5">
        <f t="shared" si="21"/>
        <v>0.17399999999999999</v>
      </c>
    </row>
    <row r="335" spans="1:6" x14ac:dyDescent="0.25">
      <c r="A335" s="10">
        <v>2.12E-2</v>
      </c>
      <c r="B335" s="11">
        <v>0.17499999999999999</v>
      </c>
      <c r="C335" s="5">
        <f t="shared" si="22"/>
        <v>1.0000000000000009E-3</v>
      </c>
      <c r="E335" s="6">
        <f t="shared" si="20"/>
        <v>2.12E-2</v>
      </c>
      <c r="F335" s="5">
        <f t="shared" si="21"/>
        <v>0.17499999999999999</v>
      </c>
    </row>
    <row r="336" spans="1:6" x14ac:dyDescent="0.25">
      <c r="A336" s="12">
        <v>2.1299999999999999E-2</v>
      </c>
      <c r="B336" s="13">
        <v>0.17549999999999999</v>
      </c>
      <c r="C336" s="5">
        <f t="shared" si="22"/>
        <v>5.0000000000000044E-4</v>
      </c>
      <c r="E336" s="6">
        <f t="shared" si="20"/>
        <v>2.1299999999999999E-2</v>
      </c>
      <c r="F336" s="5">
        <f t="shared" si="21"/>
        <v>0.17549999999999999</v>
      </c>
    </row>
    <row r="337" spans="1:6" x14ac:dyDescent="0.25">
      <c r="A337" s="14">
        <v>2.1399999999999999E-2</v>
      </c>
      <c r="B337" s="15">
        <v>0.17599999999999999</v>
      </c>
      <c r="C337" s="5">
        <f t="shared" si="22"/>
        <v>5.0000000000000044E-4</v>
      </c>
      <c r="E337" s="6">
        <f t="shared" si="20"/>
        <v>2.1399999999999999E-2</v>
      </c>
      <c r="F337" s="5">
        <f t="shared" si="21"/>
        <v>0.17599999999999999</v>
      </c>
    </row>
    <row r="338" spans="1:6" x14ac:dyDescent="0.25">
      <c r="A338" s="12">
        <v>2.1499999999999998E-2</v>
      </c>
      <c r="B338" s="13">
        <v>0.17649999999999999</v>
      </c>
      <c r="C338" s="5">
        <f t="shared" si="22"/>
        <v>5.0000000000000044E-4</v>
      </c>
      <c r="E338" s="6">
        <f t="shared" si="20"/>
        <v>2.1499999999999998E-2</v>
      </c>
      <c r="F338" s="5">
        <f t="shared" si="21"/>
        <v>0.17649999999999999</v>
      </c>
    </row>
    <row r="339" spans="1:6" x14ac:dyDescent="0.25">
      <c r="A339" s="10">
        <v>2.1600000000000001E-2</v>
      </c>
      <c r="B339" s="11">
        <v>0.17699999999999999</v>
      </c>
      <c r="C339" s="5">
        <f t="shared" si="22"/>
        <v>5.0000000000000044E-4</v>
      </c>
      <c r="E339" s="6">
        <f t="shared" si="20"/>
        <v>2.1600000000000001E-2</v>
      </c>
      <c r="F339" s="5">
        <f t="shared" si="21"/>
        <v>0.17699999999999999</v>
      </c>
    </row>
    <row r="340" spans="1:6" x14ac:dyDescent="0.25">
      <c r="A340" s="12">
        <v>2.1700000000000001E-2</v>
      </c>
      <c r="B340" s="13">
        <v>0.17749999999999999</v>
      </c>
      <c r="C340" s="5">
        <f t="shared" si="22"/>
        <v>5.0000000000000044E-4</v>
      </c>
      <c r="E340" s="6">
        <f t="shared" si="20"/>
        <v>2.1700000000000001E-2</v>
      </c>
      <c r="F340" s="5">
        <f t="shared" si="21"/>
        <v>0.17749999999999999</v>
      </c>
    </row>
    <row r="341" spans="1:6" x14ac:dyDescent="0.25">
      <c r="A341" s="14">
        <v>2.18E-2</v>
      </c>
      <c r="B341" s="15">
        <v>0.17799999999999999</v>
      </c>
      <c r="C341" s="5">
        <f t="shared" si="22"/>
        <v>5.0000000000000044E-4</v>
      </c>
      <c r="E341" s="6">
        <f t="shared" si="20"/>
        <v>2.18E-2</v>
      </c>
      <c r="F341" s="5">
        <f t="shared" si="21"/>
        <v>0.17799999999999999</v>
      </c>
    </row>
    <row r="342" spans="1:6" x14ac:dyDescent="0.25">
      <c r="A342" s="12">
        <v>2.1899999999999999E-2</v>
      </c>
      <c r="B342" s="13">
        <v>0.17849999999999999</v>
      </c>
      <c r="C342" s="5">
        <f t="shared" si="22"/>
        <v>5.0000000000000044E-4</v>
      </c>
      <c r="E342" s="6">
        <f t="shared" si="20"/>
        <v>2.1899999999999999E-2</v>
      </c>
      <c r="F342" s="5">
        <f t="shared" si="21"/>
        <v>0.17849999999999999</v>
      </c>
    </row>
    <row r="343" spans="1:6" x14ac:dyDescent="0.25">
      <c r="A343" s="10">
        <v>2.1999999999999999E-2</v>
      </c>
      <c r="B343" s="11">
        <v>0.17899999999999999</v>
      </c>
      <c r="C343" s="5">
        <f t="shared" si="22"/>
        <v>5.0000000000000044E-4</v>
      </c>
      <c r="E343" s="6">
        <f t="shared" si="20"/>
        <v>2.1999999999999999E-2</v>
      </c>
      <c r="F343" s="5">
        <f t="shared" si="21"/>
        <v>0.17899999999999999</v>
      </c>
    </row>
    <row r="344" spans="1:6" x14ac:dyDescent="0.25">
      <c r="A344" s="12">
        <v>2.2100000000000002E-2</v>
      </c>
      <c r="B344" s="13">
        <v>0.18</v>
      </c>
      <c r="C344" s="5">
        <f t="shared" si="22"/>
        <v>1.0000000000000009E-3</v>
      </c>
      <c r="E344" s="6">
        <f t="shared" si="20"/>
        <v>2.2100000000000002E-2</v>
      </c>
      <c r="F344" s="5">
        <f t="shared" si="21"/>
        <v>0.18</v>
      </c>
    </row>
    <row r="345" spans="1:6" x14ac:dyDescent="0.25">
      <c r="A345" s="14">
        <v>2.2200000000000001E-2</v>
      </c>
      <c r="B345" s="15">
        <v>0.18099999999999999</v>
      </c>
      <c r="C345" s="5">
        <f t="shared" si="22"/>
        <v>1.0000000000000009E-3</v>
      </c>
      <c r="E345" s="6">
        <f t="shared" si="20"/>
        <v>2.2200000000000001E-2</v>
      </c>
      <c r="F345" s="5">
        <f t="shared" si="21"/>
        <v>0.18099999999999999</v>
      </c>
    </row>
    <row r="346" spans="1:6" x14ac:dyDescent="0.25">
      <c r="A346" s="10">
        <v>2.23E-2</v>
      </c>
      <c r="B346" s="11">
        <v>0.182</v>
      </c>
      <c r="C346" s="5">
        <f t="shared" si="22"/>
        <v>1.0000000000000009E-3</v>
      </c>
      <c r="E346" s="6">
        <f t="shared" si="20"/>
        <v>2.23E-2</v>
      </c>
      <c r="F346" s="5">
        <f t="shared" si="21"/>
        <v>0.182</v>
      </c>
    </row>
    <row r="347" spans="1:6" x14ac:dyDescent="0.25">
      <c r="A347" s="14">
        <v>2.24E-2</v>
      </c>
      <c r="B347" s="15">
        <v>0.1825</v>
      </c>
      <c r="C347" s="5">
        <f t="shared" si="22"/>
        <v>5.0000000000000044E-4</v>
      </c>
      <c r="E347" s="6">
        <f t="shared" si="20"/>
        <v>2.24E-2</v>
      </c>
      <c r="F347" s="5">
        <f t="shared" si="21"/>
        <v>0.1825</v>
      </c>
    </row>
    <row r="348" spans="1:6" x14ac:dyDescent="0.25">
      <c r="A348" s="12">
        <v>2.2499999999999999E-2</v>
      </c>
      <c r="B348" s="13">
        <v>0.183</v>
      </c>
      <c r="C348" s="5">
        <f t="shared" si="22"/>
        <v>5.0000000000000044E-4</v>
      </c>
      <c r="E348" s="6">
        <f t="shared" si="20"/>
        <v>2.2499999999999999E-2</v>
      </c>
      <c r="F348" s="5">
        <f t="shared" si="21"/>
        <v>0.183</v>
      </c>
    </row>
    <row r="349" spans="1:6" x14ac:dyDescent="0.25">
      <c r="A349" s="14">
        <v>2.2599999999999999E-2</v>
      </c>
      <c r="B349" s="15">
        <v>0.1835</v>
      </c>
      <c r="C349" s="5">
        <f t="shared" si="22"/>
        <v>5.0000000000000044E-4</v>
      </c>
      <c r="E349" s="6">
        <f t="shared" si="20"/>
        <v>2.2599999999999999E-2</v>
      </c>
      <c r="F349" s="5">
        <f t="shared" si="21"/>
        <v>0.1835</v>
      </c>
    </row>
    <row r="350" spans="1:6" x14ac:dyDescent="0.25">
      <c r="A350" s="10">
        <v>2.2700000000000001E-2</v>
      </c>
      <c r="B350" s="11">
        <v>0.184</v>
      </c>
      <c r="C350" s="5">
        <f t="shared" si="22"/>
        <v>5.0000000000000044E-4</v>
      </c>
      <c r="E350" s="6">
        <f t="shared" si="20"/>
        <v>2.2700000000000001E-2</v>
      </c>
      <c r="F350" s="5">
        <f t="shared" si="21"/>
        <v>0.184</v>
      </c>
    </row>
    <row r="351" spans="1:6" x14ac:dyDescent="0.25">
      <c r="A351" s="14">
        <v>2.2800000000000001E-2</v>
      </c>
      <c r="B351" s="15">
        <v>0.1845</v>
      </c>
      <c r="C351" s="5">
        <f t="shared" si="22"/>
        <v>5.0000000000000044E-4</v>
      </c>
      <c r="E351" s="6">
        <f t="shared" si="20"/>
        <v>2.2800000000000001E-2</v>
      </c>
      <c r="F351" s="5">
        <f t="shared" si="21"/>
        <v>0.1845</v>
      </c>
    </row>
    <row r="352" spans="1:6" x14ac:dyDescent="0.25">
      <c r="A352" s="12">
        <v>2.29E-2</v>
      </c>
      <c r="B352" s="13">
        <v>0.185</v>
      </c>
      <c r="C352" s="5">
        <f t="shared" si="22"/>
        <v>5.0000000000000044E-4</v>
      </c>
      <c r="E352" s="6">
        <f t="shared" si="20"/>
        <v>2.29E-2</v>
      </c>
      <c r="F352" s="5">
        <f t="shared" si="21"/>
        <v>0.185</v>
      </c>
    </row>
    <row r="353" spans="1:6" x14ac:dyDescent="0.25">
      <c r="A353" s="14">
        <v>2.3E-2</v>
      </c>
      <c r="B353" s="15">
        <v>0.1855</v>
      </c>
      <c r="C353" s="5">
        <f t="shared" si="22"/>
        <v>5.0000000000000044E-4</v>
      </c>
      <c r="E353" s="6">
        <f t="shared" si="20"/>
        <v>2.3E-2</v>
      </c>
      <c r="F353" s="5">
        <f t="shared" si="21"/>
        <v>0.1855</v>
      </c>
    </row>
    <row r="354" spans="1:6" x14ac:dyDescent="0.25">
      <c r="A354" s="10">
        <v>2.3099999999999999E-2</v>
      </c>
      <c r="B354" s="11">
        <v>0.186</v>
      </c>
      <c r="C354" s="5">
        <f t="shared" si="22"/>
        <v>5.0000000000000044E-4</v>
      </c>
      <c r="E354" s="6">
        <f t="shared" si="20"/>
        <v>2.3099999999999999E-2</v>
      </c>
      <c r="F354" s="5">
        <f t="shared" si="21"/>
        <v>0.186</v>
      </c>
    </row>
    <row r="355" spans="1:6" x14ac:dyDescent="0.25">
      <c r="A355" s="14">
        <v>2.3199999999999998E-2</v>
      </c>
      <c r="B355" s="15">
        <v>0.187</v>
      </c>
      <c r="C355" s="5">
        <f t="shared" si="22"/>
        <v>1.0000000000000009E-3</v>
      </c>
      <c r="E355" s="6">
        <f t="shared" si="20"/>
        <v>2.3199999999999998E-2</v>
      </c>
      <c r="F355" s="5">
        <f t="shared" si="21"/>
        <v>0.187</v>
      </c>
    </row>
    <row r="356" spans="1:6" x14ac:dyDescent="0.25">
      <c r="A356" s="12">
        <v>2.3300000000000001E-2</v>
      </c>
      <c r="B356" s="13">
        <v>0.188</v>
      </c>
      <c r="C356" s="5">
        <f t="shared" si="22"/>
        <v>1.0000000000000009E-3</v>
      </c>
      <c r="E356" s="6">
        <f t="shared" si="20"/>
        <v>2.3300000000000001E-2</v>
      </c>
      <c r="F356" s="5">
        <f t="shared" si="21"/>
        <v>0.188</v>
      </c>
    </row>
    <row r="357" spans="1:6" x14ac:dyDescent="0.25">
      <c r="A357" s="10">
        <v>2.3400000000000001E-2</v>
      </c>
      <c r="B357" s="11">
        <v>0.189</v>
      </c>
      <c r="C357" s="5">
        <f t="shared" si="22"/>
        <v>1.0000000000000009E-3</v>
      </c>
      <c r="E357" s="6">
        <f t="shared" si="20"/>
        <v>2.3400000000000001E-2</v>
      </c>
      <c r="F357" s="5">
        <f t="shared" si="21"/>
        <v>0.189</v>
      </c>
    </row>
    <row r="358" spans="1:6" x14ac:dyDescent="0.25">
      <c r="A358" s="12">
        <v>2.35E-2</v>
      </c>
      <c r="B358" s="13">
        <v>0.1895</v>
      </c>
      <c r="C358" s="5">
        <f t="shared" si="22"/>
        <v>5.0000000000000044E-4</v>
      </c>
      <c r="E358" s="6">
        <f t="shared" si="20"/>
        <v>2.35E-2</v>
      </c>
      <c r="F358" s="5">
        <f t="shared" si="21"/>
        <v>0.1895</v>
      </c>
    </row>
    <row r="359" spans="1:6" x14ac:dyDescent="0.25">
      <c r="A359" s="14">
        <v>2.3599999999999999E-2</v>
      </c>
      <c r="B359" s="15">
        <v>0.19</v>
      </c>
      <c r="C359" s="5">
        <f t="shared" si="22"/>
        <v>5.0000000000000044E-4</v>
      </c>
      <c r="E359" s="6">
        <f t="shared" si="20"/>
        <v>2.3599999999999999E-2</v>
      </c>
      <c r="F359" s="5">
        <f t="shared" si="21"/>
        <v>0.19</v>
      </c>
    </row>
    <row r="360" spans="1:6" x14ac:dyDescent="0.25">
      <c r="A360" s="12">
        <v>2.3699999999999999E-2</v>
      </c>
      <c r="B360" s="13">
        <v>0.1905</v>
      </c>
      <c r="C360" s="5">
        <f t="shared" si="22"/>
        <v>5.0000000000000044E-4</v>
      </c>
      <c r="E360" s="6">
        <f t="shared" si="20"/>
        <v>2.3699999999999999E-2</v>
      </c>
      <c r="F360" s="5">
        <f t="shared" si="21"/>
        <v>0.1905</v>
      </c>
    </row>
    <row r="361" spans="1:6" x14ac:dyDescent="0.25">
      <c r="A361" s="10">
        <v>2.3800000000000002E-2</v>
      </c>
      <c r="B361" s="11">
        <v>0.191</v>
      </c>
      <c r="C361" s="5">
        <f t="shared" si="22"/>
        <v>5.0000000000000044E-4</v>
      </c>
      <c r="E361" s="6">
        <f t="shared" si="20"/>
        <v>2.3800000000000002E-2</v>
      </c>
      <c r="F361" s="5">
        <f t="shared" si="21"/>
        <v>0.191</v>
      </c>
    </row>
    <row r="362" spans="1:6" x14ac:dyDescent="0.25">
      <c r="A362" s="12">
        <v>2.3900000000000001E-2</v>
      </c>
      <c r="B362" s="13">
        <v>0.1915</v>
      </c>
      <c r="C362" s="5">
        <f t="shared" si="22"/>
        <v>5.0000000000000044E-4</v>
      </c>
      <c r="E362" s="6">
        <f t="shared" si="20"/>
        <v>2.3900000000000001E-2</v>
      </c>
      <c r="F362" s="5">
        <f t="shared" si="21"/>
        <v>0.1915</v>
      </c>
    </row>
    <row r="363" spans="1:6" x14ac:dyDescent="0.25">
      <c r="A363" s="14">
        <v>2.4E-2</v>
      </c>
      <c r="B363" s="15">
        <v>0.192</v>
      </c>
      <c r="C363" s="5">
        <f t="shared" si="22"/>
        <v>5.0000000000000044E-4</v>
      </c>
      <c r="E363" s="6">
        <f t="shared" si="20"/>
        <v>2.4E-2</v>
      </c>
      <c r="F363" s="5">
        <f t="shared" si="21"/>
        <v>0.192</v>
      </c>
    </row>
    <row r="364" spans="1:6" x14ac:dyDescent="0.25">
      <c r="A364" s="12">
        <v>2.41E-2</v>
      </c>
      <c r="B364" s="13">
        <v>0.1925</v>
      </c>
      <c r="C364" s="5">
        <f t="shared" si="22"/>
        <v>5.0000000000000044E-4</v>
      </c>
      <c r="E364" s="6">
        <f t="shared" si="20"/>
        <v>2.41E-2</v>
      </c>
      <c r="F364" s="5">
        <f t="shared" si="21"/>
        <v>0.1925</v>
      </c>
    </row>
    <row r="365" spans="1:6" x14ac:dyDescent="0.25">
      <c r="A365" s="10">
        <v>2.4199999999999999E-2</v>
      </c>
      <c r="B365" s="11">
        <v>0.193</v>
      </c>
      <c r="C365" s="5">
        <f t="shared" si="22"/>
        <v>5.0000000000000044E-4</v>
      </c>
      <c r="E365" s="6">
        <f t="shared" si="20"/>
        <v>2.4199999999999999E-2</v>
      </c>
      <c r="F365" s="5">
        <f t="shared" si="21"/>
        <v>0.193</v>
      </c>
    </row>
    <row r="366" spans="1:6" x14ac:dyDescent="0.25">
      <c r="A366" s="12">
        <v>2.4299999999999999E-2</v>
      </c>
      <c r="B366" s="13">
        <v>0.19366700000000001</v>
      </c>
      <c r="C366" s="5">
        <f t="shared" si="22"/>
        <v>6.6700000000000093E-4</v>
      </c>
      <c r="E366" s="6">
        <f t="shared" si="20"/>
        <v>2.4299999999999999E-2</v>
      </c>
      <c r="F366" s="5">
        <f t="shared" si="21"/>
        <v>0.19366700000000001</v>
      </c>
    </row>
    <row r="367" spans="1:6" x14ac:dyDescent="0.25">
      <c r="A367" s="14">
        <v>2.4400000000000002E-2</v>
      </c>
      <c r="B367" s="15">
        <v>0.19433300000000001</v>
      </c>
      <c r="C367" s="5">
        <f t="shared" si="22"/>
        <v>6.6599999999999993E-4</v>
      </c>
      <c r="E367" s="6">
        <f t="shared" si="20"/>
        <v>2.4400000000000002E-2</v>
      </c>
      <c r="F367" s="5">
        <f t="shared" si="21"/>
        <v>0.19433300000000001</v>
      </c>
    </row>
    <row r="368" spans="1:6" x14ac:dyDescent="0.25">
      <c r="A368" s="10">
        <v>2.4500000000000001E-2</v>
      </c>
      <c r="B368" s="11">
        <v>0.19500000000000001</v>
      </c>
      <c r="C368" s="5">
        <f t="shared" si="22"/>
        <v>6.6700000000000093E-4</v>
      </c>
      <c r="E368" s="6">
        <f t="shared" si="20"/>
        <v>2.4500000000000001E-2</v>
      </c>
      <c r="F368" s="5">
        <f t="shared" si="21"/>
        <v>0.19500000000000001</v>
      </c>
    </row>
    <row r="369" spans="1:6" x14ac:dyDescent="0.25">
      <c r="A369" s="14">
        <v>2.46E-2</v>
      </c>
      <c r="B369" s="15">
        <v>0.19575000000000001</v>
      </c>
      <c r="C369" s="5">
        <f t="shared" si="22"/>
        <v>7.5000000000000067E-4</v>
      </c>
      <c r="E369" s="6">
        <f t="shared" si="20"/>
        <v>2.46E-2</v>
      </c>
      <c r="F369" s="5">
        <f t="shared" si="21"/>
        <v>0.19575000000000001</v>
      </c>
    </row>
    <row r="370" spans="1:6" x14ac:dyDescent="0.25">
      <c r="A370" s="12">
        <v>2.47E-2</v>
      </c>
      <c r="B370" s="13">
        <v>0.19650000000000001</v>
      </c>
      <c r="C370" s="5">
        <f t="shared" si="22"/>
        <v>7.5000000000000067E-4</v>
      </c>
      <c r="E370" s="6">
        <f t="shared" si="20"/>
        <v>2.47E-2</v>
      </c>
      <c r="F370" s="5">
        <f t="shared" si="21"/>
        <v>0.19650000000000001</v>
      </c>
    </row>
    <row r="371" spans="1:6" x14ac:dyDescent="0.25">
      <c r="A371" s="14">
        <v>2.4799999999999999E-2</v>
      </c>
      <c r="B371" s="15">
        <v>0.19725000000000001</v>
      </c>
      <c r="C371" s="5">
        <f t="shared" si="22"/>
        <v>7.5000000000000067E-4</v>
      </c>
      <c r="E371" s="6">
        <f t="shared" si="20"/>
        <v>2.4799999999999999E-2</v>
      </c>
      <c r="F371" s="5">
        <f t="shared" si="21"/>
        <v>0.19725000000000001</v>
      </c>
    </row>
    <row r="372" spans="1:6" x14ac:dyDescent="0.25">
      <c r="A372" s="10">
        <v>2.4899999999999999E-2</v>
      </c>
      <c r="B372" s="11">
        <v>0.19800000000000001</v>
      </c>
      <c r="C372" s="5">
        <f t="shared" si="22"/>
        <v>7.5000000000000067E-4</v>
      </c>
      <c r="E372" s="6">
        <f t="shared" si="20"/>
        <v>2.4899999999999999E-2</v>
      </c>
      <c r="F372" s="5">
        <f t="shared" si="21"/>
        <v>0.19800000000000001</v>
      </c>
    </row>
    <row r="373" spans="1:6" x14ac:dyDescent="0.25">
      <c r="A373" s="14">
        <v>2.5000000000000001E-2</v>
      </c>
      <c r="B373" s="15">
        <v>0.19850000000000001</v>
      </c>
      <c r="C373" s="5">
        <f t="shared" si="22"/>
        <v>5.0000000000000044E-4</v>
      </c>
      <c r="E373" s="6">
        <f t="shared" si="20"/>
        <v>2.5000000000000001E-2</v>
      </c>
      <c r="F373" s="5">
        <f t="shared" si="21"/>
        <v>0.19850000000000001</v>
      </c>
    </row>
    <row r="374" spans="1:6" x14ac:dyDescent="0.25">
      <c r="A374" s="12">
        <v>2.5100000000000001E-2</v>
      </c>
      <c r="B374" s="13">
        <v>0.19900000000000001</v>
      </c>
      <c r="C374" s="5">
        <f t="shared" si="22"/>
        <v>5.0000000000000044E-4</v>
      </c>
      <c r="E374" s="6">
        <f t="shared" si="20"/>
        <v>2.5100000000000001E-2</v>
      </c>
      <c r="F374" s="5">
        <f t="shared" si="21"/>
        <v>0.19900000000000001</v>
      </c>
    </row>
    <row r="375" spans="1:6" x14ac:dyDescent="0.25">
      <c r="A375" s="14">
        <v>2.52E-2</v>
      </c>
      <c r="B375" s="15">
        <v>0.19950000000000001</v>
      </c>
      <c r="C375" s="5">
        <f t="shared" si="22"/>
        <v>5.0000000000000044E-4</v>
      </c>
      <c r="E375" s="6">
        <f t="shared" si="20"/>
        <v>2.52E-2</v>
      </c>
      <c r="F375" s="5">
        <f t="shared" si="21"/>
        <v>0.19950000000000001</v>
      </c>
    </row>
    <row r="376" spans="1:6" x14ac:dyDescent="0.25">
      <c r="A376" s="10">
        <v>2.53E-2</v>
      </c>
      <c r="B376" s="11">
        <v>0.2</v>
      </c>
      <c r="C376" s="5">
        <f t="shared" si="22"/>
        <v>5.0000000000000044E-4</v>
      </c>
      <c r="E376" s="6">
        <f t="shared" si="20"/>
        <v>2.53E-2</v>
      </c>
      <c r="F376" s="5">
        <f t="shared" si="21"/>
        <v>0.2</v>
      </c>
    </row>
    <row r="377" spans="1:6" x14ac:dyDescent="0.25">
      <c r="A377" s="14">
        <v>2.5399999999999999E-2</v>
      </c>
      <c r="B377" s="15">
        <v>0.20050000000000001</v>
      </c>
      <c r="C377" s="5">
        <f t="shared" si="22"/>
        <v>5.0000000000000044E-4</v>
      </c>
      <c r="E377" s="6">
        <f t="shared" si="20"/>
        <v>2.5399999999999999E-2</v>
      </c>
      <c r="F377" s="5">
        <f t="shared" si="21"/>
        <v>0.20050000000000001</v>
      </c>
    </row>
    <row r="378" spans="1:6" x14ac:dyDescent="0.25">
      <c r="A378" s="12">
        <v>2.5499999999999998E-2</v>
      </c>
      <c r="B378" s="13">
        <v>0.20100000000000001</v>
      </c>
      <c r="C378" s="5">
        <f t="shared" si="22"/>
        <v>5.0000000000000044E-4</v>
      </c>
      <c r="E378" s="6">
        <f t="shared" si="20"/>
        <v>2.5499999999999998E-2</v>
      </c>
      <c r="F378" s="5">
        <f t="shared" si="21"/>
        <v>0.20100000000000001</v>
      </c>
    </row>
    <row r="379" spans="1:6" x14ac:dyDescent="0.25">
      <c r="A379" s="14">
        <v>2.5600000000000001E-2</v>
      </c>
      <c r="B379" s="15">
        <v>0.20150000000000001</v>
      </c>
      <c r="C379" s="5">
        <f t="shared" si="22"/>
        <v>5.0000000000000044E-4</v>
      </c>
      <c r="E379" s="6">
        <f t="shared" si="20"/>
        <v>2.5600000000000001E-2</v>
      </c>
      <c r="F379" s="5">
        <f t="shared" si="21"/>
        <v>0.20150000000000001</v>
      </c>
    </row>
    <row r="380" spans="1:6" x14ac:dyDescent="0.25">
      <c r="A380" s="10">
        <v>2.5700000000000001E-2</v>
      </c>
      <c r="B380" s="11">
        <v>0.20200000000000001</v>
      </c>
      <c r="C380" s="5">
        <f t="shared" si="22"/>
        <v>5.0000000000000044E-4</v>
      </c>
      <c r="E380" s="6">
        <f t="shared" si="20"/>
        <v>2.5700000000000001E-2</v>
      </c>
      <c r="F380" s="5">
        <f t="shared" si="21"/>
        <v>0.20200000000000001</v>
      </c>
    </row>
    <row r="381" spans="1:6" x14ac:dyDescent="0.25">
      <c r="A381" s="14">
        <v>2.58E-2</v>
      </c>
      <c r="B381" s="15">
        <v>0.20300000000000001</v>
      </c>
      <c r="C381" s="5">
        <f t="shared" si="22"/>
        <v>1.0000000000000009E-3</v>
      </c>
      <c r="E381" s="6">
        <f t="shared" si="20"/>
        <v>2.58E-2</v>
      </c>
      <c r="F381" s="5">
        <f t="shared" si="21"/>
        <v>0.20300000000000001</v>
      </c>
    </row>
    <row r="382" spans="1:6" x14ac:dyDescent="0.25">
      <c r="A382" s="12">
        <v>2.5899999999999999E-2</v>
      </c>
      <c r="B382" s="13">
        <v>0.20399999999999999</v>
      </c>
      <c r="C382" s="5">
        <f t="shared" si="22"/>
        <v>9.9999999999997313E-4</v>
      </c>
      <c r="E382" s="6">
        <f t="shared" si="20"/>
        <v>2.5899999999999999E-2</v>
      </c>
      <c r="F382" s="5">
        <f t="shared" si="21"/>
        <v>0.20399999999999999</v>
      </c>
    </row>
    <row r="383" spans="1:6" x14ac:dyDescent="0.25">
      <c r="A383" s="10">
        <v>2.5999999999999999E-2</v>
      </c>
      <c r="B383" s="11">
        <v>0.20499999999999999</v>
      </c>
      <c r="C383" s="5">
        <f t="shared" si="22"/>
        <v>1.0000000000000009E-3</v>
      </c>
      <c r="E383" s="6">
        <f t="shared" si="20"/>
        <v>2.5999999999999999E-2</v>
      </c>
      <c r="F383" s="5">
        <f t="shared" si="21"/>
        <v>0.20499999999999999</v>
      </c>
    </row>
    <row r="384" spans="1:6" x14ac:dyDescent="0.25">
      <c r="A384" s="12">
        <v>2.6100000000000002E-2</v>
      </c>
      <c r="B384" s="13">
        <v>0.20549999999999999</v>
      </c>
      <c r="C384" s="5">
        <f t="shared" si="22"/>
        <v>5.0000000000000044E-4</v>
      </c>
      <c r="E384" s="6">
        <f t="shared" si="20"/>
        <v>2.6100000000000002E-2</v>
      </c>
      <c r="F384" s="5">
        <f t="shared" si="21"/>
        <v>0.20549999999999999</v>
      </c>
    </row>
    <row r="385" spans="1:6" x14ac:dyDescent="0.25">
      <c r="A385" s="14">
        <v>2.6200000000000001E-2</v>
      </c>
      <c r="B385" s="15">
        <v>0.20599999999999999</v>
      </c>
      <c r="C385" s="5">
        <f t="shared" si="22"/>
        <v>5.0000000000000044E-4</v>
      </c>
      <c r="E385" s="6">
        <f t="shared" si="20"/>
        <v>2.6200000000000001E-2</v>
      </c>
      <c r="F385" s="5">
        <f t="shared" si="21"/>
        <v>0.20599999999999999</v>
      </c>
    </row>
    <row r="386" spans="1:6" x14ac:dyDescent="0.25">
      <c r="A386" s="12">
        <v>2.63E-2</v>
      </c>
      <c r="B386" s="13">
        <v>0.20649999999999999</v>
      </c>
      <c r="C386" s="5">
        <f t="shared" si="22"/>
        <v>5.0000000000000044E-4</v>
      </c>
      <c r="E386" s="6">
        <f t="shared" ref="E386:E449" si="23">A386</f>
        <v>2.63E-2</v>
      </c>
      <c r="F386" s="5">
        <f t="shared" ref="F386:F449" si="24">B386</f>
        <v>0.20649999999999999</v>
      </c>
    </row>
    <row r="387" spans="1:6" x14ac:dyDescent="0.25">
      <c r="A387" s="10">
        <v>2.64E-2</v>
      </c>
      <c r="B387" s="11">
        <v>0.20699999999999999</v>
      </c>
      <c r="C387" s="5">
        <f t="shared" ref="C387:C407" si="25">B387-B386</f>
        <v>5.0000000000000044E-4</v>
      </c>
      <c r="E387" s="6">
        <f t="shared" si="23"/>
        <v>2.64E-2</v>
      </c>
      <c r="F387" s="5">
        <f t="shared" si="24"/>
        <v>0.20699999999999999</v>
      </c>
    </row>
    <row r="388" spans="1:6" x14ac:dyDescent="0.25">
      <c r="A388" s="12">
        <v>2.6499999999999999E-2</v>
      </c>
      <c r="B388" s="13">
        <v>0.20749999999999999</v>
      </c>
      <c r="C388" s="5">
        <f t="shared" si="25"/>
        <v>5.0000000000000044E-4</v>
      </c>
      <c r="E388" s="6">
        <f t="shared" si="23"/>
        <v>2.6499999999999999E-2</v>
      </c>
      <c r="F388" s="5">
        <f t="shared" si="24"/>
        <v>0.20749999999999999</v>
      </c>
    </row>
    <row r="389" spans="1:6" x14ac:dyDescent="0.25">
      <c r="A389" s="14">
        <v>2.6599999999999999E-2</v>
      </c>
      <c r="B389" s="15">
        <v>0.20799999999999999</v>
      </c>
      <c r="C389" s="5">
        <f t="shared" si="25"/>
        <v>5.0000000000000044E-4</v>
      </c>
      <c r="E389" s="6">
        <f t="shared" si="23"/>
        <v>2.6599999999999999E-2</v>
      </c>
      <c r="F389" s="5">
        <f t="shared" si="24"/>
        <v>0.20799999999999999</v>
      </c>
    </row>
    <row r="390" spans="1:6" x14ac:dyDescent="0.25">
      <c r="A390" s="12">
        <v>2.6700000000000002E-2</v>
      </c>
      <c r="B390" s="13">
        <v>0.20849999999999999</v>
      </c>
      <c r="C390" s="5">
        <f t="shared" si="25"/>
        <v>5.0000000000000044E-4</v>
      </c>
      <c r="E390" s="6">
        <f t="shared" si="23"/>
        <v>2.6700000000000002E-2</v>
      </c>
      <c r="F390" s="5">
        <f t="shared" si="24"/>
        <v>0.20849999999999999</v>
      </c>
    </row>
    <row r="391" spans="1:6" x14ac:dyDescent="0.25">
      <c r="A391" s="10">
        <v>2.6800000000000001E-2</v>
      </c>
      <c r="B391" s="11">
        <v>0.20899999999999999</v>
      </c>
      <c r="C391" s="5">
        <f t="shared" si="25"/>
        <v>5.0000000000000044E-4</v>
      </c>
      <c r="E391" s="6">
        <f t="shared" si="23"/>
        <v>2.6800000000000001E-2</v>
      </c>
      <c r="F391" s="5">
        <f t="shared" si="24"/>
        <v>0.20899999999999999</v>
      </c>
    </row>
    <row r="392" spans="1:6" x14ac:dyDescent="0.25">
      <c r="A392" s="12">
        <v>2.69E-2</v>
      </c>
      <c r="B392" s="13">
        <v>0.20949999999999999</v>
      </c>
      <c r="C392" s="5">
        <f t="shared" si="25"/>
        <v>5.0000000000000044E-4</v>
      </c>
      <c r="E392" s="6">
        <f t="shared" si="23"/>
        <v>2.69E-2</v>
      </c>
      <c r="F392" s="5">
        <f t="shared" si="24"/>
        <v>0.20949999999999999</v>
      </c>
    </row>
    <row r="393" spans="1:6" x14ac:dyDescent="0.25">
      <c r="A393" s="14">
        <v>2.7E-2</v>
      </c>
      <c r="B393" s="15">
        <v>0.21</v>
      </c>
      <c r="C393" s="5">
        <f t="shared" si="25"/>
        <v>5.0000000000000044E-4</v>
      </c>
      <c r="E393" s="6">
        <f t="shared" si="23"/>
        <v>2.7E-2</v>
      </c>
      <c r="F393" s="5">
        <f t="shared" si="24"/>
        <v>0.21</v>
      </c>
    </row>
    <row r="394" spans="1:6" x14ac:dyDescent="0.25">
      <c r="A394" s="12">
        <v>2.7099999999999999E-2</v>
      </c>
      <c r="B394" s="13">
        <v>0.21049999999999999</v>
      </c>
      <c r="C394" s="5">
        <f t="shared" si="25"/>
        <v>5.0000000000000044E-4</v>
      </c>
      <c r="E394" s="6">
        <f t="shared" si="23"/>
        <v>2.7099999999999999E-2</v>
      </c>
      <c r="F394" s="5">
        <f t="shared" si="24"/>
        <v>0.21049999999999999</v>
      </c>
    </row>
    <row r="395" spans="1:6" x14ac:dyDescent="0.25">
      <c r="A395" s="10">
        <v>2.7199999999999998E-2</v>
      </c>
      <c r="B395" s="11">
        <v>0.21099999999999999</v>
      </c>
      <c r="C395" s="5">
        <f t="shared" si="25"/>
        <v>5.0000000000000044E-4</v>
      </c>
      <c r="E395" s="6">
        <f t="shared" si="23"/>
        <v>2.7199999999999998E-2</v>
      </c>
      <c r="F395" s="5">
        <f t="shared" si="24"/>
        <v>0.21099999999999999</v>
      </c>
    </row>
    <row r="396" spans="1:6" x14ac:dyDescent="0.25">
      <c r="A396" s="12">
        <v>2.7300000000000001E-2</v>
      </c>
      <c r="B396" s="13">
        <v>0.21174999999999999</v>
      </c>
      <c r="C396" s="5">
        <f t="shared" si="25"/>
        <v>7.5000000000000067E-4</v>
      </c>
      <c r="E396" s="6">
        <f t="shared" si="23"/>
        <v>2.7300000000000001E-2</v>
      </c>
      <c r="F396" s="5">
        <f t="shared" si="24"/>
        <v>0.21174999999999999</v>
      </c>
    </row>
    <row r="397" spans="1:6" x14ac:dyDescent="0.25">
      <c r="A397" s="14">
        <v>2.7400000000000001E-2</v>
      </c>
      <c r="B397" s="15">
        <v>0.21249999999999999</v>
      </c>
      <c r="C397" s="5">
        <f t="shared" si="25"/>
        <v>7.5000000000000067E-4</v>
      </c>
      <c r="E397" s="6">
        <f t="shared" si="23"/>
        <v>2.7400000000000001E-2</v>
      </c>
      <c r="F397" s="5">
        <f t="shared" si="24"/>
        <v>0.21249999999999999</v>
      </c>
    </row>
    <row r="398" spans="1:6" x14ac:dyDescent="0.25">
      <c r="A398" s="12">
        <v>2.75E-2</v>
      </c>
      <c r="B398" s="13">
        <v>0.21325</v>
      </c>
      <c r="C398" s="5">
        <f t="shared" si="25"/>
        <v>7.5000000000000067E-4</v>
      </c>
      <c r="E398" s="6">
        <f t="shared" si="23"/>
        <v>2.75E-2</v>
      </c>
      <c r="F398" s="5">
        <f t="shared" si="24"/>
        <v>0.21325</v>
      </c>
    </row>
    <row r="399" spans="1:6" x14ac:dyDescent="0.25">
      <c r="A399" s="10">
        <v>2.76E-2</v>
      </c>
      <c r="B399" s="11">
        <v>0.214</v>
      </c>
      <c r="C399" s="5">
        <f t="shared" si="25"/>
        <v>7.5000000000000067E-4</v>
      </c>
      <c r="E399" s="6">
        <f t="shared" si="23"/>
        <v>2.76E-2</v>
      </c>
      <c r="F399" s="5">
        <f t="shared" si="24"/>
        <v>0.214</v>
      </c>
    </row>
    <row r="400" spans="1:6" x14ac:dyDescent="0.25">
      <c r="A400" s="12">
        <v>2.7699999999999999E-2</v>
      </c>
      <c r="B400" s="13">
        <v>0.2145</v>
      </c>
      <c r="C400" s="5">
        <f t="shared" si="25"/>
        <v>5.0000000000000044E-4</v>
      </c>
      <c r="E400" s="6">
        <f t="shared" si="23"/>
        <v>2.7699999999999999E-2</v>
      </c>
      <c r="F400" s="5">
        <f t="shared" si="24"/>
        <v>0.2145</v>
      </c>
    </row>
    <row r="401" spans="1:6" x14ac:dyDescent="0.25">
      <c r="A401" s="14">
        <v>2.7799999999999998E-2</v>
      </c>
      <c r="B401" s="15">
        <v>0.215</v>
      </c>
      <c r="C401" s="5">
        <f t="shared" si="25"/>
        <v>5.0000000000000044E-4</v>
      </c>
      <c r="E401" s="6">
        <f t="shared" si="23"/>
        <v>2.7799999999999998E-2</v>
      </c>
      <c r="F401" s="5">
        <f t="shared" si="24"/>
        <v>0.215</v>
      </c>
    </row>
    <row r="402" spans="1:6" x14ac:dyDescent="0.25">
      <c r="A402" s="12">
        <v>2.7900000000000001E-2</v>
      </c>
      <c r="B402" s="13">
        <v>0.2155</v>
      </c>
      <c r="C402" s="5">
        <f t="shared" si="25"/>
        <v>5.0000000000000044E-4</v>
      </c>
      <c r="E402" s="6">
        <f t="shared" si="23"/>
        <v>2.7900000000000001E-2</v>
      </c>
      <c r="F402" s="5">
        <f t="shared" si="24"/>
        <v>0.2155</v>
      </c>
    </row>
    <row r="403" spans="1:6" x14ac:dyDescent="0.25">
      <c r="A403" s="10">
        <v>2.8000000000000001E-2</v>
      </c>
      <c r="B403" s="11">
        <v>0.216</v>
      </c>
      <c r="C403" s="5">
        <f t="shared" si="25"/>
        <v>5.0000000000000044E-4</v>
      </c>
      <c r="E403" s="6">
        <f t="shared" si="23"/>
        <v>2.8000000000000001E-2</v>
      </c>
      <c r="F403" s="5">
        <f t="shared" si="24"/>
        <v>0.216</v>
      </c>
    </row>
    <row r="404" spans="1:6" x14ac:dyDescent="0.25">
      <c r="A404" s="12">
        <v>2.81E-2</v>
      </c>
      <c r="B404" s="13">
        <v>0.2165</v>
      </c>
      <c r="C404" s="5">
        <f t="shared" si="25"/>
        <v>5.0000000000000044E-4</v>
      </c>
      <c r="E404" s="6">
        <f t="shared" si="23"/>
        <v>2.81E-2</v>
      </c>
      <c r="F404" s="5">
        <f t="shared" si="24"/>
        <v>0.2165</v>
      </c>
    </row>
    <row r="405" spans="1:6" x14ac:dyDescent="0.25">
      <c r="A405" s="14">
        <v>2.8199999999999999E-2</v>
      </c>
      <c r="B405" s="15">
        <v>0.217</v>
      </c>
      <c r="C405" s="5">
        <f t="shared" si="25"/>
        <v>5.0000000000000044E-4</v>
      </c>
      <c r="E405" s="6">
        <f t="shared" si="23"/>
        <v>2.8199999999999999E-2</v>
      </c>
      <c r="F405" s="5">
        <f t="shared" si="24"/>
        <v>0.217</v>
      </c>
    </row>
    <row r="406" spans="1:6" x14ac:dyDescent="0.25">
      <c r="A406" s="12">
        <v>2.8299999999999999E-2</v>
      </c>
      <c r="B406" s="13">
        <v>0.2175</v>
      </c>
      <c r="C406" s="5">
        <f t="shared" si="25"/>
        <v>5.0000000000000044E-4</v>
      </c>
      <c r="E406" s="6">
        <f t="shared" si="23"/>
        <v>2.8299999999999999E-2</v>
      </c>
      <c r="F406" s="5">
        <f t="shared" si="24"/>
        <v>0.2175</v>
      </c>
    </row>
    <row r="407" spans="1:6" x14ac:dyDescent="0.25">
      <c r="A407" s="10">
        <v>2.8400000000000002E-2</v>
      </c>
      <c r="B407" s="11">
        <v>0.218</v>
      </c>
      <c r="C407" s="5">
        <f t="shared" si="25"/>
        <v>5.0000000000000044E-4</v>
      </c>
      <c r="E407" s="6">
        <f t="shared" si="23"/>
        <v>2.8400000000000002E-2</v>
      </c>
      <c r="F407" s="5">
        <f t="shared" si="24"/>
        <v>0.218</v>
      </c>
    </row>
    <row r="408" spans="1:6" x14ac:dyDescent="0.25">
      <c r="A408" s="16">
        <f>A407+0.01%</f>
        <v>2.8500000000000001E-2</v>
      </c>
      <c r="B408" s="5">
        <f>B407+$C$1</f>
        <v>0.21888011695906434</v>
      </c>
      <c r="E408" s="6">
        <f t="shared" si="23"/>
        <v>2.8500000000000001E-2</v>
      </c>
      <c r="F408" s="5">
        <f t="shared" si="24"/>
        <v>0.21888011695906434</v>
      </c>
    </row>
    <row r="409" spans="1:6" x14ac:dyDescent="0.25">
      <c r="A409" s="16">
        <f t="shared" ref="A409:A456" si="26">A408+0.01%</f>
        <v>2.86E-2</v>
      </c>
      <c r="B409" s="5">
        <f t="shared" ref="B409:B456" si="27">B408+$C$1</f>
        <v>0.21976023391812868</v>
      </c>
      <c r="E409" s="6">
        <f t="shared" si="23"/>
        <v>2.86E-2</v>
      </c>
      <c r="F409" s="5">
        <f t="shared" si="24"/>
        <v>0.21976023391812868</v>
      </c>
    </row>
    <row r="410" spans="1:6" x14ac:dyDescent="0.25">
      <c r="A410" s="16">
        <f t="shared" si="26"/>
        <v>2.87E-2</v>
      </c>
      <c r="B410" s="5">
        <f t="shared" si="27"/>
        <v>0.22064035087719303</v>
      </c>
      <c r="E410" s="6">
        <f t="shared" si="23"/>
        <v>2.87E-2</v>
      </c>
      <c r="F410" s="5">
        <f t="shared" si="24"/>
        <v>0.22064035087719303</v>
      </c>
    </row>
    <row r="411" spans="1:6" x14ac:dyDescent="0.25">
      <c r="A411" s="16">
        <f t="shared" si="26"/>
        <v>2.8799999999999999E-2</v>
      </c>
      <c r="B411" s="5">
        <f t="shared" si="27"/>
        <v>0.22152046783625737</v>
      </c>
      <c r="E411" s="6">
        <f t="shared" si="23"/>
        <v>2.8799999999999999E-2</v>
      </c>
      <c r="F411" s="5">
        <f t="shared" si="24"/>
        <v>0.22152046783625737</v>
      </c>
    </row>
    <row r="412" spans="1:6" x14ac:dyDescent="0.25">
      <c r="A412" s="16">
        <f t="shared" si="26"/>
        <v>2.8899999999999999E-2</v>
      </c>
      <c r="B412" s="5">
        <f t="shared" si="27"/>
        <v>0.22240058479532171</v>
      </c>
      <c r="E412" s="6">
        <f t="shared" si="23"/>
        <v>2.8899999999999999E-2</v>
      </c>
      <c r="F412" s="5">
        <f t="shared" si="24"/>
        <v>0.22240058479532171</v>
      </c>
    </row>
    <row r="413" spans="1:6" x14ac:dyDescent="0.25">
      <c r="A413" s="16">
        <f t="shared" si="26"/>
        <v>2.8999999999999998E-2</v>
      </c>
      <c r="B413" s="5">
        <f t="shared" si="27"/>
        <v>0.22328070175438605</v>
      </c>
      <c r="E413" s="6">
        <f t="shared" si="23"/>
        <v>2.8999999999999998E-2</v>
      </c>
      <c r="F413" s="5">
        <f t="shared" si="24"/>
        <v>0.22328070175438605</v>
      </c>
    </row>
    <row r="414" spans="1:6" x14ac:dyDescent="0.25">
      <c r="A414" s="16">
        <f t="shared" si="26"/>
        <v>2.9099999999999997E-2</v>
      </c>
      <c r="B414" s="5">
        <f t="shared" si="27"/>
        <v>0.22416081871345039</v>
      </c>
      <c r="E414" s="6">
        <f t="shared" si="23"/>
        <v>2.9099999999999997E-2</v>
      </c>
      <c r="F414" s="5">
        <f t="shared" si="24"/>
        <v>0.22416081871345039</v>
      </c>
    </row>
    <row r="415" spans="1:6" x14ac:dyDescent="0.25">
      <c r="A415" s="16">
        <f t="shared" si="26"/>
        <v>2.9199999999999997E-2</v>
      </c>
      <c r="B415" s="5">
        <f t="shared" si="27"/>
        <v>0.22504093567251474</v>
      </c>
      <c r="E415" s="6">
        <f t="shared" si="23"/>
        <v>2.9199999999999997E-2</v>
      </c>
      <c r="F415" s="5">
        <f t="shared" si="24"/>
        <v>0.22504093567251474</v>
      </c>
    </row>
    <row r="416" spans="1:6" x14ac:dyDescent="0.25">
      <c r="A416" s="16">
        <f t="shared" si="26"/>
        <v>2.9299999999999996E-2</v>
      </c>
      <c r="B416" s="5">
        <f t="shared" si="27"/>
        <v>0.22592105263157908</v>
      </c>
      <c r="E416" s="6">
        <f t="shared" si="23"/>
        <v>2.9299999999999996E-2</v>
      </c>
      <c r="F416" s="5">
        <f t="shared" si="24"/>
        <v>0.22592105263157908</v>
      </c>
    </row>
    <row r="417" spans="1:6" x14ac:dyDescent="0.25">
      <c r="A417" s="16">
        <f t="shared" si="26"/>
        <v>2.9399999999999996E-2</v>
      </c>
      <c r="B417" s="5">
        <f t="shared" si="27"/>
        <v>0.22680116959064342</v>
      </c>
      <c r="E417" s="6">
        <f t="shared" si="23"/>
        <v>2.9399999999999996E-2</v>
      </c>
      <c r="F417" s="5">
        <f t="shared" si="24"/>
        <v>0.22680116959064342</v>
      </c>
    </row>
    <row r="418" spans="1:6" x14ac:dyDescent="0.25">
      <c r="A418" s="16">
        <f t="shared" si="26"/>
        <v>2.9499999999999995E-2</v>
      </c>
      <c r="B418" s="5">
        <f t="shared" si="27"/>
        <v>0.22768128654970776</v>
      </c>
      <c r="E418" s="6">
        <f t="shared" si="23"/>
        <v>2.9499999999999995E-2</v>
      </c>
      <c r="F418" s="5">
        <f t="shared" si="24"/>
        <v>0.22768128654970776</v>
      </c>
    </row>
    <row r="419" spans="1:6" x14ac:dyDescent="0.25">
      <c r="A419" s="16">
        <f t="shared" si="26"/>
        <v>2.9599999999999994E-2</v>
      </c>
      <c r="B419" s="5">
        <f t="shared" si="27"/>
        <v>0.2285614035087721</v>
      </c>
      <c r="E419" s="6">
        <f t="shared" si="23"/>
        <v>2.9599999999999994E-2</v>
      </c>
      <c r="F419" s="5">
        <f t="shared" si="24"/>
        <v>0.2285614035087721</v>
      </c>
    </row>
    <row r="420" spans="1:6" x14ac:dyDescent="0.25">
      <c r="A420" s="16">
        <f t="shared" si="26"/>
        <v>2.9699999999999994E-2</v>
      </c>
      <c r="B420" s="5">
        <f t="shared" si="27"/>
        <v>0.22944152046783645</v>
      </c>
      <c r="E420" s="6">
        <f t="shared" si="23"/>
        <v>2.9699999999999994E-2</v>
      </c>
      <c r="F420" s="5">
        <f t="shared" si="24"/>
        <v>0.22944152046783645</v>
      </c>
    </row>
    <row r="421" spans="1:6" x14ac:dyDescent="0.25">
      <c r="A421" s="16">
        <f t="shared" si="26"/>
        <v>2.9799999999999993E-2</v>
      </c>
      <c r="B421" s="5">
        <f t="shared" si="27"/>
        <v>0.23032163742690079</v>
      </c>
      <c r="E421" s="6">
        <f t="shared" si="23"/>
        <v>2.9799999999999993E-2</v>
      </c>
      <c r="F421" s="5">
        <f t="shared" si="24"/>
        <v>0.23032163742690079</v>
      </c>
    </row>
    <row r="422" spans="1:6" x14ac:dyDescent="0.25">
      <c r="A422" s="16">
        <f t="shared" si="26"/>
        <v>2.9899999999999993E-2</v>
      </c>
      <c r="B422" s="5">
        <f t="shared" si="27"/>
        <v>0.23120175438596513</v>
      </c>
      <c r="E422" s="6">
        <f t="shared" si="23"/>
        <v>2.9899999999999993E-2</v>
      </c>
      <c r="F422" s="5">
        <f t="shared" si="24"/>
        <v>0.23120175438596513</v>
      </c>
    </row>
    <row r="423" spans="1:6" x14ac:dyDescent="0.25">
      <c r="A423" s="16">
        <f t="shared" si="26"/>
        <v>2.9999999999999992E-2</v>
      </c>
      <c r="B423" s="5">
        <f t="shared" si="27"/>
        <v>0.23208187134502947</v>
      </c>
      <c r="E423" s="6">
        <f t="shared" si="23"/>
        <v>2.9999999999999992E-2</v>
      </c>
      <c r="F423" s="5">
        <f t="shared" si="24"/>
        <v>0.23208187134502947</v>
      </c>
    </row>
    <row r="424" spans="1:6" x14ac:dyDescent="0.25">
      <c r="A424" s="16">
        <f t="shared" si="26"/>
        <v>3.0099999999999991E-2</v>
      </c>
      <c r="B424" s="5">
        <f t="shared" si="27"/>
        <v>0.23296198830409381</v>
      </c>
      <c r="E424" s="6">
        <f t="shared" si="23"/>
        <v>3.0099999999999991E-2</v>
      </c>
      <c r="F424" s="5">
        <f t="shared" si="24"/>
        <v>0.23296198830409381</v>
      </c>
    </row>
    <row r="425" spans="1:6" x14ac:dyDescent="0.25">
      <c r="A425" s="16">
        <f t="shared" si="26"/>
        <v>3.0199999999999991E-2</v>
      </c>
      <c r="B425" s="5">
        <f t="shared" si="27"/>
        <v>0.23384210526315816</v>
      </c>
      <c r="E425" s="6">
        <f t="shared" si="23"/>
        <v>3.0199999999999991E-2</v>
      </c>
      <c r="F425" s="5">
        <f t="shared" si="24"/>
        <v>0.23384210526315816</v>
      </c>
    </row>
    <row r="426" spans="1:6" x14ac:dyDescent="0.25">
      <c r="A426" s="16">
        <f t="shared" si="26"/>
        <v>3.029999999999999E-2</v>
      </c>
      <c r="B426" s="5">
        <f t="shared" si="27"/>
        <v>0.2347222222222225</v>
      </c>
      <c r="E426" s="6">
        <f t="shared" si="23"/>
        <v>3.029999999999999E-2</v>
      </c>
      <c r="F426" s="5">
        <f t="shared" si="24"/>
        <v>0.2347222222222225</v>
      </c>
    </row>
    <row r="427" spans="1:6" x14ac:dyDescent="0.25">
      <c r="A427" s="16">
        <f t="shared" si="26"/>
        <v>3.039999999999999E-2</v>
      </c>
      <c r="B427" s="5">
        <f t="shared" si="27"/>
        <v>0.23560233918128684</v>
      </c>
      <c r="E427" s="6">
        <f t="shared" si="23"/>
        <v>3.039999999999999E-2</v>
      </c>
      <c r="F427" s="5">
        <f t="shared" si="24"/>
        <v>0.23560233918128684</v>
      </c>
    </row>
    <row r="428" spans="1:6" x14ac:dyDescent="0.25">
      <c r="A428" s="16">
        <f t="shared" si="26"/>
        <v>3.0499999999999989E-2</v>
      </c>
      <c r="B428" s="5">
        <f t="shared" si="27"/>
        <v>0.23648245614035118</v>
      </c>
      <c r="E428" s="6">
        <f t="shared" si="23"/>
        <v>3.0499999999999989E-2</v>
      </c>
      <c r="F428" s="5">
        <f t="shared" si="24"/>
        <v>0.23648245614035118</v>
      </c>
    </row>
    <row r="429" spans="1:6" x14ac:dyDescent="0.25">
      <c r="A429" s="16">
        <f t="shared" si="26"/>
        <v>3.0599999999999988E-2</v>
      </c>
      <c r="B429" s="5">
        <f t="shared" si="27"/>
        <v>0.23736257309941552</v>
      </c>
      <c r="E429" s="6">
        <f t="shared" si="23"/>
        <v>3.0599999999999988E-2</v>
      </c>
      <c r="F429" s="5">
        <f t="shared" si="24"/>
        <v>0.23736257309941552</v>
      </c>
    </row>
    <row r="430" spans="1:6" x14ac:dyDescent="0.25">
      <c r="A430" s="16">
        <f t="shared" si="26"/>
        <v>3.0699999999999988E-2</v>
      </c>
      <c r="B430" s="5">
        <f t="shared" si="27"/>
        <v>0.23824269005847987</v>
      </c>
      <c r="E430" s="6">
        <f t="shared" si="23"/>
        <v>3.0699999999999988E-2</v>
      </c>
      <c r="F430" s="5">
        <f t="shared" si="24"/>
        <v>0.23824269005847987</v>
      </c>
    </row>
    <row r="431" spans="1:6" x14ac:dyDescent="0.25">
      <c r="A431" s="16">
        <f t="shared" si="26"/>
        <v>3.0799999999999987E-2</v>
      </c>
      <c r="B431" s="5">
        <f t="shared" si="27"/>
        <v>0.23912280701754421</v>
      </c>
      <c r="E431" s="6">
        <f t="shared" si="23"/>
        <v>3.0799999999999987E-2</v>
      </c>
      <c r="F431" s="5">
        <f t="shared" si="24"/>
        <v>0.23912280701754421</v>
      </c>
    </row>
    <row r="432" spans="1:6" x14ac:dyDescent="0.25">
      <c r="A432" s="16">
        <f t="shared" si="26"/>
        <v>3.0899999999999987E-2</v>
      </c>
      <c r="B432" s="5">
        <f t="shared" si="27"/>
        <v>0.24000292397660855</v>
      </c>
      <c r="E432" s="6">
        <f t="shared" si="23"/>
        <v>3.0899999999999987E-2</v>
      </c>
      <c r="F432" s="5">
        <f t="shared" si="24"/>
        <v>0.24000292397660855</v>
      </c>
    </row>
    <row r="433" spans="1:6" x14ac:dyDescent="0.25">
      <c r="A433" s="16">
        <f t="shared" si="26"/>
        <v>3.0999999999999986E-2</v>
      </c>
      <c r="B433" s="5">
        <f t="shared" si="27"/>
        <v>0.24088304093567289</v>
      </c>
      <c r="E433" s="6">
        <f t="shared" si="23"/>
        <v>3.0999999999999986E-2</v>
      </c>
      <c r="F433" s="5">
        <f t="shared" si="24"/>
        <v>0.24088304093567289</v>
      </c>
    </row>
    <row r="434" spans="1:6" x14ac:dyDescent="0.25">
      <c r="A434" s="16">
        <f t="shared" si="26"/>
        <v>3.1099999999999985E-2</v>
      </c>
      <c r="B434" s="5">
        <f t="shared" si="27"/>
        <v>0.24176315789473724</v>
      </c>
      <c r="E434" s="6">
        <f t="shared" si="23"/>
        <v>3.1099999999999985E-2</v>
      </c>
      <c r="F434" s="5">
        <f t="shared" si="24"/>
        <v>0.24176315789473724</v>
      </c>
    </row>
    <row r="435" spans="1:6" x14ac:dyDescent="0.25">
      <c r="A435" s="16">
        <f t="shared" si="26"/>
        <v>3.1199999999999985E-2</v>
      </c>
      <c r="B435" s="5">
        <f t="shared" si="27"/>
        <v>0.24264327485380158</v>
      </c>
      <c r="E435" s="6">
        <f t="shared" si="23"/>
        <v>3.1199999999999985E-2</v>
      </c>
      <c r="F435" s="5">
        <f t="shared" si="24"/>
        <v>0.24264327485380158</v>
      </c>
    </row>
    <row r="436" spans="1:6" x14ac:dyDescent="0.25">
      <c r="A436" s="16">
        <f t="shared" si="26"/>
        <v>3.1299999999999988E-2</v>
      </c>
      <c r="B436" s="5">
        <f t="shared" si="27"/>
        <v>0.24352339181286592</v>
      </c>
      <c r="E436" s="6">
        <f t="shared" si="23"/>
        <v>3.1299999999999988E-2</v>
      </c>
      <c r="F436" s="5">
        <f t="shared" si="24"/>
        <v>0.24352339181286592</v>
      </c>
    </row>
    <row r="437" spans="1:6" x14ac:dyDescent="0.25">
      <c r="A437" s="16">
        <f t="shared" si="26"/>
        <v>3.139999999999999E-2</v>
      </c>
      <c r="B437" s="5">
        <f t="shared" si="27"/>
        <v>0.24440350877193026</v>
      </c>
      <c r="E437" s="6">
        <f t="shared" si="23"/>
        <v>3.139999999999999E-2</v>
      </c>
      <c r="F437" s="5">
        <f t="shared" si="24"/>
        <v>0.24440350877193026</v>
      </c>
    </row>
    <row r="438" spans="1:6" x14ac:dyDescent="0.25">
      <c r="A438" s="16">
        <f t="shared" si="26"/>
        <v>3.1499999999999993E-2</v>
      </c>
      <c r="B438" s="5">
        <f t="shared" si="27"/>
        <v>0.2452836257309946</v>
      </c>
      <c r="E438" s="6">
        <f t="shared" si="23"/>
        <v>3.1499999999999993E-2</v>
      </c>
      <c r="F438" s="5">
        <f t="shared" si="24"/>
        <v>0.2452836257309946</v>
      </c>
    </row>
    <row r="439" spans="1:6" x14ac:dyDescent="0.25">
      <c r="A439" s="16">
        <f t="shared" si="26"/>
        <v>3.1599999999999996E-2</v>
      </c>
      <c r="B439" s="5">
        <f t="shared" si="27"/>
        <v>0.24616374269005895</v>
      </c>
      <c r="E439" s="6">
        <f t="shared" si="23"/>
        <v>3.1599999999999996E-2</v>
      </c>
      <c r="F439" s="5">
        <f t="shared" si="24"/>
        <v>0.24616374269005895</v>
      </c>
    </row>
    <row r="440" spans="1:6" x14ac:dyDescent="0.25">
      <c r="A440" s="16">
        <f t="shared" si="26"/>
        <v>3.1699999999999999E-2</v>
      </c>
      <c r="B440" s="5">
        <f t="shared" si="27"/>
        <v>0.24704385964912329</v>
      </c>
      <c r="E440" s="6">
        <f t="shared" si="23"/>
        <v>3.1699999999999999E-2</v>
      </c>
      <c r="F440" s="5">
        <f t="shared" si="24"/>
        <v>0.24704385964912329</v>
      </c>
    </row>
    <row r="441" spans="1:6" x14ac:dyDescent="0.25">
      <c r="A441" s="16">
        <f t="shared" si="26"/>
        <v>3.1800000000000002E-2</v>
      </c>
      <c r="B441" s="5">
        <f t="shared" si="27"/>
        <v>0.24792397660818763</v>
      </c>
      <c r="E441" s="6">
        <f t="shared" si="23"/>
        <v>3.1800000000000002E-2</v>
      </c>
      <c r="F441" s="5">
        <f t="shared" si="24"/>
        <v>0.24792397660818763</v>
      </c>
    </row>
    <row r="442" spans="1:6" x14ac:dyDescent="0.25">
      <c r="A442" s="16">
        <f t="shared" si="26"/>
        <v>3.1900000000000005E-2</v>
      </c>
      <c r="B442" s="5">
        <f t="shared" si="27"/>
        <v>0.24880409356725197</v>
      </c>
      <c r="E442" s="6">
        <f t="shared" si="23"/>
        <v>3.1900000000000005E-2</v>
      </c>
      <c r="F442" s="5">
        <f t="shared" si="24"/>
        <v>0.24880409356725197</v>
      </c>
    </row>
    <row r="443" spans="1:6" x14ac:dyDescent="0.25">
      <c r="A443" s="16">
        <f t="shared" si="26"/>
        <v>3.2000000000000008E-2</v>
      </c>
      <c r="B443" s="5">
        <f t="shared" si="27"/>
        <v>0.24968421052631631</v>
      </c>
      <c r="E443" s="6">
        <f t="shared" si="23"/>
        <v>3.2000000000000008E-2</v>
      </c>
      <c r="F443" s="5">
        <f t="shared" si="24"/>
        <v>0.24968421052631631</v>
      </c>
    </row>
    <row r="444" spans="1:6" x14ac:dyDescent="0.25">
      <c r="A444" s="16">
        <f t="shared" si="26"/>
        <v>3.210000000000001E-2</v>
      </c>
      <c r="B444" s="5">
        <f t="shared" si="27"/>
        <v>0.25056432748538066</v>
      </c>
      <c r="E444" s="6">
        <f t="shared" si="23"/>
        <v>3.210000000000001E-2</v>
      </c>
      <c r="F444" s="5">
        <f t="shared" si="24"/>
        <v>0.25056432748538066</v>
      </c>
    </row>
    <row r="445" spans="1:6" x14ac:dyDescent="0.25">
      <c r="A445" s="16">
        <f t="shared" si="26"/>
        <v>3.2200000000000013E-2</v>
      </c>
      <c r="B445" s="5">
        <f t="shared" si="27"/>
        <v>0.25144444444444497</v>
      </c>
      <c r="E445" s="6">
        <f t="shared" si="23"/>
        <v>3.2200000000000013E-2</v>
      </c>
      <c r="F445" s="5">
        <f t="shared" si="24"/>
        <v>0.25144444444444497</v>
      </c>
    </row>
    <row r="446" spans="1:6" x14ac:dyDescent="0.25">
      <c r="A446" s="16">
        <f t="shared" si="26"/>
        <v>3.2300000000000016E-2</v>
      </c>
      <c r="B446" s="5">
        <f t="shared" si="27"/>
        <v>0.25232456140350928</v>
      </c>
      <c r="E446" s="6">
        <f t="shared" si="23"/>
        <v>3.2300000000000016E-2</v>
      </c>
      <c r="F446" s="5">
        <f t="shared" si="24"/>
        <v>0.25232456140350928</v>
      </c>
    </row>
    <row r="447" spans="1:6" x14ac:dyDescent="0.25">
      <c r="A447" s="6">
        <v>3.2399999999999998E-2</v>
      </c>
      <c r="B447" s="5">
        <f t="shared" si="27"/>
        <v>0.2532046783625736</v>
      </c>
      <c r="E447" s="6">
        <f t="shared" si="23"/>
        <v>3.2399999999999998E-2</v>
      </c>
      <c r="F447" s="5">
        <f t="shared" si="24"/>
        <v>0.2532046783625736</v>
      </c>
    </row>
    <row r="448" spans="1:6" x14ac:dyDescent="0.25">
      <c r="A448" s="16">
        <f t="shared" si="26"/>
        <v>3.2500000000000001E-2</v>
      </c>
      <c r="B448" s="5">
        <f t="shared" si="27"/>
        <v>0.25408479532163791</v>
      </c>
      <c r="E448" s="6">
        <f t="shared" si="23"/>
        <v>3.2500000000000001E-2</v>
      </c>
      <c r="F448" s="5">
        <f t="shared" si="24"/>
        <v>0.25408479532163791</v>
      </c>
    </row>
    <row r="449" spans="1:6" x14ac:dyDescent="0.25">
      <c r="A449" s="16">
        <f t="shared" si="26"/>
        <v>3.2600000000000004E-2</v>
      </c>
      <c r="B449" s="5">
        <f t="shared" si="27"/>
        <v>0.25496491228070223</v>
      </c>
      <c r="E449" s="6">
        <f t="shared" si="23"/>
        <v>3.2600000000000004E-2</v>
      </c>
      <c r="F449" s="5">
        <f t="shared" si="24"/>
        <v>0.25496491228070223</v>
      </c>
    </row>
    <row r="450" spans="1:6" x14ac:dyDescent="0.25">
      <c r="A450" s="16">
        <f t="shared" si="26"/>
        <v>3.2700000000000007E-2</v>
      </c>
      <c r="B450" s="5">
        <f t="shared" si="27"/>
        <v>0.25584502923976654</v>
      </c>
      <c r="E450" s="6">
        <f t="shared" ref="E450:E456" si="28">A450</f>
        <v>3.2700000000000007E-2</v>
      </c>
      <c r="F450" s="5">
        <f t="shared" ref="F450:F456" si="29">B450</f>
        <v>0.25584502923976654</v>
      </c>
    </row>
    <row r="451" spans="1:6" x14ac:dyDescent="0.25">
      <c r="A451" s="16">
        <f t="shared" si="26"/>
        <v>3.280000000000001E-2</v>
      </c>
      <c r="B451" s="5">
        <f t="shared" si="27"/>
        <v>0.25672514619883086</v>
      </c>
      <c r="E451" s="6">
        <f t="shared" si="28"/>
        <v>3.280000000000001E-2</v>
      </c>
      <c r="F451" s="5">
        <f t="shared" si="29"/>
        <v>0.25672514619883086</v>
      </c>
    </row>
    <row r="452" spans="1:6" x14ac:dyDescent="0.25">
      <c r="A452" s="16">
        <f t="shared" si="26"/>
        <v>3.2900000000000013E-2</v>
      </c>
      <c r="B452" s="5">
        <f t="shared" si="27"/>
        <v>0.25760526315789517</v>
      </c>
      <c r="E452" s="6">
        <f t="shared" si="28"/>
        <v>3.2900000000000013E-2</v>
      </c>
      <c r="F452" s="5">
        <f t="shared" si="29"/>
        <v>0.25760526315789517</v>
      </c>
    </row>
    <row r="453" spans="1:6" x14ac:dyDescent="0.25">
      <c r="A453" s="16">
        <f t="shared" si="26"/>
        <v>3.3000000000000015E-2</v>
      </c>
      <c r="B453" s="5">
        <f t="shared" si="27"/>
        <v>0.25848538011695948</v>
      </c>
      <c r="E453" s="6">
        <f t="shared" si="28"/>
        <v>3.3000000000000015E-2</v>
      </c>
      <c r="F453" s="5">
        <f t="shared" si="29"/>
        <v>0.25848538011695948</v>
      </c>
    </row>
    <row r="454" spans="1:6" x14ac:dyDescent="0.25">
      <c r="A454" s="16">
        <f t="shared" si="26"/>
        <v>3.3100000000000018E-2</v>
      </c>
      <c r="B454" s="5">
        <f t="shared" si="27"/>
        <v>0.2593654970760238</v>
      </c>
      <c r="E454" s="6">
        <f t="shared" si="28"/>
        <v>3.3100000000000018E-2</v>
      </c>
      <c r="F454" s="5">
        <f t="shared" si="29"/>
        <v>0.2593654970760238</v>
      </c>
    </row>
    <row r="455" spans="1:6" x14ac:dyDescent="0.25">
      <c r="A455" s="16">
        <f t="shared" si="26"/>
        <v>3.3200000000000021E-2</v>
      </c>
      <c r="B455" s="5">
        <f t="shared" si="27"/>
        <v>0.26024561403508811</v>
      </c>
      <c r="E455" s="6">
        <f t="shared" si="28"/>
        <v>3.3200000000000021E-2</v>
      </c>
      <c r="F455" s="5">
        <f t="shared" si="29"/>
        <v>0.26024561403508811</v>
      </c>
    </row>
    <row r="456" spans="1:6" x14ac:dyDescent="0.25">
      <c r="A456" s="16">
        <f t="shared" si="26"/>
        <v>3.3300000000000024E-2</v>
      </c>
      <c r="B456" s="5">
        <f t="shared" si="27"/>
        <v>0.26112573099415243</v>
      </c>
      <c r="E456" s="6">
        <f t="shared" si="28"/>
        <v>3.3300000000000024E-2</v>
      </c>
      <c r="F456" s="5">
        <f t="shared" si="29"/>
        <v>0.26112573099415243</v>
      </c>
    </row>
    <row r="457" spans="1:6" x14ac:dyDescent="0.25">
      <c r="A457" s="37">
        <v>3.3399999999999999E-2</v>
      </c>
      <c r="B457" s="38">
        <f t="shared" ref="B457:B488" si="30">B456+$H$4</f>
        <v>0.26200584795321674</v>
      </c>
      <c r="C457" s="36">
        <f t="shared" ref="C457:C488" si="31">B457-B456</f>
        <v>8.8011695906431431E-4</v>
      </c>
      <c r="E457" s="34">
        <f t="shared" ref="E457:E488" si="32">A457</f>
        <v>3.3399999999999999E-2</v>
      </c>
      <c r="F457" s="36">
        <f t="shared" ref="F457:F488" si="33">B457</f>
        <v>0.26200584795321674</v>
      </c>
    </row>
    <row r="458" spans="1:6" x14ac:dyDescent="0.25">
      <c r="A458" s="37">
        <v>3.3500000000000002E-2</v>
      </c>
      <c r="B458" s="38">
        <f t="shared" si="30"/>
        <v>0.26288596491228106</v>
      </c>
      <c r="C458" s="36">
        <f t="shared" si="31"/>
        <v>8.8011695906431431E-4</v>
      </c>
      <c r="E458" s="34">
        <f t="shared" si="32"/>
        <v>3.3500000000000002E-2</v>
      </c>
      <c r="F458" s="36">
        <f t="shared" si="33"/>
        <v>0.26288596491228106</v>
      </c>
    </row>
    <row r="459" spans="1:6" x14ac:dyDescent="0.25">
      <c r="A459" s="37">
        <v>3.3599999999999998E-2</v>
      </c>
      <c r="B459" s="38">
        <f t="shared" si="30"/>
        <v>0.26376608187134537</v>
      </c>
      <c r="C459" s="36">
        <f t="shared" si="31"/>
        <v>8.8011695906431431E-4</v>
      </c>
      <c r="E459" s="34">
        <f t="shared" si="32"/>
        <v>3.3599999999999998E-2</v>
      </c>
      <c r="F459" s="36">
        <f t="shared" si="33"/>
        <v>0.26376608187134537</v>
      </c>
    </row>
    <row r="460" spans="1:6" x14ac:dyDescent="0.25">
      <c r="A460" s="37">
        <v>3.3700000000000001E-2</v>
      </c>
      <c r="B460" s="38">
        <f t="shared" si="30"/>
        <v>0.26464619883040968</v>
      </c>
      <c r="C460" s="36">
        <f t="shared" si="31"/>
        <v>8.8011695906431431E-4</v>
      </c>
      <c r="E460" s="34">
        <f t="shared" si="32"/>
        <v>3.3700000000000001E-2</v>
      </c>
      <c r="F460" s="36">
        <f t="shared" si="33"/>
        <v>0.26464619883040968</v>
      </c>
    </row>
    <row r="461" spans="1:6" x14ac:dyDescent="0.25">
      <c r="A461" s="37">
        <v>3.3799999999999997E-2</v>
      </c>
      <c r="B461" s="38">
        <f t="shared" si="30"/>
        <v>0.265526315789474</v>
      </c>
      <c r="C461" s="36">
        <f t="shared" si="31"/>
        <v>8.8011695906431431E-4</v>
      </c>
      <c r="E461" s="34">
        <f t="shared" si="32"/>
        <v>3.3799999999999997E-2</v>
      </c>
      <c r="F461" s="36">
        <f t="shared" si="33"/>
        <v>0.265526315789474</v>
      </c>
    </row>
    <row r="462" spans="1:6" x14ac:dyDescent="0.25">
      <c r="A462" s="37">
        <v>3.39E-2</v>
      </c>
      <c r="B462" s="38">
        <f t="shared" si="30"/>
        <v>0.26640643274853831</v>
      </c>
      <c r="C462" s="36">
        <f t="shared" si="31"/>
        <v>8.8011695906431431E-4</v>
      </c>
      <c r="E462" s="34">
        <f t="shared" si="32"/>
        <v>3.39E-2</v>
      </c>
      <c r="F462" s="36">
        <f t="shared" si="33"/>
        <v>0.26640643274853831</v>
      </c>
    </row>
    <row r="463" spans="1:6" x14ac:dyDescent="0.25">
      <c r="A463" s="37">
        <v>3.4000000000000002E-2</v>
      </c>
      <c r="B463" s="38">
        <f t="shared" si="30"/>
        <v>0.26728654970760263</v>
      </c>
      <c r="C463" s="36">
        <f t="shared" si="31"/>
        <v>8.8011695906431431E-4</v>
      </c>
      <c r="E463" s="34">
        <f t="shared" si="32"/>
        <v>3.4000000000000002E-2</v>
      </c>
      <c r="F463" s="36">
        <f t="shared" si="33"/>
        <v>0.26728654970760263</v>
      </c>
    </row>
    <row r="464" spans="1:6" x14ac:dyDescent="0.25">
      <c r="A464" s="37">
        <v>3.4099999999999998E-2</v>
      </c>
      <c r="B464" s="38">
        <f t="shared" si="30"/>
        <v>0.26816666666666694</v>
      </c>
      <c r="C464" s="36">
        <f t="shared" si="31"/>
        <v>8.8011695906431431E-4</v>
      </c>
      <c r="E464" s="34">
        <f t="shared" si="32"/>
        <v>3.4099999999999998E-2</v>
      </c>
      <c r="F464" s="36">
        <f t="shared" si="33"/>
        <v>0.26816666666666694</v>
      </c>
    </row>
    <row r="465" spans="1:6" x14ac:dyDescent="0.25">
      <c r="A465" s="37">
        <v>3.4200000000000001E-2</v>
      </c>
      <c r="B465" s="38">
        <f t="shared" si="30"/>
        <v>0.26904678362573126</v>
      </c>
      <c r="C465" s="36">
        <f t="shared" si="31"/>
        <v>8.8011695906431431E-4</v>
      </c>
      <c r="E465" s="34">
        <f t="shared" si="32"/>
        <v>3.4200000000000001E-2</v>
      </c>
      <c r="F465" s="36">
        <f t="shared" si="33"/>
        <v>0.26904678362573126</v>
      </c>
    </row>
    <row r="466" spans="1:6" x14ac:dyDescent="0.25">
      <c r="A466" s="37">
        <v>3.4299999999999997E-2</v>
      </c>
      <c r="B466" s="38">
        <f t="shared" si="30"/>
        <v>0.26992690058479557</v>
      </c>
      <c r="C466" s="36">
        <f t="shared" si="31"/>
        <v>8.8011695906431431E-4</v>
      </c>
      <c r="E466" s="34">
        <f t="shared" si="32"/>
        <v>3.4299999999999997E-2</v>
      </c>
      <c r="F466" s="36">
        <f t="shared" si="33"/>
        <v>0.26992690058479557</v>
      </c>
    </row>
    <row r="467" spans="1:6" x14ac:dyDescent="0.25">
      <c r="A467" s="37">
        <v>3.44E-2</v>
      </c>
      <c r="B467" s="38">
        <f t="shared" si="30"/>
        <v>0.27080701754385988</v>
      </c>
      <c r="C467" s="36">
        <f t="shared" si="31"/>
        <v>8.8011695906431431E-4</v>
      </c>
      <c r="E467" s="34">
        <f t="shared" si="32"/>
        <v>3.44E-2</v>
      </c>
      <c r="F467" s="36">
        <f t="shared" si="33"/>
        <v>0.27080701754385988</v>
      </c>
    </row>
    <row r="468" spans="1:6" x14ac:dyDescent="0.25">
      <c r="A468" s="37">
        <v>3.4500000000000003E-2</v>
      </c>
      <c r="B468" s="38">
        <f t="shared" si="30"/>
        <v>0.2716871345029242</v>
      </c>
      <c r="C468" s="36">
        <f t="shared" si="31"/>
        <v>8.8011695906431431E-4</v>
      </c>
      <c r="E468" s="34">
        <f t="shared" si="32"/>
        <v>3.4500000000000003E-2</v>
      </c>
      <c r="F468" s="36">
        <f t="shared" si="33"/>
        <v>0.2716871345029242</v>
      </c>
    </row>
    <row r="469" spans="1:6" x14ac:dyDescent="0.25">
      <c r="A469" s="37">
        <v>3.4599999999999999E-2</v>
      </c>
      <c r="B469" s="38">
        <f t="shared" si="30"/>
        <v>0.27256725146198851</v>
      </c>
      <c r="C469" s="36">
        <f t="shared" si="31"/>
        <v>8.8011695906431431E-4</v>
      </c>
      <c r="E469" s="34">
        <f t="shared" si="32"/>
        <v>3.4599999999999999E-2</v>
      </c>
      <c r="F469" s="36">
        <f t="shared" si="33"/>
        <v>0.27256725146198851</v>
      </c>
    </row>
    <row r="470" spans="1:6" x14ac:dyDescent="0.25">
      <c r="A470" s="37">
        <v>3.4700000000000002E-2</v>
      </c>
      <c r="B470" s="38">
        <f t="shared" si="30"/>
        <v>0.27344736842105283</v>
      </c>
      <c r="C470" s="36">
        <f t="shared" si="31"/>
        <v>8.8011695906431431E-4</v>
      </c>
      <c r="E470" s="34">
        <f t="shared" si="32"/>
        <v>3.4700000000000002E-2</v>
      </c>
      <c r="F470" s="36">
        <f t="shared" si="33"/>
        <v>0.27344736842105283</v>
      </c>
    </row>
    <row r="471" spans="1:6" x14ac:dyDescent="0.25">
      <c r="A471" s="37">
        <v>3.4799999999999998E-2</v>
      </c>
      <c r="B471" s="38">
        <f t="shared" si="30"/>
        <v>0.27432748538011714</v>
      </c>
      <c r="C471" s="36">
        <f t="shared" si="31"/>
        <v>8.8011695906431431E-4</v>
      </c>
      <c r="E471" s="34">
        <f t="shared" si="32"/>
        <v>3.4799999999999998E-2</v>
      </c>
      <c r="F471" s="36">
        <f t="shared" si="33"/>
        <v>0.27432748538011714</v>
      </c>
    </row>
    <row r="472" spans="1:6" x14ac:dyDescent="0.25">
      <c r="A472" s="37">
        <v>3.49E-2</v>
      </c>
      <c r="B472" s="38">
        <f t="shared" si="30"/>
        <v>0.27520760233918146</v>
      </c>
      <c r="C472" s="36">
        <f t="shared" si="31"/>
        <v>8.8011695906431431E-4</v>
      </c>
      <c r="E472" s="34">
        <f t="shared" si="32"/>
        <v>3.49E-2</v>
      </c>
      <c r="F472" s="36">
        <f t="shared" si="33"/>
        <v>0.27520760233918146</v>
      </c>
    </row>
    <row r="473" spans="1:6" x14ac:dyDescent="0.25">
      <c r="A473" s="37">
        <v>3.5000000000000003E-2</v>
      </c>
      <c r="B473" s="38">
        <f t="shared" si="30"/>
        <v>0.27608771929824577</v>
      </c>
      <c r="C473" s="36">
        <f t="shared" si="31"/>
        <v>8.8011695906431431E-4</v>
      </c>
      <c r="E473" s="34">
        <f t="shared" si="32"/>
        <v>3.5000000000000003E-2</v>
      </c>
      <c r="F473" s="36">
        <f t="shared" si="33"/>
        <v>0.27608771929824577</v>
      </c>
    </row>
    <row r="474" spans="1:6" x14ac:dyDescent="0.25">
      <c r="A474" s="37">
        <v>3.5099999999999999E-2</v>
      </c>
      <c r="B474" s="38">
        <f t="shared" si="30"/>
        <v>0.27696783625731008</v>
      </c>
      <c r="C474" s="36">
        <f t="shared" si="31"/>
        <v>8.8011695906431431E-4</v>
      </c>
      <c r="E474" s="34">
        <f t="shared" si="32"/>
        <v>3.5099999999999999E-2</v>
      </c>
      <c r="F474" s="36">
        <f t="shared" si="33"/>
        <v>0.27696783625731008</v>
      </c>
    </row>
    <row r="475" spans="1:6" x14ac:dyDescent="0.25">
      <c r="A475" s="37">
        <v>3.5200000000000002E-2</v>
      </c>
      <c r="B475" s="38">
        <f t="shared" si="30"/>
        <v>0.2778479532163744</v>
      </c>
      <c r="C475" s="36">
        <f t="shared" si="31"/>
        <v>8.8011695906431431E-4</v>
      </c>
      <c r="E475" s="34">
        <f t="shared" si="32"/>
        <v>3.5200000000000002E-2</v>
      </c>
      <c r="F475" s="36">
        <f t="shared" si="33"/>
        <v>0.2778479532163744</v>
      </c>
    </row>
    <row r="476" spans="1:6" x14ac:dyDescent="0.25">
      <c r="A476" s="37">
        <v>3.5299999999999998E-2</v>
      </c>
      <c r="B476" s="38">
        <f t="shared" si="30"/>
        <v>0.27872807017543871</v>
      </c>
      <c r="C476" s="36">
        <f t="shared" si="31"/>
        <v>8.8011695906431431E-4</v>
      </c>
      <c r="E476" s="34">
        <f t="shared" si="32"/>
        <v>3.5299999999999998E-2</v>
      </c>
      <c r="F476" s="36">
        <f t="shared" si="33"/>
        <v>0.27872807017543871</v>
      </c>
    </row>
    <row r="477" spans="1:6" x14ac:dyDescent="0.25">
      <c r="A477" s="37">
        <v>3.5400000000000001E-2</v>
      </c>
      <c r="B477" s="38">
        <f t="shared" si="30"/>
        <v>0.27960818713450303</v>
      </c>
      <c r="C477" s="36">
        <f t="shared" si="31"/>
        <v>8.8011695906431431E-4</v>
      </c>
      <c r="E477" s="34">
        <f t="shared" si="32"/>
        <v>3.5400000000000001E-2</v>
      </c>
      <c r="F477" s="36">
        <f t="shared" si="33"/>
        <v>0.27960818713450303</v>
      </c>
    </row>
    <row r="478" spans="1:6" x14ac:dyDescent="0.25">
      <c r="A478" s="37">
        <v>3.5499999999999997E-2</v>
      </c>
      <c r="B478" s="38">
        <f t="shared" si="30"/>
        <v>0.28048830409356734</v>
      </c>
      <c r="C478" s="36">
        <f t="shared" si="31"/>
        <v>8.8011695906431431E-4</v>
      </c>
      <c r="E478" s="34">
        <f t="shared" si="32"/>
        <v>3.5499999999999997E-2</v>
      </c>
      <c r="F478" s="36">
        <f t="shared" si="33"/>
        <v>0.28048830409356734</v>
      </c>
    </row>
    <row r="479" spans="1:6" x14ac:dyDescent="0.25">
      <c r="A479" s="37">
        <v>3.56E-2</v>
      </c>
      <c r="B479" s="38">
        <f t="shared" si="30"/>
        <v>0.28136842105263166</v>
      </c>
      <c r="C479" s="36">
        <f t="shared" si="31"/>
        <v>8.8011695906431431E-4</v>
      </c>
      <c r="E479" s="34">
        <f t="shared" si="32"/>
        <v>3.56E-2</v>
      </c>
      <c r="F479" s="36">
        <f t="shared" si="33"/>
        <v>0.28136842105263166</v>
      </c>
    </row>
    <row r="480" spans="1:6" x14ac:dyDescent="0.25">
      <c r="A480" s="37">
        <v>3.5700000000000003E-2</v>
      </c>
      <c r="B480" s="38">
        <f t="shared" si="30"/>
        <v>0.28224853801169597</v>
      </c>
      <c r="C480" s="36">
        <f t="shared" si="31"/>
        <v>8.8011695906431431E-4</v>
      </c>
      <c r="E480" s="34">
        <f t="shared" si="32"/>
        <v>3.5700000000000003E-2</v>
      </c>
      <c r="F480" s="36">
        <f t="shared" si="33"/>
        <v>0.28224853801169597</v>
      </c>
    </row>
    <row r="481" spans="1:6" x14ac:dyDescent="0.25">
      <c r="A481" s="37">
        <v>3.5799999999999998E-2</v>
      </c>
      <c r="B481" s="38">
        <f t="shared" si="30"/>
        <v>0.28312865497076029</v>
      </c>
      <c r="C481" s="36">
        <f t="shared" si="31"/>
        <v>8.8011695906431431E-4</v>
      </c>
      <c r="E481" s="34">
        <f t="shared" si="32"/>
        <v>3.5799999999999998E-2</v>
      </c>
      <c r="F481" s="36">
        <f t="shared" si="33"/>
        <v>0.28312865497076029</v>
      </c>
    </row>
    <row r="482" spans="1:6" x14ac:dyDescent="0.25">
      <c r="A482" s="37">
        <v>3.5900000000000001E-2</v>
      </c>
      <c r="B482" s="38">
        <f t="shared" si="30"/>
        <v>0.2840087719298246</v>
      </c>
      <c r="C482" s="36">
        <f t="shared" si="31"/>
        <v>8.8011695906431431E-4</v>
      </c>
      <c r="E482" s="34">
        <f t="shared" si="32"/>
        <v>3.5900000000000001E-2</v>
      </c>
      <c r="F482" s="36">
        <f t="shared" si="33"/>
        <v>0.2840087719298246</v>
      </c>
    </row>
    <row r="483" spans="1:6" x14ac:dyDescent="0.25">
      <c r="A483" s="37">
        <v>3.5999999999999997E-2</v>
      </c>
      <c r="B483" s="38">
        <f t="shared" si="30"/>
        <v>0.28488888888888891</v>
      </c>
      <c r="C483" s="36">
        <f t="shared" si="31"/>
        <v>8.8011695906431431E-4</v>
      </c>
      <c r="E483" s="34">
        <f t="shared" si="32"/>
        <v>3.5999999999999997E-2</v>
      </c>
      <c r="F483" s="36">
        <f t="shared" si="33"/>
        <v>0.28488888888888891</v>
      </c>
    </row>
    <row r="484" spans="1:6" x14ac:dyDescent="0.25">
      <c r="A484" s="37">
        <v>3.61E-2</v>
      </c>
      <c r="B484" s="38">
        <f t="shared" si="30"/>
        <v>0.28576900584795323</v>
      </c>
      <c r="C484" s="36">
        <f t="shared" si="31"/>
        <v>8.8011695906431431E-4</v>
      </c>
      <c r="E484" s="34">
        <f t="shared" si="32"/>
        <v>3.61E-2</v>
      </c>
      <c r="F484" s="36">
        <f t="shared" si="33"/>
        <v>0.28576900584795323</v>
      </c>
    </row>
    <row r="485" spans="1:6" x14ac:dyDescent="0.25">
      <c r="A485" s="37">
        <v>3.6200000000000003E-2</v>
      </c>
      <c r="B485" s="38">
        <f t="shared" si="30"/>
        <v>0.28664912280701754</v>
      </c>
      <c r="C485" s="36">
        <f t="shared" si="31"/>
        <v>8.8011695906431431E-4</v>
      </c>
      <c r="E485" s="34">
        <f t="shared" si="32"/>
        <v>3.6200000000000003E-2</v>
      </c>
      <c r="F485" s="36">
        <f t="shared" si="33"/>
        <v>0.28664912280701754</v>
      </c>
    </row>
    <row r="486" spans="1:6" x14ac:dyDescent="0.25">
      <c r="A486" s="37">
        <v>3.6299999999999999E-2</v>
      </c>
      <c r="B486" s="38">
        <f t="shared" si="30"/>
        <v>0.28752923976608186</v>
      </c>
      <c r="C486" s="36">
        <f t="shared" si="31"/>
        <v>8.8011695906431431E-4</v>
      </c>
      <c r="E486" s="34">
        <f t="shared" si="32"/>
        <v>3.6299999999999999E-2</v>
      </c>
      <c r="F486" s="36">
        <f t="shared" si="33"/>
        <v>0.28752923976608186</v>
      </c>
    </row>
    <row r="487" spans="1:6" x14ac:dyDescent="0.25">
      <c r="A487" s="37">
        <v>3.6400000000000002E-2</v>
      </c>
      <c r="B487" s="38">
        <f t="shared" si="30"/>
        <v>0.28840935672514617</v>
      </c>
      <c r="C487" s="36">
        <f t="shared" si="31"/>
        <v>8.8011695906431431E-4</v>
      </c>
      <c r="E487" s="34">
        <f t="shared" si="32"/>
        <v>3.6400000000000002E-2</v>
      </c>
      <c r="F487" s="36">
        <f t="shared" si="33"/>
        <v>0.28840935672514617</v>
      </c>
    </row>
    <row r="488" spans="1:6" x14ac:dyDescent="0.25">
      <c r="A488" s="37">
        <v>3.6499999999999998E-2</v>
      </c>
      <c r="B488" s="38">
        <f t="shared" si="30"/>
        <v>0.28928947368421049</v>
      </c>
      <c r="C488" s="36">
        <f t="shared" si="31"/>
        <v>8.8011695906431431E-4</v>
      </c>
      <c r="E488" s="34">
        <f t="shared" si="32"/>
        <v>3.6499999999999998E-2</v>
      </c>
      <c r="F488" s="36">
        <f t="shared" si="33"/>
        <v>0.28928947368421049</v>
      </c>
    </row>
    <row r="489" spans="1:6" x14ac:dyDescent="0.25">
      <c r="A489" s="37">
        <v>3.6600000000000001E-2</v>
      </c>
      <c r="B489" s="38">
        <f t="shared" ref="B489:B520" si="34">B488+$H$4</f>
        <v>0.2901695906432748</v>
      </c>
      <c r="C489" s="36">
        <f t="shared" ref="C489:C520" si="35">B489-B488</f>
        <v>8.8011695906431431E-4</v>
      </c>
      <c r="E489" s="34">
        <f t="shared" ref="E489:E520" si="36">A489</f>
        <v>3.6600000000000001E-2</v>
      </c>
      <c r="F489" s="36">
        <f t="shared" ref="F489:F520" si="37">B489</f>
        <v>0.2901695906432748</v>
      </c>
    </row>
    <row r="490" spans="1:6" x14ac:dyDescent="0.25">
      <c r="A490" s="37">
        <v>3.6700000000000003E-2</v>
      </c>
      <c r="B490" s="38">
        <f t="shared" si="34"/>
        <v>0.29104970760233911</v>
      </c>
      <c r="C490" s="36">
        <f t="shared" si="35"/>
        <v>8.8011695906431431E-4</v>
      </c>
      <c r="E490" s="34">
        <f t="shared" si="36"/>
        <v>3.6700000000000003E-2</v>
      </c>
      <c r="F490" s="36">
        <f t="shared" si="37"/>
        <v>0.29104970760233911</v>
      </c>
    </row>
    <row r="491" spans="1:6" x14ac:dyDescent="0.25">
      <c r="A491" s="37">
        <v>3.6799999999999999E-2</v>
      </c>
      <c r="B491" s="38">
        <f t="shared" si="34"/>
        <v>0.29192982456140343</v>
      </c>
      <c r="C491" s="36">
        <f t="shared" si="35"/>
        <v>8.8011695906431431E-4</v>
      </c>
      <c r="E491" s="34">
        <f t="shared" si="36"/>
        <v>3.6799999999999999E-2</v>
      </c>
      <c r="F491" s="36">
        <f t="shared" si="37"/>
        <v>0.29192982456140343</v>
      </c>
    </row>
    <row r="492" spans="1:6" x14ac:dyDescent="0.25">
      <c r="A492" s="37">
        <v>3.6900000000000002E-2</v>
      </c>
      <c r="B492" s="38">
        <f t="shared" si="34"/>
        <v>0.29280994152046774</v>
      </c>
      <c r="C492" s="36">
        <f t="shared" si="35"/>
        <v>8.8011695906431431E-4</v>
      </c>
      <c r="E492" s="34">
        <f t="shared" si="36"/>
        <v>3.6900000000000002E-2</v>
      </c>
      <c r="F492" s="36">
        <f t="shared" si="37"/>
        <v>0.29280994152046774</v>
      </c>
    </row>
    <row r="493" spans="1:6" x14ac:dyDescent="0.25">
      <c r="A493" s="37">
        <v>3.6999999999999998E-2</v>
      </c>
      <c r="B493" s="38">
        <f t="shared" si="34"/>
        <v>0.29369005847953206</v>
      </c>
      <c r="C493" s="36">
        <f t="shared" si="35"/>
        <v>8.8011695906431431E-4</v>
      </c>
      <c r="E493" s="34">
        <f t="shared" si="36"/>
        <v>3.6999999999999998E-2</v>
      </c>
      <c r="F493" s="36">
        <f t="shared" si="37"/>
        <v>0.29369005847953206</v>
      </c>
    </row>
    <row r="494" spans="1:6" x14ac:dyDescent="0.25">
      <c r="A494" s="37">
        <v>3.7100000000000001E-2</v>
      </c>
      <c r="B494" s="38">
        <f t="shared" si="34"/>
        <v>0.29457017543859637</v>
      </c>
      <c r="C494" s="36">
        <f t="shared" si="35"/>
        <v>8.8011695906431431E-4</v>
      </c>
      <c r="E494" s="34">
        <f t="shared" si="36"/>
        <v>3.7100000000000001E-2</v>
      </c>
      <c r="F494" s="36">
        <f t="shared" si="37"/>
        <v>0.29457017543859637</v>
      </c>
    </row>
    <row r="495" spans="1:6" x14ac:dyDescent="0.25">
      <c r="A495" s="37">
        <v>3.7199999999999997E-2</v>
      </c>
      <c r="B495" s="38">
        <f t="shared" si="34"/>
        <v>0.29545029239766069</v>
      </c>
      <c r="C495" s="36">
        <f t="shared" si="35"/>
        <v>8.8011695906431431E-4</v>
      </c>
      <c r="E495" s="34">
        <f t="shared" si="36"/>
        <v>3.7199999999999997E-2</v>
      </c>
      <c r="F495" s="36">
        <f t="shared" si="37"/>
        <v>0.29545029239766069</v>
      </c>
    </row>
    <row r="496" spans="1:6" x14ac:dyDescent="0.25">
      <c r="A496" s="37">
        <v>3.73E-2</v>
      </c>
      <c r="B496" s="38">
        <f t="shared" si="34"/>
        <v>0.296330409356725</v>
      </c>
      <c r="C496" s="36">
        <f t="shared" si="35"/>
        <v>8.8011695906431431E-4</v>
      </c>
      <c r="E496" s="34">
        <f t="shared" si="36"/>
        <v>3.73E-2</v>
      </c>
      <c r="F496" s="36">
        <f t="shared" si="37"/>
        <v>0.296330409356725</v>
      </c>
    </row>
    <row r="497" spans="1:6" x14ac:dyDescent="0.25">
      <c r="A497" s="37">
        <v>3.7400000000000003E-2</v>
      </c>
      <c r="B497" s="38">
        <f t="shared" si="34"/>
        <v>0.29721052631578931</v>
      </c>
      <c r="C497" s="36">
        <f t="shared" si="35"/>
        <v>8.8011695906431431E-4</v>
      </c>
      <c r="E497" s="34">
        <f t="shared" si="36"/>
        <v>3.7400000000000003E-2</v>
      </c>
      <c r="F497" s="36">
        <f t="shared" si="37"/>
        <v>0.29721052631578931</v>
      </c>
    </row>
    <row r="498" spans="1:6" x14ac:dyDescent="0.25">
      <c r="A498" s="37">
        <v>3.7499999999999999E-2</v>
      </c>
      <c r="B498" s="38">
        <f t="shared" si="34"/>
        <v>0.29809064327485363</v>
      </c>
      <c r="C498" s="36">
        <f t="shared" si="35"/>
        <v>8.8011695906431431E-4</v>
      </c>
      <c r="E498" s="34">
        <f t="shared" si="36"/>
        <v>3.7499999999999999E-2</v>
      </c>
      <c r="F498" s="36">
        <f t="shared" si="37"/>
        <v>0.29809064327485363</v>
      </c>
    </row>
    <row r="499" spans="1:6" x14ac:dyDescent="0.25">
      <c r="A499" s="37">
        <v>3.7600000000000001E-2</v>
      </c>
      <c r="B499" s="38">
        <f t="shared" si="34"/>
        <v>0.29897076023391794</v>
      </c>
      <c r="C499" s="36">
        <f t="shared" si="35"/>
        <v>8.8011695906431431E-4</v>
      </c>
      <c r="E499" s="34">
        <f t="shared" si="36"/>
        <v>3.7600000000000001E-2</v>
      </c>
      <c r="F499" s="36">
        <f t="shared" si="37"/>
        <v>0.29897076023391794</v>
      </c>
    </row>
    <row r="500" spans="1:6" x14ac:dyDescent="0.25">
      <c r="A500" s="37">
        <v>3.7699999999999997E-2</v>
      </c>
      <c r="B500" s="38">
        <f t="shared" si="34"/>
        <v>0.29985087719298226</v>
      </c>
      <c r="C500" s="36">
        <f t="shared" si="35"/>
        <v>8.8011695906431431E-4</v>
      </c>
      <c r="E500" s="34">
        <f t="shared" si="36"/>
        <v>3.7699999999999997E-2</v>
      </c>
      <c r="F500" s="36">
        <f t="shared" si="37"/>
        <v>0.29985087719298226</v>
      </c>
    </row>
    <row r="501" spans="1:6" x14ac:dyDescent="0.25">
      <c r="A501" s="37">
        <v>3.78E-2</v>
      </c>
      <c r="B501" s="38">
        <f t="shared" si="34"/>
        <v>0.30073099415204657</v>
      </c>
      <c r="C501" s="36">
        <f t="shared" si="35"/>
        <v>8.8011695906431431E-4</v>
      </c>
      <c r="E501" s="34">
        <f t="shared" si="36"/>
        <v>3.78E-2</v>
      </c>
      <c r="F501" s="36">
        <f t="shared" si="37"/>
        <v>0.30073099415204657</v>
      </c>
    </row>
    <row r="502" spans="1:6" x14ac:dyDescent="0.25">
      <c r="A502" s="37">
        <v>3.7900000000000003E-2</v>
      </c>
      <c r="B502" s="38">
        <f t="shared" si="34"/>
        <v>0.30161111111111089</v>
      </c>
      <c r="C502" s="36">
        <f t="shared" si="35"/>
        <v>8.8011695906431431E-4</v>
      </c>
      <c r="E502" s="34">
        <f t="shared" si="36"/>
        <v>3.7900000000000003E-2</v>
      </c>
      <c r="F502" s="36">
        <f t="shared" si="37"/>
        <v>0.30161111111111089</v>
      </c>
    </row>
    <row r="503" spans="1:6" x14ac:dyDescent="0.25">
      <c r="A503" s="37">
        <v>3.7999999999999999E-2</v>
      </c>
      <c r="B503" s="38">
        <f t="shared" si="34"/>
        <v>0.3024912280701752</v>
      </c>
      <c r="C503" s="36">
        <f t="shared" si="35"/>
        <v>8.8011695906431431E-4</v>
      </c>
      <c r="E503" s="34">
        <f t="shared" si="36"/>
        <v>3.7999999999999999E-2</v>
      </c>
      <c r="F503" s="36">
        <f t="shared" si="37"/>
        <v>0.3024912280701752</v>
      </c>
    </row>
    <row r="504" spans="1:6" x14ac:dyDescent="0.25">
      <c r="A504" s="37">
        <v>3.8100000000000002E-2</v>
      </c>
      <c r="B504" s="38">
        <f t="shared" si="34"/>
        <v>0.30337134502923951</v>
      </c>
      <c r="C504" s="36">
        <f t="shared" si="35"/>
        <v>8.8011695906431431E-4</v>
      </c>
      <c r="E504" s="34">
        <f t="shared" si="36"/>
        <v>3.8100000000000002E-2</v>
      </c>
      <c r="F504" s="36">
        <f t="shared" si="37"/>
        <v>0.30337134502923951</v>
      </c>
    </row>
    <row r="505" spans="1:6" x14ac:dyDescent="0.25">
      <c r="A505" s="37">
        <v>3.8199999999999998E-2</v>
      </c>
      <c r="B505" s="38">
        <f t="shared" si="34"/>
        <v>0.30425146198830383</v>
      </c>
      <c r="C505" s="36">
        <f t="shared" si="35"/>
        <v>8.8011695906431431E-4</v>
      </c>
      <c r="E505" s="34">
        <f t="shared" si="36"/>
        <v>3.8199999999999998E-2</v>
      </c>
      <c r="F505" s="36">
        <f t="shared" si="37"/>
        <v>0.30425146198830383</v>
      </c>
    </row>
    <row r="506" spans="1:6" x14ac:dyDescent="0.25">
      <c r="A506" s="37">
        <v>3.8300000000000001E-2</v>
      </c>
      <c r="B506" s="38">
        <f t="shared" si="34"/>
        <v>0.30513157894736814</v>
      </c>
      <c r="C506" s="36">
        <f t="shared" si="35"/>
        <v>8.8011695906431431E-4</v>
      </c>
      <c r="E506" s="34">
        <f t="shared" si="36"/>
        <v>3.8300000000000001E-2</v>
      </c>
      <c r="F506" s="36">
        <f t="shared" si="37"/>
        <v>0.30513157894736814</v>
      </c>
    </row>
    <row r="507" spans="1:6" x14ac:dyDescent="0.25">
      <c r="A507" s="37">
        <v>3.8399999999999997E-2</v>
      </c>
      <c r="B507" s="38">
        <f t="shared" si="34"/>
        <v>0.30601169590643246</v>
      </c>
      <c r="C507" s="36">
        <f t="shared" si="35"/>
        <v>8.8011695906431431E-4</v>
      </c>
      <c r="E507" s="34">
        <f t="shared" si="36"/>
        <v>3.8399999999999997E-2</v>
      </c>
      <c r="F507" s="36">
        <f t="shared" si="37"/>
        <v>0.30601169590643246</v>
      </c>
    </row>
    <row r="508" spans="1:6" x14ac:dyDescent="0.25">
      <c r="A508" s="37">
        <v>3.85E-2</v>
      </c>
      <c r="B508" s="38">
        <f t="shared" si="34"/>
        <v>0.30689181286549677</v>
      </c>
      <c r="C508" s="36">
        <f t="shared" si="35"/>
        <v>8.8011695906431431E-4</v>
      </c>
      <c r="E508" s="34">
        <f t="shared" si="36"/>
        <v>3.85E-2</v>
      </c>
      <c r="F508" s="36">
        <f t="shared" si="37"/>
        <v>0.30689181286549677</v>
      </c>
    </row>
    <row r="509" spans="1:6" x14ac:dyDescent="0.25">
      <c r="A509" s="37">
        <v>3.8600000000000002E-2</v>
      </c>
      <c r="B509" s="38">
        <f t="shared" si="34"/>
        <v>0.30777192982456109</v>
      </c>
      <c r="C509" s="36">
        <f t="shared" si="35"/>
        <v>8.8011695906431431E-4</v>
      </c>
      <c r="E509" s="34">
        <f t="shared" si="36"/>
        <v>3.8600000000000002E-2</v>
      </c>
      <c r="F509" s="36">
        <f t="shared" si="37"/>
        <v>0.30777192982456109</v>
      </c>
    </row>
    <row r="510" spans="1:6" x14ac:dyDescent="0.25">
      <c r="A510" s="37">
        <v>3.8699999999999998E-2</v>
      </c>
      <c r="B510" s="38">
        <f t="shared" si="34"/>
        <v>0.3086520467836254</v>
      </c>
      <c r="C510" s="36">
        <f t="shared" si="35"/>
        <v>8.8011695906431431E-4</v>
      </c>
      <c r="E510" s="34">
        <f t="shared" si="36"/>
        <v>3.8699999999999998E-2</v>
      </c>
      <c r="F510" s="36">
        <f t="shared" si="37"/>
        <v>0.3086520467836254</v>
      </c>
    </row>
    <row r="511" spans="1:6" x14ac:dyDescent="0.25">
      <c r="A511" s="37">
        <v>3.8800000000000001E-2</v>
      </c>
      <c r="B511" s="38">
        <f t="shared" si="34"/>
        <v>0.30953216374268971</v>
      </c>
      <c r="C511" s="36">
        <f t="shared" si="35"/>
        <v>8.8011695906431431E-4</v>
      </c>
      <c r="E511" s="34">
        <f t="shared" si="36"/>
        <v>3.8800000000000001E-2</v>
      </c>
      <c r="F511" s="36">
        <f t="shared" si="37"/>
        <v>0.30953216374268971</v>
      </c>
    </row>
    <row r="512" spans="1:6" x14ac:dyDescent="0.25">
      <c r="A512" s="37">
        <v>3.8899999999999997E-2</v>
      </c>
      <c r="B512" s="38">
        <f t="shared" si="34"/>
        <v>0.31041228070175403</v>
      </c>
      <c r="C512" s="36">
        <f t="shared" si="35"/>
        <v>8.8011695906431431E-4</v>
      </c>
      <c r="E512" s="34">
        <f t="shared" si="36"/>
        <v>3.8899999999999997E-2</v>
      </c>
      <c r="F512" s="36">
        <f t="shared" si="37"/>
        <v>0.31041228070175403</v>
      </c>
    </row>
    <row r="513" spans="1:6" x14ac:dyDescent="0.25">
      <c r="A513" s="37">
        <v>3.9E-2</v>
      </c>
      <c r="B513" s="38">
        <f t="shared" si="34"/>
        <v>0.31129239766081834</v>
      </c>
      <c r="C513" s="36">
        <f t="shared" si="35"/>
        <v>8.8011695906431431E-4</v>
      </c>
      <c r="E513" s="34">
        <f t="shared" si="36"/>
        <v>3.9E-2</v>
      </c>
      <c r="F513" s="36">
        <f t="shared" si="37"/>
        <v>0.31129239766081834</v>
      </c>
    </row>
    <row r="514" spans="1:6" x14ac:dyDescent="0.25">
      <c r="A514" s="37">
        <v>3.9100000000000003E-2</v>
      </c>
      <c r="B514" s="38">
        <f t="shared" si="34"/>
        <v>0.31217251461988266</v>
      </c>
      <c r="C514" s="36">
        <f t="shared" si="35"/>
        <v>8.8011695906431431E-4</v>
      </c>
      <c r="E514" s="34">
        <f t="shared" si="36"/>
        <v>3.9100000000000003E-2</v>
      </c>
      <c r="F514" s="36">
        <f t="shared" si="37"/>
        <v>0.31217251461988266</v>
      </c>
    </row>
    <row r="515" spans="1:6" x14ac:dyDescent="0.25">
      <c r="A515" s="37">
        <v>3.9199999999999999E-2</v>
      </c>
      <c r="B515" s="38">
        <f t="shared" si="34"/>
        <v>0.31305263157894697</v>
      </c>
      <c r="C515" s="36">
        <f t="shared" si="35"/>
        <v>8.8011695906431431E-4</v>
      </c>
      <c r="E515" s="34">
        <f t="shared" si="36"/>
        <v>3.9199999999999999E-2</v>
      </c>
      <c r="F515" s="36">
        <f t="shared" si="37"/>
        <v>0.31305263157894697</v>
      </c>
    </row>
    <row r="516" spans="1:6" x14ac:dyDescent="0.25">
      <c r="A516" s="37">
        <v>3.9300000000000002E-2</v>
      </c>
      <c r="B516" s="38">
        <f t="shared" si="34"/>
        <v>0.31393274853801129</v>
      </c>
      <c r="C516" s="36">
        <f t="shared" si="35"/>
        <v>8.8011695906431431E-4</v>
      </c>
      <c r="E516" s="34">
        <f t="shared" si="36"/>
        <v>3.9300000000000002E-2</v>
      </c>
      <c r="F516" s="36">
        <f t="shared" si="37"/>
        <v>0.31393274853801129</v>
      </c>
    </row>
    <row r="517" spans="1:6" x14ac:dyDescent="0.25">
      <c r="A517" s="37">
        <v>3.9399999999999998E-2</v>
      </c>
      <c r="B517" s="38">
        <f t="shared" si="34"/>
        <v>0.3148128654970756</v>
      </c>
      <c r="C517" s="36">
        <f t="shared" si="35"/>
        <v>8.8011695906431431E-4</v>
      </c>
      <c r="E517" s="34">
        <f t="shared" si="36"/>
        <v>3.9399999999999998E-2</v>
      </c>
      <c r="F517" s="36">
        <f t="shared" si="37"/>
        <v>0.3148128654970756</v>
      </c>
    </row>
    <row r="518" spans="1:6" x14ac:dyDescent="0.25">
      <c r="A518" s="37">
        <v>3.95E-2</v>
      </c>
      <c r="B518" s="38">
        <f t="shared" si="34"/>
        <v>0.31569298245613991</v>
      </c>
      <c r="C518" s="36">
        <f t="shared" si="35"/>
        <v>8.8011695906431431E-4</v>
      </c>
      <c r="E518" s="34">
        <f t="shared" si="36"/>
        <v>3.95E-2</v>
      </c>
      <c r="F518" s="36">
        <f t="shared" si="37"/>
        <v>0.31569298245613991</v>
      </c>
    </row>
    <row r="519" spans="1:6" x14ac:dyDescent="0.25">
      <c r="A519" s="37">
        <v>3.9600000000000003E-2</v>
      </c>
      <c r="B519" s="38">
        <f t="shared" si="34"/>
        <v>0.31657309941520423</v>
      </c>
      <c r="C519" s="36">
        <f t="shared" si="35"/>
        <v>8.8011695906431431E-4</v>
      </c>
      <c r="E519" s="34">
        <f t="shared" si="36"/>
        <v>3.9600000000000003E-2</v>
      </c>
      <c r="F519" s="36">
        <f t="shared" si="37"/>
        <v>0.31657309941520423</v>
      </c>
    </row>
    <row r="520" spans="1:6" x14ac:dyDescent="0.25">
      <c r="A520" s="37">
        <v>3.9699999999999999E-2</v>
      </c>
      <c r="B520" s="38">
        <f t="shared" si="34"/>
        <v>0.31745321637426854</v>
      </c>
      <c r="C520" s="36">
        <f t="shared" si="35"/>
        <v>8.8011695906431431E-4</v>
      </c>
      <c r="E520" s="34">
        <f t="shared" si="36"/>
        <v>3.9699999999999999E-2</v>
      </c>
      <c r="F520" s="36">
        <f t="shared" si="37"/>
        <v>0.31745321637426854</v>
      </c>
    </row>
    <row r="521" spans="1:6" x14ac:dyDescent="0.25">
      <c r="A521" s="37">
        <v>3.9800000000000002E-2</v>
      </c>
      <c r="B521" s="38">
        <f t="shared" ref="B521:B552" si="38">B520+$H$4</f>
        <v>0.31833333333333286</v>
      </c>
      <c r="C521" s="36">
        <f t="shared" ref="C521:C552" si="39">B521-B520</f>
        <v>8.8011695906431431E-4</v>
      </c>
      <c r="E521" s="34">
        <f t="shared" ref="E521:E552" si="40">A521</f>
        <v>3.9800000000000002E-2</v>
      </c>
      <c r="F521" s="36">
        <f t="shared" ref="F521:F552" si="41">B521</f>
        <v>0.31833333333333286</v>
      </c>
    </row>
    <row r="522" spans="1:6" x14ac:dyDescent="0.25">
      <c r="A522" s="37">
        <v>3.9899999999999998E-2</v>
      </c>
      <c r="B522" s="38">
        <f t="shared" si="38"/>
        <v>0.31921345029239717</v>
      </c>
      <c r="C522" s="36">
        <f t="shared" si="39"/>
        <v>8.8011695906431431E-4</v>
      </c>
      <c r="E522" s="34">
        <f t="shared" si="40"/>
        <v>3.9899999999999998E-2</v>
      </c>
      <c r="F522" s="36">
        <f t="shared" si="41"/>
        <v>0.31921345029239717</v>
      </c>
    </row>
    <row r="523" spans="1:6" x14ac:dyDescent="0.25">
      <c r="A523" s="37">
        <v>0.04</v>
      </c>
      <c r="B523" s="38">
        <f t="shared" si="38"/>
        <v>0.32009356725146149</v>
      </c>
      <c r="C523" s="36">
        <f t="shared" si="39"/>
        <v>8.8011695906431431E-4</v>
      </c>
      <c r="E523" s="34">
        <f t="shared" si="40"/>
        <v>0.04</v>
      </c>
      <c r="F523" s="36">
        <f t="shared" si="41"/>
        <v>0.32009356725146149</v>
      </c>
    </row>
    <row r="524" spans="1:6" x14ac:dyDescent="0.25">
      <c r="A524" s="37">
        <v>4.0099999999999997E-2</v>
      </c>
      <c r="B524" s="38">
        <f t="shared" si="38"/>
        <v>0.3209736842105258</v>
      </c>
      <c r="C524" s="36">
        <f t="shared" si="39"/>
        <v>8.8011695906431431E-4</v>
      </c>
      <c r="E524" s="34">
        <f t="shared" si="40"/>
        <v>4.0099999999999997E-2</v>
      </c>
      <c r="F524" s="36">
        <f t="shared" si="41"/>
        <v>0.3209736842105258</v>
      </c>
    </row>
    <row r="525" spans="1:6" x14ac:dyDescent="0.25">
      <c r="A525" s="37">
        <v>4.02E-2</v>
      </c>
      <c r="B525" s="38">
        <f t="shared" si="38"/>
        <v>0.32185380116959011</v>
      </c>
      <c r="C525" s="36">
        <f t="shared" si="39"/>
        <v>8.8011695906431431E-4</v>
      </c>
      <c r="E525" s="34">
        <f t="shared" si="40"/>
        <v>4.02E-2</v>
      </c>
      <c r="F525" s="36">
        <f t="shared" si="41"/>
        <v>0.32185380116959011</v>
      </c>
    </row>
    <row r="526" spans="1:6" x14ac:dyDescent="0.25">
      <c r="A526" s="37">
        <v>4.0300000000000002E-2</v>
      </c>
      <c r="B526" s="38">
        <f t="shared" si="38"/>
        <v>0.32273391812865443</v>
      </c>
      <c r="C526" s="36">
        <f t="shared" si="39"/>
        <v>8.8011695906431431E-4</v>
      </c>
      <c r="E526" s="34">
        <f t="shared" si="40"/>
        <v>4.0300000000000002E-2</v>
      </c>
      <c r="F526" s="36">
        <f t="shared" si="41"/>
        <v>0.32273391812865443</v>
      </c>
    </row>
    <row r="527" spans="1:6" x14ac:dyDescent="0.25">
      <c r="A527" s="37">
        <v>4.0399999999999998E-2</v>
      </c>
      <c r="B527" s="38">
        <f t="shared" si="38"/>
        <v>0.32361403508771874</v>
      </c>
      <c r="C527" s="36">
        <f t="shared" si="39"/>
        <v>8.8011695906431431E-4</v>
      </c>
      <c r="E527" s="34">
        <f t="shared" si="40"/>
        <v>4.0399999999999998E-2</v>
      </c>
      <c r="F527" s="36">
        <f t="shared" si="41"/>
        <v>0.32361403508771874</v>
      </c>
    </row>
    <row r="528" spans="1:6" x14ac:dyDescent="0.25">
      <c r="A528" s="37">
        <v>4.0500000000000001E-2</v>
      </c>
      <c r="B528" s="38">
        <f t="shared" si="38"/>
        <v>0.32449415204678306</v>
      </c>
      <c r="C528" s="36">
        <f t="shared" si="39"/>
        <v>8.8011695906431431E-4</v>
      </c>
      <c r="E528" s="34">
        <f t="shared" si="40"/>
        <v>4.0500000000000001E-2</v>
      </c>
      <c r="F528" s="36">
        <f t="shared" si="41"/>
        <v>0.32449415204678306</v>
      </c>
    </row>
    <row r="529" spans="1:6" x14ac:dyDescent="0.25">
      <c r="A529" s="37">
        <v>4.0599999999999997E-2</v>
      </c>
      <c r="B529" s="38">
        <f t="shared" si="38"/>
        <v>0.32537426900584737</v>
      </c>
      <c r="C529" s="36">
        <f t="shared" si="39"/>
        <v>8.8011695906431431E-4</v>
      </c>
      <c r="E529" s="34">
        <f t="shared" si="40"/>
        <v>4.0599999999999997E-2</v>
      </c>
      <c r="F529" s="36">
        <f t="shared" si="41"/>
        <v>0.32537426900584737</v>
      </c>
    </row>
    <row r="530" spans="1:6" x14ac:dyDescent="0.25">
      <c r="A530" s="37">
        <v>4.07E-2</v>
      </c>
      <c r="B530" s="38">
        <f t="shared" si="38"/>
        <v>0.32625438596491169</v>
      </c>
      <c r="C530" s="36">
        <f t="shared" si="39"/>
        <v>8.8011695906431431E-4</v>
      </c>
      <c r="E530" s="34">
        <f t="shared" si="40"/>
        <v>4.07E-2</v>
      </c>
      <c r="F530" s="36">
        <f t="shared" si="41"/>
        <v>0.32625438596491169</v>
      </c>
    </row>
    <row r="531" spans="1:6" x14ac:dyDescent="0.25">
      <c r="A531" s="37">
        <v>4.0800000000000003E-2</v>
      </c>
      <c r="B531" s="38">
        <f t="shared" si="38"/>
        <v>0.327134502923976</v>
      </c>
      <c r="C531" s="36">
        <f t="shared" si="39"/>
        <v>8.8011695906431431E-4</v>
      </c>
      <c r="E531" s="34">
        <f t="shared" si="40"/>
        <v>4.0800000000000003E-2</v>
      </c>
      <c r="F531" s="36">
        <f t="shared" si="41"/>
        <v>0.327134502923976</v>
      </c>
    </row>
    <row r="532" spans="1:6" x14ac:dyDescent="0.25">
      <c r="A532" s="37">
        <v>4.0899999999999999E-2</v>
      </c>
      <c r="B532" s="38">
        <f t="shared" si="38"/>
        <v>0.32801461988304031</v>
      </c>
      <c r="C532" s="36">
        <f t="shared" si="39"/>
        <v>8.8011695906431431E-4</v>
      </c>
      <c r="E532" s="34">
        <f t="shared" si="40"/>
        <v>4.0899999999999999E-2</v>
      </c>
      <c r="F532" s="36">
        <f t="shared" si="41"/>
        <v>0.32801461988304031</v>
      </c>
    </row>
    <row r="533" spans="1:6" x14ac:dyDescent="0.25">
      <c r="A533" s="37">
        <v>4.1000000000000002E-2</v>
      </c>
      <c r="B533" s="38">
        <f t="shared" si="38"/>
        <v>0.32889473684210463</v>
      </c>
      <c r="C533" s="36">
        <f t="shared" si="39"/>
        <v>8.8011695906431431E-4</v>
      </c>
      <c r="E533" s="34">
        <f t="shared" si="40"/>
        <v>4.1000000000000002E-2</v>
      </c>
      <c r="F533" s="36">
        <f t="shared" si="41"/>
        <v>0.32889473684210463</v>
      </c>
    </row>
    <row r="534" spans="1:6" x14ac:dyDescent="0.25">
      <c r="A534" s="37">
        <v>4.1099999999999998E-2</v>
      </c>
      <c r="B534" s="38">
        <f t="shared" si="38"/>
        <v>0.32977485380116894</v>
      </c>
      <c r="C534" s="36">
        <f t="shared" si="39"/>
        <v>8.8011695906431431E-4</v>
      </c>
      <c r="E534" s="34">
        <f t="shared" si="40"/>
        <v>4.1099999999999998E-2</v>
      </c>
      <c r="F534" s="36">
        <f t="shared" si="41"/>
        <v>0.32977485380116894</v>
      </c>
    </row>
    <row r="535" spans="1:6" x14ac:dyDescent="0.25">
      <c r="A535" s="37">
        <v>4.1200000000000001E-2</v>
      </c>
      <c r="B535" s="38">
        <f t="shared" si="38"/>
        <v>0.33065497076023326</v>
      </c>
      <c r="C535" s="36">
        <f t="shared" si="39"/>
        <v>8.8011695906431431E-4</v>
      </c>
      <c r="E535" s="34">
        <f t="shared" si="40"/>
        <v>4.1200000000000001E-2</v>
      </c>
      <c r="F535" s="36">
        <f t="shared" si="41"/>
        <v>0.33065497076023326</v>
      </c>
    </row>
    <row r="536" spans="1:6" x14ac:dyDescent="0.25">
      <c r="A536" s="37">
        <v>4.1300000000000003E-2</v>
      </c>
      <c r="B536" s="38">
        <f t="shared" si="38"/>
        <v>0.33153508771929757</v>
      </c>
      <c r="C536" s="36">
        <f t="shared" si="39"/>
        <v>8.8011695906431431E-4</v>
      </c>
      <c r="E536" s="34">
        <f t="shared" si="40"/>
        <v>4.1300000000000003E-2</v>
      </c>
      <c r="F536" s="36">
        <f t="shared" si="41"/>
        <v>0.33153508771929757</v>
      </c>
    </row>
    <row r="537" spans="1:6" x14ac:dyDescent="0.25">
      <c r="A537" s="37">
        <v>4.1399999999999999E-2</v>
      </c>
      <c r="B537" s="38">
        <f t="shared" si="38"/>
        <v>0.33241520467836189</v>
      </c>
      <c r="C537" s="36">
        <f t="shared" si="39"/>
        <v>8.8011695906431431E-4</v>
      </c>
      <c r="E537" s="34">
        <f t="shared" si="40"/>
        <v>4.1399999999999999E-2</v>
      </c>
      <c r="F537" s="36">
        <f t="shared" si="41"/>
        <v>0.33241520467836189</v>
      </c>
    </row>
    <row r="538" spans="1:6" x14ac:dyDescent="0.25">
      <c r="A538" s="37">
        <v>4.1500000000000002E-2</v>
      </c>
      <c r="B538" s="38">
        <f t="shared" si="38"/>
        <v>0.3332953216374262</v>
      </c>
      <c r="C538" s="36">
        <f t="shared" si="39"/>
        <v>8.8011695906431431E-4</v>
      </c>
      <c r="E538" s="34">
        <f t="shared" si="40"/>
        <v>4.1500000000000002E-2</v>
      </c>
      <c r="F538" s="36">
        <f t="shared" si="41"/>
        <v>0.3332953216374262</v>
      </c>
    </row>
    <row r="539" spans="1:6" x14ac:dyDescent="0.25">
      <c r="A539" s="37">
        <v>4.1599999999999998E-2</v>
      </c>
      <c r="B539" s="38">
        <f t="shared" si="38"/>
        <v>0.33417543859649051</v>
      </c>
      <c r="C539" s="36">
        <f t="shared" si="39"/>
        <v>8.8011695906431431E-4</v>
      </c>
      <c r="E539" s="34">
        <f t="shared" si="40"/>
        <v>4.1599999999999998E-2</v>
      </c>
      <c r="F539" s="36">
        <f t="shared" si="41"/>
        <v>0.33417543859649051</v>
      </c>
    </row>
    <row r="540" spans="1:6" x14ac:dyDescent="0.25">
      <c r="A540" s="37">
        <v>4.1700000000000001E-2</v>
      </c>
      <c r="B540" s="38">
        <f t="shared" si="38"/>
        <v>0.33505555555555483</v>
      </c>
      <c r="C540" s="36">
        <f t="shared" si="39"/>
        <v>8.8011695906431431E-4</v>
      </c>
      <c r="E540" s="34">
        <f t="shared" si="40"/>
        <v>4.1700000000000001E-2</v>
      </c>
      <c r="F540" s="36">
        <f t="shared" si="41"/>
        <v>0.33505555555555483</v>
      </c>
    </row>
    <row r="541" spans="1:6" x14ac:dyDescent="0.25">
      <c r="A541" s="37">
        <v>4.1799999999999997E-2</v>
      </c>
      <c r="B541" s="38">
        <f t="shared" si="38"/>
        <v>0.33593567251461914</v>
      </c>
      <c r="C541" s="36">
        <f t="shared" si="39"/>
        <v>8.8011695906431431E-4</v>
      </c>
      <c r="E541" s="34">
        <f t="shared" si="40"/>
        <v>4.1799999999999997E-2</v>
      </c>
      <c r="F541" s="36">
        <f t="shared" si="41"/>
        <v>0.33593567251461914</v>
      </c>
    </row>
    <row r="542" spans="1:6" x14ac:dyDescent="0.25">
      <c r="A542" s="37">
        <v>4.19E-2</v>
      </c>
      <c r="B542" s="38">
        <f t="shared" si="38"/>
        <v>0.33681578947368346</v>
      </c>
      <c r="C542" s="36">
        <f t="shared" si="39"/>
        <v>8.8011695906431431E-4</v>
      </c>
      <c r="E542" s="34">
        <f t="shared" si="40"/>
        <v>4.19E-2</v>
      </c>
      <c r="F542" s="36">
        <f t="shared" si="41"/>
        <v>0.33681578947368346</v>
      </c>
    </row>
    <row r="543" spans="1:6" x14ac:dyDescent="0.25">
      <c r="A543" s="37">
        <v>4.2000000000000003E-2</v>
      </c>
      <c r="B543" s="38">
        <f t="shared" si="38"/>
        <v>0.33769590643274777</v>
      </c>
      <c r="C543" s="36">
        <f t="shared" si="39"/>
        <v>8.8011695906431431E-4</v>
      </c>
      <c r="E543" s="34">
        <f t="shared" si="40"/>
        <v>4.2000000000000003E-2</v>
      </c>
      <c r="F543" s="36">
        <f t="shared" si="41"/>
        <v>0.33769590643274777</v>
      </c>
    </row>
    <row r="544" spans="1:6" x14ac:dyDescent="0.25">
      <c r="A544" s="37">
        <v>4.2099999999999999E-2</v>
      </c>
      <c r="B544" s="38">
        <f t="shared" si="38"/>
        <v>0.33857602339181209</v>
      </c>
      <c r="C544" s="36">
        <f t="shared" si="39"/>
        <v>8.8011695906431431E-4</v>
      </c>
      <c r="E544" s="34">
        <f t="shared" si="40"/>
        <v>4.2099999999999999E-2</v>
      </c>
      <c r="F544" s="36">
        <f t="shared" si="41"/>
        <v>0.33857602339181209</v>
      </c>
    </row>
    <row r="545" spans="1:6" x14ac:dyDescent="0.25">
      <c r="A545" s="37">
        <v>4.2200000000000001E-2</v>
      </c>
      <c r="B545" s="38">
        <f t="shared" si="38"/>
        <v>0.3394561403508764</v>
      </c>
      <c r="C545" s="36">
        <f t="shared" si="39"/>
        <v>8.8011695906431431E-4</v>
      </c>
      <c r="E545" s="34">
        <f t="shared" si="40"/>
        <v>4.2200000000000001E-2</v>
      </c>
      <c r="F545" s="36">
        <f t="shared" si="41"/>
        <v>0.3394561403508764</v>
      </c>
    </row>
    <row r="546" spans="1:6" x14ac:dyDescent="0.25">
      <c r="A546" s="37">
        <v>4.2299999999999997E-2</v>
      </c>
      <c r="B546" s="38">
        <f t="shared" si="38"/>
        <v>0.34033625730994072</v>
      </c>
      <c r="C546" s="36">
        <f t="shared" si="39"/>
        <v>8.8011695906431431E-4</v>
      </c>
      <c r="E546" s="34">
        <f t="shared" si="40"/>
        <v>4.2299999999999997E-2</v>
      </c>
      <c r="F546" s="36">
        <f t="shared" si="41"/>
        <v>0.34033625730994072</v>
      </c>
    </row>
    <row r="547" spans="1:6" x14ac:dyDescent="0.25">
      <c r="A547" s="37">
        <v>4.24E-2</v>
      </c>
      <c r="B547" s="38">
        <f t="shared" si="38"/>
        <v>0.34121637426900503</v>
      </c>
      <c r="C547" s="36">
        <f t="shared" si="39"/>
        <v>8.8011695906431431E-4</v>
      </c>
      <c r="E547" s="34">
        <f t="shared" si="40"/>
        <v>4.24E-2</v>
      </c>
      <c r="F547" s="36">
        <f t="shared" si="41"/>
        <v>0.34121637426900503</v>
      </c>
    </row>
    <row r="548" spans="1:6" x14ac:dyDescent="0.25">
      <c r="A548" s="37">
        <v>4.2500000000000003E-2</v>
      </c>
      <c r="B548" s="38">
        <f t="shared" si="38"/>
        <v>0.34209649122806934</v>
      </c>
      <c r="C548" s="36">
        <f t="shared" si="39"/>
        <v>8.8011695906431431E-4</v>
      </c>
      <c r="E548" s="34">
        <f t="shared" si="40"/>
        <v>4.2500000000000003E-2</v>
      </c>
      <c r="F548" s="36">
        <f t="shared" si="41"/>
        <v>0.34209649122806934</v>
      </c>
    </row>
    <row r="549" spans="1:6" x14ac:dyDescent="0.25">
      <c r="A549" s="37">
        <v>4.2599999999999999E-2</v>
      </c>
      <c r="B549" s="38">
        <f t="shared" si="38"/>
        <v>0.34297660818713366</v>
      </c>
      <c r="C549" s="36">
        <f t="shared" si="39"/>
        <v>8.8011695906431431E-4</v>
      </c>
      <c r="E549" s="34">
        <f t="shared" si="40"/>
        <v>4.2599999999999999E-2</v>
      </c>
      <c r="F549" s="36">
        <f t="shared" si="41"/>
        <v>0.34297660818713366</v>
      </c>
    </row>
    <row r="550" spans="1:6" x14ac:dyDescent="0.25">
      <c r="A550" s="37">
        <v>4.2700000000000002E-2</v>
      </c>
      <c r="B550" s="38">
        <f t="shared" si="38"/>
        <v>0.34385672514619797</v>
      </c>
      <c r="C550" s="36">
        <f t="shared" si="39"/>
        <v>8.8011695906431431E-4</v>
      </c>
      <c r="E550" s="34">
        <f t="shared" si="40"/>
        <v>4.2700000000000002E-2</v>
      </c>
      <c r="F550" s="36">
        <f t="shared" si="41"/>
        <v>0.34385672514619797</v>
      </c>
    </row>
    <row r="551" spans="1:6" x14ac:dyDescent="0.25">
      <c r="A551" s="37">
        <v>4.2799999999999998E-2</v>
      </c>
      <c r="B551" s="38">
        <f t="shared" si="38"/>
        <v>0.34473684210526229</v>
      </c>
      <c r="C551" s="36">
        <f t="shared" si="39"/>
        <v>8.8011695906431431E-4</v>
      </c>
      <c r="E551" s="34">
        <f t="shared" si="40"/>
        <v>4.2799999999999998E-2</v>
      </c>
      <c r="F551" s="36">
        <f t="shared" si="41"/>
        <v>0.34473684210526229</v>
      </c>
    </row>
    <row r="552" spans="1:6" x14ac:dyDescent="0.25">
      <c r="A552" s="37">
        <v>4.2900000000000001E-2</v>
      </c>
      <c r="B552" s="38">
        <f t="shared" si="38"/>
        <v>0.3456169590643266</v>
      </c>
      <c r="C552" s="36">
        <f t="shared" si="39"/>
        <v>8.8011695906431431E-4</v>
      </c>
      <c r="E552" s="34">
        <f t="shared" si="40"/>
        <v>4.2900000000000001E-2</v>
      </c>
      <c r="F552" s="36">
        <f t="shared" si="41"/>
        <v>0.3456169590643266</v>
      </c>
    </row>
    <row r="553" spans="1:6" x14ac:dyDescent="0.25">
      <c r="A553" s="37">
        <v>4.2999999999999997E-2</v>
      </c>
      <c r="B553" s="38">
        <f t="shared" ref="B553:B584" si="42">B552+$H$4</f>
        <v>0.34649707602339092</v>
      </c>
      <c r="C553" s="36">
        <f t="shared" ref="C553:C584" si="43">B553-B552</f>
        <v>8.8011695906431431E-4</v>
      </c>
      <c r="E553" s="34">
        <f t="shared" ref="E553:E584" si="44">A553</f>
        <v>4.2999999999999997E-2</v>
      </c>
      <c r="F553" s="36">
        <f t="shared" ref="F553:F584" si="45">B553</f>
        <v>0.34649707602339092</v>
      </c>
    </row>
    <row r="554" spans="1:6" x14ac:dyDescent="0.25">
      <c r="A554" s="37">
        <v>4.3099999999999999E-2</v>
      </c>
      <c r="B554" s="38">
        <f t="shared" si="42"/>
        <v>0.34737719298245523</v>
      </c>
      <c r="C554" s="36">
        <f t="shared" si="43"/>
        <v>8.8011695906431431E-4</v>
      </c>
      <c r="E554" s="34">
        <f t="shared" si="44"/>
        <v>4.3099999999999999E-2</v>
      </c>
      <c r="F554" s="36">
        <f t="shared" si="45"/>
        <v>0.34737719298245523</v>
      </c>
    </row>
    <row r="555" spans="1:6" x14ac:dyDescent="0.25">
      <c r="A555" s="37">
        <v>4.3200000000000002E-2</v>
      </c>
      <c r="B555" s="38">
        <f t="shared" si="42"/>
        <v>0.34825730994151954</v>
      </c>
      <c r="C555" s="36">
        <f t="shared" si="43"/>
        <v>8.8011695906431431E-4</v>
      </c>
      <c r="E555" s="34">
        <f t="shared" si="44"/>
        <v>4.3200000000000002E-2</v>
      </c>
      <c r="F555" s="36">
        <f t="shared" si="45"/>
        <v>0.34825730994151954</v>
      </c>
    </row>
    <row r="556" spans="1:6" x14ac:dyDescent="0.25">
      <c r="A556" s="37">
        <v>4.3299999999999998E-2</v>
      </c>
      <c r="B556" s="38">
        <f t="shared" si="42"/>
        <v>0.34913742690058386</v>
      </c>
      <c r="C556" s="36">
        <f t="shared" si="43"/>
        <v>8.8011695906431431E-4</v>
      </c>
      <c r="E556" s="34">
        <f t="shared" si="44"/>
        <v>4.3299999999999998E-2</v>
      </c>
      <c r="F556" s="36">
        <f t="shared" si="45"/>
        <v>0.34913742690058386</v>
      </c>
    </row>
    <row r="557" spans="1:6" x14ac:dyDescent="0.25">
      <c r="A557" s="37">
        <v>4.3400000000000001E-2</v>
      </c>
      <c r="B557" s="38">
        <f t="shared" si="42"/>
        <v>0.35001754385964817</v>
      </c>
      <c r="C557" s="36">
        <f t="shared" si="43"/>
        <v>8.8011695906431431E-4</v>
      </c>
      <c r="E557" s="34">
        <f t="shared" si="44"/>
        <v>4.3400000000000001E-2</v>
      </c>
      <c r="F557" s="36">
        <f t="shared" si="45"/>
        <v>0.35001754385964817</v>
      </c>
    </row>
    <row r="558" spans="1:6" x14ac:dyDescent="0.25">
      <c r="A558" s="37">
        <v>4.3499999999999997E-2</v>
      </c>
      <c r="B558" s="38">
        <f t="shared" si="42"/>
        <v>0.35089766081871249</v>
      </c>
      <c r="C558" s="36">
        <f t="shared" si="43"/>
        <v>8.8011695906431431E-4</v>
      </c>
      <c r="E558" s="34">
        <f t="shared" si="44"/>
        <v>4.3499999999999997E-2</v>
      </c>
      <c r="F558" s="36">
        <f t="shared" si="45"/>
        <v>0.35089766081871249</v>
      </c>
    </row>
    <row r="559" spans="1:6" x14ac:dyDescent="0.25">
      <c r="A559" s="37">
        <v>4.36E-2</v>
      </c>
      <c r="B559" s="38">
        <f t="shared" si="42"/>
        <v>0.3517777777777768</v>
      </c>
      <c r="C559" s="36">
        <f t="shared" si="43"/>
        <v>8.8011695906431431E-4</v>
      </c>
      <c r="E559" s="34">
        <f t="shared" si="44"/>
        <v>4.36E-2</v>
      </c>
      <c r="F559" s="36">
        <f t="shared" si="45"/>
        <v>0.3517777777777768</v>
      </c>
    </row>
    <row r="560" spans="1:6" x14ac:dyDescent="0.25">
      <c r="A560" s="37">
        <v>4.3700000000000003E-2</v>
      </c>
      <c r="B560" s="38">
        <f t="shared" si="42"/>
        <v>0.35265789473684112</v>
      </c>
      <c r="C560" s="36">
        <f t="shared" si="43"/>
        <v>8.8011695906431431E-4</v>
      </c>
      <c r="E560" s="34">
        <f t="shared" si="44"/>
        <v>4.3700000000000003E-2</v>
      </c>
      <c r="F560" s="36">
        <f t="shared" si="45"/>
        <v>0.35265789473684112</v>
      </c>
    </row>
    <row r="561" spans="1:6" x14ac:dyDescent="0.25">
      <c r="A561" s="37">
        <v>4.3799999999999999E-2</v>
      </c>
      <c r="B561" s="38">
        <f t="shared" si="42"/>
        <v>0.35353801169590543</v>
      </c>
      <c r="C561" s="36">
        <f t="shared" si="43"/>
        <v>8.8011695906431431E-4</v>
      </c>
      <c r="E561" s="34">
        <f t="shared" si="44"/>
        <v>4.3799999999999999E-2</v>
      </c>
      <c r="F561" s="36">
        <f t="shared" si="45"/>
        <v>0.35353801169590543</v>
      </c>
    </row>
    <row r="562" spans="1:6" x14ac:dyDescent="0.25">
      <c r="A562" s="37">
        <v>4.3900000000000002E-2</v>
      </c>
      <c r="B562" s="38">
        <f t="shared" si="42"/>
        <v>0.35441812865496974</v>
      </c>
      <c r="C562" s="36">
        <f t="shared" si="43"/>
        <v>8.8011695906431431E-4</v>
      </c>
      <c r="E562" s="34">
        <f t="shared" si="44"/>
        <v>4.3900000000000002E-2</v>
      </c>
      <c r="F562" s="36">
        <f t="shared" si="45"/>
        <v>0.35441812865496974</v>
      </c>
    </row>
    <row r="563" spans="1:6" x14ac:dyDescent="0.25">
      <c r="A563" s="37">
        <v>4.3999999999999997E-2</v>
      </c>
      <c r="B563" s="38">
        <f t="shared" si="42"/>
        <v>0.35529824561403406</v>
      </c>
      <c r="C563" s="36">
        <f t="shared" si="43"/>
        <v>8.8011695906431431E-4</v>
      </c>
      <c r="E563" s="34">
        <f t="shared" si="44"/>
        <v>4.3999999999999997E-2</v>
      </c>
      <c r="F563" s="36">
        <f t="shared" si="45"/>
        <v>0.35529824561403406</v>
      </c>
    </row>
    <row r="564" spans="1:6" x14ac:dyDescent="0.25">
      <c r="A564" s="37">
        <v>4.41E-2</v>
      </c>
      <c r="B564" s="38">
        <f t="shared" si="42"/>
        <v>0.35617836257309837</v>
      </c>
      <c r="C564" s="36">
        <f t="shared" si="43"/>
        <v>8.8011695906431431E-4</v>
      </c>
      <c r="E564" s="34">
        <f t="shared" si="44"/>
        <v>4.41E-2</v>
      </c>
      <c r="F564" s="36">
        <f t="shared" si="45"/>
        <v>0.35617836257309837</v>
      </c>
    </row>
    <row r="565" spans="1:6" x14ac:dyDescent="0.25">
      <c r="A565" s="37">
        <v>4.4200000000000003E-2</v>
      </c>
      <c r="B565" s="38">
        <f t="shared" si="42"/>
        <v>0.35705847953216269</v>
      </c>
      <c r="C565" s="36">
        <f t="shared" si="43"/>
        <v>8.8011695906431431E-4</v>
      </c>
      <c r="E565" s="34">
        <f t="shared" si="44"/>
        <v>4.4200000000000003E-2</v>
      </c>
      <c r="F565" s="36">
        <f t="shared" si="45"/>
        <v>0.35705847953216269</v>
      </c>
    </row>
    <row r="566" spans="1:6" x14ac:dyDescent="0.25">
      <c r="A566" s="37">
        <v>4.4299999999999999E-2</v>
      </c>
      <c r="B566" s="38">
        <f t="shared" si="42"/>
        <v>0.357938596491227</v>
      </c>
      <c r="C566" s="36">
        <f t="shared" si="43"/>
        <v>8.8011695906431431E-4</v>
      </c>
      <c r="E566" s="34">
        <f t="shared" si="44"/>
        <v>4.4299999999999999E-2</v>
      </c>
      <c r="F566" s="36">
        <f t="shared" si="45"/>
        <v>0.357938596491227</v>
      </c>
    </row>
    <row r="567" spans="1:6" x14ac:dyDescent="0.25">
      <c r="A567" s="37">
        <v>4.4400000000000002E-2</v>
      </c>
      <c r="B567" s="38">
        <f t="shared" si="42"/>
        <v>0.35881871345029132</v>
      </c>
      <c r="C567" s="36">
        <f t="shared" si="43"/>
        <v>8.8011695906431431E-4</v>
      </c>
      <c r="E567" s="34">
        <f t="shared" si="44"/>
        <v>4.4400000000000002E-2</v>
      </c>
      <c r="F567" s="36">
        <f t="shared" si="45"/>
        <v>0.35881871345029132</v>
      </c>
    </row>
    <row r="568" spans="1:6" x14ac:dyDescent="0.25">
      <c r="A568" s="37">
        <v>4.4499999999999998E-2</v>
      </c>
      <c r="B568" s="38">
        <f t="shared" si="42"/>
        <v>0.35969883040935563</v>
      </c>
      <c r="C568" s="36">
        <f t="shared" si="43"/>
        <v>8.8011695906431431E-4</v>
      </c>
      <c r="E568" s="34">
        <f t="shared" si="44"/>
        <v>4.4499999999999998E-2</v>
      </c>
      <c r="F568" s="36">
        <f t="shared" si="45"/>
        <v>0.35969883040935563</v>
      </c>
    </row>
    <row r="569" spans="1:6" x14ac:dyDescent="0.25">
      <c r="A569" s="37">
        <v>4.4600000000000001E-2</v>
      </c>
      <c r="B569" s="38">
        <f t="shared" si="42"/>
        <v>0.36057894736841994</v>
      </c>
      <c r="C569" s="36">
        <f t="shared" si="43"/>
        <v>8.8011695906431431E-4</v>
      </c>
      <c r="E569" s="34">
        <f t="shared" si="44"/>
        <v>4.4600000000000001E-2</v>
      </c>
      <c r="F569" s="36">
        <f t="shared" si="45"/>
        <v>0.36057894736841994</v>
      </c>
    </row>
    <row r="570" spans="1:6" x14ac:dyDescent="0.25">
      <c r="A570" s="37">
        <v>4.4699999999999997E-2</v>
      </c>
      <c r="B570" s="38">
        <f t="shared" si="42"/>
        <v>0.36145906432748426</v>
      </c>
      <c r="C570" s="36">
        <f t="shared" si="43"/>
        <v>8.8011695906431431E-4</v>
      </c>
      <c r="E570" s="34">
        <f t="shared" si="44"/>
        <v>4.4699999999999997E-2</v>
      </c>
      <c r="F570" s="36">
        <f t="shared" si="45"/>
        <v>0.36145906432748426</v>
      </c>
    </row>
    <row r="571" spans="1:6" x14ac:dyDescent="0.25">
      <c r="A571" s="37">
        <v>4.48E-2</v>
      </c>
      <c r="B571" s="38">
        <f t="shared" si="42"/>
        <v>0.36233918128654857</v>
      </c>
      <c r="C571" s="36">
        <f t="shared" si="43"/>
        <v>8.8011695906431431E-4</v>
      </c>
      <c r="E571" s="34">
        <f t="shared" si="44"/>
        <v>4.48E-2</v>
      </c>
      <c r="F571" s="36">
        <f t="shared" si="45"/>
        <v>0.36233918128654857</v>
      </c>
    </row>
    <row r="572" spans="1:6" x14ac:dyDescent="0.25">
      <c r="A572" s="37">
        <v>4.4900000000000002E-2</v>
      </c>
      <c r="B572" s="38">
        <f t="shared" si="42"/>
        <v>0.36321929824561289</v>
      </c>
      <c r="C572" s="36">
        <f t="shared" si="43"/>
        <v>8.8011695906431431E-4</v>
      </c>
      <c r="E572" s="34">
        <f t="shared" si="44"/>
        <v>4.4900000000000002E-2</v>
      </c>
      <c r="F572" s="36">
        <f t="shared" si="45"/>
        <v>0.36321929824561289</v>
      </c>
    </row>
    <row r="573" spans="1:6" x14ac:dyDescent="0.25">
      <c r="A573" s="37">
        <v>4.4999999999999998E-2</v>
      </c>
      <c r="B573" s="38">
        <f t="shared" si="42"/>
        <v>0.3640994152046772</v>
      </c>
      <c r="C573" s="36">
        <f t="shared" si="43"/>
        <v>8.8011695906431431E-4</v>
      </c>
      <c r="E573" s="34">
        <f t="shared" si="44"/>
        <v>4.4999999999999998E-2</v>
      </c>
      <c r="F573" s="36">
        <f t="shared" si="45"/>
        <v>0.3640994152046772</v>
      </c>
    </row>
    <row r="574" spans="1:6" x14ac:dyDescent="0.25">
      <c r="A574" s="37">
        <v>4.5100000000000001E-2</v>
      </c>
      <c r="B574" s="38">
        <f t="shared" si="42"/>
        <v>0.36497953216374152</v>
      </c>
      <c r="C574" s="36">
        <f t="shared" si="43"/>
        <v>8.8011695906431431E-4</v>
      </c>
      <c r="E574" s="34">
        <f t="shared" si="44"/>
        <v>4.5100000000000001E-2</v>
      </c>
      <c r="F574" s="36">
        <f t="shared" si="45"/>
        <v>0.36497953216374152</v>
      </c>
    </row>
    <row r="575" spans="1:6" x14ac:dyDescent="0.25">
      <c r="A575" s="37">
        <v>4.5199999999999997E-2</v>
      </c>
      <c r="B575" s="38">
        <f t="shared" si="42"/>
        <v>0.36585964912280583</v>
      </c>
      <c r="C575" s="36">
        <f t="shared" si="43"/>
        <v>8.8011695906431431E-4</v>
      </c>
      <c r="E575" s="34">
        <f t="shared" si="44"/>
        <v>4.5199999999999997E-2</v>
      </c>
      <c r="F575" s="36">
        <f t="shared" si="45"/>
        <v>0.36585964912280583</v>
      </c>
    </row>
    <row r="576" spans="1:6" x14ac:dyDescent="0.25">
      <c r="A576" s="37">
        <v>4.53E-2</v>
      </c>
      <c r="B576" s="38">
        <f t="shared" si="42"/>
        <v>0.36673976608187014</v>
      </c>
      <c r="C576" s="36">
        <f t="shared" si="43"/>
        <v>8.8011695906431431E-4</v>
      </c>
      <c r="E576" s="34">
        <f t="shared" si="44"/>
        <v>4.53E-2</v>
      </c>
      <c r="F576" s="36">
        <f t="shared" si="45"/>
        <v>0.36673976608187014</v>
      </c>
    </row>
    <row r="577" spans="1:6" x14ac:dyDescent="0.25">
      <c r="A577" s="37">
        <v>4.5400000000000003E-2</v>
      </c>
      <c r="B577" s="38">
        <f t="shared" si="42"/>
        <v>0.36761988304093446</v>
      </c>
      <c r="C577" s="36">
        <f t="shared" si="43"/>
        <v>8.8011695906431431E-4</v>
      </c>
      <c r="E577" s="34">
        <f t="shared" si="44"/>
        <v>4.5400000000000003E-2</v>
      </c>
      <c r="F577" s="36">
        <f t="shared" si="45"/>
        <v>0.36761988304093446</v>
      </c>
    </row>
    <row r="578" spans="1:6" x14ac:dyDescent="0.25">
      <c r="A578" s="37">
        <v>4.5499999999999999E-2</v>
      </c>
      <c r="B578" s="38">
        <f t="shared" si="42"/>
        <v>0.36849999999999877</v>
      </c>
      <c r="C578" s="36">
        <f t="shared" si="43"/>
        <v>8.8011695906431431E-4</v>
      </c>
      <c r="E578" s="34">
        <f t="shared" si="44"/>
        <v>4.5499999999999999E-2</v>
      </c>
      <c r="F578" s="36">
        <f t="shared" si="45"/>
        <v>0.36849999999999877</v>
      </c>
    </row>
    <row r="579" spans="1:6" x14ac:dyDescent="0.25">
      <c r="A579" s="37">
        <v>4.5600000000000002E-2</v>
      </c>
      <c r="B579" s="38">
        <f t="shared" si="42"/>
        <v>0.36938011695906309</v>
      </c>
      <c r="C579" s="36">
        <f t="shared" si="43"/>
        <v>8.8011695906431431E-4</v>
      </c>
      <c r="E579" s="34">
        <f t="shared" si="44"/>
        <v>4.5600000000000002E-2</v>
      </c>
      <c r="F579" s="36">
        <f t="shared" si="45"/>
        <v>0.36938011695906309</v>
      </c>
    </row>
    <row r="580" spans="1:6" x14ac:dyDescent="0.25">
      <c r="A580" s="37">
        <v>4.5699999999999998E-2</v>
      </c>
      <c r="B580" s="38">
        <f t="shared" si="42"/>
        <v>0.3702602339181274</v>
      </c>
      <c r="C580" s="36">
        <f t="shared" si="43"/>
        <v>8.8011695906431431E-4</v>
      </c>
      <c r="E580" s="34">
        <f t="shared" si="44"/>
        <v>4.5699999999999998E-2</v>
      </c>
      <c r="F580" s="36">
        <f t="shared" si="45"/>
        <v>0.3702602339181274</v>
      </c>
    </row>
    <row r="581" spans="1:6" x14ac:dyDescent="0.25">
      <c r="A581" s="37">
        <v>4.58E-2</v>
      </c>
      <c r="B581" s="38">
        <f t="shared" si="42"/>
        <v>0.37114035087719172</v>
      </c>
      <c r="C581" s="36">
        <f t="shared" si="43"/>
        <v>8.8011695906431431E-4</v>
      </c>
      <c r="E581" s="34">
        <f t="shared" si="44"/>
        <v>4.58E-2</v>
      </c>
      <c r="F581" s="36">
        <f t="shared" si="45"/>
        <v>0.37114035087719172</v>
      </c>
    </row>
    <row r="582" spans="1:6" x14ac:dyDescent="0.25">
      <c r="A582" s="37">
        <v>4.5900000000000003E-2</v>
      </c>
      <c r="B582" s="38">
        <f t="shared" si="42"/>
        <v>0.37202046783625603</v>
      </c>
      <c r="C582" s="36">
        <f t="shared" si="43"/>
        <v>8.8011695906431431E-4</v>
      </c>
      <c r="E582" s="34">
        <f t="shared" si="44"/>
        <v>4.5900000000000003E-2</v>
      </c>
      <c r="F582" s="36">
        <f t="shared" si="45"/>
        <v>0.37202046783625603</v>
      </c>
    </row>
    <row r="583" spans="1:6" x14ac:dyDescent="0.25">
      <c r="A583" s="37">
        <v>4.5999999999999999E-2</v>
      </c>
      <c r="B583" s="38">
        <f t="shared" si="42"/>
        <v>0.37290058479532034</v>
      </c>
      <c r="C583" s="36">
        <f t="shared" si="43"/>
        <v>8.8011695906431431E-4</v>
      </c>
      <c r="E583" s="34">
        <f t="shared" si="44"/>
        <v>4.5999999999999999E-2</v>
      </c>
      <c r="F583" s="36">
        <f t="shared" si="45"/>
        <v>0.37290058479532034</v>
      </c>
    </row>
    <row r="584" spans="1:6" x14ac:dyDescent="0.25">
      <c r="A584" s="37">
        <v>4.6100000000000002E-2</v>
      </c>
      <c r="B584" s="38">
        <f t="shared" si="42"/>
        <v>0.37378070175438466</v>
      </c>
      <c r="C584" s="36">
        <f t="shared" si="43"/>
        <v>8.8011695906431431E-4</v>
      </c>
      <c r="E584" s="34">
        <f t="shared" si="44"/>
        <v>4.6100000000000002E-2</v>
      </c>
      <c r="F584" s="36">
        <f t="shared" si="45"/>
        <v>0.37378070175438466</v>
      </c>
    </row>
    <row r="585" spans="1:6" x14ac:dyDescent="0.25">
      <c r="A585" s="37">
        <v>4.6199999999999998E-2</v>
      </c>
      <c r="B585" s="38">
        <f t="shared" ref="B585:B616" si="46">B584+$H$4</f>
        <v>0.37466081871344897</v>
      </c>
      <c r="C585" s="36">
        <f t="shared" ref="C585:C616" si="47">B585-B584</f>
        <v>8.8011695906431431E-4</v>
      </c>
      <c r="E585" s="34">
        <f t="shared" ref="E585:E616" si="48">A585</f>
        <v>4.6199999999999998E-2</v>
      </c>
      <c r="F585" s="36">
        <f t="shared" ref="F585:F616" si="49">B585</f>
        <v>0.37466081871344897</v>
      </c>
    </row>
    <row r="586" spans="1:6" x14ac:dyDescent="0.25">
      <c r="A586" s="37">
        <v>4.6300000000000001E-2</v>
      </c>
      <c r="B586" s="38">
        <f t="shared" si="46"/>
        <v>0.37554093567251329</v>
      </c>
      <c r="C586" s="36">
        <f t="shared" si="47"/>
        <v>8.8011695906431431E-4</v>
      </c>
      <c r="E586" s="34">
        <f t="shared" si="48"/>
        <v>4.6300000000000001E-2</v>
      </c>
      <c r="F586" s="36">
        <f t="shared" si="49"/>
        <v>0.37554093567251329</v>
      </c>
    </row>
    <row r="587" spans="1:6" x14ac:dyDescent="0.25">
      <c r="A587" s="37">
        <v>4.6399999999999997E-2</v>
      </c>
      <c r="B587" s="38">
        <f t="shared" si="46"/>
        <v>0.3764210526315776</v>
      </c>
      <c r="C587" s="36">
        <f t="shared" si="47"/>
        <v>8.8011695906431431E-4</v>
      </c>
      <c r="E587" s="34">
        <f t="shared" si="48"/>
        <v>4.6399999999999997E-2</v>
      </c>
      <c r="F587" s="36">
        <f t="shared" si="49"/>
        <v>0.3764210526315776</v>
      </c>
    </row>
    <row r="588" spans="1:6" x14ac:dyDescent="0.25">
      <c r="A588" s="37">
        <v>4.65E-2</v>
      </c>
      <c r="B588" s="38">
        <f t="shared" si="46"/>
        <v>0.37730116959064192</v>
      </c>
      <c r="C588" s="36">
        <f t="shared" si="47"/>
        <v>8.8011695906431431E-4</v>
      </c>
      <c r="E588" s="34">
        <f t="shared" si="48"/>
        <v>4.65E-2</v>
      </c>
      <c r="F588" s="36">
        <f t="shared" si="49"/>
        <v>0.37730116959064192</v>
      </c>
    </row>
    <row r="589" spans="1:6" x14ac:dyDescent="0.25">
      <c r="A589" s="37">
        <v>4.6600000000000003E-2</v>
      </c>
      <c r="B589" s="38">
        <f t="shared" si="46"/>
        <v>0.37818128654970623</v>
      </c>
      <c r="C589" s="36">
        <f t="shared" si="47"/>
        <v>8.8011695906431431E-4</v>
      </c>
      <c r="E589" s="34">
        <f t="shared" si="48"/>
        <v>4.6600000000000003E-2</v>
      </c>
      <c r="F589" s="36">
        <f t="shared" si="49"/>
        <v>0.37818128654970623</v>
      </c>
    </row>
    <row r="590" spans="1:6" x14ac:dyDescent="0.25">
      <c r="A590" s="37">
        <v>4.6699999999999998E-2</v>
      </c>
      <c r="B590" s="38">
        <f t="shared" si="46"/>
        <v>0.37906140350877054</v>
      </c>
      <c r="C590" s="36">
        <f t="shared" si="47"/>
        <v>8.8011695906431431E-4</v>
      </c>
      <c r="E590" s="34">
        <f t="shared" si="48"/>
        <v>4.6699999999999998E-2</v>
      </c>
      <c r="F590" s="36">
        <f t="shared" si="49"/>
        <v>0.37906140350877054</v>
      </c>
    </row>
    <row r="591" spans="1:6" x14ac:dyDescent="0.25">
      <c r="A591" s="37">
        <v>4.6800000000000001E-2</v>
      </c>
      <c r="B591" s="38">
        <f t="shared" si="46"/>
        <v>0.37994152046783486</v>
      </c>
      <c r="C591" s="36">
        <f t="shared" si="47"/>
        <v>8.8011695906431431E-4</v>
      </c>
      <c r="E591" s="34">
        <f t="shared" si="48"/>
        <v>4.6800000000000001E-2</v>
      </c>
      <c r="F591" s="36">
        <f t="shared" si="49"/>
        <v>0.37994152046783486</v>
      </c>
    </row>
    <row r="592" spans="1:6" x14ac:dyDescent="0.25">
      <c r="A592" s="37">
        <v>4.6899999999999997E-2</v>
      </c>
      <c r="B592" s="38">
        <f t="shared" si="46"/>
        <v>0.38082163742689917</v>
      </c>
      <c r="C592" s="36">
        <f t="shared" si="47"/>
        <v>8.8011695906431431E-4</v>
      </c>
      <c r="E592" s="34">
        <f t="shared" si="48"/>
        <v>4.6899999999999997E-2</v>
      </c>
      <c r="F592" s="36">
        <f t="shared" si="49"/>
        <v>0.38082163742689917</v>
      </c>
    </row>
    <row r="593" spans="1:6" x14ac:dyDescent="0.25">
      <c r="A593" s="37">
        <v>4.7E-2</v>
      </c>
      <c r="B593" s="38">
        <f t="shared" si="46"/>
        <v>0.38170175438596349</v>
      </c>
      <c r="C593" s="36">
        <f t="shared" si="47"/>
        <v>8.8011695906431431E-4</v>
      </c>
      <c r="E593" s="34">
        <f t="shared" si="48"/>
        <v>4.7E-2</v>
      </c>
      <c r="F593" s="36">
        <f t="shared" si="49"/>
        <v>0.38170175438596349</v>
      </c>
    </row>
    <row r="594" spans="1:6" x14ac:dyDescent="0.25">
      <c r="A594" s="37">
        <v>4.7100000000000003E-2</v>
      </c>
      <c r="B594" s="38">
        <f t="shared" si="46"/>
        <v>0.3825818713450278</v>
      </c>
      <c r="C594" s="36">
        <f t="shared" si="47"/>
        <v>8.8011695906431431E-4</v>
      </c>
      <c r="E594" s="34">
        <f t="shared" si="48"/>
        <v>4.7100000000000003E-2</v>
      </c>
      <c r="F594" s="36">
        <f t="shared" si="49"/>
        <v>0.3825818713450278</v>
      </c>
    </row>
    <row r="595" spans="1:6" x14ac:dyDescent="0.25">
      <c r="A595" s="37">
        <v>4.7199999999999999E-2</v>
      </c>
      <c r="B595" s="38">
        <f t="shared" si="46"/>
        <v>0.38346198830409212</v>
      </c>
      <c r="C595" s="36">
        <f t="shared" si="47"/>
        <v>8.8011695906431431E-4</v>
      </c>
      <c r="E595" s="34">
        <f t="shared" si="48"/>
        <v>4.7199999999999999E-2</v>
      </c>
      <c r="F595" s="36">
        <f t="shared" si="49"/>
        <v>0.38346198830409212</v>
      </c>
    </row>
    <row r="596" spans="1:6" x14ac:dyDescent="0.25">
      <c r="A596" s="37">
        <v>4.7300000000000002E-2</v>
      </c>
      <c r="B596" s="38">
        <f t="shared" si="46"/>
        <v>0.38434210526315643</v>
      </c>
      <c r="C596" s="36">
        <f t="shared" si="47"/>
        <v>8.8011695906431431E-4</v>
      </c>
      <c r="E596" s="34">
        <f t="shared" si="48"/>
        <v>4.7300000000000002E-2</v>
      </c>
      <c r="F596" s="36">
        <f t="shared" si="49"/>
        <v>0.38434210526315643</v>
      </c>
    </row>
    <row r="597" spans="1:6" x14ac:dyDescent="0.25">
      <c r="A597" s="37">
        <v>4.7399999999999998E-2</v>
      </c>
      <c r="B597" s="38">
        <f t="shared" si="46"/>
        <v>0.38522222222222074</v>
      </c>
      <c r="C597" s="36">
        <f t="shared" si="47"/>
        <v>8.8011695906431431E-4</v>
      </c>
      <c r="E597" s="34">
        <f t="shared" si="48"/>
        <v>4.7399999999999998E-2</v>
      </c>
      <c r="F597" s="36">
        <f t="shared" si="49"/>
        <v>0.38522222222222074</v>
      </c>
    </row>
    <row r="598" spans="1:6" x14ac:dyDescent="0.25">
      <c r="A598" s="37">
        <v>4.7500000000000001E-2</v>
      </c>
      <c r="B598" s="38">
        <f t="shared" si="46"/>
        <v>0.38610233918128506</v>
      </c>
      <c r="C598" s="36">
        <f t="shared" si="47"/>
        <v>8.8011695906431431E-4</v>
      </c>
      <c r="E598" s="34">
        <f t="shared" si="48"/>
        <v>4.7500000000000001E-2</v>
      </c>
      <c r="F598" s="36">
        <f t="shared" si="49"/>
        <v>0.38610233918128506</v>
      </c>
    </row>
    <row r="599" spans="1:6" x14ac:dyDescent="0.25">
      <c r="A599" s="37">
        <v>4.7600000000000003E-2</v>
      </c>
      <c r="B599" s="38">
        <f t="shared" si="46"/>
        <v>0.38698245614034937</v>
      </c>
      <c r="C599" s="36">
        <f t="shared" si="47"/>
        <v>8.8011695906431431E-4</v>
      </c>
      <c r="E599" s="34">
        <f t="shared" si="48"/>
        <v>4.7600000000000003E-2</v>
      </c>
      <c r="F599" s="36">
        <f t="shared" si="49"/>
        <v>0.38698245614034937</v>
      </c>
    </row>
    <row r="600" spans="1:6" x14ac:dyDescent="0.25">
      <c r="A600" s="37">
        <v>4.7699999999999999E-2</v>
      </c>
      <c r="B600" s="38">
        <f t="shared" si="46"/>
        <v>0.38786257309941369</v>
      </c>
      <c r="C600" s="36">
        <f t="shared" si="47"/>
        <v>8.8011695906431431E-4</v>
      </c>
      <c r="E600" s="34">
        <f t="shared" si="48"/>
        <v>4.7699999999999999E-2</v>
      </c>
      <c r="F600" s="36">
        <f t="shared" si="49"/>
        <v>0.38786257309941369</v>
      </c>
    </row>
    <row r="601" spans="1:6" x14ac:dyDescent="0.25">
      <c r="A601" s="37">
        <v>4.7800000000000002E-2</v>
      </c>
      <c r="B601" s="38">
        <f t="shared" si="46"/>
        <v>0.388742690058478</v>
      </c>
      <c r="C601" s="36">
        <f t="shared" si="47"/>
        <v>8.8011695906431431E-4</v>
      </c>
      <c r="E601" s="34">
        <f t="shared" si="48"/>
        <v>4.7800000000000002E-2</v>
      </c>
      <c r="F601" s="36">
        <f t="shared" si="49"/>
        <v>0.388742690058478</v>
      </c>
    </row>
    <row r="602" spans="1:6" x14ac:dyDescent="0.25">
      <c r="A602" s="37">
        <v>4.7899999999999998E-2</v>
      </c>
      <c r="B602" s="38">
        <f t="shared" si="46"/>
        <v>0.38962280701754232</v>
      </c>
      <c r="C602" s="36">
        <f t="shared" si="47"/>
        <v>8.8011695906431431E-4</v>
      </c>
      <c r="E602" s="34">
        <f t="shared" si="48"/>
        <v>4.7899999999999998E-2</v>
      </c>
      <c r="F602" s="36">
        <f t="shared" si="49"/>
        <v>0.38962280701754232</v>
      </c>
    </row>
    <row r="603" spans="1:6" x14ac:dyDescent="0.25">
      <c r="A603" s="37">
        <v>4.8000000000000001E-2</v>
      </c>
      <c r="B603" s="38">
        <f t="shared" si="46"/>
        <v>0.39050292397660663</v>
      </c>
      <c r="C603" s="36">
        <f t="shared" si="47"/>
        <v>8.8011695906431431E-4</v>
      </c>
      <c r="E603" s="34">
        <f t="shared" si="48"/>
        <v>4.8000000000000001E-2</v>
      </c>
      <c r="F603" s="36">
        <f t="shared" si="49"/>
        <v>0.39050292397660663</v>
      </c>
    </row>
    <row r="604" spans="1:6" x14ac:dyDescent="0.25">
      <c r="A604" s="37">
        <v>4.8099999999999997E-2</v>
      </c>
      <c r="B604" s="38">
        <f t="shared" si="46"/>
        <v>0.39138304093567094</v>
      </c>
      <c r="C604" s="36">
        <f t="shared" si="47"/>
        <v>8.8011695906431431E-4</v>
      </c>
      <c r="E604" s="34">
        <f t="shared" si="48"/>
        <v>4.8099999999999997E-2</v>
      </c>
      <c r="F604" s="36">
        <f t="shared" si="49"/>
        <v>0.39138304093567094</v>
      </c>
    </row>
    <row r="605" spans="1:6" x14ac:dyDescent="0.25">
      <c r="A605" s="37">
        <v>4.82E-2</v>
      </c>
      <c r="B605" s="38">
        <f t="shared" si="46"/>
        <v>0.39226315789473526</v>
      </c>
      <c r="C605" s="36">
        <f t="shared" si="47"/>
        <v>8.8011695906431431E-4</v>
      </c>
      <c r="E605" s="34">
        <f t="shared" si="48"/>
        <v>4.82E-2</v>
      </c>
      <c r="F605" s="36">
        <f t="shared" si="49"/>
        <v>0.39226315789473526</v>
      </c>
    </row>
    <row r="606" spans="1:6" x14ac:dyDescent="0.25">
      <c r="A606" s="37">
        <v>4.8300000000000003E-2</v>
      </c>
      <c r="B606" s="38">
        <f t="shared" si="46"/>
        <v>0.39314327485379957</v>
      </c>
      <c r="C606" s="36">
        <f t="shared" si="47"/>
        <v>8.8011695906431431E-4</v>
      </c>
      <c r="E606" s="34">
        <f t="shared" si="48"/>
        <v>4.8300000000000003E-2</v>
      </c>
      <c r="F606" s="36">
        <f t="shared" si="49"/>
        <v>0.39314327485379957</v>
      </c>
    </row>
    <row r="607" spans="1:6" x14ac:dyDescent="0.25">
      <c r="A607" s="37">
        <v>4.8399999999999999E-2</v>
      </c>
      <c r="B607" s="38">
        <f t="shared" si="46"/>
        <v>0.39402339181286389</v>
      </c>
      <c r="C607" s="36">
        <f t="shared" si="47"/>
        <v>8.8011695906431431E-4</v>
      </c>
      <c r="E607" s="34">
        <f t="shared" si="48"/>
        <v>4.8399999999999999E-2</v>
      </c>
      <c r="F607" s="36">
        <f t="shared" si="49"/>
        <v>0.39402339181286389</v>
      </c>
    </row>
    <row r="608" spans="1:6" x14ac:dyDescent="0.25">
      <c r="A608" s="37">
        <v>4.8500000000000001E-2</v>
      </c>
      <c r="B608" s="38">
        <f t="shared" si="46"/>
        <v>0.3949035087719282</v>
      </c>
      <c r="C608" s="36">
        <f t="shared" si="47"/>
        <v>8.8011695906431431E-4</v>
      </c>
      <c r="E608" s="34">
        <f t="shared" si="48"/>
        <v>4.8500000000000001E-2</v>
      </c>
      <c r="F608" s="36">
        <f t="shared" si="49"/>
        <v>0.3949035087719282</v>
      </c>
    </row>
    <row r="609" spans="1:6" x14ac:dyDescent="0.25">
      <c r="A609" s="37">
        <v>4.8599999999999997E-2</v>
      </c>
      <c r="B609" s="38">
        <f t="shared" si="46"/>
        <v>0.39578362573099252</v>
      </c>
      <c r="C609" s="36">
        <f t="shared" si="47"/>
        <v>8.8011695906431431E-4</v>
      </c>
      <c r="E609" s="34">
        <f t="shared" si="48"/>
        <v>4.8599999999999997E-2</v>
      </c>
      <c r="F609" s="36">
        <f t="shared" si="49"/>
        <v>0.39578362573099252</v>
      </c>
    </row>
    <row r="610" spans="1:6" x14ac:dyDescent="0.25">
      <c r="A610" s="37">
        <v>4.87E-2</v>
      </c>
      <c r="B610" s="38">
        <f t="shared" si="46"/>
        <v>0.39666374269005683</v>
      </c>
      <c r="C610" s="36">
        <f t="shared" si="47"/>
        <v>8.8011695906431431E-4</v>
      </c>
      <c r="E610" s="34">
        <f t="shared" si="48"/>
        <v>4.87E-2</v>
      </c>
      <c r="F610" s="36">
        <f t="shared" si="49"/>
        <v>0.39666374269005683</v>
      </c>
    </row>
    <row r="611" spans="1:6" x14ac:dyDescent="0.25">
      <c r="A611" s="37">
        <v>4.8800000000000003E-2</v>
      </c>
      <c r="B611" s="38">
        <f t="shared" si="46"/>
        <v>0.39754385964912115</v>
      </c>
      <c r="C611" s="36">
        <f t="shared" si="47"/>
        <v>8.8011695906431431E-4</v>
      </c>
      <c r="E611" s="34">
        <f t="shared" si="48"/>
        <v>4.8800000000000003E-2</v>
      </c>
      <c r="F611" s="36">
        <f t="shared" si="49"/>
        <v>0.39754385964912115</v>
      </c>
    </row>
    <row r="612" spans="1:6" x14ac:dyDescent="0.25">
      <c r="A612" s="37">
        <v>4.8899999999999999E-2</v>
      </c>
      <c r="B612" s="38">
        <f t="shared" si="46"/>
        <v>0.39842397660818546</v>
      </c>
      <c r="C612" s="36">
        <f t="shared" si="47"/>
        <v>8.8011695906431431E-4</v>
      </c>
      <c r="E612" s="34">
        <f t="shared" si="48"/>
        <v>4.8899999999999999E-2</v>
      </c>
      <c r="F612" s="36">
        <f t="shared" si="49"/>
        <v>0.39842397660818546</v>
      </c>
    </row>
    <row r="613" spans="1:6" x14ac:dyDescent="0.25">
      <c r="A613" s="37">
        <v>4.9000000000000002E-2</v>
      </c>
      <c r="B613" s="38">
        <f t="shared" si="46"/>
        <v>0.39930409356724977</v>
      </c>
      <c r="C613" s="36">
        <f t="shared" si="47"/>
        <v>8.8011695906431431E-4</v>
      </c>
      <c r="E613" s="34">
        <f t="shared" si="48"/>
        <v>4.9000000000000002E-2</v>
      </c>
      <c r="F613" s="36">
        <f t="shared" si="49"/>
        <v>0.39930409356724977</v>
      </c>
    </row>
    <row r="614" spans="1:6" x14ac:dyDescent="0.25">
      <c r="A614" s="37">
        <v>4.9099999999999998E-2</v>
      </c>
      <c r="B614" s="38">
        <f t="shared" si="46"/>
        <v>0.40018421052631409</v>
      </c>
      <c r="C614" s="36">
        <f t="shared" si="47"/>
        <v>8.8011695906431431E-4</v>
      </c>
      <c r="E614" s="34">
        <f t="shared" si="48"/>
        <v>4.9099999999999998E-2</v>
      </c>
      <c r="F614" s="36">
        <f t="shared" si="49"/>
        <v>0.40018421052631409</v>
      </c>
    </row>
    <row r="615" spans="1:6" x14ac:dyDescent="0.25">
      <c r="A615" s="37">
        <v>4.9200000000000001E-2</v>
      </c>
      <c r="B615" s="38">
        <f t="shared" si="46"/>
        <v>0.4010643274853784</v>
      </c>
      <c r="C615" s="36">
        <f t="shared" si="47"/>
        <v>8.8011695906431431E-4</v>
      </c>
      <c r="E615" s="34">
        <f t="shared" si="48"/>
        <v>4.9200000000000001E-2</v>
      </c>
      <c r="F615" s="36">
        <f t="shared" si="49"/>
        <v>0.4010643274853784</v>
      </c>
    </row>
    <row r="616" spans="1:6" x14ac:dyDescent="0.25">
      <c r="A616" s="37">
        <v>4.9299999999999997E-2</v>
      </c>
      <c r="B616" s="38">
        <f t="shared" si="46"/>
        <v>0.40194444444444272</v>
      </c>
      <c r="C616" s="36">
        <f t="shared" si="47"/>
        <v>8.8011695906431431E-4</v>
      </c>
      <c r="E616" s="34">
        <f t="shared" si="48"/>
        <v>4.9299999999999997E-2</v>
      </c>
      <c r="F616" s="36">
        <f t="shared" si="49"/>
        <v>0.40194444444444272</v>
      </c>
    </row>
    <row r="617" spans="1:6" x14ac:dyDescent="0.25">
      <c r="A617" s="37">
        <v>4.9399999999999999E-2</v>
      </c>
      <c r="B617" s="38">
        <f t="shared" ref="B617:B623" si="50">B616+$H$4</f>
        <v>0.40282456140350703</v>
      </c>
      <c r="C617" s="36">
        <f t="shared" ref="C617:C623" si="51">B617-B616</f>
        <v>8.8011695906431431E-4</v>
      </c>
      <c r="E617" s="34">
        <f t="shared" ref="E617:E623" si="52">A617</f>
        <v>4.9399999999999999E-2</v>
      </c>
      <c r="F617" s="36">
        <f t="shared" ref="F617:F623" si="53">B617</f>
        <v>0.40282456140350703</v>
      </c>
    </row>
    <row r="618" spans="1:6" x14ac:dyDescent="0.25">
      <c r="A618" s="37">
        <v>4.9500000000000002E-2</v>
      </c>
      <c r="B618" s="38">
        <f t="shared" si="50"/>
        <v>0.40370467836257135</v>
      </c>
      <c r="C618" s="36">
        <f t="shared" si="51"/>
        <v>8.8011695906431431E-4</v>
      </c>
      <c r="E618" s="34">
        <f t="shared" si="52"/>
        <v>4.9500000000000002E-2</v>
      </c>
      <c r="F618" s="36">
        <f t="shared" si="53"/>
        <v>0.40370467836257135</v>
      </c>
    </row>
    <row r="619" spans="1:6" x14ac:dyDescent="0.25">
      <c r="A619" s="37">
        <v>4.9599999999999998E-2</v>
      </c>
      <c r="B619" s="38">
        <f t="shared" si="50"/>
        <v>0.40458479532163566</v>
      </c>
      <c r="C619" s="36">
        <f t="shared" si="51"/>
        <v>8.8011695906431431E-4</v>
      </c>
      <c r="E619" s="34">
        <f t="shared" si="52"/>
        <v>4.9599999999999998E-2</v>
      </c>
      <c r="F619" s="36">
        <f t="shared" si="53"/>
        <v>0.40458479532163566</v>
      </c>
    </row>
    <row r="620" spans="1:6" x14ac:dyDescent="0.25">
      <c r="A620" s="37">
        <v>4.9700000000000001E-2</v>
      </c>
      <c r="B620" s="38">
        <f t="shared" si="50"/>
        <v>0.40546491228069997</v>
      </c>
      <c r="C620" s="36">
        <f t="shared" si="51"/>
        <v>8.8011695906431431E-4</v>
      </c>
      <c r="E620" s="34">
        <f t="shared" si="52"/>
        <v>4.9700000000000001E-2</v>
      </c>
      <c r="F620" s="36">
        <f t="shared" si="53"/>
        <v>0.40546491228069997</v>
      </c>
    </row>
    <row r="621" spans="1:6" x14ac:dyDescent="0.25">
      <c r="A621" s="37">
        <v>4.9799999999999997E-2</v>
      </c>
      <c r="B621" s="38">
        <f t="shared" si="50"/>
        <v>0.40634502923976429</v>
      </c>
      <c r="C621" s="36">
        <f t="shared" si="51"/>
        <v>8.8011695906431431E-4</v>
      </c>
      <c r="E621" s="34">
        <f t="shared" si="52"/>
        <v>4.9799999999999997E-2</v>
      </c>
      <c r="F621" s="36">
        <f t="shared" si="53"/>
        <v>0.40634502923976429</v>
      </c>
    </row>
    <row r="622" spans="1:6" x14ac:dyDescent="0.25">
      <c r="A622" s="37">
        <v>4.99E-2</v>
      </c>
      <c r="B622" s="38">
        <f t="shared" si="50"/>
        <v>0.4072251461988286</v>
      </c>
      <c r="C622" s="36">
        <f t="shared" si="51"/>
        <v>8.8011695906431431E-4</v>
      </c>
      <c r="E622" s="34">
        <f t="shared" si="52"/>
        <v>4.99E-2</v>
      </c>
      <c r="F622" s="36">
        <f t="shared" si="53"/>
        <v>0.4072251461988286</v>
      </c>
    </row>
    <row r="623" spans="1:6" x14ac:dyDescent="0.25">
      <c r="A623" s="37">
        <v>0.05</v>
      </c>
      <c r="B623" s="38">
        <f t="shared" si="50"/>
        <v>0.40810526315789292</v>
      </c>
      <c r="C623" s="36">
        <f t="shared" si="51"/>
        <v>8.8011695906431431E-4</v>
      </c>
      <c r="E623" s="34">
        <f t="shared" si="52"/>
        <v>0.05</v>
      </c>
      <c r="F623" s="36">
        <f t="shared" si="53"/>
        <v>0.40810526315789292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B16F9-4627-4552-83EC-253EA0217AE4}">
  <ds:schemaRefs>
    <ds:schemaRef ds:uri="http://schemas.microsoft.com/office/2006/metadata/properties"/>
    <ds:schemaRef ds:uri="http://schemas.microsoft.com/office/infopath/2007/PartnerControls"/>
    <ds:schemaRef ds:uri="f94fc072-d52f-4752-b8cb-46d6b725e756"/>
    <ds:schemaRef ds:uri="844a25e3-3ac4-400b-ae54-819e2dded817"/>
  </ds:schemaRefs>
</ds:datastoreItem>
</file>

<file path=customXml/itemProps2.xml><?xml version="1.0" encoding="utf-8"?>
<ds:datastoreItem xmlns:ds="http://schemas.openxmlformats.org/officeDocument/2006/customXml" ds:itemID="{BB2CE93D-C827-45EA-8807-A0B3D49E7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fc072-d52f-4752-b8cb-46d6b725e756"/>
    <ds:schemaRef ds:uri="844a25e3-3ac4-400b-ae54-819e2dded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34DE67-0A16-4B3D-A902-CE5E8C4062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 2026 Summary</vt:lpstr>
      <vt:lpstr>Realpage</vt:lpstr>
      <vt:lpstr>RP - Unit Starts</vt:lpstr>
      <vt:lpstr>Realpage - His. Rent Change</vt:lpstr>
      <vt:lpstr>Cap Rate to IRR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Burke</cp:lastModifiedBy>
  <dcterms:created xsi:type="dcterms:W3CDTF">2026-05-17T14:56:51Z</dcterms:created>
  <dcterms:modified xsi:type="dcterms:W3CDTF">2026-08-13T21:59:38Z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